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126d5f78d2d241d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hared drives\T&amp;T Staffs\61. Khoa Van TRAN\BIM 5D\5D Workflow\5D Database\5D Database management\"/>
    </mc:Choice>
  </mc:AlternateContent>
  <xr:revisionPtr revIDLastSave="0" documentId="13_ncr:1_{16B84C70-9189-4BB2-BED6-CC4BEC438786}" xr6:coauthVersionLast="47" xr6:coauthVersionMax="47" xr10:uidLastSave="{00000000-0000-0000-0000-000000000000}"/>
  <bookViews>
    <workbookView xWindow="-120" yWindow="-120" windowWidth="29040" windowHeight="15840" tabRatio="458" firstSheet="1" activeTab="1" xr2:uid="{00000000-000D-0000-FFFF-FFFF00000000}"/>
  </bookViews>
  <sheets>
    <sheet name="A_Source" sheetId="13" state="hidden" r:id="rId1"/>
    <sheet name="A" sheetId="5" r:id="rId2"/>
    <sheet name="E_Source" sheetId="17" state="hidden" r:id="rId3"/>
    <sheet name="E" sheetId="8" r:id="rId4"/>
    <sheet name="F_Source" sheetId="15" state="hidden" r:id="rId5"/>
    <sheet name="F" sheetId="10" r:id="rId6"/>
    <sheet name="M_Source" sheetId="16" state="hidden" r:id="rId7"/>
    <sheet name="M" sheetId="7" r:id="rId8"/>
    <sheet name="P_Source" sheetId="18" state="hidden" r:id="rId9"/>
    <sheet name="P" sheetId="9" r:id="rId10"/>
    <sheet name="S_Source" sheetId="3" state="hidden" r:id="rId11"/>
    <sheet name="S" sheetId="12" r:id="rId12"/>
    <sheet name="Sheet1" sheetId="19" state="hidden" r:id="rId13"/>
  </sheets>
  <functionGroups builtInGroupCount="19"/>
  <definedNames>
    <definedName name="_xlnm._FilterDatabase" localSheetId="1" hidden="1">A!$B$3:$K$132</definedName>
    <definedName name="_xlnm._FilterDatabase" localSheetId="0" hidden="1">A_Source!$A$3:$I$1994</definedName>
    <definedName name="_xlnm._FilterDatabase" localSheetId="3" hidden="1">E!$B$3:$M$63</definedName>
    <definedName name="_xlnm._FilterDatabase" localSheetId="5" hidden="1">F!$B$3:$M$60</definedName>
    <definedName name="_xlnm._FilterDatabase" localSheetId="7" hidden="1">M!$B$3:$M$111</definedName>
    <definedName name="_xlnm._FilterDatabase" localSheetId="9" hidden="1">P!$B$3:$M$78</definedName>
    <definedName name="_xlnm._FilterDatabase" localSheetId="11" hidden="1">S!$B$3:$K$56</definedName>
    <definedName name="_xlnm._FilterDatabase" localSheetId="10" hidden="1">S_Source!$E$3:$E$22</definedName>
    <definedName name="CateA">OFFSET(A_Source!$B$4,0,0,COUNTA(A_Source!$B$4:$B$1000),1)</definedName>
    <definedName name="CateE">OFFSET(E_Source!$B$4,0,0,COUNTA(E_Source!$B$4:$B$1000),1)</definedName>
    <definedName name="CateF">OFFSET(F_Source!$B$4,0,0,COUNTA(F_Source!$B$4:$B$995),1)</definedName>
    <definedName name="CateM">OFFSET(M_Source!$B$4,0,0,COUNTA(M_Source!$B$4:$B$1000),1)</definedName>
    <definedName name="CateP">OFFSET(P_Source!$B$4,0,0,COUNTA(P_Source!$B$4:$B$992),1)</definedName>
    <definedName name="CateS">OFFSET(S_Source!$B$4,0,0,COUNTA(S_Source!$B$4:$B$1000),1)</definedName>
    <definedName name="_xlnm.Criteria" localSheetId="1">A!$M$2:$M$3</definedName>
    <definedName name="_xlnm.Criteria" localSheetId="3">E!$O$2:$O$3</definedName>
    <definedName name="_xlnm.Criteria" localSheetId="5">F!$O$2:$O$3</definedName>
    <definedName name="_xlnm.Criteria" localSheetId="7">M!$O$2:$O$3</definedName>
    <definedName name="_xlnm.Criteria" localSheetId="9">P!$O$2:$O$3</definedName>
    <definedName name="_xlnm.Criteria" localSheetId="11">S!$M$2:$M$3</definedName>
    <definedName name="CriteriaA" localSheetId="1">A!$M$2:$M$3</definedName>
    <definedName name="CriteriaF" localSheetId="5">F!$O$2:$O$3</definedName>
    <definedName name="CriteriaS" localSheetId="11">S!$M$2:$M$3</definedName>
    <definedName name="DataValidA" localSheetId="1">A!$M$7:$M$13</definedName>
    <definedName name="DataValidE" localSheetId="3">E!$O$7:$O$15</definedName>
    <definedName name="DataValidF" localSheetId="5">F!$O$7:$O$15</definedName>
    <definedName name="DataValidM" localSheetId="7">M!$O$7:$O$15</definedName>
    <definedName name="DataValidP" localSheetId="9">P!$O$7:$O$15</definedName>
    <definedName name="DataValidS" localSheetId="11">S!$M$7:$M$13</definedName>
    <definedName name="_xlnm.Extract" localSheetId="1">A!$P$3:$Y$3</definedName>
    <definedName name="_xlnm.Extract" localSheetId="3">E!$P$3:$AA$3</definedName>
    <definedName name="_xlnm.Extract" localSheetId="5">F!$P$3:$AA$3</definedName>
    <definedName name="_xlnm.Extract" localSheetId="7">M!$P$3:$AA$3</definedName>
    <definedName name="_xlnm.Extract" localSheetId="9">P!$P$3:$AA$3</definedName>
    <definedName name="_xlnm.Extract" localSheetId="11">S!$P$3:$Y$3</definedName>
    <definedName name="ExtractA" localSheetId="1">A!$P$3:$Y$3</definedName>
    <definedName name="ExtractF" localSheetId="5">F!$P$3:$AA$3</definedName>
    <definedName name="ExtractS" localSheetId="11">S!$P$3:$Y$3</definedName>
    <definedName name="FamilyTypeA">A_Source!$J$2:$J$3</definedName>
    <definedName name="FamilyTypeE">E_Source!$M$2:$M$3</definedName>
    <definedName name="FamilyTypeF">F_Source!$M$2:$M$3</definedName>
    <definedName name="FamilyTypeM">M_Source!$M$2:$M$3</definedName>
    <definedName name="FamilyTypeP">P_Source!$M$2:$M$3</definedName>
    <definedName name="FamilyTypeS">S_Source!$J$2:$J$3</definedName>
    <definedName name="IDA" localSheetId="1">A!$L$3</definedName>
    <definedName name="IDE" localSheetId="3">E!$N$3</definedName>
    <definedName name="IDF" localSheetId="5">F!$N$3</definedName>
    <definedName name="IDM" localSheetId="7">M!$N$3</definedName>
    <definedName name="IDP" localSheetId="9">P!$N$3</definedName>
    <definedName name="IDS" localSheetId="11">S!$L$3</definedName>
    <definedName name="IndataA" localSheetId="1">OFFSET(A!$B$4,0,0,COUNTA(A!$B$4:$B$980),10)</definedName>
    <definedName name="IndataF" localSheetId="5">OFFSET(F!$B$4,0,0,COUNTA(F!$B$4:$B$1000),12)</definedName>
    <definedName name="IndataS" localSheetId="11">OFFSET(S!$B$4,0,0,COUNTA(S!$B$4:$B$1002),10)</definedName>
    <definedName name="MaxNumA" localSheetId="1">A!$L$1</definedName>
    <definedName name="MaxNumE" localSheetId="3">E!$N$1</definedName>
    <definedName name="MaxNumF" localSheetId="5">F!$N$1</definedName>
    <definedName name="MaxNumM" localSheetId="7">M!$N$1</definedName>
    <definedName name="MaxNumP" localSheetId="9">P!$N$1</definedName>
    <definedName name="MaxNumS" localSheetId="11">S!$L$1</definedName>
    <definedName name="NumberA" localSheetId="1">A!$L$2</definedName>
    <definedName name="NumberE" localSheetId="3">E!$N$2</definedName>
    <definedName name="NumberF" localSheetId="5">F!$N$2</definedName>
    <definedName name="NumberM" localSheetId="7">M!$N$2</definedName>
    <definedName name="NumberP" localSheetId="9">P!$N$2</definedName>
    <definedName name="NumberS" localSheetId="11">S!$L$2</definedName>
    <definedName name="Outdata" localSheetId="1">OFFSET(A!$P$4,0,0,COUNTA(S!$P$4:$P$1000),10)</definedName>
    <definedName name="OutdataS" localSheetId="11">OFFSET(S!$P$4,0,0,COUNTA(S!$P$4:$P$1000),10)</definedName>
    <definedName name="Sub1E">OFFSET(E_Source!$H$4,0,0,COUNTA(E_Source!$H$4:$H$1000),1)</definedName>
    <definedName name="Sub1F">OFFSET(F_Source!$H$4,0,0,COUNTA(F_Source!$H$4:$H$995),1)</definedName>
    <definedName name="Sub1M">OFFSET(M_Source!$H$4,0,0,COUNTA(M_Source!$H$4:$H$1000),1)</definedName>
    <definedName name="Sub1P">OFFSET(P_Source!$H$4,0,0,COUNTA(P_Source!$H$4:$H$992),1)</definedName>
    <definedName name="Sub2E">OFFSET(E_Source!$K$4,0,0,COUNTA(E_Source!$K$4:$K$1000),1)</definedName>
    <definedName name="Sub2F">OFFSET(F_Source!$K$4,0,0,COUNTA(F_Source!$K$4:$K$995),1)</definedName>
    <definedName name="Sub2M">OFFSET(M_Source!$K$4,0,0,COUNTA(M_Source!$K$4:$K$1000),1)</definedName>
    <definedName name="Sub2P">OFFSET(P_Source!$K$4,0,0,COUNTA(P_Source!$K$4:$K$992),1)</definedName>
    <definedName name="SubA">OFFSET(A_Source!$H$4,0,0,COUNTA(A_Source!$H$4:$H$1000),1)</definedName>
    <definedName name="SubS">OFFSET(S_Source!$H$4,0,0,COUNTA(S_Source!$H$4:$H$1000),1)</definedName>
    <definedName name="TypeA">OFFSET(A_Source!$E$4,0,0,COUNTA(A_Source!$E$4:$E$1000),1)</definedName>
    <definedName name="TypeE">OFFSET(E_Source!$E$4,0,0,COUNTA(E_Source!$E$4:$E$1000),1)</definedName>
    <definedName name="TypeF">OFFSET(F_Source!$E$4,0,0,COUNTA(F_Source!$E$4:$E$995),1)</definedName>
    <definedName name="TypeM">OFFSET(M_Source!$E$4,0,0,COUNTA(M_Source!$E$4:$E$1000),1)</definedName>
    <definedName name="TypeP">OFFSET(P_Source!$E$4,0,0,COUNTA(P_Source!$E$4:$E$992),1)</definedName>
    <definedName name="TypeS">OFFSET(S_Source!$E$4,0,0,COUNTA(S_Source!$E$4:$E$1000),1)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2" l="1"/>
  <c r="F2" i="12"/>
  <c r="D2" i="12"/>
  <c r="BA1" i="5"/>
  <c r="H2" i="13"/>
  <c r="H4" i="13"/>
  <c r="F2" i="13"/>
  <c r="I124" i="5"/>
  <c r="H2" i="5"/>
  <c r="F2" i="5"/>
  <c r="D2" i="5"/>
  <c r="I98" i="5" l="1"/>
  <c r="I123" i="5"/>
  <c r="I125" i="5"/>
  <c r="I119" i="5"/>
  <c r="I118" i="5"/>
  <c r="I97" i="5"/>
  <c r="I64" i="5"/>
  <c r="I61" i="5"/>
  <c r="I62" i="5"/>
  <c r="I55" i="5"/>
  <c r="I69" i="5"/>
  <c r="I73" i="5"/>
  <c r="I72" i="5"/>
  <c r="I70" i="5"/>
  <c r="I56" i="5"/>
  <c r="I63" i="5"/>
  <c r="I54" i="5"/>
  <c r="I71" i="5"/>
  <c r="I132" i="5"/>
  <c r="I131" i="5"/>
  <c r="I130" i="5"/>
  <c r="I129" i="5"/>
  <c r="I128" i="5"/>
  <c r="I127" i="5"/>
  <c r="I126" i="5"/>
  <c r="I122" i="5"/>
  <c r="I121" i="5"/>
  <c r="I120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68" i="5"/>
  <c r="I67" i="5"/>
  <c r="I66" i="5"/>
  <c r="I65" i="5"/>
  <c r="I60" i="5"/>
  <c r="I59" i="5"/>
  <c r="I58" i="5"/>
  <c r="I57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BA1" i="19" l="1"/>
  <c r="BC1" i="19"/>
  <c r="D2" i="19"/>
  <c r="J2" i="17" l="1"/>
  <c r="K4" i="17"/>
  <c r="H2" i="17"/>
  <c r="E4" i="17"/>
  <c r="F2" i="17" s="1"/>
  <c r="D2" i="17"/>
  <c r="B4" i="17"/>
  <c r="H2" i="8"/>
  <c r="J2" i="8"/>
  <c r="F2" i="8"/>
  <c r="D2" i="8"/>
  <c r="J2" i="9" l="1"/>
  <c r="H2" i="9"/>
  <c r="F2" i="9"/>
  <c r="D2" i="9"/>
  <c r="K78" i="9" l="1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111" i="7" l="1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60" i="10" l="1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63" i="8" l="1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3" i="8"/>
  <c r="K34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E15" i="19" l="1"/>
  <c r="G15" i="19" s="1"/>
  <c r="O12" i="7"/>
  <c r="O8" i="7"/>
  <c r="BB5" i="8"/>
  <c r="BB6" i="8"/>
  <c r="BB7" i="8"/>
  <c r="BB8" i="8"/>
  <c r="BB9" i="8"/>
  <c r="BB10" i="8"/>
  <c r="BB11" i="8"/>
  <c r="BB12" i="8"/>
  <c r="BB13" i="8"/>
  <c r="BB14" i="8"/>
  <c r="BB15" i="8"/>
  <c r="BB16" i="8"/>
  <c r="BB17" i="8"/>
  <c r="BB18" i="8"/>
  <c r="BB19" i="8"/>
  <c r="BB20" i="8"/>
  <c r="BB21" i="8"/>
  <c r="BB22" i="8"/>
  <c r="BB23" i="8"/>
  <c r="BB24" i="8"/>
  <c r="BB25" i="8"/>
  <c r="BB26" i="8"/>
  <c r="BB27" i="8"/>
  <c r="BB28" i="8"/>
  <c r="BB29" i="8"/>
  <c r="BB30" i="8"/>
  <c r="BB31" i="8"/>
  <c r="BB32" i="8"/>
  <c r="BB33" i="8"/>
  <c r="BB34" i="8"/>
  <c r="BB35" i="8"/>
  <c r="BB36" i="8"/>
  <c r="BB37" i="8"/>
  <c r="BB38" i="8"/>
  <c r="BB39" i="8"/>
  <c r="BB40" i="8"/>
  <c r="BB41" i="8"/>
  <c r="BB42" i="8"/>
  <c r="BB43" i="8"/>
  <c r="BB44" i="8"/>
  <c r="BB45" i="8"/>
  <c r="BB46" i="8"/>
  <c r="BB47" i="8"/>
  <c r="BB48" i="8"/>
  <c r="BB49" i="8"/>
  <c r="BB50" i="8"/>
  <c r="BB51" i="8"/>
  <c r="BB52" i="8"/>
  <c r="BB53" i="8"/>
  <c r="BB54" i="8"/>
  <c r="BB55" i="8"/>
  <c r="BB56" i="8"/>
  <c r="BB57" i="8"/>
  <c r="BB58" i="8"/>
  <c r="BB59" i="8"/>
  <c r="BB60" i="8"/>
  <c r="BB61" i="8"/>
  <c r="BB62" i="8"/>
  <c r="BB63" i="8"/>
  <c r="BB64" i="8"/>
  <c r="BB65" i="8"/>
  <c r="BB66" i="8"/>
  <c r="BB67" i="8"/>
  <c r="BB68" i="8"/>
  <c r="BB69" i="8"/>
  <c r="BB70" i="8"/>
  <c r="BB71" i="8"/>
  <c r="BB72" i="8"/>
  <c r="BB73" i="8"/>
  <c r="BB74" i="8"/>
  <c r="BB75" i="8"/>
  <c r="BB76" i="8"/>
  <c r="BB77" i="8"/>
  <c r="BB78" i="8"/>
  <c r="BB79" i="8"/>
  <c r="BB80" i="8"/>
  <c r="BB81" i="8"/>
  <c r="BB82" i="8"/>
  <c r="BB83" i="8"/>
  <c r="BB84" i="8"/>
  <c r="BB85" i="8"/>
  <c r="BB86" i="8"/>
  <c r="BB87" i="8"/>
  <c r="BB88" i="8"/>
  <c r="BB89" i="8"/>
  <c r="BB90" i="8"/>
  <c r="BB91" i="8"/>
  <c r="BB92" i="8"/>
  <c r="BB93" i="8"/>
  <c r="BB94" i="8"/>
  <c r="BB95" i="8"/>
  <c r="BB96" i="8"/>
  <c r="BB97" i="8"/>
  <c r="BB98" i="8"/>
  <c r="BB99" i="8"/>
  <c r="BB100" i="8"/>
  <c r="BB101" i="8"/>
  <c r="BB102" i="8"/>
  <c r="BB103" i="8"/>
  <c r="BB104" i="8"/>
  <c r="BB105" i="8"/>
  <c r="BB106" i="8"/>
  <c r="BB107" i="8"/>
  <c r="BB108" i="8"/>
  <c r="BB109" i="8"/>
  <c r="BB110" i="8"/>
  <c r="BB111" i="8"/>
  <c r="BB112" i="8"/>
  <c r="BB113" i="8"/>
  <c r="BB114" i="8"/>
  <c r="BB115" i="8"/>
  <c r="BB116" i="8"/>
  <c r="BB117" i="8"/>
  <c r="BB118" i="8"/>
  <c r="BB119" i="8"/>
  <c r="BB120" i="8"/>
  <c r="BB121" i="8"/>
  <c r="BB122" i="8"/>
  <c r="BB123" i="8"/>
  <c r="BB124" i="8"/>
  <c r="BB125" i="8"/>
  <c r="BB126" i="8"/>
  <c r="BB127" i="8"/>
  <c r="BB128" i="8"/>
  <c r="BB129" i="8"/>
  <c r="BB130" i="8"/>
  <c r="BB131" i="8"/>
  <c r="BB132" i="8"/>
  <c r="BB133" i="8"/>
  <c r="BB134" i="8"/>
  <c r="BB135" i="8"/>
  <c r="BB136" i="8"/>
  <c r="BB137" i="8"/>
  <c r="BB138" i="8"/>
  <c r="BB139" i="8"/>
  <c r="BB140" i="8"/>
  <c r="BB141" i="8"/>
  <c r="BB142" i="8"/>
  <c r="BB143" i="8"/>
  <c r="BB144" i="8"/>
  <c r="BB145" i="8"/>
  <c r="BB146" i="8"/>
  <c r="BB147" i="8"/>
  <c r="BB148" i="8"/>
  <c r="BB149" i="8"/>
  <c r="BB150" i="8"/>
  <c r="BB151" i="8"/>
  <c r="BB152" i="8"/>
  <c r="BB153" i="8"/>
  <c r="BB154" i="8"/>
  <c r="BB155" i="8"/>
  <c r="BB156" i="8"/>
  <c r="BB157" i="8"/>
  <c r="BB158" i="8"/>
  <c r="BB159" i="8"/>
  <c r="BB160" i="8"/>
  <c r="BB161" i="8"/>
  <c r="BB162" i="8"/>
  <c r="BB163" i="8"/>
  <c r="BB164" i="8"/>
  <c r="BB165" i="8"/>
  <c r="BB166" i="8"/>
  <c r="BB167" i="8"/>
  <c r="BB168" i="8"/>
  <c r="BB169" i="8"/>
  <c r="BB170" i="8"/>
  <c r="BB171" i="8"/>
  <c r="BB172" i="8"/>
  <c r="BB173" i="8"/>
  <c r="BB174" i="8"/>
  <c r="BB175" i="8"/>
  <c r="BB176" i="8"/>
  <c r="BB177" i="8"/>
  <c r="BB178" i="8"/>
  <c r="BB179" i="8"/>
  <c r="BB180" i="8"/>
  <c r="BB181" i="8"/>
  <c r="BB182" i="8"/>
  <c r="BB183" i="8"/>
  <c r="BB184" i="8"/>
  <c r="BB185" i="8"/>
  <c r="BB186" i="8"/>
  <c r="BB187" i="8"/>
  <c r="BB188" i="8"/>
  <c r="BB189" i="8"/>
  <c r="BB190" i="8"/>
  <c r="BB191" i="8"/>
  <c r="BB192" i="8"/>
  <c r="BB193" i="8"/>
  <c r="BB194" i="8"/>
  <c r="BB195" i="8"/>
  <c r="BB196" i="8"/>
  <c r="BB197" i="8"/>
  <c r="BB198" i="8"/>
  <c r="BB199" i="8"/>
  <c r="BB200" i="8"/>
  <c r="BB201" i="8"/>
  <c r="BB202" i="8"/>
  <c r="BB203" i="8"/>
  <c r="BB204" i="8"/>
  <c r="BB205" i="8"/>
  <c r="BB206" i="8"/>
  <c r="BB207" i="8"/>
  <c r="BB208" i="8"/>
  <c r="BB209" i="8"/>
  <c r="BB210" i="8"/>
  <c r="BB211" i="8"/>
  <c r="BB212" i="8"/>
  <c r="BB213" i="8"/>
  <c r="BB214" i="8"/>
  <c r="BB215" i="8"/>
  <c r="BB216" i="8"/>
  <c r="BB217" i="8"/>
  <c r="BB218" i="8"/>
  <c r="BB219" i="8"/>
  <c r="BB220" i="8"/>
  <c r="BB221" i="8"/>
  <c r="BB222" i="8"/>
  <c r="BB223" i="8"/>
  <c r="BB224" i="8"/>
  <c r="BB225" i="8"/>
  <c r="BB226" i="8"/>
  <c r="BB227" i="8"/>
  <c r="BB228" i="8"/>
  <c r="BB229" i="8"/>
  <c r="BB230" i="8"/>
  <c r="BB231" i="8"/>
  <c r="BB232" i="8"/>
  <c r="BB233" i="8"/>
  <c r="BB234" i="8"/>
  <c r="BB235" i="8"/>
  <c r="BB236" i="8"/>
  <c r="BB237" i="8"/>
  <c r="BB238" i="8"/>
  <c r="BB239" i="8"/>
  <c r="BB240" i="8"/>
  <c r="BB241" i="8"/>
  <c r="BB242" i="8"/>
  <c r="BB243" i="8"/>
  <c r="BB244" i="8"/>
  <c r="BB245" i="8"/>
  <c r="BB246" i="8"/>
  <c r="BB247" i="8"/>
  <c r="BB248" i="8"/>
  <c r="BB249" i="8"/>
  <c r="BB250" i="8"/>
  <c r="BB251" i="8"/>
  <c r="BB252" i="8"/>
  <c r="BB253" i="8"/>
  <c r="BB254" i="8"/>
  <c r="BB255" i="8"/>
  <c r="BB256" i="8"/>
  <c r="BB257" i="8"/>
  <c r="BB258" i="8"/>
  <c r="BB259" i="8"/>
  <c r="BB260" i="8"/>
  <c r="BB261" i="8"/>
  <c r="BB262" i="8"/>
  <c r="BB263" i="8"/>
  <c r="BB264" i="8"/>
  <c r="BB265" i="8"/>
  <c r="BB266" i="8"/>
  <c r="BB267" i="8"/>
  <c r="BB268" i="8"/>
  <c r="BB269" i="8"/>
  <c r="BB270" i="8"/>
  <c r="BB271" i="8"/>
  <c r="BB272" i="8"/>
  <c r="BB273" i="8"/>
  <c r="BB274" i="8"/>
  <c r="BB275" i="8"/>
  <c r="BB276" i="8"/>
  <c r="BB277" i="8"/>
  <c r="BB278" i="8"/>
  <c r="BB279" i="8"/>
  <c r="BB280" i="8"/>
  <c r="BB281" i="8"/>
  <c r="BB282" i="8"/>
  <c r="BB283" i="8"/>
  <c r="BB284" i="8"/>
  <c r="BB285" i="8"/>
  <c r="BB286" i="8"/>
  <c r="BB287" i="8"/>
  <c r="BB288" i="8"/>
  <c r="BB289" i="8"/>
  <c r="BB290" i="8"/>
  <c r="BB291" i="8"/>
  <c r="BB292" i="8"/>
  <c r="BB293" i="8"/>
  <c r="BB294" i="8"/>
  <c r="BB295" i="8"/>
  <c r="BB296" i="8"/>
  <c r="BB297" i="8"/>
  <c r="BB298" i="8"/>
  <c r="BB299" i="8"/>
  <c r="BB300" i="8"/>
  <c r="BB301" i="8"/>
  <c r="BB302" i="8"/>
  <c r="BB303" i="8"/>
  <c r="BB304" i="8"/>
  <c r="BB305" i="8"/>
  <c r="BB306" i="8"/>
  <c r="BB307" i="8"/>
  <c r="BB308" i="8"/>
  <c r="BB309" i="8"/>
  <c r="BB310" i="8"/>
  <c r="BB311" i="8"/>
  <c r="BB312" i="8"/>
  <c r="BB313" i="8"/>
  <c r="BB314" i="8"/>
  <c r="BB315" i="8"/>
  <c r="BB316" i="8"/>
  <c r="BB317" i="8"/>
  <c r="BB318" i="8"/>
  <c r="BB319" i="8"/>
  <c r="BB320" i="8"/>
  <c r="BB321" i="8"/>
  <c r="BB322" i="8"/>
  <c r="BB323" i="8"/>
  <c r="BB324" i="8"/>
  <c r="BB325" i="8"/>
  <c r="BB326" i="8"/>
  <c r="BB327" i="8"/>
  <c r="BB328" i="8"/>
  <c r="BB329" i="8"/>
  <c r="BB330" i="8"/>
  <c r="BB331" i="8"/>
  <c r="BB332" i="8"/>
  <c r="BB333" i="8"/>
  <c r="BB334" i="8"/>
  <c r="BB335" i="8"/>
  <c r="BB336" i="8"/>
  <c r="BB337" i="8"/>
  <c r="BB338" i="8"/>
  <c r="BB339" i="8"/>
  <c r="BB340" i="8"/>
  <c r="BB341" i="8"/>
  <c r="BB342" i="8"/>
  <c r="BB343" i="8"/>
  <c r="BB344" i="8"/>
  <c r="BB345" i="8"/>
  <c r="BB346" i="8"/>
  <c r="BB347" i="8"/>
  <c r="BB348" i="8"/>
  <c r="BB349" i="8"/>
  <c r="BB350" i="8"/>
  <c r="BB351" i="8"/>
  <c r="BB352" i="8"/>
  <c r="BB353" i="8"/>
  <c r="BB354" i="8"/>
  <c r="BB355" i="8"/>
  <c r="BB356" i="8"/>
  <c r="BB357" i="8"/>
  <c r="BB358" i="8"/>
  <c r="BB359" i="8"/>
  <c r="BB360" i="8"/>
  <c r="BB361" i="8"/>
  <c r="BB362" i="8"/>
  <c r="BB363" i="8"/>
  <c r="BB364" i="8"/>
  <c r="BB365" i="8"/>
  <c r="BB366" i="8"/>
  <c r="BB367" i="8"/>
  <c r="BB368" i="8"/>
  <c r="BB369" i="8"/>
  <c r="BB370" i="8"/>
  <c r="BB371" i="8"/>
  <c r="BB372" i="8"/>
  <c r="BB373" i="8"/>
  <c r="BB374" i="8"/>
  <c r="BB375" i="8"/>
  <c r="BB376" i="8"/>
  <c r="BB377" i="8"/>
  <c r="BB378" i="8"/>
  <c r="BB379" i="8"/>
  <c r="BB380" i="8"/>
  <c r="BB381" i="8"/>
  <c r="BB382" i="8"/>
  <c r="BB383" i="8"/>
  <c r="BB384" i="8"/>
  <c r="BB385" i="8"/>
  <c r="BB386" i="8"/>
  <c r="BB387" i="8"/>
  <c r="BB388" i="8"/>
  <c r="BB389" i="8"/>
  <c r="BB390" i="8"/>
  <c r="BB391" i="8"/>
  <c r="BB392" i="8"/>
  <c r="BB393" i="8"/>
  <c r="BB394" i="8"/>
  <c r="BB395" i="8"/>
  <c r="BB396" i="8"/>
  <c r="BB397" i="8"/>
  <c r="BB398" i="8"/>
  <c r="BB399" i="8"/>
  <c r="BB400" i="8"/>
  <c r="BB401" i="8"/>
  <c r="BB402" i="8"/>
  <c r="BB403" i="8"/>
  <c r="BB404" i="8"/>
  <c r="BB405" i="8"/>
  <c r="BB406" i="8"/>
  <c r="BB407" i="8"/>
  <c r="BB408" i="8"/>
  <c r="BB409" i="8"/>
  <c r="BB410" i="8"/>
  <c r="BB411" i="8"/>
  <c r="BB412" i="8"/>
  <c r="BB413" i="8"/>
  <c r="BB414" i="8"/>
  <c r="BB415" i="8"/>
  <c r="BB416" i="8"/>
  <c r="BB417" i="8"/>
  <c r="BB418" i="8"/>
  <c r="BB419" i="8"/>
  <c r="BB420" i="8"/>
  <c r="BB421" i="8"/>
  <c r="BB422" i="8"/>
  <c r="BB423" i="8"/>
  <c r="BB424" i="8"/>
  <c r="BB425" i="8"/>
  <c r="BB426" i="8"/>
  <c r="BB427" i="8"/>
  <c r="BB428" i="8"/>
  <c r="BB429" i="8"/>
  <c r="BB430" i="8"/>
  <c r="BB431" i="8"/>
  <c r="BB432" i="8"/>
  <c r="BB433" i="8"/>
  <c r="BB434" i="8"/>
  <c r="BB435" i="8"/>
  <c r="BB436" i="8"/>
  <c r="BB437" i="8"/>
  <c r="BB438" i="8"/>
  <c r="BB439" i="8"/>
  <c r="BB440" i="8"/>
  <c r="BB441" i="8"/>
  <c r="BB442" i="8"/>
  <c r="BB443" i="8"/>
  <c r="BB444" i="8"/>
  <c r="BB445" i="8"/>
  <c r="BB446" i="8"/>
  <c r="BB447" i="8"/>
  <c r="BB448" i="8"/>
  <c r="BB449" i="8"/>
  <c r="BB450" i="8"/>
  <c r="BB451" i="8"/>
  <c r="BB452" i="8"/>
  <c r="BB453" i="8"/>
  <c r="BB454" i="8"/>
  <c r="BB455" i="8"/>
  <c r="BB456" i="8"/>
  <c r="BB457" i="8"/>
  <c r="BB458" i="8"/>
  <c r="BB459" i="8"/>
  <c r="BB460" i="8"/>
  <c r="BB461" i="8"/>
  <c r="BB462" i="8"/>
  <c r="BB463" i="8"/>
  <c r="BB464" i="8"/>
  <c r="BB465" i="8"/>
  <c r="BB466" i="8"/>
  <c r="BB467" i="8"/>
  <c r="BB468" i="8"/>
  <c r="BB469" i="8"/>
  <c r="BB470" i="8"/>
  <c r="BB471" i="8"/>
  <c r="BB472" i="8"/>
  <c r="BB473" i="8"/>
  <c r="BB474" i="8"/>
  <c r="BB475" i="8"/>
  <c r="BB476" i="8"/>
  <c r="BB477" i="8"/>
  <c r="BB478" i="8"/>
  <c r="BB479" i="8"/>
  <c r="BB480" i="8"/>
  <c r="BB481" i="8"/>
  <c r="BB482" i="8"/>
  <c r="BB483" i="8"/>
  <c r="BB484" i="8"/>
  <c r="BB485" i="8"/>
  <c r="BB486" i="8"/>
  <c r="BB487" i="8"/>
  <c r="BB488" i="8"/>
  <c r="BB489" i="8"/>
  <c r="BB490" i="8"/>
  <c r="BB491" i="8"/>
  <c r="BB492" i="8"/>
  <c r="BB493" i="8"/>
  <c r="BB494" i="8"/>
  <c r="BB495" i="8"/>
  <c r="BB496" i="8"/>
  <c r="BB497" i="8"/>
  <c r="BB498" i="8"/>
  <c r="BB499" i="8"/>
  <c r="BB500" i="8"/>
  <c r="BB501" i="8"/>
  <c r="BB502" i="8"/>
  <c r="BB503" i="8"/>
  <c r="BB504" i="8"/>
  <c r="BB505" i="8"/>
  <c r="BB506" i="8"/>
  <c r="BB507" i="8"/>
  <c r="BB508" i="8"/>
  <c r="BB509" i="8"/>
  <c r="BB510" i="8"/>
  <c r="BB511" i="8"/>
  <c r="BB512" i="8"/>
  <c r="BB513" i="8"/>
  <c r="BB514" i="8"/>
  <c r="BB515" i="8"/>
  <c r="BB516" i="8"/>
  <c r="BB517" i="8"/>
  <c r="BB518" i="8"/>
  <c r="BB519" i="8"/>
  <c r="BB520" i="8"/>
  <c r="BB521" i="8"/>
  <c r="BB522" i="8"/>
  <c r="BB523" i="8"/>
  <c r="BB524" i="8"/>
  <c r="BB525" i="8"/>
  <c r="BB526" i="8"/>
  <c r="BB527" i="8"/>
  <c r="BB528" i="8"/>
  <c r="BB529" i="8"/>
  <c r="BB530" i="8"/>
  <c r="BB531" i="8"/>
  <c r="BB532" i="8"/>
  <c r="BB533" i="8"/>
  <c r="BB534" i="8"/>
  <c r="BB535" i="8"/>
  <c r="BB536" i="8"/>
  <c r="BB537" i="8"/>
  <c r="BB538" i="8"/>
  <c r="BB539" i="8"/>
  <c r="BB540" i="8"/>
  <c r="BB541" i="8"/>
  <c r="BB542" i="8"/>
  <c r="BB543" i="8"/>
  <c r="BB544" i="8"/>
  <c r="BB545" i="8"/>
  <c r="BB546" i="8"/>
  <c r="BB547" i="8"/>
  <c r="BB548" i="8"/>
  <c r="BB549" i="8"/>
  <c r="BB550" i="8"/>
  <c r="BB551" i="8"/>
  <c r="BB552" i="8"/>
  <c r="BB553" i="8"/>
  <c r="BB554" i="8"/>
  <c r="BB555" i="8"/>
  <c r="BB556" i="8"/>
  <c r="BB557" i="8"/>
  <c r="BB558" i="8"/>
  <c r="BB559" i="8"/>
  <c r="BB560" i="8"/>
  <c r="BB561" i="8"/>
  <c r="BB562" i="8"/>
  <c r="BB563" i="8"/>
  <c r="BB564" i="8"/>
  <c r="BB565" i="8"/>
  <c r="BB566" i="8"/>
  <c r="BB567" i="8"/>
  <c r="BB568" i="8"/>
  <c r="BB569" i="8"/>
  <c r="BB570" i="8"/>
  <c r="BB571" i="8"/>
  <c r="BB572" i="8"/>
  <c r="BB573" i="8"/>
  <c r="BB574" i="8"/>
  <c r="BB575" i="8"/>
  <c r="BB576" i="8"/>
  <c r="BB577" i="8"/>
  <c r="BB578" i="8"/>
  <c r="BB579" i="8"/>
  <c r="BB580" i="8"/>
  <c r="BB581" i="8"/>
  <c r="BB582" i="8"/>
  <c r="BB583" i="8"/>
  <c r="BB584" i="8"/>
  <c r="BB585" i="8"/>
  <c r="BB586" i="8"/>
  <c r="BB587" i="8"/>
  <c r="BB588" i="8"/>
  <c r="BB589" i="8"/>
  <c r="BB590" i="8"/>
  <c r="BB591" i="8"/>
  <c r="BB592" i="8"/>
  <c r="BB593" i="8"/>
  <c r="BB594" i="8"/>
  <c r="BB595" i="8"/>
  <c r="BB596" i="8"/>
  <c r="BB597" i="8"/>
  <c r="BB598" i="8"/>
  <c r="BB599" i="8"/>
  <c r="BB600" i="8"/>
  <c r="BB601" i="8"/>
  <c r="BB602" i="8"/>
  <c r="BB603" i="8"/>
  <c r="BB604" i="8"/>
  <c r="BB605" i="8"/>
  <c r="BB606" i="8"/>
  <c r="BB607" i="8"/>
  <c r="BB608" i="8"/>
  <c r="BB609" i="8"/>
  <c r="BB610" i="8"/>
  <c r="BB611" i="8"/>
  <c r="BB612" i="8"/>
  <c r="BB613" i="8"/>
  <c r="BB614" i="8"/>
  <c r="BB615" i="8"/>
  <c r="BB616" i="8"/>
  <c r="BB617" i="8"/>
  <c r="BB618" i="8"/>
  <c r="BB619" i="8"/>
  <c r="BB620" i="8"/>
  <c r="BB621" i="8"/>
  <c r="BB622" i="8"/>
  <c r="BB623" i="8"/>
  <c r="BB624" i="8"/>
  <c r="BB625" i="8"/>
  <c r="BB626" i="8"/>
  <c r="BB627" i="8"/>
  <c r="BB628" i="8"/>
  <c r="BB629" i="8"/>
  <c r="BB630" i="8"/>
  <c r="BB631" i="8"/>
  <c r="BB632" i="8"/>
  <c r="BB633" i="8"/>
  <c r="BB634" i="8"/>
  <c r="BB635" i="8"/>
  <c r="BB636" i="8"/>
  <c r="BB637" i="8"/>
  <c r="BB638" i="8"/>
  <c r="BB639" i="8"/>
  <c r="BB640" i="8"/>
  <c r="BB641" i="8"/>
  <c r="BB642" i="8"/>
  <c r="BB643" i="8"/>
  <c r="BB644" i="8"/>
  <c r="BB645" i="8"/>
  <c r="BB646" i="8"/>
  <c r="BB647" i="8"/>
  <c r="BB648" i="8"/>
  <c r="BB649" i="8"/>
  <c r="BB650" i="8"/>
  <c r="BB651" i="8"/>
  <c r="BB652" i="8"/>
  <c r="BB653" i="8"/>
  <c r="BB654" i="8"/>
  <c r="BB655" i="8"/>
  <c r="BB656" i="8"/>
  <c r="BB657" i="8"/>
  <c r="BB658" i="8"/>
  <c r="BB659" i="8"/>
  <c r="BB660" i="8"/>
  <c r="BB661" i="8"/>
  <c r="BB662" i="8"/>
  <c r="BB663" i="8"/>
  <c r="BB664" i="8"/>
  <c r="BB665" i="8"/>
  <c r="BB666" i="8"/>
  <c r="BB667" i="8"/>
  <c r="BB668" i="8"/>
  <c r="BB669" i="8"/>
  <c r="BB670" i="8"/>
  <c r="BB671" i="8"/>
  <c r="BB672" i="8"/>
  <c r="BB673" i="8"/>
  <c r="BB674" i="8"/>
  <c r="BB675" i="8"/>
  <c r="BB676" i="8"/>
  <c r="BB677" i="8"/>
  <c r="BB678" i="8"/>
  <c r="BB679" i="8"/>
  <c r="BB680" i="8"/>
  <c r="BB681" i="8"/>
  <c r="BB682" i="8"/>
  <c r="BB683" i="8"/>
  <c r="BB684" i="8"/>
  <c r="BB685" i="8"/>
  <c r="BB686" i="8"/>
  <c r="BB687" i="8"/>
  <c r="BB688" i="8"/>
  <c r="BB689" i="8"/>
  <c r="BB690" i="8"/>
  <c r="BB691" i="8"/>
  <c r="BB692" i="8"/>
  <c r="BB693" i="8"/>
  <c r="BB694" i="8"/>
  <c r="BB695" i="8"/>
  <c r="BB696" i="8"/>
  <c r="BB697" i="8"/>
  <c r="BB698" i="8"/>
  <c r="BB699" i="8"/>
  <c r="BB700" i="8"/>
  <c r="BB701" i="8"/>
  <c r="BB702" i="8"/>
  <c r="BB703" i="8"/>
  <c r="BB704" i="8"/>
  <c r="BB705" i="8"/>
  <c r="BB706" i="8"/>
  <c r="BB707" i="8"/>
  <c r="BB708" i="8"/>
  <c r="BB709" i="8"/>
  <c r="BB710" i="8"/>
  <c r="BB711" i="8"/>
  <c r="BB712" i="8"/>
  <c r="BB713" i="8"/>
  <c r="BB714" i="8"/>
  <c r="BB715" i="8"/>
  <c r="BB716" i="8"/>
  <c r="BB717" i="8"/>
  <c r="BB718" i="8"/>
  <c r="BB719" i="8"/>
  <c r="BB720" i="8"/>
  <c r="BB721" i="8"/>
  <c r="BB722" i="8"/>
  <c r="BB723" i="8"/>
  <c r="BB724" i="8"/>
  <c r="BB725" i="8"/>
  <c r="BB726" i="8"/>
  <c r="BB727" i="8"/>
  <c r="BB728" i="8"/>
  <c r="BB729" i="8"/>
  <c r="BB730" i="8"/>
  <c r="BB731" i="8"/>
  <c r="BB732" i="8"/>
  <c r="BB733" i="8"/>
  <c r="BB734" i="8"/>
  <c r="BB735" i="8"/>
  <c r="BB736" i="8"/>
  <c r="BB737" i="8"/>
  <c r="BB738" i="8"/>
  <c r="BB739" i="8"/>
  <c r="BB740" i="8"/>
  <c r="BB741" i="8"/>
  <c r="BB742" i="8"/>
  <c r="BB743" i="8"/>
  <c r="BB744" i="8"/>
  <c r="BB745" i="8"/>
  <c r="BB746" i="8"/>
  <c r="BB747" i="8"/>
  <c r="BB748" i="8"/>
  <c r="BB749" i="8"/>
  <c r="BB750" i="8"/>
  <c r="BB751" i="8"/>
  <c r="BB752" i="8"/>
  <c r="BB753" i="8"/>
  <c r="BB754" i="8"/>
  <c r="BB755" i="8"/>
  <c r="BB756" i="8"/>
  <c r="BB757" i="8"/>
  <c r="BB758" i="8"/>
  <c r="BB759" i="8"/>
  <c r="BB760" i="8"/>
  <c r="BB761" i="8"/>
  <c r="BB762" i="8"/>
  <c r="BB763" i="8"/>
  <c r="BB764" i="8"/>
  <c r="BB765" i="8"/>
  <c r="BB766" i="8"/>
  <c r="BB767" i="8"/>
  <c r="BB768" i="8"/>
  <c r="BB769" i="8"/>
  <c r="BB770" i="8"/>
  <c r="BB771" i="8"/>
  <c r="BB772" i="8"/>
  <c r="BB773" i="8"/>
  <c r="BB774" i="8"/>
  <c r="BB775" i="8"/>
  <c r="BB776" i="8"/>
  <c r="BB777" i="8"/>
  <c r="BB778" i="8"/>
  <c r="BB779" i="8"/>
  <c r="BB780" i="8"/>
  <c r="BB781" i="8"/>
  <c r="BB782" i="8"/>
  <c r="BB783" i="8"/>
  <c r="BB784" i="8"/>
  <c r="BB785" i="8"/>
  <c r="BB786" i="8"/>
  <c r="BB787" i="8"/>
  <c r="BB788" i="8"/>
  <c r="BB789" i="8"/>
  <c r="BB790" i="8"/>
  <c r="BB791" i="8"/>
  <c r="BB792" i="8"/>
  <c r="BB793" i="8"/>
  <c r="BB794" i="8"/>
  <c r="BB795" i="8"/>
  <c r="BB796" i="8"/>
  <c r="BB797" i="8"/>
  <c r="BB798" i="8"/>
  <c r="BB799" i="8"/>
  <c r="BB800" i="8"/>
  <c r="BB801" i="8"/>
  <c r="BB802" i="8"/>
  <c r="BB803" i="8"/>
  <c r="BB804" i="8"/>
  <c r="BB805" i="8"/>
  <c r="BB806" i="8"/>
  <c r="BB807" i="8"/>
  <c r="BB808" i="8"/>
  <c r="BB809" i="8"/>
  <c r="BB810" i="8"/>
  <c r="BB811" i="8"/>
  <c r="BB812" i="8"/>
  <c r="BB813" i="8"/>
  <c r="BB814" i="8"/>
  <c r="BB815" i="8"/>
  <c r="BB816" i="8"/>
  <c r="BB817" i="8"/>
  <c r="BB818" i="8"/>
  <c r="BB819" i="8"/>
  <c r="BB820" i="8"/>
  <c r="BB821" i="8"/>
  <c r="BB822" i="8"/>
  <c r="BB823" i="8"/>
  <c r="BB824" i="8"/>
  <c r="BB825" i="8"/>
  <c r="BB826" i="8"/>
  <c r="BB827" i="8"/>
  <c r="BB828" i="8"/>
  <c r="BB829" i="8"/>
  <c r="BB830" i="8"/>
  <c r="BB831" i="8"/>
  <c r="BB832" i="8"/>
  <c r="BB833" i="8"/>
  <c r="BB834" i="8"/>
  <c r="BB835" i="8"/>
  <c r="BB836" i="8"/>
  <c r="BB837" i="8"/>
  <c r="BB838" i="8"/>
  <c r="BB839" i="8"/>
  <c r="BB840" i="8"/>
  <c r="BB841" i="8"/>
  <c r="BB842" i="8"/>
  <c r="BB843" i="8"/>
  <c r="BB844" i="8"/>
  <c r="BB845" i="8"/>
  <c r="BB846" i="8"/>
  <c r="BB847" i="8"/>
  <c r="BB848" i="8"/>
  <c r="BB849" i="8"/>
  <c r="BB850" i="8"/>
  <c r="BB851" i="8"/>
  <c r="BB852" i="8"/>
  <c r="BB853" i="8"/>
  <c r="BB854" i="8"/>
  <c r="BB855" i="8"/>
  <c r="BB856" i="8"/>
  <c r="BB857" i="8"/>
  <c r="BB858" i="8"/>
  <c r="BB859" i="8"/>
  <c r="BB860" i="8"/>
  <c r="BB861" i="8"/>
  <c r="BB862" i="8"/>
  <c r="BB863" i="8"/>
  <c r="BB864" i="8"/>
  <c r="BB865" i="8"/>
  <c r="BB866" i="8"/>
  <c r="BB867" i="8"/>
  <c r="BB868" i="8"/>
  <c r="BB869" i="8"/>
  <c r="BB870" i="8"/>
  <c r="BB871" i="8"/>
  <c r="BB872" i="8"/>
  <c r="BB873" i="8"/>
  <c r="BB874" i="8"/>
  <c r="BB875" i="8"/>
  <c r="BB876" i="8"/>
  <c r="BB877" i="8"/>
  <c r="BB878" i="8"/>
  <c r="BB879" i="8"/>
  <c r="BB880" i="8"/>
  <c r="BB881" i="8"/>
  <c r="BB882" i="8"/>
  <c r="BB883" i="8"/>
  <c r="BB884" i="8"/>
  <c r="BB885" i="8"/>
  <c r="BB886" i="8"/>
  <c r="BB887" i="8"/>
  <c r="BB888" i="8"/>
  <c r="BB889" i="8"/>
  <c r="BB890" i="8"/>
  <c r="BB891" i="8"/>
  <c r="BB892" i="8"/>
  <c r="BB893" i="8"/>
  <c r="BB894" i="8"/>
  <c r="BB895" i="8"/>
  <c r="BB896" i="8"/>
  <c r="BB897" i="8"/>
  <c r="BB898" i="8"/>
  <c r="BB899" i="8"/>
  <c r="BB900" i="8"/>
  <c r="BB901" i="8"/>
  <c r="BB902" i="8"/>
  <c r="BB903" i="8"/>
  <c r="BB904" i="8"/>
  <c r="BB905" i="8"/>
  <c r="BB906" i="8"/>
  <c r="BB907" i="8"/>
  <c r="BB908" i="8"/>
  <c r="BB909" i="8"/>
  <c r="BB910" i="8"/>
  <c r="BB911" i="8"/>
  <c r="BB912" i="8"/>
  <c r="BB913" i="8"/>
  <c r="BB914" i="8"/>
  <c r="BB915" i="8"/>
  <c r="BB916" i="8"/>
  <c r="BB917" i="8"/>
  <c r="BB918" i="8"/>
  <c r="BB919" i="8"/>
  <c r="BB920" i="8"/>
  <c r="BB921" i="8"/>
  <c r="BB922" i="8"/>
  <c r="BB923" i="8"/>
  <c r="BB924" i="8"/>
  <c r="BB925" i="8"/>
  <c r="BB926" i="8"/>
  <c r="BB927" i="8"/>
  <c r="BB928" i="8"/>
  <c r="BB929" i="8"/>
  <c r="BB930" i="8"/>
  <c r="BB931" i="8"/>
  <c r="BB932" i="8"/>
  <c r="BB933" i="8"/>
  <c r="BB934" i="8"/>
  <c r="BB935" i="8"/>
  <c r="BB936" i="8"/>
  <c r="BB937" i="8"/>
  <c r="BB938" i="8"/>
  <c r="BB939" i="8"/>
  <c r="BB940" i="8"/>
  <c r="BB941" i="8"/>
  <c r="BB942" i="8"/>
  <c r="BB943" i="8"/>
  <c r="BB944" i="8"/>
  <c r="BB945" i="8"/>
  <c r="BB946" i="8"/>
  <c r="BB947" i="8"/>
  <c r="BB948" i="8"/>
  <c r="BB949" i="8"/>
  <c r="BB950" i="8"/>
  <c r="BB951" i="8"/>
  <c r="BB952" i="8"/>
  <c r="BB953" i="8"/>
  <c r="BB954" i="8"/>
  <c r="BB955" i="8"/>
  <c r="BB956" i="8"/>
  <c r="BB957" i="8"/>
  <c r="BB958" i="8"/>
  <c r="BB959" i="8"/>
  <c r="BB960" i="8"/>
  <c r="BB961" i="8"/>
  <c r="BB962" i="8"/>
  <c r="BB963" i="8"/>
  <c r="BB964" i="8"/>
  <c r="BB965" i="8"/>
  <c r="BB966" i="8"/>
  <c r="BB967" i="8"/>
  <c r="BB968" i="8"/>
  <c r="BB969" i="8"/>
  <c r="BB970" i="8"/>
  <c r="BB971" i="8"/>
  <c r="BB972" i="8"/>
  <c r="BB973" i="8"/>
  <c r="BB974" i="8"/>
  <c r="BB975" i="8"/>
  <c r="BB976" i="8"/>
  <c r="BB977" i="8"/>
  <c r="BB978" i="8"/>
  <c r="BB979" i="8"/>
  <c r="BB980" i="8"/>
  <c r="BB981" i="8"/>
  <c r="BB982" i="8"/>
  <c r="BB983" i="8"/>
  <c r="BB984" i="8"/>
  <c r="BB985" i="8"/>
  <c r="BB986" i="8"/>
  <c r="BB987" i="8"/>
  <c r="BB988" i="8"/>
  <c r="BB989" i="8"/>
  <c r="BB990" i="8"/>
  <c r="BB991" i="8"/>
  <c r="BB992" i="8"/>
  <c r="BB993" i="8"/>
  <c r="BB994" i="8"/>
  <c r="BB995" i="8"/>
  <c r="BB996" i="8"/>
  <c r="BB997" i="8"/>
  <c r="BB998" i="8"/>
  <c r="BB999" i="8"/>
  <c r="BB1000" i="8"/>
  <c r="BB4" i="8"/>
  <c r="M7" i="12"/>
  <c r="M7" i="5"/>
  <c r="O7" i="9"/>
  <c r="O7" i="7"/>
  <c r="O7" i="10"/>
  <c r="O7" i="8"/>
  <c r="BB548" i="10" a="1"/>
  <c r="BB316" i="10" a="1"/>
  <c r="BB631" i="10" a="1"/>
  <c r="BB77" i="10" a="1"/>
  <c r="BB117" i="10" a="1"/>
  <c r="BB433" i="10" a="1"/>
  <c r="BB55" i="10" a="1"/>
  <c r="BB558" i="10" a="1"/>
  <c r="BB629" i="10" a="1"/>
  <c r="BB1070" i="10" a="1"/>
  <c r="BB1476" i="10" a="1"/>
  <c r="BB478" i="10" a="1"/>
  <c r="BB1367" i="10" a="1"/>
  <c r="BB1261" i="10" a="1"/>
  <c r="BB514" i="10" a="1"/>
  <c r="BB1412" i="10" a="1"/>
  <c r="BB1705" i="10" a="1"/>
  <c r="BB1780" i="10" a="1"/>
  <c r="BB1588" i="10" a="1"/>
  <c r="BB7" i="10" a="1"/>
  <c r="BB1005" i="10" a="1"/>
  <c r="BB979" i="10" a="1"/>
  <c r="BB422" i="10" a="1"/>
  <c r="BB168" i="10" a="1"/>
  <c r="BB1081" i="10" a="1"/>
  <c r="BB462" i="10" a="1"/>
  <c r="BB635" i="10" a="1"/>
  <c r="BB599" i="10" a="1"/>
  <c r="BB824" i="10" a="1"/>
  <c r="BB929" i="10" a="1"/>
  <c r="BB1294" i="10" a="1"/>
  <c r="BB927" i="10" a="1"/>
  <c r="BB1682" i="10" a="1"/>
  <c r="BB27" i="10" a="1"/>
  <c r="BB25" i="10" a="1"/>
  <c r="BB1028" i="10" a="1"/>
  <c r="BB40" i="10" a="1"/>
  <c r="BB330" i="10" a="1"/>
  <c r="BB1002" i="10" a="1"/>
  <c r="BB770" i="10" a="1"/>
  <c r="BB956" i="10" a="1"/>
  <c r="BB163" i="10" a="1"/>
  <c r="BB937" i="10" a="1"/>
  <c r="BB665" i="10" a="1"/>
  <c r="BB1768" i="10" a="1"/>
  <c r="BB1851" i="10" a="1"/>
  <c r="BB1206" i="10" a="1"/>
  <c r="BB8" i="10" a="1"/>
  <c r="BB432" i="10" a="1"/>
  <c r="BB498" i="10" a="1"/>
  <c r="BB72" i="10" a="1"/>
  <c r="BB446" i="10" a="1"/>
  <c r="BB1491" i="10" a="1"/>
  <c r="BB901" i="10" a="1"/>
  <c r="BB957" i="10" a="1"/>
  <c r="BB448" i="10" a="1"/>
  <c r="BB1259" i="10" a="1"/>
  <c r="BB1238" i="10" a="1"/>
  <c r="BB1153" i="10" a="1"/>
  <c r="BB1273" i="10" a="1"/>
  <c r="BB60" i="10" a="1"/>
  <c r="BB1030" i="10" a="1"/>
  <c r="BB596" i="10" a="1"/>
  <c r="BB269" i="10" a="1"/>
  <c r="BB760" i="10" a="1"/>
  <c r="BB195" i="10" a="1"/>
  <c r="BB772" i="10" a="1"/>
  <c r="BB562" i="10" a="1"/>
  <c r="BB239" i="10" a="1"/>
  <c r="BB1348" i="10" a="1"/>
  <c r="BB441" i="10" a="1"/>
  <c r="BB913" i="10" a="1"/>
  <c r="BB613" i="10" a="1"/>
  <c r="BB1995" i="10" a="1"/>
  <c r="BB509" i="10" a="1"/>
  <c r="BB388" i="10" a="1"/>
  <c r="BB23" i="10" a="1"/>
  <c r="BB561" i="10" a="1"/>
  <c r="BB588" i="10" a="1"/>
  <c r="BB37" i="10" a="1"/>
  <c r="BB608" i="10" a="1"/>
  <c r="BB430" i="10" a="1"/>
  <c r="BB519" i="10" a="1"/>
  <c r="BB1820" i="10" a="1"/>
  <c r="BB1338" i="10" a="1"/>
  <c r="BB1074" i="10" a="1"/>
  <c r="BB1152" i="10" a="1"/>
  <c r="BB1148" i="10" a="1"/>
  <c r="BB1397" i="10" a="1"/>
  <c r="BB1332" i="10" a="1"/>
  <c r="BB189" i="10" a="1"/>
  <c r="BB166" i="10" a="1"/>
  <c r="BB43" i="10" a="1"/>
  <c r="BB612" i="10" a="1"/>
  <c r="BB71" i="10" a="1"/>
  <c r="BB583" i="10" a="1"/>
  <c r="BB1924" i="10" a="1"/>
  <c r="BB1020" i="10" a="1"/>
  <c r="BB777" i="10" a="1"/>
  <c r="BB1229" i="10" a="1"/>
  <c r="BB1059" i="10" a="1"/>
  <c r="BB1321" i="10" a="1"/>
  <c r="BB1607" i="10" a="1"/>
  <c r="BB167" i="10" a="1"/>
  <c r="BB843" i="10" a="1"/>
  <c r="BB182" i="10" a="1"/>
  <c r="BB146" i="10" a="1"/>
  <c r="BB243" i="10" a="1"/>
  <c r="BB710" i="10" a="1"/>
  <c r="BB782" i="10" a="1"/>
  <c r="BB453" i="10" a="1"/>
  <c r="BB73" i="10" a="1"/>
  <c r="BB1271" i="10" a="1"/>
  <c r="BB745" i="10" a="1"/>
  <c r="BB444" i="10" a="1"/>
  <c r="BB1395" i="10" a="1"/>
  <c r="BB1159" i="10" a="1"/>
  <c r="BB232" i="10" a="1"/>
  <c r="BB53" i="10" a="1"/>
  <c r="BB763" i="10" a="1"/>
  <c r="BB112" i="10" a="1"/>
  <c r="BB209" i="10" a="1"/>
  <c r="BB679" i="10" a="1"/>
  <c r="BB145" i="10" a="1"/>
  <c r="BB491" i="10" a="1"/>
  <c r="BB286" i="10" a="1"/>
  <c r="BB1021" i="10" a="1"/>
  <c r="BB26" i="10" a="1"/>
  <c r="BB501" i="10" a="1"/>
  <c r="BB22" i="10" a="1"/>
  <c r="BB94" i="10" a="1"/>
  <c r="BB303" i="10" a="1"/>
  <c r="BB245" i="10" a="1"/>
  <c r="BB340" i="10" a="1"/>
  <c r="BB292" i="10" a="1"/>
  <c r="BB164" i="10" a="1"/>
  <c r="BB508" i="10" a="1"/>
  <c r="BB716" i="10" a="1"/>
  <c r="BB1302" i="10" a="1"/>
  <c r="BB396" i="10" a="1"/>
  <c r="BB750" i="10" a="1"/>
  <c r="BB1066" i="10" a="1"/>
  <c r="BB1162" i="10" a="1"/>
  <c r="BB1738" i="10" a="1"/>
  <c r="BB1519" i="10" a="1"/>
  <c r="BB1753" i="10" a="1"/>
  <c r="BB1745" i="10" a="1"/>
  <c r="BB328" i="10" a="1"/>
  <c r="BB149" i="10" a="1"/>
  <c r="BB457" i="10" a="1"/>
  <c r="BB80" i="10" a="1"/>
  <c r="BB302" i="10" a="1"/>
  <c r="BB694" i="10" a="1"/>
  <c r="BB64" i="10" a="1"/>
  <c r="BB104" i="10" a="1"/>
  <c r="BB660" i="10" a="1"/>
  <c r="BB945" i="10" a="1"/>
  <c r="BB1270" i="10" a="1"/>
  <c r="BB803" i="10" a="1"/>
  <c r="BB1724" i="10" a="1"/>
  <c r="BB1808" i="10" a="1"/>
  <c r="BB21" i="10" a="1"/>
  <c r="BB386" i="10" a="1"/>
  <c r="BB171" i="10" a="1"/>
  <c r="BB213" i="10" a="1"/>
  <c r="BB326" i="10" a="1"/>
  <c r="BB290" i="10" a="1"/>
  <c r="BB882" i="10" a="1"/>
  <c r="BB417" i="10" a="1"/>
  <c r="BB866" i="10" a="1"/>
  <c r="BB883" i="10" a="1"/>
  <c r="BB678" i="10" a="1"/>
  <c r="BB871" i="10" a="1"/>
  <c r="BB10" i="9" a="1"/>
  <c r="BB100" i="10" a="1"/>
  <c r="BB51" i="10" a="1"/>
  <c r="BB184" i="10" a="1"/>
  <c r="BB281" i="10" a="1"/>
  <c r="BB387" i="10" a="1"/>
  <c r="BB637" i="10" a="1"/>
  <c r="BB410" i="10" a="1"/>
  <c r="BB787" i="10" a="1"/>
  <c r="BB41" i="10" a="1"/>
  <c r="BB1325" i="10" a="1"/>
  <c r="BB174" i="10" a="1"/>
  <c r="BB1877" i="10" a="1"/>
  <c r="BB1041" i="10" a="1"/>
  <c r="BB1478" i="10" a="1"/>
  <c r="BB197" i="10" a="1"/>
  <c r="BB10" i="10" a="1"/>
  <c r="BB106" i="10" a="1"/>
  <c r="BB305" i="10" a="1"/>
  <c r="BB47" i="10" a="1"/>
  <c r="BB93" i="10" a="1"/>
  <c r="BB70" i="10" a="1"/>
  <c r="BB142" i="10" a="1"/>
  <c r="BB1209" i="10" a="1"/>
  <c r="BB412" i="10" a="1"/>
  <c r="BB704" i="10" a="1"/>
  <c r="BB1524" i="10" a="1"/>
  <c r="BB1556" i="10" a="1"/>
  <c r="BB776" i="10" a="1"/>
  <c r="BB431" i="10" a="1"/>
  <c r="BB315" i="10" a="1"/>
  <c r="BB622" i="10" a="1"/>
  <c r="BB1884" i="10" a="1"/>
  <c r="BB676" i="10" a="1"/>
  <c r="BB877" i="10" a="1"/>
  <c r="BB1316" i="10" a="1"/>
  <c r="BB392" i="10" a="1"/>
  <c r="BB1436" i="10" a="1"/>
  <c r="BB748" i="10" a="1"/>
  <c r="BB1189" i="10" a="1"/>
  <c r="BB1936" i="10" a="1"/>
  <c r="BB1266" i="10" a="1"/>
  <c r="BB1535" i="10" a="1"/>
  <c r="BB1661" i="10" a="1"/>
  <c r="BB1787" i="10" a="1"/>
  <c r="BB951" i="10" a="1"/>
  <c r="BB542" i="10" a="1"/>
  <c r="BB311" i="10" a="1"/>
  <c r="BB1108" i="10" a="1"/>
  <c r="BB82" i="10" a="1"/>
  <c r="BB639" i="10" a="1"/>
  <c r="BB1130" i="10" a="1"/>
  <c r="BB808" i="10" a="1"/>
  <c r="BB1272" i="10" a="1"/>
  <c r="BB839" i="10" a="1"/>
  <c r="BB977" i="10" a="1"/>
  <c r="BB1106" i="10" a="1"/>
  <c r="BB1178" i="10" a="1"/>
  <c r="BB528" i="10" a="1"/>
  <c r="BB151" i="10" a="1"/>
  <c r="BB153" i="10" a="1"/>
  <c r="BB140" i="10" a="1"/>
  <c r="BB92" i="10" a="1"/>
  <c r="BB226" i="10" a="1"/>
  <c r="BB820" i="10" a="1"/>
  <c r="BB707" i="10" a="1"/>
  <c r="BB1017" i="10" a="1"/>
  <c r="BB1109" i="10" a="1"/>
  <c r="BB1022" i="10" a="1"/>
  <c r="BB1344" i="10" a="1"/>
  <c r="BB1192" i="10" a="1"/>
  <c r="BB1677" i="10" a="1"/>
  <c r="BB268" i="10" a="1"/>
  <c r="BB147" i="10" a="1"/>
  <c r="BB1033" i="10" a="1"/>
  <c r="BB30" i="10" a="1"/>
  <c r="BB347" i="10" a="1"/>
  <c r="BB996" i="10" a="1"/>
  <c r="BB522" i="10" a="1"/>
  <c r="BB525" i="10" a="1"/>
  <c r="BB566" i="10" a="1"/>
  <c r="BB385" i="10" a="1"/>
  <c r="BB712" i="10" a="1"/>
  <c r="BB953" i="10" a="1"/>
  <c r="BB425" i="10" a="1"/>
  <c r="BB258" i="10" a="1"/>
  <c r="BB967" i="10" a="1"/>
  <c r="BB380" i="10" a="1"/>
  <c r="BB114" i="10" a="1"/>
  <c r="BB208" i="10" a="1"/>
  <c r="BB587" i="10" a="1"/>
  <c r="BB912" i="10" a="1"/>
  <c r="BB122" i="10" a="1"/>
  <c r="BB439" i="10" a="1"/>
  <c r="BB615" i="10" a="1"/>
  <c r="BB1115" i="10" a="1"/>
  <c r="BB788" i="10" a="1"/>
  <c r="BB846" i="10" a="1"/>
  <c r="BB1681" i="10" a="1"/>
  <c r="BB1416" i="10" a="1"/>
  <c r="BB60" i="9" a="1"/>
  <c r="BB236" i="10" a="1"/>
  <c r="BB115" i="10" a="1"/>
  <c r="BB711" i="10" a="1"/>
  <c r="BB130" i="10" a="1"/>
  <c r="BB306" i="10" a="1"/>
  <c r="BB765" i="10" a="1"/>
  <c r="BB345" i="10" a="1"/>
  <c r="BB423" i="10" a="1"/>
  <c r="BB1012" i="10" a="1"/>
  <c r="BB793" i="10" a="1"/>
  <c r="BB881" i="10" a="1"/>
  <c r="BB1407" i="10" a="1"/>
  <c r="BB1683" i="10" a="1"/>
  <c r="BB1596" i="10" a="1"/>
  <c r="BB319" i="10" a="1"/>
  <c r="BB124" i="10" a="1"/>
  <c r="BB364" i="10" a="1"/>
  <c r="BB954" i="10" a="1"/>
  <c r="BB366" i="10" a="1"/>
  <c r="BB1250" i="10" a="1"/>
  <c r="BB1916" i="10" a="1"/>
  <c r="BB564" i="10" a="1"/>
  <c r="BB1368" i="10" a="1"/>
  <c r="BB1327" i="10" a="1"/>
  <c r="BB625" i="10" a="1"/>
  <c r="BB1193" i="10" a="1"/>
  <c r="BB1346" i="10" a="1"/>
  <c r="BB402" i="10" a="1"/>
  <c r="BB1135" i="10" a="1"/>
  <c r="BB720" i="10" a="1"/>
  <c r="BB34" i="10" a="1"/>
  <c r="BB459" i="10" a="1"/>
  <c r="BB1121" i="10" a="1"/>
  <c r="BB500" i="10" a="1"/>
  <c r="BB682" i="10" a="1"/>
  <c r="BB693" i="10" a="1"/>
  <c r="BB966" i="10" a="1"/>
  <c r="BB904" i="10" a="1"/>
  <c r="BB976" i="10" a="1"/>
  <c r="BB1200" i="10" a="1"/>
  <c r="BB1722" i="10" a="1"/>
  <c r="BB261" i="10" a="1"/>
  <c r="BB452" i="10" a="1"/>
  <c r="BB829" i="10" a="1"/>
  <c r="BB531" i="10" a="1"/>
  <c r="BB205" i="10" a="1"/>
  <c r="BB557" i="10" a="1"/>
  <c r="BB610" i="10" a="1"/>
  <c r="BB1036" i="10" a="1"/>
  <c r="BB946" i="10" a="1"/>
  <c r="BB648" i="10" a="1"/>
  <c r="BB1518" i="10" a="1"/>
  <c r="BB1545" i="10" a="1"/>
  <c r="BB1139" i="10" a="1"/>
  <c r="BB1388" i="10" a="1"/>
  <c r="BB288" i="10" a="1"/>
  <c r="BB538" i="10" a="1"/>
  <c r="BB210" i="10" a="1"/>
  <c r="BB307" i="10" a="1"/>
  <c r="BB569" i="10" a="1"/>
  <c r="BB105" i="10" a="1"/>
  <c r="BB698" i="10" a="1"/>
  <c r="BB742" i="10" a="1"/>
  <c r="BB840" i="10" a="1"/>
  <c r="BB418" i="10" a="1"/>
  <c r="BB852" i="10" a="1"/>
  <c r="BB563" i="10" a="1"/>
  <c r="BB917" i="10" a="1"/>
  <c r="BB1879" i="10" a="1"/>
  <c r="BB1674" i="10" a="1"/>
  <c r="BB346" i="10" a="1"/>
  <c r="BB440" i="10" a="1"/>
  <c r="BB222" i="10" a="1"/>
  <c r="BB120" i="10" a="1"/>
  <c r="BB267" i="10" a="1"/>
  <c r="BB936" i="10" a="1"/>
  <c r="BB194" i="10" a="1"/>
  <c r="BB455" i="10" a="1"/>
  <c r="BB605" i="10" a="1"/>
  <c r="BB880" i="10" a="1"/>
  <c r="BB963" i="10" a="1"/>
  <c r="BB941" i="10" a="1"/>
  <c r="BB944" i="10" a="1"/>
  <c r="BB1629" i="10" a="1"/>
  <c r="BB324" i="10" a="1"/>
  <c r="BB121" i="10" a="1"/>
  <c r="BB995" i="10" a="1"/>
  <c r="BB202" i="10" a="1"/>
  <c r="BB298" i="10" a="1"/>
  <c r="BB896" i="10" a="1"/>
  <c r="BB743" i="10" a="1"/>
  <c r="BB15" i="10" a="1"/>
  <c r="BB134" i="10" a="1"/>
  <c r="BB1199" i="10" a="1"/>
  <c r="BB1221" i="10" a="1"/>
  <c r="BB1034" i="10" a="1"/>
  <c r="BB1428" i="10" a="1"/>
  <c r="BB1055" i="10" a="1"/>
  <c r="BB323" i="10" a="1"/>
  <c r="BB445" i="10" a="1"/>
  <c r="BB214" i="10" a="1"/>
  <c r="BB609" i="10" a="1"/>
  <c r="BB265" i="10" a="1"/>
  <c r="BB466" i="10" a="1"/>
  <c r="BB1796" i="10" a="1"/>
  <c r="BB362" i="10" a="1"/>
  <c r="BB722" i="10" a="1"/>
  <c r="BB278" i="10" a="1"/>
  <c r="BB688" i="10" a="1"/>
  <c r="BB630" i="10" a="1"/>
  <c r="BB175" i="10" a="1"/>
  <c r="BB367" i="10" a="1"/>
  <c r="BB488" i="10" a="1"/>
  <c r="BB699" i="10" a="1"/>
  <c r="BB54" i="10" a="1"/>
  <c r="BB260" i="10" a="1"/>
  <c r="BB888" i="10" a="1"/>
  <c r="BB730" i="10" a="1"/>
  <c r="BB499" i="10" a="1"/>
  <c r="BB255" i="10" a="1"/>
  <c r="BB797" i="10" a="1"/>
  <c r="BB764" i="10" a="1"/>
  <c r="BB950" i="10" a="1"/>
  <c r="BB435" i="10" a="1"/>
  <c r="BB1977" i="10" a="1"/>
  <c r="BB1790" i="10" a="1"/>
  <c r="BB1959" i="10" a="1"/>
  <c r="BB577" i="10" a="1"/>
  <c r="BB458" i="10" a="1"/>
  <c r="BB510" i="10" a="1"/>
  <c r="BB19" i="10" a="1"/>
  <c r="BB353" i="10" a="1"/>
  <c r="BB228" i="10" a="1"/>
  <c r="BB404" i="10" a="1"/>
  <c r="BB705" i="10" a="1"/>
  <c r="BB520" i="10" a="1"/>
  <c r="BB844" i="10" a="1"/>
  <c r="BB1380" i="10" a="1"/>
  <c r="BB697" i="10" a="1"/>
  <c r="BB1671" i="10" a="1"/>
  <c r="BB943" i="10" a="1"/>
  <c r="BB344" i="10" a="1"/>
  <c r="BB218" i="10" a="1"/>
  <c r="BB312" i="10" a="1"/>
  <c r="BB749" i="10" a="1"/>
  <c r="BB671" i="10" a="1"/>
  <c r="BB284" i="10" a="1"/>
  <c r="BB683" i="10" a="1"/>
  <c r="BB602" i="10" a="1"/>
  <c r="BB1027" i="10" a="1"/>
  <c r="BB1315" i="10" a="1"/>
  <c r="BB769" i="10" a="1"/>
  <c r="BB1082" i="10" a="1"/>
  <c r="BB1765" i="10" a="1"/>
  <c r="BB233" i="10" a="1"/>
  <c r="BB363" i="10" a="1"/>
  <c r="BB668" i="10" a="1"/>
  <c r="BB334" i="10" a="1"/>
  <c r="BB592" i="10" a="1"/>
  <c r="BB775" i="10" a="1"/>
  <c r="BB28" i="10" a="1"/>
  <c r="BB131" i="10" a="1"/>
  <c r="BB827" i="10" a="1"/>
  <c r="BB618" i="10" a="1"/>
  <c r="BB1111" i="10" a="1"/>
  <c r="BB1292" i="10" a="1"/>
  <c r="BB1061" i="10" a="1"/>
  <c r="BB1197" i="10" a="1"/>
  <c r="BB257" i="10" a="1"/>
  <c r="BB555" i="10" a="1"/>
  <c r="BB113" i="10" a="1"/>
  <c r="BB359" i="10" a="1"/>
  <c r="BB135" i="10" a="1"/>
  <c r="BB589" i="10" a="1"/>
  <c r="BB903" i="10" a="1"/>
  <c r="BB885" i="10" a="1"/>
  <c r="BB907" i="10" a="1"/>
  <c r="BB947" i="10" a="1"/>
  <c r="BB832" i="10" a="1"/>
  <c r="BB1621" i="10" a="1"/>
  <c r="BB1925" i="10" a="1"/>
  <c r="BB351" i="10" a="1"/>
  <c r="BB792" i="10" a="1"/>
  <c r="BB393" i="10" a="1"/>
  <c r="BB434" i="10" a="1"/>
  <c r="BB333" i="10" a="1"/>
  <c r="BB667" i="10" a="1"/>
  <c r="BB465" i="10" a="1"/>
  <c r="BB527" i="10" a="1"/>
  <c r="BB447" i="10" a="1"/>
  <c r="BB746" i="10" a="1"/>
  <c r="BB178" i="10" a="1"/>
  <c r="BB955" i="10" a="1"/>
  <c r="BB1213" i="10" a="1"/>
  <c r="BB1290" i="10" a="1"/>
  <c r="BB1581" i="10" a="1"/>
  <c r="BB390" i="9" a="1"/>
  <c r="BB13" i="10" a="1"/>
  <c r="BB725" i="10" a="1"/>
  <c r="BB551" i="10" a="1"/>
  <c r="BB126" i="10" a="1"/>
  <c r="BB335" i="10" a="1"/>
  <c r="BB958" i="10" a="1"/>
  <c r="BB544" i="10" a="1"/>
  <c r="BB653" i="10" a="1"/>
  <c r="BB586" i="10" a="1"/>
  <c r="BB928" i="10" a="1"/>
  <c r="BB708" i="10" a="1"/>
  <c r="BB670" i="10" a="1"/>
  <c r="BB1804" i="10" a="1"/>
  <c r="BB1900" i="10" a="1"/>
  <c r="BB503" i="10" a="1"/>
  <c r="BB127" i="10" a="1"/>
  <c r="BB747" i="10" a="1"/>
  <c r="BB669" i="10" a="1"/>
  <c r="BB237" i="10" a="1"/>
  <c r="BB695" i="10" a="1"/>
  <c r="BB686" i="10" a="1"/>
  <c r="BB989" i="10" a="1"/>
  <c r="BB88" i="10" a="1"/>
  <c r="BB974" i="10" a="1"/>
  <c r="BB942" i="10" a="1"/>
  <c r="BB899" i="10" a="1"/>
  <c r="BB1761" i="10" a="1"/>
  <c r="BB1908" i="10" a="1"/>
  <c r="BB327" i="10" a="1"/>
  <c r="BB96" i="10" a="1"/>
  <c r="BB240" i="10" a="1"/>
  <c r="BB654" i="10" a="1"/>
  <c r="BB314" i="10" a="1"/>
  <c r="BB651" i="10" a="1"/>
  <c r="BB623" i="10" a="1"/>
  <c r="BB751" i="10" a="1"/>
  <c r="BB1167" i="10" a="1"/>
  <c r="BB101" i="10" a="1"/>
  <c r="BB600" i="10" a="1"/>
  <c r="BB674" i="10" a="1"/>
  <c r="BB337" i="10" a="1"/>
  <c r="BB91" i="10" a="1"/>
  <c r="BB757" i="10" a="1"/>
  <c r="BB234" i="10" a="1"/>
  <c r="BB170" i="10" a="1"/>
  <c r="BB370" i="10" a="1"/>
  <c r="BB102" i="10" a="1"/>
  <c r="BB320" i="10" a="1"/>
  <c r="BB69" i="10" a="1"/>
  <c r="BB761" i="10" a="1"/>
  <c r="BB1356" i="10" a="1"/>
  <c r="BB685" i="10" a="1"/>
  <c r="BB781" i="10" a="1"/>
  <c r="BB1306" i="10" a="1"/>
  <c r="BB1405" i="10" a="1"/>
  <c r="BB1646" i="10" a="1"/>
  <c r="BB356" i="10" a="1"/>
  <c r="BB295" i="10" a="1"/>
  <c r="BB192" i="10" a="1"/>
  <c r="BB336" i="10" a="1"/>
  <c r="BB696" i="10" a="1"/>
  <c r="BB65" i="10" a="1"/>
  <c r="BB736" i="10" a="1"/>
  <c r="BB1100" i="10" a="1"/>
  <c r="BB800" i="10" a="1"/>
  <c r="BB918" i="10" a="1"/>
  <c r="BB1228" i="10" a="1"/>
  <c r="BB732" i="10" a="1"/>
  <c r="BB1336" i="10" a="1"/>
  <c r="BB1864" i="10" a="1"/>
  <c r="BB1653" i="10" a="1"/>
  <c r="BB185" i="10" a="1"/>
  <c r="BB212" i="10" a="1"/>
  <c r="BB375" i="10" a="1"/>
  <c r="BB162" i="10" a="1"/>
  <c r="BB177" i="10" a="1"/>
  <c r="BB1280" i="10" a="1"/>
  <c r="BB223" i="10" a="1"/>
  <c r="BB438" i="10" a="1"/>
  <c r="BB429" i="10" a="1"/>
  <c r="BB1435" i="10" a="1"/>
  <c r="BB1195" i="10" a="1"/>
  <c r="BB541" i="10" a="1"/>
  <c r="BB1567" i="10" a="1"/>
  <c r="BB264" i="10" a="1"/>
  <c r="BB85" i="10" a="1"/>
  <c r="BB754" i="10" a="1"/>
  <c r="BB87" i="10" a="1"/>
  <c r="BB238" i="10" a="1"/>
  <c r="BB634" i="10" a="1"/>
  <c r="BB845" i="10" a="1"/>
  <c r="BB411" i="10" a="1"/>
  <c r="BB479" i="10" a="1"/>
  <c r="BB999" i="10" a="1"/>
  <c r="BB911" i="10" a="1"/>
  <c r="BB1798" i="10" a="1"/>
  <c r="BB1212" i="10" a="1"/>
  <c r="BB1264" i="10" a="1"/>
  <c r="BB283" i="10" a="1"/>
  <c r="BB29" i="10" a="1"/>
  <c r="BB486" i="10" a="1"/>
  <c r="BB568" i="10" a="1"/>
  <c r="BB262" i="10" a="1"/>
  <c r="BB231" i="10" a="1"/>
  <c r="BB1956" i="10" a="1"/>
  <c r="BB816" i="10" a="1"/>
  <c r="BB744" i="10" a="1"/>
  <c r="BB939" i="10" a="1"/>
  <c r="BB773" i="10" a="1"/>
  <c r="BB1242" i="10" a="1"/>
  <c r="BB1234" i="10" a="1"/>
  <c r="BB349" i="10" a="1"/>
  <c r="BB16" i="10" a="1"/>
  <c r="BB341" i="10" a="1"/>
  <c r="BB271" i="10" a="1"/>
  <c r="BB997" i="10" a="1"/>
  <c r="BB206" i="10" a="1"/>
  <c r="BB424" i="10" a="1"/>
  <c r="BB450" i="10" a="1"/>
  <c r="BB355" i="10" a="1"/>
  <c r="BB1076" i="10" a="1"/>
  <c r="BB1035" i="10" a="1"/>
  <c r="BB632" i="10" a="1"/>
  <c r="BB759" i="10" a="1"/>
  <c r="BB1183" i="10" a="1"/>
  <c r="BB1310" i="10" a="1"/>
  <c r="BB1700" i="10" a="1"/>
  <c r="BB235" i="10" a="1"/>
  <c r="BB141" i="10" a="1"/>
  <c r="BB379" i="10" a="1"/>
  <c r="BB176" i="10" a="1"/>
  <c r="BB627" i="10" a="1"/>
  <c r="BB339" i="10" a="1"/>
  <c r="BB470" i="10" a="1"/>
  <c r="BB1006" i="10" a="1"/>
  <c r="BB758" i="10" a="1"/>
  <c r="BB1892" i="10" a="1"/>
  <c r="BB1845" i="10" a="1"/>
  <c r="BB890" i="10" a="1"/>
  <c r="BB1024" i="10" a="1"/>
  <c r="BB1124" i="10" a="1"/>
  <c r="BB83" i="10" a="1"/>
  <c r="BB220" i="10" a="1"/>
  <c r="BB681" i="10" a="1"/>
  <c r="BB407" i="10" a="1"/>
  <c r="BB350" i="10" a="1"/>
  <c r="BB181" i="10" a="1"/>
  <c r="BB1249" i="10" a="1"/>
  <c r="BB547" i="10" a="1"/>
  <c r="BB656" i="10" a="1"/>
  <c r="BB893" i="10" a="1"/>
  <c r="BB437" i="10" a="1"/>
  <c r="BB690" i="10" a="1"/>
  <c r="BB1376" i="10" a="1"/>
  <c r="BB1692" i="10" a="1"/>
  <c r="BB550" i="10" a="1"/>
  <c r="BB524" i="10" a="1"/>
  <c r="BB46" i="10" a="1"/>
  <c r="BB247" i="10" a="1"/>
  <c r="BB32" i="10" a="1"/>
  <c r="BB680" i="10" a="1"/>
  <c r="BB540" i="10" a="1"/>
  <c r="BB848" i="10" a="1"/>
  <c r="BB897" i="10" a="1"/>
  <c r="BB97" i="10" a="1"/>
  <c r="BB246" i="10" a="1"/>
  <c r="BB1194" i="10" a="1"/>
  <c r="BB62" i="10" a="1"/>
  <c r="BB471" i="10" a="1"/>
  <c r="BB95" i="10" a="1"/>
  <c r="BB948" i="10" a="1"/>
  <c r="BB427" i="10" a="1"/>
  <c r="BB74" i="10" a="1"/>
  <c r="BB975" i="10" a="1"/>
  <c r="BB158" i="10" a="1"/>
  <c r="BB230" i="10" a="1"/>
  <c r="BB383" i="10" a="1"/>
  <c r="BB684" i="10" a="1"/>
  <c r="BB1097" i="10" a="1"/>
  <c r="BB1837" i="10" a="1"/>
  <c r="BB1222" i="10" a="1"/>
  <c r="BB1177" i="10" a="1"/>
  <c r="BB1693" i="10" a="1"/>
  <c r="BB1305" i="10" a="1"/>
  <c r="BB484" i="10" a="1"/>
  <c r="BB198" i="10" a="1"/>
  <c r="BB75" i="10" a="1"/>
  <c r="BB851" i="10" a="1"/>
  <c r="BB534" i="10" a="1"/>
  <c r="BB700" i="10" a="1"/>
  <c r="BB778" i="10" a="1"/>
  <c r="BB794" i="10" a="1"/>
  <c r="BB821" i="10" a="1"/>
  <c r="BB847" i="10" a="1"/>
  <c r="BB969" i="10" a="1"/>
  <c r="BB1085" i="10" a="1"/>
  <c r="BB1587" i="10" a="1"/>
  <c r="BB161" i="10" a="1"/>
  <c r="BB994" i="10" a="1"/>
  <c r="BB276" i="10" a="1"/>
  <c r="BB358" i="10" a="1"/>
  <c r="BB376" i="10" a="1"/>
  <c r="BB180" i="10" a="1"/>
  <c r="BB619" i="10" a="1"/>
  <c r="BB473" i="10" a="1"/>
  <c r="BB110" i="10" a="1"/>
  <c r="BB1282" i="10" a="1"/>
  <c r="BB1071" i="10" a="1"/>
  <c r="BB1314" i="10" a="1"/>
  <c r="BB1091" i="10" a="1"/>
  <c r="BB1988" i="10" a="1"/>
  <c r="BB378" i="10" a="1"/>
  <c r="BB1010" i="10" a="1"/>
  <c r="BB279" i="10" a="1"/>
  <c r="BB253" i="10" a="1"/>
  <c r="BB421" i="10" a="1"/>
  <c r="BB483" i="10" a="1"/>
  <c r="BB626" i="10" a="1"/>
  <c r="BB789" i="10" a="1"/>
  <c r="BB603" i="10" a="1"/>
  <c r="BB714" i="10" a="1"/>
  <c r="BB585" i="10" a="1"/>
  <c r="BB1049" i="10" a="1"/>
  <c r="BB1898" i="10" a="1"/>
  <c r="BB1828" i="10" a="1"/>
  <c r="BB925" i="10" a="1"/>
  <c r="BB523" i="10" a="1"/>
  <c r="BB496" i="10" a="1"/>
  <c r="BB1063" i="10" a="1"/>
  <c r="BB382" i="10" a="1"/>
  <c r="BB802" i="10" a="1"/>
  <c r="BB1090" i="10" a="1"/>
  <c r="BB165" i="10" a="1"/>
  <c r="BB1043" i="10" a="1"/>
  <c r="BB786" i="10" a="1"/>
  <c r="BB962" i="10" a="1"/>
  <c r="BB1546" i="10" a="1"/>
  <c r="BB1853" i="10" a="1"/>
  <c r="BB556" i="10" a="1"/>
  <c r="BB191" i="10" a="1"/>
  <c r="BB241" i="10" a="1"/>
  <c r="BB11" i="10" a="1"/>
  <c r="BB42" i="10" a="1"/>
  <c r="BB160" i="10" a="1"/>
  <c r="BB188" i="10" a="1"/>
  <c r="BB401" i="10" a="1"/>
  <c r="BB1128" i="10" a="1"/>
  <c r="BB826" i="10" a="1"/>
  <c r="BB456" i="10" a="1"/>
  <c r="BB1335" i="10" a="1"/>
  <c r="BB1223" i="10" a="1"/>
  <c r="BB771" i="10" a="1"/>
  <c r="BB1188" i="10" a="1"/>
  <c r="BB1180" i="10" a="1"/>
  <c r="BB332" i="10" a="1"/>
  <c r="BB211" i="10" a="1"/>
  <c r="BB726" i="10" a="1"/>
  <c r="BB207" i="10" a="1"/>
  <c r="BB274" i="10" a="1"/>
  <c r="BB645" i="10" a="1"/>
  <c r="BB706" i="10" a="1"/>
  <c r="BB836" i="10" a="1"/>
  <c r="BB1253" i="10" a="1"/>
  <c r="BB1048" i="10" a="1"/>
  <c r="BB1011" i="10" a="1"/>
  <c r="BB1562" i="10" a="1"/>
  <c r="BB1073" i="10" a="1"/>
  <c r="BB796" i="10" a="1"/>
  <c r="BB552" i="10" a="1"/>
  <c r="BB186" i="10" a="1"/>
  <c r="BB280" i="10" a="1"/>
  <c r="BB573" i="10" a="1"/>
  <c r="BB493" i="10" a="1"/>
  <c r="BB868" i="10" a="1"/>
  <c r="BB737" i="10" a="1"/>
  <c r="BB849" i="10" a="1"/>
  <c r="BB1025" i="10" a="1"/>
  <c r="BB884" i="10" a="1"/>
  <c r="BB959" i="10" a="1"/>
  <c r="BB1257" i="10" a="1"/>
  <c r="BB1834" i="10" a="1"/>
  <c r="BB196" i="10" a="1"/>
  <c r="BB571" i="10" a="1"/>
  <c r="BB152" i="10" a="1"/>
  <c r="BB361" i="10" a="1"/>
  <c r="BB78" i="10" a="1"/>
  <c r="BB1016" i="10" a="1"/>
  <c r="BB136" i="10" a="1"/>
  <c r="BB352" i="10" a="1"/>
  <c r="BB1057" i="10" a="1"/>
  <c r="BB591" i="10" a="1"/>
  <c r="BB487" i="10" a="1"/>
  <c r="BB61" i="10" a="1"/>
  <c r="BB517" i="10" a="1"/>
  <c r="BB449" i="10" a="1"/>
  <c r="BB521" i="10" a="1"/>
  <c r="BB287" i="10" a="1"/>
  <c r="BB49" i="10" a="1"/>
  <c r="BB576" i="10" a="1"/>
  <c r="BB155" i="10" a="1"/>
  <c r="BB809" i="10" a="1"/>
  <c r="BB1013" i="10" a="1"/>
  <c r="BB413" i="10" a="1"/>
  <c r="BB1331" i="10" a="1"/>
  <c r="BB481" i="10" a="1"/>
  <c r="BB689" i="10" a="1"/>
  <c r="BB879" i="10" a="1"/>
  <c r="BB1494" i="10" a="1"/>
  <c r="BB1179" i="10" a="1"/>
  <c r="BB1447" i="10" a="1"/>
  <c r="BB250" i="10" a="1"/>
  <c r="BB495" i="10" a="1"/>
  <c r="BB252" i="10" a="1"/>
  <c r="BB24" i="10" a="1"/>
  <c r="BB172" i="10" a="1"/>
  <c r="BB874" i="10" a="1"/>
  <c r="BB109" i="10" a="1"/>
  <c r="BB664" i="10" a="1"/>
  <c r="BB99" i="10" a="1"/>
  <c r="BB783" i="10" a="1"/>
  <c r="BB1717" i="10" a="1"/>
  <c r="BB1052" i="10" a="1"/>
  <c r="BB1096" i="10" a="1"/>
  <c r="BB1826" i="10" a="1"/>
  <c r="BB325" i="10" a="1"/>
  <c r="BB516" i="10" a="1"/>
  <c r="BB1054" i="10" a="1"/>
  <c r="BB44" i="10" a="1"/>
  <c r="BB273" i="10" a="1"/>
  <c r="BB813" i="10" a="1"/>
  <c r="BB451" i="10" a="1"/>
  <c r="BB526" i="10" a="1"/>
  <c r="BB614" i="10" a="1"/>
  <c r="BB1571" i="10" a="1"/>
  <c r="BB1749" i="10" a="1"/>
  <c r="BB1008" i="10" a="1"/>
  <c r="BB1133" i="10" a="1"/>
  <c r="BB805" i="10" a="1"/>
  <c r="BB405" i="10" a="1"/>
  <c r="BB128" i="10" a="1"/>
  <c r="BB272" i="10" a="1"/>
  <c r="BB991" i="10" a="1"/>
  <c r="BB50" i="10" a="1"/>
  <c r="BB398" i="10" a="1"/>
  <c r="BB990" i="10" a="1"/>
  <c r="BB972" i="10" a="1"/>
  <c r="BB825" i="10" a="1"/>
  <c r="BB1444" i="10" a="1"/>
  <c r="BB658" i="10" a="1"/>
  <c r="BB1833" i="10" a="1"/>
  <c r="BB1807" i="10" a="1"/>
  <c r="BB369" i="10" a="1"/>
  <c r="BB655" i="10" a="1"/>
  <c r="BB148" i="10" a="1"/>
  <c r="BB342" i="10" a="1"/>
  <c r="BB98" i="10" a="1"/>
  <c r="BB931" i="10" a="1"/>
  <c r="BB713" i="10" a="1"/>
  <c r="BB201" i="10" a="1"/>
  <c r="BB511" i="10" a="1"/>
  <c r="BB798" i="10" a="1"/>
  <c r="BB394" i="10" a="1"/>
  <c r="BB1357" i="10" a="1"/>
  <c r="BB1481" i="10" a="1"/>
  <c r="BB1840" i="10" a="1"/>
  <c r="BB584" i="10" a="1"/>
  <c r="BB810" i="10" a="1"/>
  <c r="BB111" i="10" a="1"/>
  <c r="BB718" i="10" a="1"/>
  <c r="BB123" i="10" a="1"/>
  <c r="BB480" i="10" a="1"/>
  <c r="BB1211" i="10" a="1"/>
  <c r="BB1198" i="10" a="1"/>
  <c r="BB636" i="10" a="1"/>
  <c r="BB1252" i="10" a="1"/>
  <c r="BB1529" i="10" a="1"/>
  <c r="BB1101" i="10" a="1"/>
  <c r="BB1938" i="10" a="1"/>
  <c r="BB857" i="10" a="1"/>
  <c r="BB1580" i="10" a="1"/>
  <c r="BB1182" i="10" a="1"/>
  <c r="BB63" i="10" a="1"/>
  <c r="BB343" i="10" a="1"/>
  <c r="BB647" i="10" a="1"/>
  <c r="BB755" i="10" a="1"/>
  <c r="BB33" i="10" a="1"/>
  <c r="BB475" i="10" a="1"/>
  <c r="BB1756" i="10" a="1"/>
  <c r="BB960" i="10" a="1"/>
  <c r="BB968" i="10" a="1"/>
  <c r="BB1295" i="10" a="1"/>
  <c r="BB606" i="10" a="1"/>
  <c r="BB822" i="10" a="1"/>
  <c r="BB1997" i="10" a="1"/>
  <c r="BB254" i="10" a="1"/>
  <c r="BB801" i="10" a="1"/>
  <c r="BB244" i="10" a="1"/>
  <c r="BB84" i="10" a="1"/>
  <c r="BB490" i="10" a="1"/>
  <c r="BB661" i="10" a="1"/>
  <c r="BB299" i="10" a="1"/>
  <c r="BB482" i="10" a="1"/>
  <c r="BB864" i="10" a="1"/>
  <c r="BB924" i="10" a="1"/>
  <c r="BB675" i="10" a="1"/>
  <c r="BB1312" i="10" a="1"/>
  <c r="BB1134" i="10" a="1"/>
  <c r="BB72" i="9" a="1"/>
  <c r="BB762" i="10" a="1"/>
  <c r="BB414" i="10" a="1"/>
  <c r="BB14" i="10" a="1"/>
  <c r="BB389" i="10" a="1"/>
  <c r="BB365" i="10" a="1"/>
  <c r="BB331" i="10" a="1"/>
  <c r="BB641" i="10" a="1"/>
  <c r="BB870" i="10" a="1"/>
  <c r="BB795" i="10" a="1"/>
  <c r="BB1411" i="10" a="1"/>
  <c r="BB580" i="10" a="1"/>
  <c r="BB804" i="10" a="1"/>
  <c r="BB248" i="10" a="1"/>
  <c r="BB1218" i="10" a="1"/>
  <c r="BB275" i="10" a="1"/>
  <c r="BB1160" i="10" a="1"/>
  <c r="BB1140" i="10" a="1"/>
  <c r="BB409" i="10" a="1"/>
  <c r="BB294" i="10" a="1"/>
  <c r="BB633" i="10" a="1"/>
  <c r="BB812" i="10" a="1"/>
  <c r="BB910" i="10" a="1"/>
  <c r="BB914" i="10" a="1"/>
  <c r="BB916" i="10" a="1"/>
  <c r="BB282" i="10" a="1"/>
  <c r="BB372" i="10" a="1"/>
  <c r="BB1009" i="10" a="1"/>
  <c r="BB1561" i="10" a="1"/>
  <c r="BB1187" i="10" a="1"/>
  <c r="BB1497" i="10" a="1"/>
  <c r="BB1950" i="10" a="1"/>
  <c r="BB1145" i="10" a="1"/>
  <c r="BB251" i="10" a="1"/>
  <c r="BB125" i="10" a="1"/>
  <c r="BB565" i="10" a="1"/>
  <c r="BB1018" i="10" a="1"/>
  <c r="BB229" i="10" a="1"/>
  <c r="BB666" i="10" a="1"/>
  <c r="BB574" i="10" a="1"/>
  <c r="BB38" i="10" a="1"/>
  <c r="BB578" i="10" a="1"/>
  <c r="BB1403" i="10" a="1"/>
  <c r="BB52" i="10" a="1"/>
  <c r="BB887" i="10" a="1"/>
  <c r="BB1268" i="10" a="1"/>
  <c r="BB506" i="10" a="1"/>
  <c r="BB1088" i="10" a="1"/>
  <c r="BB1509" i="10" a="1"/>
  <c r="BB259" i="10" a="1"/>
  <c r="BB397" i="10" a="1"/>
  <c r="BB150" i="10" a="1"/>
  <c r="BB692" i="10" a="1"/>
  <c r="BB107" i="10" a="1"/>
  <c r="BB300" i="10" a="1"/>
  <c r="BB1230" i="10" a="1"/>
  <c r="BB183" i="10" a="1"/>
  <c r="BB1207" i="10" a="1"/>
  <c r="BB1122" i="10" a="1"/>
  <c r="BB1226" i="10" a="1"/>
  <c r="BB1983" i="10" a="1"/>
  <c r="BB1269" i="10" a="1"/>
  <c r="BB1204" i="10" a="1"/>
  <c r="BB1642" i="10" a="1"/>
  <c r="BB874" i="9" a="1"/>
  <c r="BB1881" i="10" a="1"/>
  <c r="BB1758" i="10" a="1"/>
  <c r="BB1552" i="10" a="1"/>
  <c r="BB764" i="9" a="1"/>
  <c r="BB8" i="9" a="1"/>
  <c r="BB1909" i="10" a="1"/>
  <c r="BB149" i="9" a="1"/>
  <c r="BB1508" i="10" a="1"/>
  <c r="BB296" i="9" a="1"/>
  <c r="BB1500" i="10" a="1"/>
  <c r="BB886" i="9" a="1"/>
  <c r="BB1236" i="10" a="1"/>
  <c r="BB1670" i="10" a="1"/>
  <c r="BB1822" i="10" a="1"/>
  <c r="BB1267" i="10" a="1"/>
  <c r="BB1748" i="10" a="1"/>
  <c r="BB188" i="9" a="1"/>
  <c r="BB89" i="9" a="1"/>
  <c r="BB723" i="9" a="1"/>
  <c r="BB892" i="9" a="1"/>
  <c r="BB543" i="9" a="1"/>
  <c r="BB11" i="9" a="1"/>
  <c r="BB1378" i="10" a="1"/>
  <c r="BB1441" i="10" a="1"/>
  <c r="BB697" i="9" a="1"/>
  <c r="BB313" i="9" a="1"/>
  <c r="BB952" i="9" a="1"/>
  <c r="BB841" i="10" a="1"/>
  <c r="BB1663" i="10" a="1"/>
  <c r="BB1078" i="10" a="1"/>
  <c r="BB1630" i="10" a="1"/>
  <c r="BB1702" i="10" a="1"/>
  <c r="BB675" i="9" a="1"/>
  <c r="BB397" i="9" a="1"/>
  <c r="BB467" i="9" a="1"/>
  <c r="BB1634" i="10" a="1"/>
  <c r="BB624" i="9" a="1"/>
  <c r="BB1251" i="10" a="1"/>
  <c r="BB1136" i="10" a="1"/>
  <c r="BB1611" i="10" a="1"/>
  <c r="BB1799" i="10" a="1"/>
  <c r="BB1980" i="10" a="1"/>
  <c r="BB1675" i="10" a="1"/>
  <c r="BB684" i="9" a="1"/>
  <c r="BB912" i="9" a="1"/>
  <c r="BB692" i="9" a="1"/>
  <c r="BB90" i="10" a="1"/>
  <c r="BB1767" i="10" a="1"/>
  <c r="BB1504" i="10" a="1"/>
  <c r="BB642" i="10" a="1"/>
  <c r="BB1451" i="10" a="1"/>
  <c r="BB984" i="9" a="1"/>
  <c r="BB1782" i="10" a="1"/>
  <c r="BB676" i="9" a="1"/>
  <c r="BB735" i="9" a="1"/>
  <c r="BB535" i="9" a="1"/>
  <c r="BB729" i="10" a="1"/>
  <c r="BB1714" i="10" a="1"/>
  <c r="BB1279" i="10" a="1"/>
  <c r="BB1396" i="10" a="1"/>
  <c r="BB1399" i="10" a="1"/>
  <c r="BB558" i="9" a="1"/>
  <c r="BB1514" i="10" a="1"/>
  <c r="BB864" i="9" a="1"/>
  <c r="BB627" i="9" a="1"/>
  <c r="BB1250" i="9" a="1"/>
  <c r="BB809" i="9" a="1"/>
  <c r="BB1944" i="10" a="1"/>
  <c r="BB16" i="9" a="1"/>
  <c r="BB1202" i="10" a="1"/>
  <c r="BB1302" i="9" a="1"/>
  <c r="BB894" i="10" a="1"/>
  <c r="BB1392" i="10" a="1"/>
  <c r="BB242" i="10" a="1"/>
  <c r="BB1172" i="10" a="1"/>
  <c r="BB200" i="10" a="1"/>
  <c r="BB1379" i="10" a="1"/>
  <c r="BB1262" i="10" a="1"/>
  <c r="BB1987" i="10" a="1"/>
  <c r="BB952" i="10" a="1"/>
  <c r="BB391" i="10" a="1"/>
  <c r="BB1475" i="10" a="1"/>
  <c r="BB560" i="10" a="1"/>
  <c r="BB1453" i="10" a="1"/>
  <c r="BB12" i="10" a="1"/>
  <c r="BB1485" i="10" a="1"/>
  <c r="BB1359" i="10" a="1"/>
  <c r="BB768" i="10" a="1"/>
  <c r="BB1032" i="10" a="1"/>
  <c r="BB1003" i="10" a="1"/>
  <c r="BB961" i="10" a="1"/>
  <c r="BB1526" i="10" a="1"/>
  <c r="BB1303" i="10" a="1"/>
  <c r="BB1996" i="10" a="1"/>
  <c r="BB1275" i="10" a="1"/>
  <c r="BB18" i="10" a="1"/>
  <c r="BB156" i="10" a="1"/>
  <c r="BB464" i="10" a="1"/>
  <c r="BB601" i="10" a="1"/>
  <c r="BB225" i="10" a="1"/>
  <c r="BB293" i="10" a="1"/>
  <c r="BB898" i="10" a="1"/>
  <c r="BB1293" i="10" a="1"/>
  <c r="BB1056" i="10" a="1"/>
  <c r="BB983" i="10" a="1"/>
  <c r="BB1186" i="10" a="1"/>
  <c r="BB1448" i="10" a="1"/>
  <c r="BB1372" i="10" a="1"/>
  <c r="BB1889" i="10" a="1"/>
  <c r="BB2000" i="10" a="1"/>
  <c r="BB1679" i="10" a="1"/>
  <c r="BB317" i="10" a="1"/>
  <c r="BB454" i="10" a="1"/>
  <c r="BB1038" i="10" a="1"/>
  <c r="BB6" i="10" a="1"/>
  <c r="BB735" i="10" a="1"/>
  <c r="BB472" i="10" a="1"/>
  <c r="BB717" i="10" a="1"/>
  <c r="BB598" i="10" a="1"/>
  <c r="BB971" i="10" a="1"/>
  <c r="BB988" i="10" a="1"/>
  <c r="BB993" i="10" a="1"/>
  <c r="BB1484" i="10" a="1"/>
  <c r="BB1487" i="10" a="1"/>
  <c r="BB1333" i="10" a="1"/>
  <c r="BB923" i="10" a="1"/>
  <c r="BB780" i="10" a="1"/>
  <c r="BB1689" i="10" a="1"/>
  <c r="BB855" i="10" a="1"/>
  <c r="BB1615" i="10" a="1"/>
  <c r="BB400" i="9" a="1"/>
  <c r="BB1887" i="10" a="1"/>
  <c r="BB347" i="9" a="1"/>
  <c r="BB15" i="9" a="1"/>
  <c r="BB42" i="9" a="1"/>
  <c r="BB1985" i="10" a="1"/>
  <c r="BB1375" i="10" a="1"/>
  <c r="BB693" i="9" a="1"/>
  <c r="BB492" i="10" a="1"/>
  <c r="BB9" i="9" a="1"/>
  <c r="BB168" i="9" a="1"/>
  <c r="BB1513" i="10" a="1"/>
  <c r="BB1800" i="10" a="1"/>
  <c r="BB333" i="9" a="1"/>
  <c r="BB48" i="9" a="1"/>
  <c r="BB342" i="9" a="1"/>
  <c r="BB1419" i="10" a="1"/>
  <c r="BB530" i="9" a="1"/>
  <c r="BB1347" i="10" a="1"/>
  <c r="BB1498" i="10" a="1"/>
  <c r="BB772" i="9" a="1"/>
  <c r="BB502" i="9" a="1"/>
  <c r="BB1007" i="9" a="1"/>
  <c r="BB1511" i="9" a="1"/>
  <c r="BB1240" i="10" a="1"/>
  <c r="BB1244" i="10" a="1"/>
  <c r="BB1329" i="10" a="1"/>
  <c r="BB1627" i="10" a="1"/>
  <c r="BB1942" i="10" a="1"/>
  <c r="BB86" i="9" a="1"/>
  <c r="BB399" i="9" a="1"/>
  <c r="BB280" i="9" a="1"/>
  <c r="BB865" i="9" a="1"/>
  <c r="BB129" i="10" a="1"/>
  <c r="BB1873" i="10" a="1"/>
  <c r="BB575" i="10" a="1"/>
  <c r="BB1104" i="10" a="1"/>
  <c r="BB1406" i="10" a="1"/>
  <c r="BB978" i="9" a="1"/>
  <c r="BB946" i="9" a="1"/>
  <c r="BB1652" i="10" a="1"/>
  <c r="BB720" i="9" a="1"/>
  <c r="BB1718" i="10" a="1"/>
  <c r="BB1313" i="10" a="1"/>
  <c r="BB1190" i="10" a="1"/>
  <c r="BB1573" i="10" a="1"/>
  <c r="BB1164" i="10" a="1"/>
  <c r="BB1742" i="10" a="1"/>
  <c r="BB1594" i="10" a="1"/>
  <c r="BB1409" i="10" a="1"/>
  <c r="BB1891" i="10" a="1"/>
  <c r="BB1871" i="10" a="1"/>
  <c r="BB231" i="9" a="1"/>
  <c r="BB756" i="10" a="1"/>
  <c r="BB374" i="9" a="1"/>
  <c r="BB1118" i="10" a="1"/>
  <c r="BB1184" i="10" a="1"/>
  <c r="BB1801" i="10" a="1"/>
  <c r="BB512" i="9" a="1"/>
  <c r="BB51" i="9" a="1"/>
  <c r="BB1882" i="10" a="1"/>
  <c r="BB463" i="9" a="1"/>
  <c r="BB892" i="10" a="1"/>
  <c r="BB457" i="9" a="1"/>
  <c r="BB1452" i="10" a="1"/>
  <c r="BB1953" i="10" a="1"/>
  <c r="BB249" i="10" a="1"/>
  <c r="BB915" i="10" a="1"/>
  <c r="BB835" i="10" a="1"/>
  <c r="BB1921" i="10" a="1"/>
  <c r="BB767" i="10" a="1"/>
  <c r="BB224" i="10" a="1"/>
  <c r="BB1225" i="10" a="1"/>
  <c r="BB190" i="10" a="1"/>
  <c r="BB543" i="10" a="1"/>
  <c r="BB581" i="10" a="1"/>
  <c r="BB1161" i="10" a="1"/>
  <c r="BB978" i="10" a="1"/>
  <c r="BB934" i="10" a="1"/>
  <c r="BB554" i="10" a="1"/>
  <c r="BB549" i="10" a="1"/>
  <c r="BB1001" i="10" a="1"/>
  <c r="BB640" i="10" a="1"/>
  <c r="BB1241" i="10" a="1"/>
  <c r="BB1584" i="10" a="1"/>
  <c r="BB1922" i="10" a="1"/>
  <c r="BB1437" i="10" a="1"/>
  <c r="BB1147" i="10" a="1"/>
  <c r="BB833" i="10" a="1"/>
  <c r="BB86" i="10" a="1"/>
  <c r="BB790" i="10" a="1"/>
  <c r="BB81" i="10" a="1"/>
  <c r="BB354" i="10" a="1"/>
  <c r="BB485" i="10" a="1"/>
  <c r="BB819" i="10" a="1"/>
  <c r="BB216" i="10" a="1"/>
  <c r="BB687" i="10" a="1"/>
  <c r="BB986" i="10" a="1"/>
  <c r="BB715" i="10" a="1"/>
  <c r="BB1398" i="10" a="1"/>
  <c r="BB1747" i="10" a="1"/>
  <c r="BB1077" i="10" a="1"/>
  <c r="BB1129" i="10" a="1"/>
  <c r="BB399" i="10" a="1"/>
  <c r="BB270" i="10" a="1"/>
  <c r="BB377" i="10" a="1"/>
  <c r="BB400" i="10" a="1"/>
  <c r="BB301" i="10" a="1"/>
  <c r="BB489" i="10" a="1"/>
  <c r="BB296" i="10" a="1"/>
  <c r="BB45" i="10" a="1"/>
  <c r="BB965" i="10" a="1"/>
  <c r="BB1125" i="10" a="1"/>
  <c r="BB861" i="10" a="1"/>
  <c r="BB536" i="10" a="1"/>
  <c r="BB628" i="10" a="1"/>
  <c r="BB1676" i="10" a="1"/>
  <c r="BB368" i="10" a="1"/>
  <c r="BB1429" i="10" a="1"/>
  <c r="BB513" i="10" a="1"/>
  <c r="BB984" i="10" a="1"/>
  <c r="BB1709" i="10" a="1"/>
  <c r="BB257" i="9" a="1"/>
  <c r="BB184" i="9" a="1"/>
  <c r="BB1937" i="10" a="1"/>
  <c r="BB904" i="9" a="1"/>
  <c r="BB1394" i="10" a="1"/>
  <c r="BB169" i="9" a="1"/>
  <c r="BB292" i="9" a="1"/>
  <c r="BB701" i="9" a="1"/>
  <c r="BB754" i="9" a="1"/>
  <c r="BB853" i="10" a="1"/>
  <c r="BB104" i="9" a="1"/>
  <c r="BB1935" i="10" a="1"/>
  <c r="BB232" i="9" a="1"/>
  <c r="BB1656" i="10" a="1"/>
  <c r="BB1549" i="10" a="1"/>
  <c r="BB900" i="9" a="1"/>
  <c r="BB918" i="9" a="1"/>
  <c r="BB596" i="9" a="1"/>
  <c r="BB345" i="9" a="1"/>
  <c r="BB854" i="9" a="1"/>
  <c r="BB1432" i="10" a="1"/>
  <c r="BB1414" i="10" a="1"/>
  <c r="BB243" i="9" a="1"/>
  <c r="BB668" i="9" a="1"/>
  <c r="BB1548" i="9" a="1"/>
  <c r="BB1960" i="10" a="1"/>
  <c r="BB1462" i="10" a="1"/>
  <c r="BB1231" i="10" a="1"/>
  <c r="BB1824" i="10" a="1"/>
  <c r="BB1603" i="10" a="1"/>
  <c r="BB1888" i="10" a="1"/>
  <c r="BB906" i="9" a="1"/>
  <c r="BB270" i="9" a="1"/>
  <c r="BB683" i="9" a="1"/>
  <c r="BB872" i="10" a="1"/>
  <c r="BB1446" i="10" a="1"/>
  <c r="BB1649" i="10" a="1"/>
  <c r="BB1811" i="10" a="1"/>
  <c r="BB1471" i="10" a="1"/>
  <c r="BB587" i="9" a="1"/>
  <c r="BB1990" i="10" a="1"/>
  <c r="BB1805" i="10" a="1"/>
  <c r="BB659" i="9" a="1"/>
  <c r="BB442" i="9" a="1"/>
  <c r="BB36" i="10" a="1"/>
  <c r="BB1577" i="10" a="1"/>
  <c r="BB1060" i="10" a="1"/>
  <c r="BB1539" i="10" a="1"/>
  <c r="BB1298" i="10" a="1"/>
  <c r="BB780" i="9" a="1"/>
  <c r="BB740" i="9" a="1"/>
  <c r="BB730" i="9" a="1"/>
  <c r="BB567" i="9" a="1"/>
  <c r="BB351" i="9" a="1"/>
  <c r="BB1418" i="10" a="1"/>
  <c r="BB1254" i="10" a="1"/>
  <c r="BB878" i="10" a="1"/>
  <c r="BB1424" i="10" a="1"/>
  <c r="BB779" i="9" a="1"/>
  <c r="BB230" i="9" a="1"/>
  <c r="BB335" i="9" a="1"/>
  <c r="BB604" i="9" a="1"/>
  <c r="BB338" i="9" a="1"/>
  <c r="BB176" i="9" a="1"/>
  <c r="BB210" i="9" a="1"/>
  <c r="BB1855" i="10" a="1"/>
  <c r="BB1818" i="10" a="1"/>
  <c r="BB459" i="9" a="1"/>
  <c r="BB96" i="9" a="1"/>
  <c r="BB1103" i="10" a="1"/>
  <c r="BB264" i="9" a="1"/>
  <c r="BB157" i="10" a="1"/>
  <c r="BB68" i="10" a="1"/>
  <c r="BB1553" i="10" a="1"/>
  <c r="BB1014" i="10" a="1"/>
  <c r="BB1473" i="10" a="1"/>
  <c r="BB539" i="10" a="1"/>
  <c r="BB381" i="10" a="1"/>
  <c r="BB384" i="10" a="1"/>
  <c r="BB67" i="10" a="1"/>
  <c r="BB672" i="10" a="1"/>
  <c r="BB329" i="10" a="1"/>
  <c r="BB1084" i="10" a="1"/>
  <c r="BB415" i="10" a="1"/>
  <c r="BB285" i="10" a="1"/>
  <c r="BB374" i="10" a="1"/>
  <c r="BB56" i="10" a="1"/>
  <c r="BB1050" i="10" a="1"/>
  <c r="BB731" i="10" a="1"/>
  <c r="BB545" i="10" a="1"/>
  <c r="BB1911" i="10" a="1"/>
  <c r="BB1304" i="10" a="1"/>
  <c r="BB1029" i="10" a="1"/>
  <c r="BB419" i="10" a="1"/>
  <c r="BB842" i="10" a="1"/>
  <c r="BB116" i="10" a="1"/>
  <c r="BB310" i="10" a="1"/>
  <c r="BB66" i="10" a="1"/>
  <c r="BB532" i="10" a="1"/>
  <c r="BB348" i="10" a="1"/>
  <c r="BB1813" i="10" a="1"/>
  <c r="BB1067" i="10" a="1"/>
  <c r="BB621" i="10" a="1"/>
  <c r="BB416" i="10" a="1"/>
  <c r="BB1079" i="10" a="1"/>
  <c r="BB1540" i="10" a="1"/>
  <c r="BB1040" i="10" a="1"/>
  <c r="BB1932" i="10" a="1"/>
  <c r="BB1754" i="10" a="1"/>
  <c r="BB132" i="10" a="1"/>
  <c r="BB779" i="10" a="1"/>
  <c r="BB662" i="10" a="1"/>
  <c r="BB313" i="10" a="1"/>
  <c r="BB403" i="10" a="1"/>
  <c r="BB702" i="10" a="1"/>
  <c r="BB108" i="10" a="1"/>
  <c r="BB461" i="10" a="1"/>
  <c r="BB607" i="10" a="1"/>
  <c r="BB1069" i="10" a="1"/>
  <c r="BB590" i="10" a="1"/>
  <c r="BB734" i="10" a="1"/>
  <c r="BB1647" i="10" a="1"/>
  <c r="BB1943" i="10" a="1"/>
  <c r="BB31" i="10" a="1"/>
  <c r="BB1534" i="10" a="1"/>
  <c r="BB1926" i="10" a="1"/>
  <c r="BB1330" i="10" a="1"/>
  <c r="BB1208" i="10" a="1"/>
  <c r="BB98" i="9" a="1"/>
  <c r="BB1366" i="10" a="1"/>
  <c r="BB1810" i="10" a="1"/>
  <c r="BB715" i="9" a="1"/>
  <c r="BB595" i="9" a="1"/>
  <c r="BB843" i="9" a="1"/>
  <c r="BB1914" i="10" a="1"/>
  <c r="BB763" i="9" a="1"/>
  <c r="BB1415" i="10" a="1"/>
  <c r="BB838" i="10" a="1"/>
  <c r="BB1442" i="10" a="1"/>
  <c r="BB1912" i="10" a="1"/>
  <c r="BB1463" i="10" a="1"/>
  <c r="BB1729" i="10" a="1"/>
  <c r="BB1941" i="10" a="1"/>
  <c r="BB597" i="9" a="1"/>
  <c r="BB521" i="9" a="1"/>
  <c r="BB556" i="9" a="1"/>
  <c r="BB197" i="9" a="1"/>
  <c r="BB455" i="9" a="1"/>
  <c r="BB1961" i="10" a="1"/>
  <c r="BB435" i="9" a="1"/>
  <c r="BB55" i="9" a="1"/>
  <c r="BB1254" i="9" a="1"/>
  <c r="BB1601" i="9" a="1"/>
  <c r="BB1004" i="10" a="1"/>
  <c r="BB603" i="9" a="1"/>
  <c r="BB1445" i="10" a="1"/>
  <c r="BB1970" i="10" a="1"/>
  <c r="BB1641" i="10" a="1"/>
  <c r="BB1878" i="10" a="1"/>
  <c r="BB448" i="9" a="1"/>
  <c r="BB1964" i="10" a="1"/>
  <c r="BB616" i="9" a="1"/>
  <c r="BB818" i="10" a="1"/>
  <c r="BB1311" i="10" a="1"/>
  <c r="BB1438" i="10" a="1"/>
  <c r="BB1732" i="10" a="1"/>
  <c r="BB1169" i="10" a="1"/>
  <c r="BB648" i="9" a="1"/>
  <c r="BB577" i="9" a="1"/>
  <c r="BB472" i="9" a="1"/>
  <c r="BB453" i="9" a="1"/>
  <c r="BB191" i="9" a="1"/>
  <c r="BB886" i="10" a="1"/>
  <c r="BB1994" i="10" a="1"/>
  <c r="BB1099" i="10" a="1"/>
  <c r="BB1075" i="10" a="1"/>
  <c r="BB1350" i="10" a="1"/>
  <c r="BB416" i="9" a="1"/>
  <c r="BB1762" i="10" a="1"/>
  <c r="BB797" i="9" a="1"/>
  <c r="BB282" i="9" a="1"/>
  <c r="BB518" i="10" a="1"/>
  <c r="BB1362" i="10" a="1"/>
  <c r="BB1093" i="10" a="1"/>
  <c r="BB579" i="10" a="1"/>
  <c r="BB1220" i="10" a="1"/>
  <c r="BB498" i="9" a="1"/>
  <c r="BB610" i="9" a="1"/>
  <c r="BB1127" i="10" a="1"/>
  <c r="BB327" i="9" a="1"/>
  <c r="BB1599" i="10" a="1"/>
  <c r="BB405" i="9" a="1"/>
  <c r="BB1527" i="10" a="1"/>
  <c r="BB1016" i="9" a="1"/>
  <c r="BB863" i="9" a="1"/>
  <c r="BB198" i="9" a="1"/>
  <c r="BB1447" i="9" a="1"/>
  <c r="BB1301" i="10" a="1"/>
  <c r="BB263" i="10" a="1"/>
  <c r="BB154" i="10" a="1"/>
  <c r="BB649" i="10" a="1"/>
  <c r="BB828" i="10" a="1"/>
  <c r="BB199" i="10" a="1"/>
  <c r="BB1000" i="10" a="1"/>
  <c r="BB118" i="10" a="1"/>
  <c r="BB964" i="10" a="1"/>
  <c r="BB215" i="10" a="1"/>
  <c r="BB1171" i="10" a="1"/>
  <c r="BB373" i="10" a="1"/>
  <c r="BB876" i="10" a="1"/>
  <c r="BB530" i="10" a="1"/>
  <c r="BB159" i="10" a="1"/>
  <c r="BB1363" i="10" a="1"/>
  <c r="BB204" i="10" a="1"/>
  <c r="BB922" i="10" a="1"/>
  <c r="BB616" i="10" a="1"/>
  <c r="BB1326" i="10" a="1"/>
  <c r="BB21" i="9" a="1"/>
  <c r="BB1457" i="10" a="1"/>
  <c r="BB1564" i="10" a="1"/>
  <c r="BB193" i="10" a="1"/>
  <c r="BB889" i="10" a="1"/>
  <c r="BB304" i="10" a="1"/>
  <c r="BB20" i="10" a="1"/>
  <c r="BB426" i="10" a="1"/>
  <c r="BB811" i="10" a="1"/>
  <c r="BB620" i="10" a="1"/>
  <c r="BB308" i="10" a="1"/>
  <c r="BB867" i="10" a="1"/>
  <c r="BB949" i="10" a="1"/>
  <c r="BB570" i="10" a="1"/>
  <c r="BB1597" i="10" a="1"/>
  <c r="BB1965" i="10" a="1"/>
  <c r="BB1384" i="10" a="1"/>
  <c r="BB1087" i="10" a="1"/>
  <c r="BB503" i="9" a="1"/>
  <c r="BB799" i="10" a="1"/>
  <c r="BB752" i="10" a="1"/>
  <c r="BB567" i="10" a="1"/>
  <c r="BB17" i="10" a="1"/>
  <c r="BB138" i="10" a="1"/>
  <c r="BB721" i="10" a="1"/>
  <c r="BB1324" i="10" a="1"/>
  <c r="BB1404" i="10" a="1"/>
  <c r="BB638" i="10" a="1"/>
  <c r="BB594" i="10" a="1"/>
  <c r="BB1284" i="10" a="1"/>
  <c r="BB1604" i="10" a="1"/>
  <c r="BB850" i="10" a="1"/>
  <c r="BB1233" i="10" a="1"/>
  <c r="BB740" i="10" a="1"/>
  <c r="BB1886" i="10" a="1"/>
  <c r="BB1645" i="10" a="1"/>
  <c r="BB837" i="10" a="1"/>
  <c r="BB1023" i="10" a="1"/>
  <c r="BB1632" i="10" a="1"/>
  <c r="BB921" i="9" a="1"/>
  <c r="BB179" i="9" a="1"/>
  <c r="BB776" i="9" a="1"/>
  <c r="BB431" i="9" a="1"/>
  <c r="BB682" i="9" a="1"/>
  <c r="BB1512" i="10" a="1"/>
  <c r="BB696" i="9" a="1"/>
  <c r="BB401" i="9" a="1"/>
  <c r="BB1665" i="10" a="1"/>
  <c r="BB982" i="9" a="1"/>
  <c r="BB1715" i="10" a="1"/>
  <c r="BB1568" i="10" a="1"/>
  <c r="BB1593" i="10" a="1"/>
  <c r="BB609" i="9" a="1"/>
  <c r="BB391" i="9" a="1"/>
  <c r="BB1802" i="10" a="1"/>
  <c r="BB276" i="9" a="1"/>
  <c r="BB1450" i="10" a="1"/>
  <c r="BB148" i="9" a="1"/>
  <c r="BB1836" i="10" a="1"/>
  <c r="BB248" i="9" a="1"/>
  <c r="BB1969" i="10" a="1"/>
  <c r="BB190" i="9" a="1"/>
  <c r="BB515" i="9" a="1"/>
  <c r="BB1968" i="10" a="1"/>
  <c r="BB891" i="10" a="1"/>
  <c r="BB1737" i="10" a="1"/>
  <c r="BB1757" i="10" a="1"/>
  <c r="BB1695" i="10" a="1"/>
  <c r="BB1667" i="10" a="1"/>
  <c r="BB37" i="9" a="1"/>
  <c r="BB639" i="9" a="1"/>
  <c r="BB419" i="9" a="1"/>
  <c r="BB1165" i="10" a="1"/>
  <c r="BB6" i="9" a="1"/>
  <c r="BB1371" i="10" a="1"/>
  <c r="BB1896" i="10" a="1"/>
  <c r="BB1458" i="10" a="1"/>
  <c r="BB91" i="9" a="1"/>
  <c r="BB792" i="9" a="1"/>
  <c r="BB766" i="9" a="1"/>
  <c r="BB1893" i="10" a="1"/>
  <c r="BB85" i="9" a="1"/>
  <c r="BB814" i="10" a="1"/>
  <c r="BB202" i="9" a="1"/>
  <c r="BB1493" i="10" a="1"/>
  <c r="BB1605" i="10" a="1"/>
  <c r="BB1694" i="10" a="1"/>
  <c r="BB75" i="9" a="1"/>
  <c r="BB881" i="9" a="1"/>
  <c r="BB1973" i="10" a="1"/>
  <c r="BB279" i="9" a="1"/>
  <c r="BB1541" i="10" a="1"/>
  <c r="BB1773" i="10" a="1"/>
  <c r="BB1601" i="10" a="1"/>
  <c r="BB1668" i="10" a="1"/>
  <c r="BB1734" i="10" a="1"/>
  <c r="BB186" i="9" a="1"/>
  <c r="BB73" i="9" a="1"/>
  <c r="BB1480" i="10" a="1"/>
  <c r="BB317" i="9" a="1"/>
  <c r="BB1752" i="10" a="1"/>
  <c r="BB153" i="9" a="1"/>
  <c r="BB251" i="9" a="1"/>
  <c r="BB660" i="9" a="1"/>
  <c r="BB1763" i="10" a="1"/>
  <c r="BB329" i="9" a="1"/>
  <c r="BB1730" i="9" a="1"/>
  <c r="BB139" i="10" a="1"/>
  <c r="BB474" i="10" a="1"/>
  <c r="BB1962" i="10" a="1"/>
  <c r="BB1852" i="10" a="1"/>
  <c r="BB998" i="10" a="1"/>
  <c r="BB719" i="10" a="1"/>
  <c r="BB733" i="10" a="1"/>
  <c r="BB1112" i="10" a="1"/>
  <c r="BB1323" i="10" a="1"/>
  <c r="BB169" i="10" a="1"/>
  <c r="BB463" i="10" a="1"/>
  <c r="BB133" i="10" a="1"/>
  <c r="BB973" i="10" a="1"/>
  <c r="BB35" i="10" a="1"/>
  <c r="BB1860" i="10" a="1"/>
  <c r="BB985" i="10" a="1"/>
  <c r="BB1355" i="10" a="1"/>
  <c r="BB646" i="10" a="1"/>
  <c r="BB1289" i="10" a="1"/>
  <c r="BB1382" i="10" a="1"/>
  <c r="BB14" i="9" a="1"/>
  <c r="BB1791" i="10" a="1"/>
  <c r="BB494" i="10" a="1"/>
  <c r="BB203" i="10" a="1"/>
  <c r="BB469" i="10" a="1"/>
  <c r="BB371" i="10" a="1"/>
  <c r="BB143" i="10" a="1"/>
  <c r="BB59" i="10" a="1"/>
  <c r="BB807" i="10" a="1"/>
  <c r="BB1196" i="10" a="1"/>
  <c r="BB1042" i="10" a="1"/>
  <c r="BB502" i="10" a="1"/>
  <c r="BB739" i="10" a="1"/>
  <c r="BB1045" i="10" a="1"/>
  <c r="BB909" i="10" a="1"/>
  <c r="BB1287" i="10" a="1"/>
  <c r="BB1704" i="10" a="1"/>
  <c r="BB1468" i="10" a="1"/>
  <c r="BB137" i="10" a="1"/>
  <c r="BB289" i="10" a="1"/>
  <c r="BB291" i="10" a="1"/>
  <c r="BB357" i="10" a="1"/>
  <c r="BB537" i="10" a="1"/>
  <c r="BB390" i="10" a="1"/>
  <c r="BB933" i="10" a="1"/>
  <c r="BB507" i="10" a="1"/>
  <c r="BB256" i="10" a="1"/>
  <c r="BB785" i="10" a="1"/>
  <c r="BB1322" i="10" a="1"/>
  <c r="BB1144" i="10" a="1"/>
  <c r="BB1361" i="10" a="1"/>
  <c r="BB935" i="10" a="1"/>
  <c r="BB863" i="10" a="1"/>
  <c r="BB1623" i="10" a="1"/>
  <c r="BB1425" i="10" a="1"/>
  <c r="BB1300" i="10" a="1"/>
  <c r="BB1439" i="10" a="1"/>
  <c r="BB220" i="9" a="1"/>
  <c r="BB566" i="9" a="1"/>
  <c r="BB812" i="9" a="1"/>
  <c r="BB92" i="9" a="1"/>
  <c r="BB178" i="9" a="1"/>
  <c r="BB318" i="9" a="1"/>
  <c r="BB811" i="9" a="1"/>
  <c r="BB496" i="9" a="1"/>
  <c r="BB209" i="9" a="1"/>
  <c r="BB1955" i="10" a="1"/>
  <c r="BB1026" i="10" a="1"/>
  <c r="BB1570" i="10" a="1"/>
  <c r="BB1343" i="10" a="1"/>
  <c r="BB1655" i="10" a="1"/>
  <c r="BB542" i="9" a="1"/>
  <c r="BB322" i="9" a="1"/>
  <c r="BB527" i="9" a="1"/>
  <c r="BB375" i="9" a="1"/>
  <c r="BB782" i="9" a="1"/>
  <c r="BB266" i="9" a="1"/>
  <c r="BB1620" i="10" a="1"/>
  <c r="BB23" i="9" a="1"/>
  <c r="BB1391" i="10" a="1"/>
  <c r="BB1553" i="9" a="1"/>
  <c r="BB79" i="10" a="1"/>
  <c r="BB1191" i="10" a="1"/>
  <c r="BB1232" i="10" a="1"/>
  <c r="BB854" i="10" a="1"/>
  <c r="BB1490" i="10" a="1"/>
  <c r="BB712" i="9" a="1"/>
  <c r="BB634" i="9" a="1"/>
  <c r="BB316" i="9" a="1"/>
  <c r="BB599" i="9" a="1"/>
  <c r="BB1434" i="10" a="1"/>
  <c r="BB1948" i="10" a="1"/>
  <c r="BB1137" i="10" a="1"/>
  <c r="BB1712" i="10" a="1"/>
  <c r="BB1870" i="10" a="1"/>
  <c r="BB1696" i="10" a="1"/>
  <c r="BB134" i="9" a="1"/>
  <c r="BB464" i="9" a="1"/>
  <c r="BB444" i="9" a="1"/>
  <c r="BB242" i="9" a="1"/>
  <c r="BB1004" i="9" a="1"/>
  <c r="BB1245" i="10" a="1"/>
  <c r="BB1114" i="10" a="1"/>
  <c r="BB1360" i="10" a="1"/>
  <c r="BB28" i="9" a="1"/>
  <c r="BB483" i="9" a="1"/>
  <c r="BB182" i="9" a="1"/>
  <c r="BB532" i="9" a="1"/>
  <c r="BB287" i="9" a="1"/>
  <c r="BB968" i="9" a="1"/>
  <c r="BB875" i="10" a="1"/>
  <c r="BB12" i="9" a="1"/>
  <c r="BB1827" i="10" a="1"/>
  <c r="BB791" i="10" a="1"/>
  <c r="BB1525" i="10" a="1"/>
  <c r="BB311" i="9" a="1"/>
  <c r="BB24" i="9" a="1"/>
  <c r="BB1690" i="10" a="1"/>
  <c r="BB889" i="9" a="1"/>
  <c r="BB635" i="9" a="1"/>
  <c r="BB278" i="9" a="1"/>
  <c r="BB856" i="9" a="1"/>
  <c r="BB748" i="9" a="1"/>
  <c r="BB666" i="9" a="1"/>
  <c r="BB478" i="9" a="1"/>
  <c r="BB1579" i="9" a="1"/>
  <c r="BB1830" i="10" a="1"/>
  <c r="BB9" i="10" a="1"/>
  <c r="BB604" i="10" a="1"/>
  <c r="BB395" i="10" a="1"/>
  <c r="BB703" i="10" a="1"/>
  <c r="BB179" i="10" a="1"/>
  <c r="BB1155" i="10" a="1"/>
  <c r="BB5" i="10" a="1"/>
  <c r="BB1308" i="10" a="1"/>
  <c r="BB595" i="10" a="1"/>
  <c r="BB938" i="10" a="1"/>
  <c r="BB1065" i="10" a="1"/>
  <c r="BB856" i="10" a="1"/>
  <c r="BB981" i="10" a="1"/>
  <c r="BB277" i="10" a="1"/>
  <c r="BB1844" i="10" a="1"/>
  <c r="BB691" i="10" a="1"/>
  <c r="BB442" i="10" a="1"/>
  <c r="BB858" i="10" a="1"/>
  <c r="BB1470" i="10" a="1"/>
  <c r="BB1841" i="10" a="1"/>
  <c r="BB1769" i="10" a="1"/>
  <c r="BB159" i="9" a="1"/>
  <c r="BB593" i="10" a="1"/>
  <c r="BB57" i="10" a="1"/>
  <c r="BB1154" i="10" a="1"/>
  <c r="BB217" i="10" a="1"/>
  <c r="BB89" i="10" a="1"/>
  <c r="BB1083" i="10" a="1"/>
  <c r="BB723" i="10" a="1"/>
  <c r="BB1015" i="10" a="1"/>
  <c r="BB865" i="10" a="1"/>
  <c r="BB784" i="10" a="1"/>
  <c r="BB806" i="10" a="1"/>
  <c r="BB1788" i="10" a="1"/>
  <c r="BB1328" i="10" a="1"/>
  <c r="BB200" i="9" a="1"/>
  <c r="BB1393" i="10" a="1"/>
  <c r="BB831" i="10" a="1"/>
  <c r="BB477" i="10" a="1"/>
  <c r="BB497" i="10" a="1"/>
  <c r="BB119" i="10" a="1"/>
  <c r="BB659" i="10" a="1"/>
  <c r="BB572" i="10" a="1"/>
  <c r="BB504" i="10" a="1"/>
  <c r="BB921" i="10" a="1"/>
  <c r="BB318" i="10" a="1"/>
  <c r="BB919" i="10" a="1"/>
  <c r="BB1443" i="10" a="1"/>
  <c r="BB902" i="10" a="1"/>
  <c r="BB823" i="10" a="1"/>
  <c r="BB1149" i="10" a="1"/>
  <c r="BB980" i="10" a="1"/>
  <c r="BB1299" i="10" a="1"/>
  <c r="BB1890" i="10" a="1"/>
  <c r="BB1547" i="10" a="1"/>
  <c r="BB1784" i="10" a="1"/>
  <c r="BB1559" i="10" a="1"/>
  <c r="BB537" i="9" a="1"/>
  <c r="BB438" i="9" a="1"/>
  <c r="BB434" i="9" a="1"/>
  <c r="BB236" i="9" a="1"/>
  <c r="BB221" i="9" a="1"/>
  <c r="BB108" i="9" a="1"/>
  <c r="BB1617" i="10" a="1"/>
  <c r="BB310" i="9" a="1"/>
  <c r="BB657" i="10" a="1"/>
  <c r="BB1390" i="10" a="1"/>
  <c r="BB1237" i="10" a="1"/>
  <c r="BB1053" i="10" a="1"/>
  <c r="BB1117" i="10" a="1"/>
  <c r="BB140" i="9" a="1"/>
  <c r="BB1991" i="10" a="1"/>
  <c r="BB1850" i="10" a="1"/>
  <c r="BB207" i="9" a="1"/>
  <c r="BB939" i="9" a="1"/>
  <c r="BB113" i="9" a="1"/>
  <c r="BB40" i="9" a="1"/>
  <c r="BB1622" i="10" a="1"/>
  <c r="BB1776" i="10" a="1"/>
  <c r="BB443" i="9" a="1"/>
  <c r="BB1367" i="9" a="1"/>
  <c r="BB873" i="10" a="1"/>
  <c r="BB992" i="10" a="1"/>
  <c r="BB1576" i="10" a="1"/>
  <c r="BB1317" i="10" a="1"/>
  <c r="BB1291" i="10" a="1"/>
  <c r="BB308" i="9" a="1"/>
  <c r="BB732" i="9" a="1"/>
  <c r="BB78" i="9" a="1"/>
  <c r="BB395" i="9" a="1"/>
  <c r="BB998" i="9" a="1"/>
  <c r="BB436" i="10" a="1"/>
  <c r="BB1697" i="10" a="1"/>
  <c r="BB1401" i="10" a="1"/>
  <c r="BB1296" i="10" a="1"/>
  <c r="BB1203" i="10" a="1"/>
  <c r="BB29" i="9" a="1"/>
  <c r="BB724" i="9" a="1"/>
  <c r="BB1842" i="10" a="1"/>
  <c r="BB963" i="9" a="1"/>
  <c r="BB460" i="10" a="1"/>
  <c r="BB1255" i="10" a="1"/>
  <c r="BB1578" i="10" a="1"/>
  <c r="BB1706" i="10" a="1"/>
  <c r="BB1832" i="10" a="1"/>
  <c r="BB30" i="9" a="1"/>
  <c r="BB1856" i="10" a="1"/>
  <c r="BB1686" i="10" a="1"/>
  <c r="BB988" i="9" a="1"/>
  <c r="BB548" i="9" a="1"/>
  <c r="BB546" i="10" a="1"/>
  <c r="BB1506" i="10" a="1"/>
  <c r="BB1708" i="10" a="1"/>
  <c r="BB1126" i="10" a="1"/>
  <c r="BB1210" i="10" a="1"/>
  <c r="BB625" i="9" a="1"/>
  <c r="BB1945" i="10" a="1"/>
  <c r="BB1530" i="10" a="1"/>
  <c r="BB688" i="9" a="1"/>
  <c r="BB538" i="9" a="1"/>
  <c r="BB560" i="9" a="1"/>
  <c r="BB519" i="9" a="1"/>
  <c r="BB267" i="9" a="1"/>
  <c r="BB354" i="9" a="1"/>
  <c r="BB147" i="9" a="1"/>
  <c r="BB701" i="10" a="1"/>
  <c r="BB1606" i="10" a="1"/>
  <c r="BB930" i="10" a="1"/>
  <c r="BB408" i="10" a="1"/>
  <c r="BB1680" i="10" a="1"/>
  <c r="BB144" i="10" a="1"/>
  <c r="BB1058" i="10" a="1"/>
  <c r="BB1628" i="10" a="1"/>
  <c r="BB1595" i="10" a="1"/>
  <c r="BB761" i="9" a="1"/>
  <c r="BB895" i="10" a="1"/>
  <c r="BB461" i="9" a="1"/>
  <c r="BB1173" i="10" a="1"/>
  <c r="BB663" i="10" a="1"/>
  <c r="BB156" i="9" a="1"/>
  <c r="BB1258" i="10" a="1"/>
  <c r="BB1572" i="10" a="1"/>
  <c r="BB605" i="9" a="1"/>
  <c r="BB1051" i="10" a="1"/>
  <c r="BB1320" i="10" a="1"/>
  <c r="BB1585" i="10" a="1"/>
  <c r="BB1876" i="10" a="1"/>
  <c r="BB131" i="9" a="1"/>
  <c r="BB1949" i="10" a="1"/>
  <c r="BB1958" i="10" a="1"/>
  <c r="BB175" i="9" a="1"/>
  <c r="BB644" i="9" a="1"/>
  <c r="BB315" i="9" a="1"/>
  <c r="BB619" i="9" a="1"/>
  <c r="BB427" i="9" a="1"/>
  <c r="BB670" i="9" a="1"/>
  <c r="BB630" i="9" a="1"/>
  <c r="BB1450" i="9" a="1"/>
  <c r="BB1216" i="10" a="1"/>
  <c r="BB1528" i="10" a="1"/>
  <c r="BB1353" i="10" a="1"/>
  <c r="BB1337" i="10" a="1"/>
  <c r="BB139" i="9" a="1"/>
  <c r="BB81" i="9" a="1"/>
  <c r="BB1557" i="10" a="1"/>
  <c r="BB473" i="9" a="1"/>
  <c r="BB285" i="9" a="1"/>
  <c r="BB1086" i="10" a="1"/>
  <c r="BB157" i="9" a="1"/>
  <c r="BB1466" i="10" a="1"/>
  <c r="BB653" i="9" a="1"/>
  <c r="BB908" i="10" a="1"/>
  <c r="BB1019" i="10" a="1"/>
  <c r="BB1116" i="10" a="1"/>
  <c r="BB1219" i="10" a="1"/>
  <c r="BB1574" i="10" a="1"/>
  <c r="BB880" i="9" a="1"/>
  <c r="BB756" i="9" a="1"/>
  <c r="BB746" i="9" a="1"/>
  <c r="BB545" i="9" a="1"/>
  <c r="BB234" i="9" a="1"/>
  <c r="BB1829" i="10" a="1"/>
  <c r="BB652" i="10" a="1"/>
  <c r="BB1660" i="10" a="1"/>
  <c r="BB1089" i="10" a="1"/>
  <c r="BB38" i="9" a="1"/>
  <c r="BB525" i="9" a="1"/>
  <c r="BB383" i="9" a="1"/>
  <c r="BB330" i="9" a="1"/>
  <c r="BB1120" i="10" a="1"/>
  <c r="BB728" i="10" a="1"/>
  <c r="BB1047" i="10" a="1"/>
  <c r="BB1181" i="10" a="1"/>
  <c r="BB1246" i="10" a="1"/>
  <c r="BB1883" i="10" a="1"/>
  <c r="BB1400" i="10" a="1"/>
  <c r="BB1930" i="10" a="1"/>
  <c r="BB1548" i="10" a="1"/>
  <c r="BB268" i="9" a="1"/>
  <c r="BB117" i="9" a="1"/>
  <c r="BB1123" i="10" a="1"/>
  <c r="BB1613" i="10" a="1"/>
  <c r="BB1386" i="10" a="1"/>
  <c r="BB1297" i="10" a="1"/>
  <c r="BB1614" i="10" a="1"/>
  <c r="BB1440" i="10" a="1"/>
  <c r="BB1981" i="10" a="1"/>
  <c r="BB1770" i="10" a="1"/>
  <c r="BB588" i="9" a="1"/>
  <c r="BB250" i="9" a="1"/>
  <c r="BB590" i="9" a="1"/>
  <c r="BB1874" i="10" a="1"/>
  <c r="BB636" i="9" a="1"/>
  <c r="BB1736" i="10" a="1"/>
  <c r="BB901" i="9" a="1"/>
  <c r="BB969" i="9" a="1"/>
  <c r="BB819" i="9" a="1"/>
  <c r="BB1489" i="10" a="1"/>
  <c r="BB1726" i="9" a="1"/>
  <c r="BB1264" i="9" a="1"/>
  <c r="BB722" i="9" a="1"/>
  <c r="BB1968" i="9" a="1"/>
  <c r="BB369" i="9" a="1"/>
  <c r="BB1048" i="9" a="1"/>
  <c r="BB1486" i="9" a="1"/>
  <c r="BB497" i="9" a="1"/>
  <c r="BB1012" i="9" a="1"/>
  <c r="BB1675" i="9" a="1"/>
  <c r="BB1382" i="9" a="1"/>
  <c r="BB124" i="9" a="1"/>
  <c r="BB398" i="9" a="1"/>
  <c r="BB440" i="9" a="1"/>
  <c r="BB509" i="9" a="1"/>
  <c r="BB1698" i="9" a="1"/>
  <c r="BB1600" i="9" a="1"/>
  <c r="BB1482" i="9" a="1"/>
  <c r="BB1410" i="9" a="1"/>
  <c r="BB1652" i="9" a="1"/>
  <c r="BB1579" i="10" a="1"/>
  <c r="BB465" i="9" a="1"/>
  <c r="BB470" i="9" a="1"/>
  <c r="BB1227" i="9" a="1"/>
  <c r="BB677" i="9" a="1"/>
  <c r="BB1543" i="9" a="1"/>
  <c r="BB1785" i="9" a="1"/>
  <c r="BB1037" i="9" a="1"/>
  <c r="BB1663" i="9" a="1"/>
  <c r="BB235" i="9" a="1"/>
  <c r="BB252" i="9" a="1"/>
  <c r="BB1643" i="10" a="1"/>
  <c r="BB1935" i="9" a="1"/>
  <c r="BB1866" i="9" a="1"/>
  <c r="BB1620" i="9" a="1"/>
  <c r="BB1228" i="9" a="1"/>
  <c r="BB309" i="10" a="1"/>
  <c r="BB515" i="10" a="1"/>
  <c r="BB1354" i="10" a="1"/>
  <c r="BB624" i="10" a="1"/>
  <c r="BB1131" i="10" a="1"/>
  <c r="BB428" i="10" a="1"/>
  <c r="BB360" i="10" a="1"/>
  <c r="BB490" i="9" a="1"/>
  <c r="BB1260" i="10" a="1"/>
  <c r="BB479" i="9" a="1"/>
  <c r="BB1885" i="10" a="1"/>
  <c r="BB1979" i="10" a="1"/>
  <c r="BB39" i="10" a="1"/>
  <c r="BB213" i="9" a="1"/>
  <c r="BB1449" i="10" a="1"/>
  <c r="BB654" i="9" a="1"/>
  <c r="BB1720" i="10" a="1"/>
  <c r="BB1735" i="10" a="1"/>
  <c r="BB1598" i="10" a="1"/>
  <c r="BB97" i="9" a="1"/>
  <c r="BB956" i="9" a="1"/>
  <c r="BB1465" i="10" a="1"/>
  <c r="BB164" i="9" a="1"/>
  <c r="BB971" i="9" a="1"/>
  <c r="BB1554" i="10" a="1"/>
  <c r="BB876" i="9" a="1"/>
  <c r="BB1626" i="10" a="1"/>
  <c r="BB294" i="9" a="1"/>
  <c r="BB1793" i="10" a="1"/>
  <c r="BB1640" i="9" a="1"/>
  <c r="BB1748" i="9" a="1"/>
  <c r="BB926" i="10" a="1"/>
  <c r="BB1157" i="10" a="1"/>
  <c r="BB1342" i="10" a="1"/>
  <c r="BB1639" i="10" a="1"/>
  <c r="BB1374" i="10" a="1"/>
  <c r="BB945" i="9" a="1"/>
  <c r="BB539" i="9" a="1"/>
  <c r="BB1664" i="10" a="1"/>
  <c r="BB1014" i="9" a="1"/>
  <c r="BB1276" i="10" a="1"/>
  <c r="BB927" i="9" a="1"/>
  <c r="BB1992" i="10" a="1"/>
  <c r="BB423" i="9" a="1"/>
  <c r="BB1168" i="10" a="1"/>
  <c r="BB1998" i="10" a="1"/>
  <c r="BB1838" i="10" a="1"/>
  <c r="BB1775" i="10" a="1"/>
  <c r="BB1602" i="10" a="1"/>
  <c r="BB1648" i="10" a="1"/>
  <c r="BB716" i="9" a="1"/>
  <c r="BB685" i="9" a="1"/>
  <c r="BB1417" i="10" a="1"/>
  <c r="BB617" i="10" a="1"/>
  <c r="BB1334" i="10" a="1"/>
  <c r="BB1214" i="10" a="1"/>
  <c r="BB1636" i="10" a="1"/>
  <c r="BB1563" i="10" a="1"/>
  <c r="BB516" i="9" a="1"/>
  <c r="BB1919" i="10" a="1"/>
  <c r="BB1039" i="10" a="1"/>
  <c r="BB226" i="9" a="1"/>
  <c r="BB651" i="9" a="1"/>
  <c r="BB970" i="10" a="1"/>
  <c r="BB1138" i="10" a="1"/>
  <c r="BB1151" i="10" a="1"/>
  <c r="BB650" i="10" a="1"/>
  <c r="BB1566" i="10" a="1"/>
  <c r="BB862" i="9" a="1"/>
  <c r="BB485" i="9" a="1"/>
  <c r="BB652" i="9" a="1"/>
  <c r="BB31" i="9" a="1"/>
  <c r="BB931" i="9" a="1"/>
  <c r="BB597" i="10" a="1"/>
  <c r="BB1288" i="10" a="1"/>
  <c r="BB1092" i="10" a="1"/>
  <c r="BB677" i="10" a="1"/>
  <c r="BB1141" i="10" a="1"/>
  <c r="BB1880" i="10" a="1"/>
  <c r="BB767" i="9" a="1"/>
  <c r="BB942" i="9" a="1"/>
  <c r="BB389" i="9" a="1"/>
  <c r="BB247" i="9" a="1"/>
  <c r="BB396" i="9" a="1"/>
  <c r="BB830" i="9" a="1"/>
  <c r="BB349" i="9" a="1"/>
  <c r="BB272" i="9" a="1"/>
  <c r="BB725" i="9" a="1"/>
  <c r="BB1011" i="9" a="1"/>
  <c r="BB418" i="9" a="1"/>
  <c r="BB249" i="9" a="1"/>
  <c r="BB908" i="9" a="1"/>
  <c r="BB973" i="9" a="1"/>
  <c r="BB513" i="9" a="1"/>
  <c r="BB1220" i="9" a="1"/>
  <c r="BB1645" i="9" a="1"/>
  <c r="BB293" i="9" a="1"/>
  <c r="BB559" i="9" a="1"/>
  <c r="BB127" i="9" a="1"/>
  <c r="BB1879" i="9" a="1"/>
  <c r="BB1686" i="9" a="1"/>
  <c r="BB415" i="7" a="1"/>
  <c r="BB860" i="9" a="1"/>
  <c r="BB262" i="9" a="1"/>
  <c r="BB705" i="9" a="1"/>
  <c r="BB1691" i="9" a="1"/>
  <c r="BB61" i="9" a="1"/>
  <c r="BB1117" i="9" a="1"/>
  <c r="BB815" i="9" a="1"/>
  <c r="BB1463" i="9" a="1"/>
  <c r="BB1903" i="9" a="1"/>
  <c r="BB193" i="9" a="1"/>
  <c r="BB752" i="9" a="1"/>
  <c r="BB1635" i="10" a="1"/>
  <c r="BB1518" i="9" a="1"/>
  <c r="BB1614" i="9" a="1"/>
  <c r="BB1314" i="9" a="1"/>
  <c r="BB1886" i="9" a="1"/>
  <c r="BB379" i="9" a="1"/>
  <c r="BB1466" i="9" a="1"/>
  <c r="BB1999" i="10" a="1"/>
  <c r="BB1691" i="10" a="1"/>
  <c r="BB273" i="9" a="1"/>
  <c r="BB1385" i="9" a="1"/>
  <c r="BB905" i="9" a="1"/>
  <c r="BB1658" i="9" a="1"/>
  <c r="BB993" i="9" a="1"/>
  <c r="BB165" i="9" a="1"/>
  <c r="BB1161" i="9" a="1"/>
  <c r="BB238" i="9" a="1"/>
  <c r="BB829" i="9" a="1"/>
  <c r="BB1113" i="9" a="1"/>
  <c r="BB1685" i="10" a="1"/>
  <c r="BB266" i="10" a="1"/>
  <c r="BB1963" i="10" a="1"/>
  <c r="BB906" i="10" a="1"/>
  <c r="BB1777" i="10" a="1"/>
  <c r="BB559" i="10" a="1"/>
  <c r="BB1895" i="10" a="1"/>
  <c r="BB245" i="9" a="1"/>
  <c r="BB1640" i="10" a="1"/>
  <c r="BB1538" i="10" a="1"/>
  <c r="BB1345" i="10" a="1"/>
  <c r="BB1364" i="10" a="1"/>
  <c r="BB1913" i="10" a="1"/>
  <c r="BB1543" i="10" a="1"/>
  <c r="BB1803" i="10" a="1"/>
  <c r="BB1381" i="10" a="1"/>
  <c r="BB870" i="9" a="1"/>
  <c r="BB1339" i="10" a="1"/>
  <c r="BB1499" i="10" a="1"/>
  <c r="BB1857" i="10" a="1"/>
  <c r="BB788" i="9" a="1"/>
  <c r="BB695" i="9" a="1"/>
  <c r="BB1933" i="10" a="1"/>
  <c r="BB575" i="9" a="1"/>
  <c r="BB1821" i="10" a="1"/>
  <c r="BB842" i="9" a="1"/>
  <c r="BB1430" i="10" a="1"/>
  <c r="BB297" i="9" a="1"/>
  <c r="BB925" i="9" a="1"/>
  <c r="BB1437" i="9" a="1"/>
  <c r="BB1786" i="9" a="1"/>
  <c r="BB1716" i="10" a="1"/>
  <c r="BB1721" i="10" a="1"/>
  <c r="BB1467" i="10" a="1"/>
  <c r="BB1464" i="10" a="1"/>
  <c r="BB534" i="9" a="1"/>
  <c r="BB721" i="9" a="1"/>
  <c r="BB755" i="9" a="1"/>
  <c r="BB1536" i="10" a="1"/>
  <c r="BB784" i="9" a="1"/>
  <c r="BB1650" i="10" a="1"/>
  <c r="BB656" i="9" a="1"/>
  <c r="BB586" i="9" a="1"/>
  <c r="BB44" i="9" a="1"/>
  <c r="BB727" i="10" a="1"/>
  <c r="BB1751" i="10" a="1"/>
  <c r="BB1858" i="10" a="1"/>
  <c r="BB1905" i="10" a="1"/>
  <c r="BB1779" i="10" a="1"/>
  <c r="BB569" i="9" a="1"/>
  <c r="BB488" i="9" a="1"/>
  <c r="BB452" i="9" a="1"/>
  <c r="BB632" i="9" a="1"/>
  <c r="BB1098" i="10" a="1"/>
  <c r="BB1072" i="10" a="1"/>
  <c r="BB1817" i="10" a="1"/>
  <c r="BB1281" i="10" a="1"/>
  <c r="BB1814" i="10" a="1"/>
  <c r="BB500" i="9" a="1"/>
  <c r="BB49" i="9" a="1"/>
  <c r="BB290" i="9" a="1"/>
  <c r="BB1792" i="10" a="1"/>
  <c r="BB584" i="9" a="1"/>
  <c r="BB322" i="10" a="1"/>
  <c r="BB136" i="9" a="1"/>
  <c r="BB1486" i="10" a="1"/>
  <c r="BB1612" i="10" a="1"/>
  <c r="BB1031" i="10" a="1"/>
  <c r="BB572" i="9" a="1"/>
  <c r="BB83" i="9" a="1"/>
  <c r="BB339" i="9" a="1"/>
  <c r="BB352" i="9" a="1"/>
  <c r="BB529" i="9" a="1"/>
  <c r="BB900" i="10" a="1"/>
  <c r="BB1583" i="10" a="1"/>
  <c r="BB1477" i="10" a="1"/>
  <c r="BB1341" i="10" a="1"/>
  <c r="BB1869" i="10" a="1"/>
  <c r="BB699" i="9" a="1"/>
  <c r="BB727" i="9" a="1"/>
  <c r="BB690" i="9" a="1"/>
  <c r="BB507" i="9" a="1"/>
  <c r="BB994" i="9" a="1"/>
  <c r="BB816" i="9" a="1"/>
  <c r="BB415" i="9" a="1"/>
  <c r="BB56" i="9" a="1"/>
  <c r="BB957" i="9" a="1"/>
  <c r="BB739" i="9" a="1"/>
  <c r="BB258" i="9" a="1"/>
  <c r="BB1586" i="10" a="1"/>
  <c r="BB52" i="9" a="1"/>
  <c r="BB608" i="9" a="1"/>
  <c r="BB1066" i="9" a="1"/>
  <c r="BB1246" i="9" a="1"/>
  <c r="BB940" i="9" a="1"/>
  <c r="BB1794" i="9" a="1"/>
  <c r="BB1351" i="9" a="1"/>
  <c r="BB1578" i="9" a="1"/>
  <c r="BB1535" i="9" a="1"/>
  <c r="BB1862" i="9" a="1"/>
  <c r="BB1483" i="9" a="1"/>
  <c r="BB772" i="7" a="1"/>
  <c r="BB407" i="9" a="1"/>
  <c r="BB1515" i="10" a="1"/>
  <c r="BB861" i="9" a="1"/>
  <c r="BB1760" i="9" a="1"/>
  <c r="BB836" i="9" a="1"/>
  <c r="BB1176" i="9" a="1"/>
  <c r="BB1820" i="9" a="1"/>
  <c r="BB707" i="9" a="1"/>
  <c r="BB896" i="9" a="1"/>
  <c r="BB1657" i="10" a="1"/>
  <c r="BB1849" i="10" a="1"/>
  <c r="BB910" i="9" a="1"/>
  <c r="BB1180" i="9" a="1"/>
  <c r="BB751" i="9" a="1"/>
  <c r="BB1849" i="9" a="1"/>
  <c r="BB1875" i="9" a="1"/>
  <c r="BB546" i="9" a="1"/>
  <c r="BB955" i="9" a="1"/>
  <c r="BB1592" i="10" a="1"/>
  <c r="BB430" i="9" a="1"/>
  <c r="BB840" i="9" a="1"/>
  <c r="BB1584" i="9" a="1"/>
  <c r="BB1109" i="9" a="1"/>
  <c r="BB581" i="9" a="1"/>
  <c r="BB1062" i="9" a="1"/>
  <c r="BB297" i="10" a="1"/>
  <c r="BB1420" i="10" a="1"/>
  <c r="BB227" i="10" a="1"/>
  <c r="BB58" i="10" a="1"/>
  <c r="BB187" i="10" a="1"/>
  <c r="BB535" i="10" a="1"/>
  <c r="BB1698" i="10" a="1"/>
  <c r="BB484" i="9" a="1"/>
  <c r="BB166" i="9" a="1"/>
  <c r="BB844" i="9" a="1"/>
  <c r="BB487" i="9" a="1"/>
  <c r="BB1150" i="10" a="1"/>
  <c r="BB869" i="10" a="1"/>
  <c r="BB860" i="10" a="1"/>
  <c r="BB1413" i="10" a="1"/>
  <c r="BB1648" i="9" a="1"/>
  <c r="BB1863" i="10" a="1"/>
  <c r="BB1247" i="10" a="1"/>
  <c r="BB1929" i="10" a="1"/>
  <c r="BB305" i="9" a="1"/>
  <c r="BB589" i="9" a="1"/>
  <c r="BB377" i="9" a="1"/>
  <c r="BB731" i="9" a="1"/>
  <c r="BB663" i="9" a="1"/>
  <c r="BB404" i="9" a="1"/>
  <c r="BB533" i="9" a="1"/>
  <c r="BB332" i="9" a="1"/>
  <c r="BB321" i="9" a="1"/>
  <c r="BB618" i="9" a="1"/>
  <c r="BB553" i="9" a="1"/>
  <c r="BB834" i="10" a="1"/>
  <c r="BB1037" i="10" a="1"/>
  <c r="BB1764" i="10" a="1"/>
  <c r="BB1166" i="10" a="1"/>
  <c r="BB1918" i="10" a="1"/>
  <c r="BB47" i="9" a="1"/>
  <c r="BB1984" i="10" a="1"/>
  <c r="BB1610" i="10" a="1"/>
  <c r="BB1687" i="10" a="1"/>
  <c r="BB204" i="9" a="1"/>
  <c r="BB1967" i="10" a="1"/>
  <c r="BB1819" i="10" a="1"/>
  <c r="BB392" i="9" a="1"/>
  <c r="BB422" i="9" a="1"/>
  <c r="BB1389" i="10" a="1"/>
  <c r="BB212" i="9" a="1"/>
  <c r="BB1789" i="10" a="1"/>
  <c r="BB1068" i="10" a="1"/>
  <c r="BB420" i="9" a="1"/>
  <c r="BB517" i="9" a="1"/>
  <c r="BB1495" i="10" a="1"/>
  <c r="BB850" i="9" a="1"/>
  <c r="BB474" i="9" a="1"/>
  <c r="BB1062" i="10" a="1"/>
  <c r="BB1459" i="10" a="1"/>
  <c r="BB1044" i="10" a="1"/>
  <c r="BB862" i="10" a="1"/>
  <c r="BB1176" i="10" a="1"/>
  <c r="BB255" i="9" a="1"/>
  <c r="BB913" i="9" a="1"/>
  <c r="BB59" i="9" a="1"/>
  <c r="BB67" i="9" a="1"/>
  <c r="BB425" i="9" a="1"/>
  <c r="BB644" i="10" a="1"/>
  <c r="BB987" i="10" a="1"/>
  <c r="BB1094" i="10" a="1"/>
  <c r="BB1105" i="10" a="1"/>
  <c r="BB1862" i="10" a="1"/>
  <c r="BB1688" i="10" a="1"/>
  <c r="BB41" i="9" a="1"/>
  <c r="BB336" i="9" a="1"/>
  <c r="BB1971" i="10" a="1"/>
  <c r="BB620" i="9" a="1"/>
  <c r="BB920" i="10" a="1"/>
  <c r="BB1427" i="10" a="1"/>
  <c r="BB1551" i="10" a="1"/>
  <c r="BB1460" i="10" a="1"/>
  <c r="BB1616" i="10" a="1"/>
  <c r="BB1365" i="10" a="1"/>
  <c r="BB393" i="9" a="1"/>
  <c r="BB462" i="9" a="1"/>
  <c r="BB298" i="9" a="1"/>
  <c r="BB747" i="9" a="1"/>
  <c r="BB170" i="9" a="1"/>
  <c r="BB103" i="9" a="1"/>
  <c r="BB1897" i="10" a="1"/>
  <c r="BB650" i="9" a="1"/>
  <c r="BB426" i="9" a="1"/>
  <c r="BB361" i="9" a="1"/>
  <c r="BB1846" i="10" a="1"/>
  <c r="BB520" i="9" a="1"/>
  <c r="BB1152" i="9" a="1"/>
  <c r="BB36" i="9" a="1"/>
  <c r="BB1883" i="9" a="1"/>
  <c r="BB1064" i="9" a="1"/>
  <c r="BB1817" i="9" a="1"/>
  <c r="BB1461" i="9" a="1"/>
  <c r="BB1343" i="9" a="1"/>
  <c r="BB1338" i="9" a="1"/>
  <c r="BB1091" i="9" a="1"/>
  <c r="BB301" i="9" a="1"/>
  <c r="BB691" i="9" a="1"/>
  <c r="BB1899" i="10" a="1"/>
  <c r="BB824" i="9" a="1"/>
  <c r="BB1119" i="10" a="1"/>
  <c r="BB533" i="10" a="1"/>
  <c r="BB420" i="10" a="1"/>
  <c r="BB1239" i="10" a="1"/>
  <c r="BB582" i="10" a="1"/>
  <c r="BB643" i="10" a="1"/>
  <c r="BB1569" i="10" a="1"/>
  <c r="BB765" i="9" a="1"/>
  <c r="BB475" i="9" a="1"/>
  <c r="BB638" i="9" a="1"/>
  <c r="BB1408" i="10" a="1"/>
  <c r="BB1785" i="10" a="1"/>
  <c r="BB673" i="10" a="1"/>
  <c r="BB1248" i="10" a="1"/>
  <c r="BB568" i="9" a="1"/>
  <c r="BB443" i="10" a="1"/>
  <c r="BB1349" i="10" a="1"/>
  <c r="BB932" i="10" a="1"/>
  <c r="BB1741" i="10" a="1"/>
  <c r="BB592" i="9" a="1"/>
  <c r="BB967" i="9" a="1"/>
  <c r="BB1954" i="10" a="1"/>
  <c r="BB664" i="9" a="1"/>
  <c r="BB162" i="9" a="1"/>
  <c r="BB570" i="9" a="1"/>
  <c r="BB1488" i="10" a="1"/>
  <c r="BB363" i="9" a="1"/>
  <c r="BB69" i="9" a="1"/>
  <c r="BB557" i="9" a="1"/>
  <c r="BB1753" i="9" a="1"/>
  <c r="BB766" i="10" a="1"/>
  <c r="BB1358" i="10" a="1"/>
  <c r="BB1662" i="10" a="1"/>
  <c r="BB859" i="10" a="1"/>
  <c r="BB1774" i="10" a="1"/>
  <c r="BB871" i="9" a="1"/>
  <c r="BB518" i="9" a="1"/>
  <c r="BB1555" i="10" a="1"/>
  <c r="BB612" i="9" a="1"/>
  <c r="BB111" i="9" a="1"/>
  <c r="BB1510" i="10" a="1"/>
  <c r="BB786" i="9" a="1"/>
  <c r="BB306" i="9" a="1"/>
  <c r="BB7" i="9" a="1"/>
  <c r="BB1263" i="10" a="1"/>
  <c r="BB1046" i="10" a="1"/>
  <c r="BB1542" i="10" a="1"/>
  <c r="BB17" i="9" a="1"/>
  <c r="BB1227" i="10" a="1"/>
  <c r="BB115" i="9" a="1"/>
  <c r="BB341" i="9" a="1"/>
  <c r="BB239" i="9" a="1"/>
  <c r="BB223" i="9" a="1"/>
  <c r="BB1781" i="10" a="1"/>
  <c r="BB1286" i="10" a="1"/>
  <c r="BB1507" i="10" a="1"/>
  <c r="BB1710" i="10" a="1"/>
  <c r="BB1901" i="10" a="1"/>
  <c r="BB1934" i="10" a="1"/>
  <c r="BB561" i="9" a="1"/>
  <c r="BB808" i="9" a="1"/>
  <c r="BB1454" i="10" a="1"/>
  <c r="BB300" i="9" a="1"/>
  <c r="BB1351" i="10" a="1"/>
  <c r="BB1772" i="10" a="1"/>
  <c r="BB1505" i="10" a="1"/>
  <c r="BB1744" i="10" a="1"/>
  <c r="BB1575" i="10" a="1"/>
  <c r="BB88" i="9" a="1"/>
  <c r="BB893" i="9" a="1"/>
  <c r="BB919" i="9" a="1"/>
  <c r="BB1631" i="10" a="1"/>
  <c r="BB875" i="9" a="1"/>
  <c r="BB468" i="10" a="1"/>
  <c r="BB1352" i="10" a="1"/>
  <c r="BB1872" i="10" a="1"/>
  <c r="BB338" i="10" a="1"/>
  <c r="BB529" i="10" a="1"/>
  <c r="BB1175" i="10" a="1"/>
  <c r="BB221" i="10" a="1"/>
  <c r="BB1143" i="10" a="1"/>
  <c r="BB1370" i="10" a="1"/>
  <c r="BB1132" i="10" a="1"/>
  <c r="BB1902" i="10" a="1"/>
  <c r="BB1731" i="10" a="1"/>
  <c r="BB1760" i="10" a="1"/>
  <c r="BB1324" i="9" a="1"/>
  <c r="BB1080" i="10" a="1"/>
  <c r="BB112" i="9" a="1"/>
  <c r="BB1278" i="10" a="1"/>
  <c r="BB1520" i="10" a="1"/>
  <c r="BB1725" i="10" a="1"/>
  <c r="BB753" i="10" a="1"/>
  <c r="BB1550" i="10" a="1"/>
  <c r="BB724" i="10" a="1"/>
  <c r="BB1496" i="10" a="1"/>
  <c r="BB505" i="9" a="1"/>
  <c r="BB368" i="9" a="1"/>
  <c r="BB1560" i="10" a="1"/>
  <c r="BB506" i="9" a="1"/>
  <c r="BB1523" i="10" a="1"/>
  <c r="BB796" i="9" a="1"/>
  <c r="BB122" i="9" a="1"/>
  <c r="BB936" i="9" a="1"/>
  <c r="BB1707" i="10" a="1"/>
  <c r="BB451" i="9" a="1"/>
  <c r="BB1503" i="9" a="1"/>
  <c r="BB1110" i="10" a="1"/>
  <c r="BB1974" i="10" a="1"/>
  <c r="BB1867" i="10" a="1"/>
  <c r="BB1224" i="10" a="1"/>
  <c r="BB1723" i="10" a="1"/>
  <c r="BB607" i="9" a="1"/>
  <c r="BB480" i="9" a="1"/>
  <c r="BB357" i="9" a="1"/>
  <c r="BB700" i="9" a="1"/>
  <c r="BB1947" i="10" a="1"/>
  <c r="BB702" i="9" a="1"/>
  <c r="BB424" i="9" a="1"/>
  <c r="BB80" i="9" a="1"/>
  <c r="BB1903" i="10" a="1"/>
  <c r="BB1619" i="10" a="1"/>
  <c r="BB774" i="10" a="1"/>
  <c r="BB1740" i="10" a="1"/>
  <c r="BB1931" i="10" a="1"/>
  <c r="BB1020" i="9" a="1"/>
  <c r="BB741" i="10" a="1"/>
  <c r="BB1701" i="10" a="1"/>
  <c r="BB1385" i="10" a="1"/>
  <c r="BB135" i="9" a="1"/>
  <c r="BB830" i="10" a="1"/>
  <c r="BB1608" i="10" a="1"/>
  <c r="BB1719" i="10" a="1"/>
  <c r="BB1483" i="10" a="1"/>
  <c r="BB1711" i="10" a="1"/>
  <c r="BB429" i="9" a="1"/>
  <c r="BB920" i="9" a="1"/>
  <c r="BB611" i="10" a="1"/>
  <c r="BB1502" i="10" a="1"/>
  <c r="BB1815" i="10" a="1"/>
  <c r="BB1684" i="10" a="1"/>
  <c r="BB1383" i="10" a="1"/>
  <c r="BB759" i="9" a="1"/>
  <c r="BB580" i="9" a="1"/>
  <c r="BB899" i="9" a="1"/>
  <c r="BB815" i="10" a="1"/>
  <c r="BB760" i="9" a="1"/>
  <c r="BB1511" i="10" a="1"/>
  <c r="BB1285" i="10" a="1"/>
  <c r="BB1673" i="10" a="1"/>
  <c r="BB145" i="9" a="1"/>
  <c r="BB194" i="9" a="1"/>
  <c r="BB66" i="9" a="1"/>
  <c r="BB790" i="9" a="1"/>
  <c r="BB986" i="9" a="1"/>
  <c r="BB376" i="9" a="1"/>
  <c r="BB1031" i="9" a="1"/>
  <c r="BB1921" i="9" a="1"/>
  <c r="BB289" i="9" a="1"/>
  <c r="BB1869" i="9" a="1"/>
  <c r="BB1244" i="9" a="1"/>
  <c r="BB757" i="9" a="1"/>
  <c r="BB177" i="9" a="1"/>
  <c r="BB839" i="9" a="1"/>
  <c r="BB1159" i="9" a="1"/>
  <c r="BB1567" i="9" a="1"/>
  <c r="BB642" i="9" a="1"/>
  <c r="BB263" i="9" a="1"/>
  <c r="BB494" i="9" a="1"/>
  <c r="BB1470" i="9" a="1"/>
  <c r="BB348" i="9" a="1"/>
  <c r="BB1179" i="9" a="1"/>
  <c r="BB1003" i="9" a="1"/>
  <c r="BB662" i="9" a="1"/>
  <c r="BB1515" i="9" a="1"/>
  <c r="BB1194" i="9" a="1"/>
  <c r="BB902" i="9" a="1"/>
  <c r="BB1077" i="9" a="1"/>
  <c r="BB640" i="9" a="1"/>
  <c r="BB1728" i="10" a="1"/>
  <c r="BB150" i="9" a="1"/>
  <c r="BB1959" i="9" a="1"/>
  <c r="BB1023" i="9" a="1"/>
  <c r="BB1071" i="9" a="1"/>
  <c r="BB228" i="9" a="1"/>
  <c r="BB402" i="9" a="1"/>
  <c r="BB687" i="9" a="1"/>
  <c r="BB1240" i="9" a="1"/>
  <c r="BB343" i="9" a="1"/>
  <c r="BB219" i="9" a="1"/>
  <c r="BB582" i="9" a="1"/>
  <c r="BB1421" i="9" a="1"/>
  <c r="BB1770" i="9" a="1"/>
  <c r="BB1039" i="9" a="1"/>
  <c r="BB1100" i="9" a="1"/>
  <c r="BB1534" i="9" a="1"/>
  <c r="BB139" i="7" a="1"/>
  <c r="BB617" i="7" a="1"/>
  <c r="BB424" i="7" a="1"/>
  <c r="BB488" i="7" a="1"/>
  <c r="BB781" i="9" a="1"/>
  <c r="BB364" i="9" a="1"/>
  <c r="BB1021" i="9" a="1"/>
  <c r="BB551" i="9" a="1"/>
  <c r="BB489" i="9" a="1"/>
  <c r="BB1549" i="9" a="1"/>
  <c r="BB1900" i="9" a="1"/>
  <c r="BB1599" i="9" a="1"/>
  <c r="BB1224" i="9" a="1"/>
  <c r="BB499" i="9" a="1"/>
  <c r="BB1590" i="9" a="1"/>
  <c r="BB916" i="9" a="1"/>
  <c r="BB366" i="7" a="1"/>
  <c r="BB826" i="9" a="1"/>
  <c r="BB265" i="9" a="1"/>
  <c r="BB1462" i="9" a="1"/>
  <c r="BB774" i="9" a="1"/>
  <c r="BB959" i="9" a="1"/>
  <c r="BB1917" i="9" a="1"/>
  <c r="BB1213" i="9" a="1"/>
  <c r="BB1072" i="9" a="1"/>
  <c r="BB1639" i="9" a="1"/>
  <c r="BB1906" i="10" a="1"/>
  <c r="BB307" i="9" a="1"/>
  <c r="BB33" i="9" a="1"/>
  <c r="BB1664" i="9" a="1"/>
  <c r="BB1127" i="9" a="1"/>
  <c r="BB1206" i="9" a="1"/>
  <c r="BB1287" i="9" a="1"/>
  <c r="BB1095" i="9" a="1"/>
  <c r="BB1494" i="9" a="1"/>
  <c r="BB531" i="9" a="1"/>
  <c r="BB241" i="9" a="1"/>
  <c r="BB835" i="9" a="1"/>
  <c r="BB1068" i="9" a="1"/>
  <c r="BB1335" i="9" a="1"/>
  <c r="BB1223" i="9" a="1"/>
  <c r="BB1364" i="9" a="1"/>
  <c r="BB39" i="9" a="1"/>
  <c r="BB1766" i="10" a="1"/>
  <c r="BB1951" i="10" a="1"/>
  <c r="BB617" i="9" a="1"/>
  <c r="BB1497" i="9" a="1"/>
  <c r="BB1420" i="9" a="1"/>
  <c r="BB1683" i="9" a="1"/>
  <c r="BB1086" i="9" a="1"/>
  <c r="BB1306" i="9" a="1"/>
  <c r="BB428" i="9" a="1"/>
  <c r="BB1816" i="10" a="1"/>
  <c r="BB1393" i="9" a="1"/>
  <c r="BB1791" i="9" a="1"/>
  <c r="BB123" i="9" a="1"/>
  <c r="BB1481" i="9" a="1"/>
  <c r="BB387" i="9" a="1"/>
  <c r="BB1092" i="9" a="1"/>
  <c r="BB321" i="10" a="1"/>
  <c r="BB738" i="10" a="1"/>
  <c r="BB274" i="9" a="1"/>
  <c r="BB146" i="9" a="1"/>
  <c r="BB1531" i="10" a="1"/>
  <c r="BB43" i="9" a="1"/>
  <c r="BB409" i="9" a="1"/>
  <c r="BB777" i="9" a="1"/>
  <c r="BB1426" i="10" a="1"/>
  <c r="BB70" i="9" a="1"/>
  <c r="BB1797" i="10" a="1"/>
  <c r="BB1544" i="10" a="1"/>
  <c r="BB199" i="9" a="1"/>
  <c r="BB13" i="9" a="1"/>
  <c r="BB1064" i="10" a="1"/>
  <c r="BB982" i="10" a="1"/>
  <c r="BB622" i="9" a="1"/>
  <c r="BB540" i="9" a="1"/>
  <c r="BB1174" i="10" a="1"/>
  <c r="BB1461" i="10" a="1"/>
  <c r="BB432" i="9" a="1"/>
  <c r="BB25" i="9" a="1"/>
  <c r="BB1812" i="10" a="1"/>
  <c r="BB1307" i="10" a="1"/>
  <c r="BB1750" i="10" a="1"/>
  <c r="BB1600" i="10" a="1"/>
  <c r="BB1410" i="10" a="1"/>
  <c r="BB729" i="9" a="1"/>
  <c r="BB1946" i="9" a="1"/>
  <c r="BB775" i="9" a="1"/>
  <c r="BB645" i="9" a="1"/>
  <c r="BB1123" i="9" a="1"/>
  <c r="BB126" i="9" a="1"/>
  <c r="BB1874" i="9" a="1"/>
  <c r="BB143" i="9" a="1"/>
  <c r="BB1558" i="10" a="1"/>
  <c r="BB504" i="9" a="1"/>
  <c r="BB1839" i="9" a="1"/>
  <c r="BB1456" i="9" a="1"/>
  <c r="BB1626" i="9" a="1"/>
  <c r="BB1369" i="9" a="1"/>
  <c r="BB125" i="9" a="1"/>
  <c r="BB1451" i="9" a="1"/>
  <c r="BB1544" i="9" a="1"/>
  <c r="BB1389" i="9" a="1"/>
  <c r="BB1030" i="9" a="1"/>
  <c r="BB1089" i="9" a="1"/>
  <c r="BB187" i="9" a="1"/>
  <c r="BB1984" i="9" a="1"/>
  <c r="BB1474" i="10" a="1"/>
  <c r="BB541" i="9" a="1"/>
  <c r="BB1097" i="9" a="1"/>
  <c r="BB601" i="9" a="1"/>
  <c r="BB1479" i="10" a="1"/>
  <c r="BB433" i="9" a="1"/>
  <c r="BB1373" i="9" a="1"/>
  <c r="BB181" i="9" a="1"/>
  <c r="BB890" i="9" a="1"/>
  <c r="BB116" i="9" a="1"/>
  <c r="BB216" i="9" a="1"/>
  <c r="BB1819" i="9" a="1"/>
  <c r="BB260" i="9" a="1"/>
  <c r="BB855" i="9" a="1"/>
  <c r="BB1776" i="9" a="1"/>
  <c r="BB1577" i="9" a="1"/>
  <c r="BB1784" i="9" a="1"/>
  <c r="BB1836" i="9" a="1"/>
  <c r="BB828" i="9" a="1"/>
  <c r="BB1157" i="9" a="1"/>
  <c r="BB579" i="9" a="1"/>
  <c r="BB744" i="7" a="1"/>
  <c r="BB502" i="7" a="1"/>
  <c r="BB85" i="7" a="1"/>
  <c r="BB322" i="7" a="1"/>
  <c r="BB172" i="9" a="1"/>
  <c r="BB594" i="9" a="1"/>
  <c r="BB1651" i="9" a="1"/>
  <c r="BB1630" i="9" a="1"/>
  <c r="BB1263" i="9" a="1"/>
  <c r="BB1320" i="9" a="1"/>
  <c r="BB1060" i="9" a="1"/>
  <c r="BB1939" i="9" a="1"/>
  <c r="BB1249" i="9" a="1"/>
  <c r="BB1171" i="9" a="1"/>
  <c r="BB1643" i="9" a="1"/>
  <c r="BB1075" i="9" a="1"/>
  <c r="BB1925" i="9" a="1"/>
  <c r="BB218" i="9" a="1"/>
  <c r="BB726" i="9" a="1"/>
  <c r="BB1877" i="9" a="1"/>
  <c r="BB1824" i="9" a="1"/>
  <c r="BB1587" i="9" a="1"/>
  <c r="BB1727" i="9" a="1"/>
  <c r="BB1015" i="9" a="1"/>
  <c r="BB1067" i="9" a="1"/>
  <c r="BB1676" i="9" a="1"/>
  <c r="BB439" i="9" a="1"/>
  <c r="BB877" i="9" a="1"/>
  <c r="BB841" i="9" a="1"/>
  <c r="BB1912" i="9" a="1"/>
  <c r="BB1186" i="9" a="1"/>
  <c r="BB1828" i="9" a="1"/>
  <c r="BB1580" i="9" a="1"/>
  <c r="BB1148" i="9" a="1"/>
  <c r="BB1505" i="9" a="1"/>
  <c r="BB1582" i="10" a="1"/>
  <c r="BB1503" i="10" a="1"/>
  <c r="BB1810" i="9" a="1"/>
  <c r="BB1589" i="9" a="1"/>
  <c r="BB1786" i="10" a="1"/>
  <c r="BB1013" i="9" a="1"/>
  <c r="BB1402" i="9" a="1"/>
  <c r="BB394" i="9" a="1"/>
  <c r="BB22" i="9" a="1"/>
  <c r="BB211" i="9" a="1"/>
  <c r="BB109" i="9" a="1"/>
  <c r="BB508" i="9" a="1"/>
  <c r="BB1473" i="9" a="1"/>
  <c r="BB1901" i="9" a="1"/>
  <c r="BB337" i="9" a="1"/>
  <c r="BB646" i="9" a="1"/>
  <c r="BB106" i="9" a="1"/>
  <c r="BB970" i="9" a="1"/>
  <c r="BB1920" i="9" a="1"/>
  <c r="BB1113" i="10" a="1"/>
  <c r="BB219" i="10" a="1"/>
  <c r="BB1678" i="10" a="1"/>
  <c r="BB256" i="9" a="1"/>
  <c r="BB19" i="9" a="1"/>
  <c r="BB350" i="9" a="1"/>
  <c r="BB1783" i="10" a="1"/>
  <c r="BB806" i="9" a="1"/>
  <c r="BB1713" i="10" a="1"/>
  <c r="BB201" i="9" a="1"/>
  <c r="BB167" i="9" a="1"/>
  <c r="BB1402" i="10" a="1"/>
  <c r="BB189" i="9" a="1"/>
  <c r="BB1727" i="10" a="1"/>
  <c r="BB1733" i="10" a="1"/>
  <c r="BB1866" i="10" a="1"/>
  <c r="BB1609" i="10" a="1"/>
  <c r="BB647" i="9" a="1"/>
  <c r="BB1243" i="10" a="1"/>
  <c r="BB1831" i="10" a="1"/>
  <c r="BB1952" i="10" a="1"/>
  <c r="BB460" i="9" a="1"/>
  <c r="BB1533" i="10" a="1"/>
  <c r="BB1726" i="10" a="1"/>
  <c r="BB1847" i="10" a="1"/>
  <c r="BB1654" i="10" a="1"/>
  <c r="BB1865" i="10" a="1"/>
  <c r="BB406" i="9" a="1"/>
  <c r="BB1976" i="9" a="1"/>
  <c r="BB1771" i="10" a="1"/>
  <c r="BB94" i="9" a="1"/>
  <c r="BB999" i="9" a="1"/>
  <c r="BB1472" i="9" a="1"/>
  <c r="BB1722" i="9" a="1"/>
  <c r="BB1339" i="9" a="1"/>
  <c r="BB1823" i="10" a="1"/>
  <c r="BB750" i="9" a="1"/>
  <c r="BB446" i="9" a="1"/>
  <c r="BB155" i="9" a="1"/>
  <c r="BB744" i="9" a="1"/>
  <c r="BB1231" i="9" a="1"/>
  <c r="BB807" i="9" a="1"/>
  <c r="BB972" i="9" a="1"/>
  <c r="BB1597" i="9" a="1"/>
  <c r="BB1538" i="9" a="1"/>
  <c r="BB1674" i="9" a="1"/>
  <c r="BB356" i="9" a="1"/>
  <c r="BB753" i="9" a="1"/>
  <c r="BB1388" i="9" a="1"/>
  <c r="BB1821" i="9" a="1"/>
  <c r="BB323" i="9" a="1"/>
  <c r="BB1054" i="9" a="1"/>
  <c r="BB275" i="9" a="1"/>
  <c r="BB1618" i="10" a="1"/>
  <c r="BB847" i="9" a="1"/>
  <c r="BB1019" i="9" a="1"/>
  <c r="BB87" i="9" a="1"/>
  <c r="BB1205" i="9" a="1"/>
  <c r="BB130" i="9" a="1"/>
  <c r="BB962" i="9" a="1"/>
  <c r="BB1163" i="9" a="1"/>
  <c r="BB1297" i="9" a="1"/>
  <c r="BB1099" i="9" a="1"/>
  <c r="BB1525" i="9" a="1"/>
  <c r="BB672" i="9" a="1"/>
  <c r="BB1773" i="9" a="1"/>
  <c r="BB1898" i="9" a="1"/>
  <c r="BB514" i="9" a="1"/>
  <c r="BB1216" i="9" a="1"/>
  <c r="BB1561" i="9" a="1"/>
  <c r="BB1699" i="9" a="1"/>
  <c r="BB1468" i="9" a="1"/>
  <c r="BB1863" i="9" a="1"/>
  <c r="BB1940" i="10" a="1"/>
  <c r="BB1917" i="10" a="1"/>
  <c r="BB1456" i="10" a="1"/>
  <c r="BB1403" i="9" a="1"/>
  <c r="BB1395" i="9" a="1"/>
  <c r="BB1611" i="9" a="1"/>
  <c r="BB1326" i="9" a="1"/>
  <c r="BB1073" i="9" a="1"/>
  <c r="BB768" i="9" a="1"/>
  <c r="BB1058" i="9" a="1"/>
  <c r="BB259" i="9" a="1"/>
  <c r="BB362" i="9" a="1"/>
  <c r="BB1814" i="9" a="1"/>
  <c r="BB1659" i="10" a="1"/>
  <c r="BB1907" i="10" a="1"/>
  <c r="BB1915" i="10" a="1"/>
  <c r="BB1752" i="9" a="1"/>
  <c r="BB1963" i="9" a="1"/>
  <c r="BB1390" i="9" a="1"/>
  <c r="BB1881" i="9" a="1"/>
  <c r="BB324" i="9" a="1"/>
  <c r="BB1156" i="9" a="1"/>
  <c r="BB1729" i="9" a="1"/>
  <c r="BB1859" i="10" a="1"/>
  <c r="BB1532" i="10" a="1"/>
  <c r="BB1119" i="9" a="1"/>
  <c r="BB1043" i="9" a="1"/>
  <c r="BB142" i="9" a="1"/>
  <c r="BB1070" i="9" a="1"/>
  <c r="BB1623" i="9" a="1"/>
  <c r="BB105" i="9" a="1"/>
  <c r="BB802" i="9" a="1"/>
  <c r="BB63" i="9" a="1"/>
  <c r="BB686" i="9" a="1"/>
  <c r="BB1132" i="9" a="1"/>
  <c r="BB1392" i="9" a="1"/>
  <c r="BB53" i="9" a="1"/>
  <c r="BB291" i="9" a="1"/>
  <c r="BB1407" i="9" a="1"/>
  <c r="BB1854" i="10" a="1"/>
  <c r="BB929" i="9" a="1"/>
  <c r="BB602" i="9" a="1"/>
  <c r="BB27" i="9" a="1"/>
  <c r="BB1546" i="9" a="1"/>
  <c r="BB615" i="9" a="1"/>
  <c r="BB948" i="9" a="1"/>
  <c r="BB137" i="9" a="1"/>
  <c r="BB1919" i="9" a="1"/>
  <c r="BB1904" i="10" a="1"/>
  <c r="BB110" i="9" a="1"/>
  <c r="BB360" i="9" a="1"/>
  <c r="BB1589" i="10" a="1"/>
  <c r="BB1142" i="10" a="1"/>
  <c r="BB817" i="10" a="1"/>
  <c r="BB1868" i="10" a="1"/>
  <c r="BB905" i="10" a="1"/>
  <c r="BB118" i="9" a="1"/>
  <c r="BB119" i="9" a="1"/>
  <c r="BB1358" i="9" a="1"/>
  <c r="BB1794" i="10" a="1"/>
  <c r="BB326" i="9" a="1"/>
  <c r="BB50" i="9" a="1"/>
  <c r="BB1156" i="10" a="1"/>
  <c r="BB240" i="9" a="1"/>
  <c r="BB1923" i="10" a="1"/>
  <c r="BB552" i="9" a="1"/>
  <c r="BB1201" i="10" a="1"/>
  <c r="BB381" i="9" a="1"/>
  <c r="BB1843" i="10" a="1"/>
  <c r="BB1146" i="10" a="1"/>
  <c r="BB606" i="9" a="1"/>
  <c r="BB680" i="9" a="1"/>
  <c r="BB1256" i="10" a="1"/>
  <c r="BB512" i="10" a="1"/>
  <c r="BB1993" i="10" a="1"/>
  <c r="BB708" i="9" a="1"/>
  <c r="BB1638" i="10" a="1"/>
  <c r="BB947" i="9" a="1"/>
  <c r="BB90" i="9" a="1"/>
  <c r="BB1822" i="9" a="1"/>
  <c r="BB1778" i="10" a="1"/>
  <c r="BB185" i="9" a="1"/>
  <c r="BB1049" i="9" a="1"/>
  <c r="BB1255" i="9" a="1"/>
  <c r="BB827" i="9" a="1"/>
  <c r="BB1653" i="9" a="1"/>
  <c r="BB468" i="9" a="1"/>
  <c r="BB917" i="9" a="1"/>
  <c r="BB1281" i="9" a="1"/>
  <c r="BB160" i="9" a="1"/>
  <c r="BB641" i="9" a="1"/>
  <c r="BB1044" i="9" a="1"/>
  <c r="BB174" i="9" a="1"/>
  <c r="BB578" i="9" a="1"/>
  <c r="BB1706" i="9" a="1"/>
  <c r="BB1591" i="9" a="1"/>
  <c r="BB1716" i="9" a="1"/>
  <c r="BB277" i="9" a="1"/>
  <c r="BB203" i="9" a="1"/>
  <c r="BB614" i="9" a="1"/>
  <c r="BB681" i="9" a="1"/>
  <c r="BB1122" i="9" a="1"/>
  <c r="BB1242" i="9" a="1"/>
  <c r="BB951" i="9" a="1"/>
  <c r="BB414" i="9" a="1"/>
  <c r="BB158" i="9" a="1"/>
  <c r="BB1047" i="9" a="1"/>
  <c r="BB180" i="9" a="1"/>
  <c r="BB1028" i="9" a="1"/>
  <c r="BB1982" i="10" a="1"/>
  <c r="BB26" i="9" a="1"/>
  <c r="BB1226" i="9" a="1"/>
  <c r="BB1622" i="9" a="1"/>
  <c r="BB1184" i="9" a="1"/>
  <c r="BB1547" i="9" a="1"/>
  <c r="BB1987" i="9" a="1"/>
  <c r="BB411" i="9" a="1"/>
  <c r="BB1102" i="9" a="1"/>
  <c r="BB1046" i="9" a="1"/>
  <c r="BB144" i="9" a="1"/>
  <c r="BB1619" i="9" a="1"/>
  <c r="BB471" i="7" a="1"/>
  <c r="BB146" i="7" a="1"/>
  <c r="BB1155" i="9" a="1"/>
  <c r="BB120" i="9" a="1"/>
  <c r="BB526" i="9" a="1"/>
  <c r="BB1431" i="10" a="1"/>
  <c r="BB1096" i="9" a="1"/>
  <c r="BB1417" i="9" a="1"/>
  <c r="BB408" i="9" a="1"/>
  <c r="BB996" i="9" a="1"/>
  <c r="BB1174" i="9" a="1"/>
  <c r="BB1897" i="9" a="1"/>
  <c r="BB286" i="9" a="1"/>
  <c r="BB1595" i="9" a="1"/>
  <c r="BB1310" i="9" a="1"/>
  <c r="BB1962" i="9" a="1"/>
  <c r="BB1920" i="10" a="1"/>
  <c r="BB671" i="9" a="1"/>
  <c r="BB129" i="9" a="1"/>
  <c r="BB1290" i="9" a="1"/>
  <c r="BB1995" i="9" a="1"/>
  <c r="BB783" i="9" a="1"/>
  <c r="BB1241" i="9" a="1"/>
  <c r="BB388" i="9" a="1"/>
  <c r="BB1169" i="9" a="1"/>
  <c r="BB674" i="9" a="1"/>
  <c r="BB895" i="9" a="1"/>
  <c r="BB386" i="9" a="1"/>
  <c r="BB1829" i="9" a="1"/>
  <c r="BB1042" i="9" a="1"/>
  <c r="BB471" i="9" a="1"/>
  <c r="BB1083" i="9" a="1"/>
  <c r="BB1634" i="9" a="1"/>
  <c r="BB1499" i="9" a="1"/>
  <c r="BB1418" i="9" a="1"/>
  <c r="BB907" i="9" a="1"/>
  <c r="BB1369" i="10" a="1"/>
  <c r="BB1065" i="9" a="1"/>
  <c r="BB101" i="9" a="1"/>
  <c r="BB1234" i="9" a="1"/>
  <c r="BB1627" i="9" a="1"/>
  <c r="BB1737" i="9" a="1"/>
  <c r="BB555" i="9" a="1"/>
  <c r="BB734" i="9" a="1"/>
  <c r="BB454" i="9" a="1"/>
  <c r="BB1835" i="9" a="1"/>
  <c r="BB1588" i="9" a="1"/>
  <c r="BB1694" i="9" a="1"/>
  <c r="BB1118" i="9" a="1"/>
  <c r="BB1556" i="9" a="1"/>
  <c r="BB898" i="9" a="1"/>
  <c r="BB1806" i="10" a="1"/>
  <c r="BB233" i="9" a="1"/>
  <c r="BB934" i="9" a="1"/>
  <c r="BB1966" i="9" a="1"/>
  <c r="BB1747" i="9" a="1"/>
  <c r="BB1941" i="9" a="1"/>
  <c r="BB1424" i="9" a="1"/>
  <c r="BB1139" i="9" a="1"/>
  <c r="BB1185" i="10" a="1"/>
  <c r="BB1007" i="10" a="1"/>
  <c r="BB1755" i="10" a="1"/>
  <c r="BB1387" i="10" a="1"/>
  <c r="BB1644" i="10" a="1"/>
  <c r="BB46" i="9" a="1"/>
  <c r="BB887" i="9" a="1"/>
  <c r="BB818" i="9" a="1"/>
  <c r="BB1730" i="10" a="1"/>
  <c r="BB138" i="9" a="1"/>
  <c r="BB79" i="9" a="1"/>
  <c r="BB1928" i="10" a="1"/>
  <c r="BB1625" i="10" a="1"/>
  <c r="BB303" i="9" a="1"/>
  <c r="BB940" i="10" a="1"/>
  <c r="BB1340" i="10" a="1"/>
  <c r="BB838" i="9" a="1"/>
  <c r="BB5" i="9" a="1"/>
  <c r="BB1633" i="10" a="1"/>
  <c r="BB953" i="9" a="1"/>
  <c r="BB522" i="9" a="1"/>
  <c r="BB1421" i="10" a="1"/>
  <c r="BB1423" i="10" a="1"/>
  <c r="BB528" i="9" a="1"/>
  <c r="BB82" i="9" a="1"/>
  <c r="BB192" i="9" a="1"/>
  <c r="BB1501" i="10" a="1"/>
  <c r="BB717" i="9" a="1"/>
  <c r="BB869" i="9" a="1"/>
  <c r="BB694" i="9" a="1"/>
  <c r="BB1126" i="9" a="1"/>
  <c r="BB1558" i="9" a="1"/>
  <c r="BB1271" i="9" a="1"/>
  <c r="BB868" i="9" a="1"/>
  <c r="BB1800" i="9" a="1"/>
  <c r="BB284" i="9" a="1"/>
  <c r="BB1218" i="9" a="1"/>
  <c r="BB385" i="9" a="1"/>
  <c r="BB1479" i="9" a="1"/>
  <c r="BB1265" i="9" a="1"/>
  <c r="BB365" i="9" a="1"/>
  <c r="BB304" i="9" a="1"/>
  <c r="BB1088" i="9" a="1"/>
  <c r="BB1471" i="9" a="1"/>
  <c r="BB585" i="9" a="1"/>
  <c r="BB1769" i="9" a="1"/>
  <c r="BB600" i="9" a="1"/>
  <c r="BB793" i="9" a="1"/>
  <c r="BB1887" i="9" a="1"/>
  <c r="BB1322" i="9" a="1"/>
  <c r="BB346" i="9" a="1"/>
  <c r="BB312" i="9" a="1"/>
  <c r="BB805" i="9" a="1"/>
  <c r="BB93" i="9" a="1"/>
  <c r="BB1294" i="9" a="1"/>
  <c r="BB1142" i="9" a="1"/>
  <c r="BB1971" i="9" a="1"/>
  <c r="BB859" i="9" a="1"/>
  <c r="BB299" i="9" a="1"/>
  <c r="BB573" i="9" a="1"/>
  <c r="BB1804" i="9" a="1"/>
  <c r="BB1633" i="9" a="1"/>
  <c r="BB897" i="9" a="1"/>
  <c r="BB706" i="9" a="1"/>
  <c r="BB1938" i="9" a="1"/>
  <c r="BB1342" i="9" a="1"/>
  <c r="BB769" i="9" a="1"/>
  <c r="BB1168" i="9" a="1"/>
  <c r="BB1531" i="9" a="1"/>
  <c r="BB1678" i="9" a="1"/>
  <c r="BB237" i="7" a="1"/>
  <c r="BB627" i="7" a="1"/>
  <c r="BB1529" i="9" a="1"/>
  <c r="BB758" i="9" a="1"/>
  <c r="BB102" i="9" a="1"/>
  <c r="BB208" i="9" a="1"/>
  <c r="BB1932" i="9" a="1"/>
  <c r="BB1428" i="9" a="1"/>
  <c r="BB1325" i="9" a="1"/>
  <c r="BB1937" i="9" a="1"/>
  <c r="BB65" i="9" a="1"/>
  <c r="BB1781" i="9" a="1"/>
  <c r="BB1360" i="9" a="1"/>
  <c r="BB1366" i="9" a="1"/>
  <c r="BB1279" i="9" a="1"/>
  <c r="BB1114" i="9" a="1"/>
  <c r="BB845" i="9" a="1"/>
  <c r="BB384" i="9" a="1"/>
  <c r="BB493" i="9" a="1"/>
  <c r="BB1256" i="9" a="1"/>
  <c r="BB1975" i="9" a="1"/>
  <c r="BB1738" i="9" a="1"/>
  <c r="BB915" i="9" a="1"/>
  <c r="BB378" i="9" a="1"/>
  <c r="BB1009" i="9" a="1"/>
  <c r="BB1783" i="9" a="1"/>
  <c r="BB563" i="9" a="1"/>
  <c r="BB246" i="9" a="1"/>
  <c r="BB1034" i="9" a="1"/>
  <c r="BB848" i="9" a="1"/>
  <c r="BB1973" i="9" a="1"/>
  <c r="BB1200" i="9" a="1"/>
  <c r="BB1431" i="9" a="1"/>
  <c r="BB1782" i="9" a="1"/>
  <c r="BB76" i="10" a="1"/>
  <c r="BB1517" i="10" a="1"/>
  <c r="BB314" i="9" a="1"/>
  <c r="BB822" i="9" a="1"/>
  <c r="BB1978" i="10" a="1"/>
  <c r="BB57" i="9" a="1"/>
  <c r="BB593" i="9" a="1"/>
  <c r="BB103" i="10" a="1"/>
  <c r="BB1482" i="10" a="1"/>
  <c r="BB1469" i="10" a="1"/>
  <c r="BB1235" i="10" a="1"/>
  <c r="BB1217" i="10" a="1"/>
  <c r="BB924" i="9" a="1"/>
  <c r="BB524" i="9" a="1"/>
  <c r="BB1927" i="10" a="1"/>
  <c r="BB1318" i="10" a="1"/>
  <c r="BB68" i="9" a="1"/>
  <c r="BB1433" i="10" a="1"/>
  <c r="BB467" i="10" a="1"/>
  <c r="BB598" i="9" a="1"/>
  <c r="BB1848" i="10" a="1"/>
  <c r="BB1373" i="10" a="1"/>
  <c r="BB1265" i="10" a="1"/>
  <c r="BB121" i="9" a="1"/>
  <c r="BB1590" i="10" a="1"/>
  <c r="BB1283" i="10" a="1"/>
  <c r="BB749" i="9" a="1"/>
  <c r="BB1976" i="10" a="1"/>
  <c r="BB1743" i="10" a="1"/>
  <c r="BB1939" i="10" a="1"/>
  <c r="BB851" i="9" a="1"/>
  <c r="BB1355" i="9" a="1"/>
  <c r="BB222" i="9" a="1"/>
  <c r="BB1826" i="9" a="1"/>
  <c r="BB1170" i="9" a="1"/>
  <c r="BB631" i="9" a="1"/>
  <c r="BB1913" i="9" a="1"/>
  <c r="BB1293" i="9" a="1"/>
  <c r="BB1331" i="9" a="1"/>
  <c r="BB1657" i="9" a="1"/>
  <c r="BB1110" i="9" a="1"/>
  <c r="BB803" i="9" a="1"/>
  <c r="BB1673" i="9" a="1"/>
  <c r="BB798" i="9" a="1"/>
  <c r="BB990" i="9" a="1"/>
  <c r="BB885" i="9" a="1"/>
  <c r="BB436" i="9" a="1"/>
  <c r="BB629" i="9" a="1"/>
  <c r="BB1906" i="9" a="1"/>
  <c r="BB1802" i="9" a="1"/>
  <c r="BB1467" i="9" a="1"/>
  <c r="BB1136" i="9" a="1"/>
  <c r="BB591" i="9" a="1"/>
  <c r="BB491" i="9" a="1"/>
  <c r="BB1301" i="9" a="1"/>
  <c r="BB1189" i="9" a="1"/>
  <c r="BB966" i="9" a="1"/>
  <c r="BB626" i="9" a="1"/>
  <c r="BB54" i="9" a="1"/>
  <c r="BB689" i="9" a="1"/>
  <c r="BB1332" i="9" a="1"/>
  <c r="BB1644" i="9" a="1"/>
  <c r="BB1536" i="9" a="1"/>
  <c r="BB1433" i="9" a="1"/>
  <c r="BB795" i="9" a="1"/>
  <c r="BB1416" i="9" a="1"/>
  <c r="BB965" i="9" a="1"/>
  <c r="BB1183" i="9" a="1"/>
  <c r="BB1506" i="9" a="1"/>
  <c r="BB710" i="9" a="1"/>
  <c r="BB163" i="7" a="1"/>
  <c r="BB477" i="7" a="1"/>
  <c r="BB224" i="7" a="1"/>
  <c r="BB466" i="9" a="1"/>
  <c r="BB225" i="9" a="1"/>
  <c r="BB669" i="9" a="1"/>
  <c r="BB1442" i="9" a="1"/>
  <c r="BB1774" i="9" a="1"/>
  <c r="BB1608" i="9" a="1"/>
  <c r="BB1908" i="9" a="1"/>
  <c r="BB1742" i="9" a="1"/>
  <c r="BB1851" i="9" a="1"/>
  <c r="BB34" i="9" a="1"/>
  <c r="BB1377" i="9" a="1"/>
  <c r="BB1609" i="9" a="1"/>
  <c r="BB1090" i="9" a="1"/>
  <c r="BB813" i="9" a="1"/>
  <c r="BB20" i="9" a="1"/>
  <c r="BB800" i="9" a="1"/>
  <c r="BB1140" i="9" a="1"/>
  <c r="BB1857" i="9" a="1"/>
  <c r="BB1986" i="9" a="1"/>
  <c r="BB1138" i="9" a="1"/>
  <c r="BB1904" i="9" a="1"/>
  <c r="BB1061" i="9" a="1"/>
  <c r="BB1699" i="10" a="1"/>
  <c r="BB1972" i="10" a="1"/>
  <c r="BB1516" i="10" a="1"/>
  <c r="BB1923" i="9" a="1"/>
  <c r="BB1033" i="9" a="1"/>
  <c r="BB1950" i="9" a="1"/>
  <c r="BB1195" i="9" a="1"/>
  <c r="BB583" i="9" a="1"/>
  <c r="BB1112" i="9" a="1"/>
  <c r="BB456" i="9" a="1"/>
  <c r="BB319" i="9" a="1"/>
  <c r="BB930" i="9" a="1"/>
  <c r="BB958" i="9" a="1"/>
  <c r="BB371" i="9" a="1"/>
  <c r="BB1052" i="9" a="1"/>
  <c r="BB1533" i="9" a="1"/>
  <c r="BB74" i="9" a="1"/>
  <c r="BB76" i="9" a="1"/>
  <c r="BB1455" i="10" a="1"/>
  <c r="BB1238" i="9" a="1"/>
  <c r="BB1384" i="9" a="1"/>
  <c r="BB492" i="9" a="1"/>
  <c r="BB1697" i="9" a="1"/>
  <c r="BB987" i="9" a="1"/>
  <c r="BB704" i="9" a="1"/>
  <c r="BB1637" i="10" a="1"/>
  <c r="BB128" i="9" a="1"/>
  <c r="BB1669" i="10" a="1"/>
  <c r="BB417" i="9" a="1"/>
  <c r="BB1199" i="9" a="1"/>
  <c r="BB820" i="9" a="1"/>
  <c r="BB173" i="10" a="1"/>
  <c r="BB787" i="9" a="1"/>
  <c r="BB253" i="9" a="1"/>
  <c r="BB926" i="9" a="1"/>
  <c r="BB1277" i="10" a="1"/>
  <c r="BB1377" i="10" a="1"/>
  <c r="BB45" i="9" a="1"/>
  <c r="BB505" i="10" a="1"/>
  <c r="BB1422" i="10" a="1"/>
  <c r="BB295" i="9" a="1"/>
  <c r="BB714" i="9" a="1"/>
  <c r="BB1102" i="10" a="1"/>
  <c r="BB857" i="9" a="1"/>
  <c r="BB244" i="9" a="1"/>
  <c r="BB1205" i="10" a="1"/>
  <c r="BB964" i="9" a="1"/>
  <c r="BB340" i="9" a="1"/>
  <c r="BB1107" i="10" a="1"/>
  <c r="BB1158" i="10" a="1"/>
  <c r="BB665" i="9" a="1"/>
  <c r="BB667" i="9" a="1"/>
  <c r="BB215" i="9" a="1"/>
  <c r="BB1163" i="10" a="1"/>
  <c r="BB99" i="9" a="1"/>
  <c r="BB1000" i="9" a="1"/>
  <c r="BB1861" i="10" a="1"/>
  <c r="BB1319" i="10" a="1"/>
  <c r="BB217" i="9" a="1"/>
  <c r="BB154" i="9" a="1"/>
  <c r="BB1008" i="9" a="1"/>
  <c r="BB1504" i="9" a="1"/>
  <c r="BB141" i="9" a="1"/>
  <c r="BB1585" i="9" a="1"/>
  <c r="BB1107" i="9" a="1"/>
  <c r="BB1078" i="9" a="1"/>
  <c r="BB1703" i="10" a="1"/>
  <c r="BB1739" i="9" a="1"/>
  <c r="BB909" i="9" a="1"/>
  <c r="BB1693" i="9" a="1"/>
  <c r="BB1258" i="9" a="1"/>
  <c r="BB325" i="9" a="1"/>
  <c r="BB621" i="9" a="1"/>
  <c r="BB1036" i="9" a="1"/>
  <c r="BB1488" i="9" a="1"/>
  <c r="BB1135" i="9" a="1"/>
  <c r="BB1203" i="9" a="1"/>
  <c r="BB206" i="9" a="1"/>
  <c r="BB413" i="9" a="1"/>
  <c r="BB1965" i="9" a="1"/>
  <c r="BB1311" i="9" a="1"/>
  <c r="BB1815" i="9" a="1"/>
  <c r="BB1081" i="9" a="1"/>
  <c r="BB1472" i="10" a="1"/>
  <c r="BB950" i="9" a="1"/>
  <c r="BB1715" i="9" a="1"/>
  <c r="BB1212" i="9" a="1"/>
  <c r="BB1193" i="9" a="1"/>
  <c r="BB114" i="9" a="1"/>
  <c r="BB1658" i="10" a="1"/>
  <c r="BB32" i="9" a="1"/>
  <c r="BB1026" i="9" a="1"/>
  <c r="BB1441" i="9" a="1"/>
  <c r="BB1847" i="9" a="1"/>
  <c r="BB1491" i="9" a="1"/>
  <c r="BB1409" i="9" a="1"/>
  <c r="BB1469" i="9" a="1"/>
  <c r="BB1175" i="9" a="1"/>
  <c r="BB1222" i="9" a="1"/>
  <c r="BB1303" i="9" a="1"/>
  <c r="BB1006" i="9" a="1"/>
  <c r="BB1542" i="9" a="1"/>
  <c r="BB1813" i="9" a="1"/>
  <c r="BB1974" i="9" a="1"/>
  <c r="BB151" i="9" a="1"/>
  <c r="BB18" i="9" a="1"/>
  <c r="BB1746" i="10" a="1"/>
  <c r="BB1398" i="9" a="1"/>
  <c r="BB576" i="9" a="1"/>
  <c r="BB1537" i="9" a="1"/>
  <c r="BB1967" i="9" a="1"/>
  <c r="BB613" i="9" a="1"/>
  <c r="BB837" i="9" a="1"/>
  <c r="BB1425" i="9" a="1"/>
  <c r="BB738" i="9" a="1"/>
  <c r="BB678" i="9" a="1"/>
  <c r="BB1856" i="9" a="1"/>
  <c r="BB95" i="9" a="1"/>
  <c r="BB718" i="9" a="1"/>
  <c r="BB373" i="9" a="1"/>
  <c r="BB1736" i="9" a="1"/>
  <c r="BB1230" i="9" a="1"/>
  <c r="BB1321" i="9" a="1"/>
  <c r="BB1153" i="9" a="1"/>
  <c r="BB922" i="9" a="1"/>
  <c r="BB1084" i="9" a="1"/>
  <c r="BB163" i="9" a="1"/>
  <c r="BB944" i="9" a="1"/>
  <c r="BB171" i="9" a="1"/>
  <c r="BB1145" i="9" a="1"/>
  <c r="BB1024" i="9" a="1"/>
  <c r="BB937" i="9" a="1"/>
  <c r="BB1744" i="9" a="1"/>
  <c r="BB366" i="9" a="1"/>
  <c r="BB709" i="10" a="1"/>
  <c r="BB1095" i="10" a="1"/>
  <c r="BB48" i="10" a="1"/>
  <c r="BB1492" i="10" a="1"/>
  <c r="BB1274" i="10" a="1"/>
  <c r="BB495" i="9" a="1"/>
  <c r="BB1825" i="10" a="1"/>
  <c r="BB1986" i="10" a="1"/>
  <c r="BB1666" i="10" a="1"/>
  <c r="BB1894" i="10" a="1"/>
  <c r="BB1759" i="10" a="1"/>
  <c r="BB476" i="10" a="1"/>
  <c r="BB1672" i="10" a="1"/>
  <c r="BB1170" i="10" a="1"/>
  <c r="BB406" i="10" a="1"/>
  <c r="BB1875" i="10" a="1"/>
  <c r="BB510" i="9" a="1"/>
  <c r="BB1591" i="10" a="1"/>
  <c r="BB1839" i="10" a="1"/>
  <c r="BB1966" i="10" a="1"/>
  <c r="BB1522" i="10" a="1"/>
  <c r="BB1651" i="10" a="1"/>
  <c r="BB553" i="10" a="1"/>
  <c r="BB1215" i="10" a="1"/>
  <c r="BB933" i="9" a="1"/>
  <c r="BB628" i="9" a="1"/>
  <c r="BB657" i="9" a="1"/>
  <c r="BB367" i="9" a="1"/>
  <c r="BB214" i="9" a="1"/>
  <c r="BB1010" i="9" a="1"/>
  <c r="BB554" i="9" a="1"/>
  <c r="BB1262" i="9" a="1"/>
  <c r="BB1703" i="9" a="1"/>
  <c r="BB1346" i="9" a="1"/>
  <c r="BB1765" i="9" a="1"/>
  <c r="BB31" i="7" a="1"/>
  <c r="BB785" i="9" a="1"/>
  <c r="BB954" i="9" a="1"/>
  <c r="BB1128" i="9" a="1"/>
  <c r="BB834" i="9" a="1"/>
  <c r="BB1687" i="9" a="1"/>
  <c r="BB846" i="9" a="1"/>
  <c r="BB161" i="9" a="1"/>
  <c r="BB412" i="9" a="1"/>
  <c r="BB224" i="9" a="1"/>
  <c r="BB1166" i="9" a="1"/>
  <c r="BB1806" i="9" a="1"/>
  <c r="BB84" i="9" a="1"/>
  <c r="BB923" i="9" a="1"/>
  <c r="BB985" i="9" a="1"/>
  <c r="BB1370" i="9" a="1"/>
  <c r="BB703" i="9" a="1"/>
  <c r="BB961" i="9" a="1"/>
  <c r="BB1809" i="10" a="1"/>
  <c r="BB938" i="9" a="1"/>
  <c r="BB1121" i="9" a="1"/>
  <c r="BB1217" i="9" a="1"/>
  <c r="BB1235" i="9" a="1"/>
  <c r="BB872" i="9" a="1"/>
  <c r="BB698" i="9" a="1"/>
  <c r="BB789" i="9" a="1"/>
  <c r="BB1215" i="9" a="1"/>
  <c r="BB511" i="9" a="1"/>
  <c r="BB1116" i="9" a="1"/>
  <c r="BB1550" i="9" a="1"/>
  <c r="BB370" i="9" a="1"/>
  <c r="BB549" i="9" a="1"/>
  <c r="BB995" i="9" a="1"/>
  <c r="BB476" i="9" a="1"/>
  <c r="BB450" i="9" a="1"/>
  <c r="BB1854" i="9" a="1"/>
  <c r="BB135" i="7" a="1"/>
  <c r="BB997" i="9" a="1"/>
  <c r="BB578" i="7" a="1"/>
  <c r="BB1309" i="10" a="1"/>
  <c r="BB814" i="9" a="1"/>
  <c r="BB1277" i="9" a="1"/>
  <c r="BB1655" i="9" a="1"/>
  <c r="BB1975" i="10" a="1"/>
  <c r="BB410" i="9" a="1"/>
  <c r="BB1252" i="9" a="1"/>
  <c r="BB1797" i="9" a="1"/>
  <c r="BB673" i="9" a="1"/>
  <c r="BB1750" i="9" a="1"/>
  <c r="BB1521" i="9" a="1"/>
  <c r="BB1951" i="9" a="1"/>
  <c r="BB318" i="7" a="1"/>
  <c r="BB1521" i="10" a="1"/>
  <c r="BB883" i="9" a="1"/>
  <c r="BB1690" i="9" a="1"/>
  <c r="BB1434" i="9" a="1"/>
  <c r="BB831" i="9" a="1"/>
  <c r="BB741" i="9" a="1"/>
  <c r="BB1208" i="9" a="1"/>
  <c r="BB1237" i="9" a="1"/>
  <c r="BB309" i="9" a="1"/>
  <c r="BB254" i="9" a="1"/>
  <c r="BB536" i="9" a="1"/>
  <c r="BB633" i="9" a="1"/>
  <c r="BB1671" i="9" a="1"/>
  <c r="BB1344" i="9" a="1"/>
  <c r="BB1141" i="9" a="1"/>
  <c r="BB229" i="9" a="1"/>
  <c r="BB853" i="9" a="1"/>
  <c r="BB1723" i="9" a="1"/>
  <c r="BB1946" i="10" a="1"/>
  <c r="BB658" i="9" a="1"/>
  <c r="BB195" i="9" a="1"/>
  <c r="BB1453" i="9" a="1"/>
  <c r="BB1282" i="9" a="1"/>
  <c r="BB1361" i="9" a="1"/>
  <c r="BB1593" i="9" a="1"/>
  <c r="BB1772" i="9" a="1"/>
  <c r="BB1537" i="10" a="1"/>
  <c r="BB1835" i="10" a="1"/>
  <c r="BB271" i="9" a="1"/>
  <c r="BB801" i="9" a="1"/>
  <c r="BB1383" i="9" a="1"/>
  <c r="BB1406" i="9" a="1"/>
  <c r="BB1001" i="9" a="1"/>
  <c r="BB1972" i="9" a="1"/>
  <c r="BB564" i="9" a="1"/>
  <c r="BB637" i="9" a="1"/>
  <c r="BB107" i="9" a="1"/>
  <c r="BB1273" i="9" a="1"/>
  <c r="BB1969" i="9" a="1"/>
  <c r="BB1684" i="9" a="1"/>
  <c r="BB100" i="9" a="1"/>
  <c r="BB1098" i="9" a="1"/>
  <c r="BB791" i="9" a="1"/>
  <c r="BB1768" i="9" a="1"/>
  <c r="BB1979" i="9" a="1"/>
  <c r="BB1269" i="9" a="1"/>
  <c r="BB1914" i="9" a="1"/>
  <c r="BB1365" i="9" a="1"/>
  <c r="BB737" i="9" a="1"/>
  <c r="BB1512" i="9" a="1"/>
  <c r="BB1790" i="9" a="1"/>
  <c r="BB1051" i="9" a="1"/>
  <c r="BB1685" i="9" a="1"/>
  <c r="BB397" i="7" a="1"/>
  <c r="BB524" i="7" a="1"/>
  <c r="BB231" i="7" a="1"/>
  <c r="BB283" i="9" a="1"/>
  <c r="BB1616" i="9" a="1"/>
  <c r="BB1018" i="9" a="1"/>
  <c r="BB313" i="7" a="1"/>
  <c r="BB274" i="7" a="1"/>
  <c r="BB1192" i="9" a="1"/>
  <c r="BB658" i="7" a="1"/>
  <c r="BB1625" i="9" a="1"/>
  <c r="BB152" i="7" a="1"/>
  <c r="BB469" i="7" a="1"/>
  <c r="BB1757" i="9" a="1"/>
  <c r="BB1318" i="9" a="1"/>
  <c r="BB1981" i="9" a="1"/>
  <c r="BB867" i="9" a="1"/>
  <c r="BB486" i="9" a="1"/>
  <c r="BB1082" i="9" a="1"/>
  <c r="BB534" i="7" a="1"/>
  <c r="BB1522" i="9" a="1"/>
  <c r="BB640" i="7" a="1"/>
  <c r="BB589" i="7" a="1"/>
  <c r="BB353" i="7" a="1"/>
  <c r="BB803" i="7" a="1"/>
  <c r="BB64" i="7" a="1"/>
  <c r="BB1401" i="9" a="1"/>
  <c r="BB514" i="7" a="1"/>
  <c r="BB1436" i="9" a="1"/>
  <c r="BB876" i="7" a="1"/>
  <c r="BB1025" i="7" a="1"/>
  <c r="BB1394" i="7" a="1"/>
  <c r="BB914" i="9" a="1"/>
  <c r="BB523" i="9" a="1"/>
  <c r="BB1296" i="9" a="1"/>
  <c r="BB1118" i="7" a="1"/>
  <c r="BB1391" i="9" a="1"/>
  <c r="BB182" i="7" a="1"/>
  <c r="BB36" i="7" a="1"/>
  <c r="BB786" i="7" a="1"/>
  <c r="BB341" i="7" a="1"/>
  <c r="BB821" i="7" a="1"/>
  <c r="BB1637" i="9" a="1"/>
  <c r="BB759" i="7" a="1"/>
  <c r="BB1510" i="9" a="1"/>
  <c r="BB1562" i="9" a="1"/>
  <c r="BB981" i="9" a="1"/>
  <c r="BB1530" i="9" a="1"/>
  <c r="BB363" i="7" a="1"/>
  <c r="BB742" i="7" a="1"/>
  <c r="BB22" i="7" a="1"/>
  <c r="BB369" i="7" a="1"/>
  <c r="BB1526" i="9" a="1"/>
  <c r="BB309" i="7" a="1"/>
  <c r="BB1855" i="9" a="1"/>
  <c r="BB1404" i="9" a="1"/>
  <c r="BB931" i="7" a="1"/>
  <c r="BB217" i="7" a="1"/>
  <c r="BB794" i="9" a="1"/>
  <c r="BB709" i="9" a="1"/>
  <c r="BB834" i="7" a="1"/>
  <c r="BB435" i="7" a="1"/>
  <c r="BB1093" i="9" a="1"/>
  <c r="BB870" i="7" a="1"/>
  <c r="BB400" i="7" a="1"/>
  <c r="BB682" i="7" a="1"/>
  <c r="BB808" i="7" a="1"/>
  <c r="BB56" i="7" a="1"/>
  <c r="BB570" i="7" a="1"/>
  <c r="BB745" i="7" a="1"/>
  <c r="BB733" i="9" a="1"/>
  <c r="BB1665" i="9" a="1"/>
  <c r="BB1539" i="9" a="1"/>
  <c r="BB809" i="7" a="1"/>
  <c r="BB1196" i="9" a="1"/>
  <c r="BB407" i="7" a="1"/>
  <c r="BB223" i="7" a="1"/>
  <c r="BB215" i="7" a="1"/>
  <c r="BB67" i="7" a="1"/>
  <c r="BB817" i="7" a="1"/>
  <c r="BB138" i="7" a="1"/>
  <c r="BB29" i="7" a="1"/>
  <c r="BB1233" i="7" a="1"/>
  <c r="BB1592" i="7" a="1"/>
  <c r="BB1220" i="7" a="1"/>
  <c r="BB332" i="7" a="1"/>
  <c r="BB331" i="9" a="1"/>
  <c r="BB1449" i="9" a="1"/>
  <c r="BB1956" i="9" a="1"/>
  <c r="BB93" i="7" a="1"/>
  <c r="BB1173" i="9" a="1"/>
  <c r="BB410" i="7" a="1"/>
  <c r="BB15" i="7" a="1"/>
  <c r="BB414" i="7" a="1"/>
  <c r="BB249" i="7" a="1"/>
  <c r="BB299" i="7" a="1"/>
  <c r="BB275" i="7" a="1"/>
  <c r="BB454" i="7" a="1"/>
  <c r="BB1560" i="7" a="1"/>
  <c r="BB1598" i="9" a="1"/>
  <c r="BB713" i="9" a="1"/>
  <c r="BB328" i="9" a="1"/>
  <c r="BB496" i="7" a="1"/>
  <c r="BB45" i="7" a="1"/>
  <c r="BB1660" i="9" a="1"/>
  <c r="BB1731" i="9" a="1"/>
  <c r="BB1788" i="9" a="1"/>
  <c r="BB1207" i="9" a="1"/>
  <c r="BB1864" i="9" a="1"/>
  <c r="BB389" i="7" a="1"/>
  <c r="BB59" i="7" a="1"/>
  <c r="BB1400" i="9" a="1"/>
  <c r="BB1495" i="7" a="1"/>
  <c r="BB1334" i="7" a="1"/>
  <c r="BB1100" i="7" a="1"/>
  <c r="BB1739" i="10" a="1"/>
  <c r="BB1713" i="9" a="1"/>
  <c r="BB458" i="9" a="1"/>
  <c r="BB1641" i="9" a="1"/>
  <c r="BB565" i="9" a="1"/>
  <c r="BB1594" i="9" a="1"/>
  <c r="BB550" i="9" a="1"/>
  <c r="BB71" i="9" a="1"/>
  <c r="BB1164" i="9" a="1"/>
  <c r="BB1309" i="9" a="1"/>
  <c r="BB1524" i="9" a="1"/>
  <c r="BB1162" i="9" a="1"/>
  <c r="BB1808" i="9" a="1"/>
  <c r="BB128" i="7" a="1"/>
  <c r="BB200" i="7" a="1"/>
  <c r="BB826" i="7" a="1"/>
  <c r="BB437" i="9" a="1"/>
  <c r="BB1933" i="9" a="1"/>
  <c r="BB482" i="9" a="1"/>
  <c r="BB699" i="7" a="1"/>
  <c r="BB563" i="7" a="1"/>
  <c r="BB395" i="7" a="1"/>
  <c r="BB339" i="7" a="1"/>
  <c r="BB1735" i="9" a="1"/>
  <c r="BB255" i="7" a="1"/>
  <c r="BB316" i="7" a="1"/>
  <c r="BB419" i="7" a="1"/>
  <c r="BB399" i="7" a="1"/>
  <c r="BB622" i="7" a="1"/>
  <c r="BB382" i="9" a="1"/>
  <c r="BB1251" i="9" a="1"/>
  <c r="BB1454" i="9" a="1"/>
  <c r="BB248" i="7" a="1"/>
  <c r="BB783" i="7" a="1"/>
  <c r="BB145" i="7" a="1"/>
  <c r="BB183" i="7" a="1"/>
  <c r="BB330" i="7" a="1"/>
  <c r="BB120" i="7" a="1"/>
  <c r="BB133" i="7" a="1"/>
  <c r="BB147" i="7" a="1"/>
  <c r="BB203" i="7" a="1"/>
  <c r="BB830" i="7" a="1"/>
  <c r="BB605" i="7" a="1"/>
  <c r="BB1298" i="7" a="1"/>
  <c r="BB1260" i="7" a="1"/>
  <c r="BB1621" i="9" a="1"/>
  <c r="BB1552" i="9" a="1"/>
  <c r="BB1871" i="9" a="1"/>
  <c r="BB671" i="7" a="1"/>
  <c r="BB1477" i="9" a="1"/>
  <c r="BB800" i="7" a="1"/>
  <c r="BB487" i="7" a="1"/>
  <c r="BB126" i="7" a="1"/>
  <c r="BB538" i="7" a="1"/>
  <c r="BB264" i="7" a="1"/>
  <c r="BB565" i="7" a="1"/>
  <c r="BB365" i="7" a="1"/>
  <c r="BB101" i="7" a="1"/>
  <c r="BB1672" i="9" a="1"/>
  <c r="BB1354" i="9" a="1"/>
  <c r="BB1983" i="9" a="1"/>
  <c r="BB480" i="7" a="1"/>
  <c r="BB1371" i="9" a="1"/>
  <c r="BB890" i="7" a="1"/>
  <c r="BB289" i="7" a="1"/>
  <c r="BB595" i="7" a="1"/>
  <c r="BB559" i="7" a="1"/>
  <c r="BB190" i="7" a="1"/>
  <c r="BB118" i="7" a="1"/>
  <c r="BB533" i="7" a="1"/>
  <c r="BB1649" i="9" a="1"/>
  <c r="BB403" i="9" a="1"/>
  <c r="BB1154" i="9" a="1"/>
  <c r="BB1574" i="9" a="1"/>
  <c r="BB854" i="7" a="1"/>
  <c r="BB376" i="7" a="1"/>
  <c r="BB1830" i="9" a="1"/>
  <c r="BB62" i="7" a="1"/>
  <c r="BB1647" i="9" a="1"/>
  <c r="BB1560" i="9" a="1"/>
  <c r="BB1185" i="9" a="1"/>
  <c r="BB317" i="7" a="1"/>
  <c r="BB1718" i="9" a="1"/>
  <c r="BB1399" i="9" a="1"/>
  <c r="BB1970" i="9" a="1"/>
  <c r="BB346" i="7" a="1"/>
  <c r="BB391" i="7" a="1"/>
  <c r="BB894" i="7" a="1"/>
  <c r="BB81" i="7" a="1"/>
  <c r="BB497" i="7" a="1"/>
  <c r="BB1850" i="9" a="1"/>
  <c r="BB1922" i="9" a="1"/>
  <c r="BB1602" i="9" a="1"/>
  <c r="BB661" i="7" a="1"/>
  <c r="BB582" i="7" a="1"/>
  <c r="BB1223" i="7" a="1"/>
  <c r="BB1933" i="7" a="1"/>
  <c r="BB358" i="7" a="1"/>
  <c r="BB1771" i="9" a="1"/>
  <c r="BB1705" i="9" a="1"/>
  <c r="BB1245" i="9" a="1"/>
  <c r="BB142" i="7" a="1"/>
  <c r="BB517" i="7" a="1"/>
  <c r="BB432" i="7" a="1"/>
  <c r="BB253" i="7" a="1"/>
  <c r="BB89" i="7" a="1"/>
  <c r="BB172" i="7" a="1"/>
  <c r="BB5" i="7" a="1"/>
  <c r="BB1375" i="9" a="1"/>
  <c r="BB340" i="7" a="1"/>
  <c r="BB70" i="7" a="1"/>
  <c r="BB1717" i="7" a="1"/>
  <c r="BB976" i="9" a="1"/>
  <c r="BB1080" i="9" a="1"/>
  <c r="BB1845" i="9" a="1"/>
  <c r="BB1053" i="9" a="1"/>
  <c r="BB1134" i="9" a="1"/>
  <c r="BB306" i="7" a="1"/>
  <c r="BB1509" i="9" a="1"/>
  <c r="BB23" i="7" a="1"/>
  <c r="BB83" i="7" a="1"/>
  <c r="BB727" i="7" a="1"/>
  <c r="BB1792" i="9" a="1"/>
  <c r="BB885" i="7" a="1"/>
  <c r="BB1318" i="7" a="1"/>
  <c r="BB752" i="7" a="1"/>
  <c r="BB1259" i="7" a="1"/>
  <c r="BB896" i="7" a="1"/>
  <c r="BB421" i="9" a="1"/>
  <c r="BB1767" i="9" a="1"/>
  <c r="BB1957" i="10" a="1"/>
  <c r="BB547" i="9" a="1"/>
  <c r="BB302" i="9" a="1"/>
  <c r="BB825" i="9" a="1"/>
  <c r="BB1812" i="9" a="1"/>
  <c r="BB574" i="9" a="1"/>
  <c r="BB1191" i="9" a="1"/>
  <c r="BB643" i="9" a="1"/>
  <c r="BB1405" i="9" a="1"/>
  <c r="BB1129" i="9" a="1"/>
  <c r="BB239" i="7" a="1"/>
  <c r="BB1867" i="9" a="1"/>
  <c r="BB490" i="7" a="1"/>
  <c r="BB427" i="7" a="1"/>
  <c r="BB1520" i="9" a="1"/>
  <c r="BB1452" i="9" a="1"/>
  <c r="BB1480" i="9" a="1"/>
  <c r="BB77" i="7" a="1"/>
  <c r="BB333" i="7" a="1"/>
  <c r="BB768" i="7" a="1"/>
  <c r="BB192" i="7" a="1"/>
  <c r="BB838" i="7" a="1"/>
  <c r="BB384" i="7" a="1"/>
  <c r="BB103" i="7" a="1"/>
  <c r="BB61" i="7" a="1"/>
  <c r="BB585" i="7" a="1"/>
  <c r="BB446" i="7" a="1"/>
  <c r="BB977" i="9" a="1"/>
  <c r="BB1710" i="9" a="1"/>
  <c r="BB873" i="9" a="1"/>
  <c r="BB267" i="7" a="1"/>
  <c r="BB1426" i="9" a="1"/>
  <c r="BB6" i="7" a="1"/>
  <c r="BB1990" i="9" a="1"/>
  <c r="BB731" i="7" a="1"/>
  <c r="BB1327" i="9" a="1"/>
  <c r="BB1860" i="9" a="1"/>
  <c r="BB212" i="7" a="1"/>
  <c r="BB704" i="7" a="1"/>
  <c r="BB466" i="7" a="1"/>
  <c r="BB1774" i="7" a="1"/>
  <c r="BB1997" i="7" a="1"/>
  <c r="BB1581" i="7" a="1"/>
  <c r="BB1516" i="9" a="1"/>
  <c r="BB1842" i="9" a="1"/>
  <c r="BB64" i="9" a="1"/>
  <c r="BB590" i="7" a="1"/>
  <c r="BB1628" i="9" a="1"/>
  <c r="BB125" i="7" a="1"/>
  <c r="BB268" i="7" a="1"/>
  <c r="BB320" i="7" a="1"/>
  <c r="BB2000" i="9" a="1"/>
  <c r="BB90" i="7" a="1"/>
  <c r="BB368" i="7" a="1"/>
  <c r="BB246" i="7" a="1"/>
  <c r="BB713" i="7" a="1"/>
  <c r="BB810" i="9" a="1"/>
  <c r="BB237" i="9" a="1"/>
  <c r="BB483" i="7" a="1"/>
  <c r="BB608" i="7" a="1"/>
  <c r="BB1027" i="9" a="1"/>
  <c r="BB452" i="7" a="1"/>
  <c r="BB311" i="7" a="1"/>
  <c r="BB438" i="7" a="1"/>
  <c r="BB48" i="7" a="1"/>
  <c r="BB261" i="7" a="1"/>
  <c r="BB226" i="7" a="1"/>
  <c r="BB498" i="7" a="1"/>
  <c r="BB1632" i="9" a="1"/>
  <c r="BB1144" i="9" a="1"/>
  <c r="BB1498" i="9" a="1"/>
  <c r="BB1423" i="9" a="1"/>
  <c r="BB371" i="7" a="1"/>
  <c r="BB124" i="7" a="1"/>
  <c r="BB1485" i="9" a="1"/>
  <c r="BB1285" i="9" a="1"/>
  <c r="BB566" i="7" a="1"/>
  <c r="BB401" i="7" a="1"/>
  <c r="BB1304" i="9" a="1"/>
  <c r="BB1605" i="9" a="1"/>
  <c r="BB501" i="9" a="1"/>
  <c r="BB1182" i="9" a="1"/>
  <c r="BB1448" i="9" a="1"/>
  <c r="BB1889" i="9" a="1"/>
  <c r="BB586" i="7" a="1"/>
  <c r="BB431" i="7" a="1"/>
  <c r="BB1381" i="9" a="1"/>
  <c r="BB1624" i="9" a="1"/>
  <c r="BB811" i="7" a="1"/>
  <c r="BB599" i="7" a="1"/>
  <c r="BB1711" i="9" a="1"/>
  <c r="BB1315" i="9" a="1"/>
  <c r="BB282" i="7" a="1"/>
  <c r="BB1708" i="7" a="1"/>
  <c r="BB1080" i="7" a="1"/>
  <c r="BB1104" i="7" a="1"/>
  <c r="BB1397" i="9" a="1"/>
  <c r="BB1493" i="9" a="1"/>
  <c r="BB1827" i="9" a="1"/>
  <c r="BB509" i="7" a="1"/>
  <c r="BB117" i="7" a="1"/>
  <c r="BB9" i="7" a="1"/>
  <c r="BB1741" i="9" a="1"/>
  <c r="BB1998" i="9" a="1"/>
  <c r="BB1286" i="9" a="1"/>
  <c r="BB820" i="7" a="1"/>
  <c r="BB1894" i="9" a="1"/>
  <c r="BB1870" i="9" a="1"/>
  <c r="BB80" i="7" a="1"/>
  <c r="BB1145" i="7" a="1"/>
  <c r="BB778" i="9" a="1"/>
  <c r="BB1978" i="9" a="1"/>
  <c r="BB186" i="7" a="1"/>
  <c r="BB380" i="7" a="1"/>
  <c r="BB1564" i="9" a="1"/>
  <c r="BB659" i="7" a="1"/>
  <c r="BB739" i="7" a="1"/>
  <c r="BB127" i="7" a="1"/>
  <c r="BB676" i="7" a="1"/>
  <c r="BB413" i="7" a="1"/>
  <c r="BB694" i="7" a="1"/>
  <c r="BB700" i="7" a="1"/>
  <c r="BB1983" i="7" a="1"/>
  <c r="BB553" i="7" a="1"/>
  <c r="BB1716" i="7" a="1"/>
  <c r="BB1989" i="10" a="1"/>
  <c r="BB979" i="9" a="1"/>
  <c r="BB281" i="9" a="1"/>
  <c r="BB1378" i="9" a="1"/>
  <c r="BB359" i="9" a="1"/>
  <c r="BB849" i="9" a="1"/>
  <c r="BB1125" i="9" a="1"/>
  <c r="BB1150" i="9" a="1"/>
  <c r="BB1707" i="9" a="1"/>
  <c r="BB372" i="9" a="1"/>
  <c r="BB770" i="9" a="1"/>
  <c r="BB1248" i="9" a="1"/>
  <c r="BB963" i="7" a="1"/>
  <c r="BB673" i="7" a="1"/>
  <c r="BB1490" i="9" a="1"/>
  <c r="BB1528" i="9" a="1"/>
  <c r="BB1907" i="9" a="1"/>
  <c r="BB1104" i="9" a="1"/>
  <c r="BB657" i="7" a="1"/>
  <c r="BB1942" i="9" a="1"/>
  <c r="BB1848" i="9" a="1"/>
  <c r="BB1268" i="9" a="1"/>
  <c r="BB109" i="7" a="1"/>
  <c r="BB1487" i="9" a="1"/>
  <c r="BB1603" i="9" a="1"/>
  <c r="BB58" i="7" a="1"/>
  <c r="BB30" i="7" a="1"/>
  <c r="BB373" i="7" a="1"/>
  <c r="BB1155" i="7" a="1"/>
  <c r="BB441" i="9" a="1"/>
  <c r="BB1247" i="9" a="1"/>
  <c r="BB623" i="9" a="1"/>
  <c r="BB740" i="7" a="1"/>
  <c r="BB620" i="7" a="1"/>
  <c r="BB1022" i="9" a="1"/>
  <c r="BB601" i="7" a="1"/>
  <c r="BB823" i="9" a="1"/>
  <c r="BB575" i="7" a="1"/>
  <c r="BB581" i="7" a="1"/>
  <c r="BB1928" i="9" a="1"/>
  <c r="BB1507" i="9" a="1"/>
  <c r="BB12" i="7" a="1"/>
  <c r="BB1674" i="7" a="1"/>
  <c r="BB1071" i="7" a="1"/>
  <c r="BB1669" i="7" a="1"/>
  <c r="BB773" i="9" a="1"/>
  <c r="BB1430" i="9" a="1"/>
  <c r="BB928" i="9" a="1"/>
  <c r="BB225" i="7" a="1"/>
  <c r="BB674" i="7" a="1"/>
  <c r="BB1692" i="9" a="1"/>
  <c r="BB1101" i="9" a="1"/>
  <c r="BB173" i="9" a="1"/>
  <c r="BB696" i="7" a="1"/>
  <c r="BB835" i="7" a="1"/>
  <c r="BB175" i="7" a="1"/>
  <c r="BB1924" i="9" a="1"/>
  <c r="BB649" i="9" a="1"/>
  <c r="BB882" i="9" a="1"/>
  <c r="BB1198" i="9" a="1"/>
  <c r="BB958" i="7" a="1"/>
  <c r="BB420" i="7" a="1"/>
  <c r="BB321" i="7" a="1"/>
  <c r="BB1656" i="9" a="1"/>
  <c r="BB1844" i="9" a="1"/>
  <c r="BB1841" i="9" a="1"/>
  <c r="BB1197" i="9" a="1"/>
  <c r="BB1793" i="9" a="1"/>
  <c r="BB143" i="7" a="1"/>
  <c r="BB204" i="7" a="1"/>
  <c r="BB1680" i="9" a="1"/>
  <c r="BB1754" i="9" a="1"/>
  <c r="BB719" i="9" a="1"/>
  <c r="BB1734" i="9" a="1"/>
  <c r="BB207" i="7" a="1"/>
  <c r="BB421" i="7" a="1"/>
  <c r="BB269" i="7" a="1"/>
  <c r="BB336" i="7" a="1"/>
  <c r="BB442" i="7" a="1"/>
  <c r="BB171" i="7" a="1"/>
  <c r="BB201" i="7" a="1"/>
  <c r="BB262" i="7" a="1"/>
  <c r="BB1266" i="9" a="1"/>
  <c r="BB1704" i="9" a="1"/>
  <c r="BB1146" i="9" a="1"/>
  <c r="BB1701" i="9" a="1"/>
  <c r="BB364" i="7" a="1"/>
  <c r="BB520" i="7" a="1"/>
  <c r="BB611" i="7" a="1"/>
  <c r="BB418" i="7" a="1"/>
  <c r="BB686" i="7" a="1"/>
  <c r="BB349" i="7" a="1"/>
  <c r="BB626" i="7" a="1"/>
  <c r="BB444" i="7" a="1"/>
  <c r="BB1054" i="7" a="1"/>
  <c r="BB1797" i="7" a="1"/>
  <c r="BB1163" i="7" a="1"/>
  <c r="BB902" i="7" a="1"/>
  <c r="BB1977" i="9" a="1"/>
  <c r="BB1880" i="9" a="1"/>
  <c r="BB1323" i="9" a="1"/>
  <c r="BB1379" i="9" a="1"/>
  <c r="BB725" i="7" a="1"/>
  <c r="BB284" i="7" a="1"/>
  <c r="BB149" i="7" a="1"/>
  <c r="BB663" i="7" a="1"/>
  <c r="BB383" i="7" a="1"/>
  <c r="BB781" i="7" a="1"/>
  <c r="BB569" i="7" a="1"/>
  <c r="BB866" i="7" a="1"/>
  <c r="BB1340" i="9" a="1"/>
  <c r="BB449" i="9" a="1"/>
  <c r="BB1911" i="9" a="1"/>
  <c r="BB1666" i="9" a="1"/>
  <c r="BB571" i="7" a="1"/>
  <c r="BB46" i="7" a="1"/>
  <c r="BB609" i="7" a="1"/>
  <c r="BB597" i="7" a="1"/>
  <c r="BB258" i="7" a="1"/>
  <c r="BB479" i="7" a="1"/>
  <c r="BB157" i="7" a="1"/>
  <c r="BB1087" i="9" a="1"/>
  <c r="BB136" i="7" a="1"/>
  <c r="BB505" i="7" a="1"/>
  <c r="BB1500" i="7" a="1"/>
  <c r="BB1792" i="7" a="1"/>
  <c r="BB1087" i="7" a="1"/>
  <c r="BB932" i="9" a="1"/>
  <c r="BB355" i="9" a="1"/>
  <c r="BB661" i="9" a="1"/>
  <c r="BB380" i="9" a="1"/>
  <c r="BB1795" i="10" a="1"/>
  <c r="BB1187" i="9" a="1"/>
  <c r="BB1178" i="9" a="1"/>
  <c r="BB1895" i="9" a="1"/>
  <c r="BB269" i="9" a="1"/>
  <c r="BB858" i="9" a="1"/>
  <c r="BB1465" i="9" a="1"/>
  <c r="BB1253" i="9" a="1"/>
  <c r="BB750" i="7" a="1"/>
  <c r="BB707" i="7" a="1"/>
  <c r="BB184" i="7" a="1"/>
  <c r="BB989" i="9" a="1"/>
  <c r="BB183" i="9" a="1"/>
  <c r="BB1885" i="9" a="1"/>
  <c r="BB506" i="7" a="1"/>
  <c r="BB1330" i="9" a="1"/>
  <c r="BB635" i="7" a="1"/>
  <c r="BB812" i="7" a="1"/>
  <c r="BB1069" i="9" a="1"/>
  <c r="BB735" i="7" a="1"/>
  <c r="BB1780" i="9" a="1"/>
  <c r="BB884" i="9" a="1"/>
  <c r="BB1413" i="9" a="1"/>
  <c r="BB1272" i="9" a="1"/>
  <c r="BB1943" i="7" a="1"/>
  <c r="BB481" i="9" a="1"/>
  <c r="BB1363" i="9" a="1"/>
  <c r="BB1328" i="9" a="1"/>
  <c r="BB288" i="7" a="1"/>
  <c r="BB50" i="7" a="1"/>
  <c r="BB521" i="7" a="1"/>
  <c r="BB758" i="7" a="1"/>
  <c r="BB1514" i="9" a="1"/>
  <c r="BB47" i="7" a="1"/>
  <c r="BB416" i="7" a="1"/>
  <c r="BB791" i="7" a="1"/>
  <c r="BB378" i="7" a="1"/>
  <c r="BB1123" i="7" a="1"/>
  <c r="BB1908" i="7" a="1"/>
  <c r="BB837" i="7" a="1"/>
  <c r="BB651" i="7" a="1"/>
  <c r="BB742" i="9" a="1"/>
  <c r="BB1918" i="9" a="1"/>
  <c r="BB1751" i="9" a="1"/>
  <c r="BB409" i="7" a="1"/>
  <c r="BB607" i="7" a="1"/>
  <c r="BB636" i="7" a="1"/>
  <c r="BB208" i="7" a="1"/>
  <c r="BB1167" i="9" a="1"/>
  <c r="BB771" i="7" a="1"/>
  <c r="BB1759" i="9" a="1"/>
  <c r="BB897" i="7" a="1"/>
  <c r="BB645" i="7" a="1"/>
  <c r="BB1569" i="9" a="1"/>
  <c r="BB1188" i="9" a="1"/>
  <c r="BB1719" i="9" a="1"/>
  <c r="BB1586" i="9" a="1"/>
  <c r="BB1947" i="9" a="1"/>
  <c r="BB467" i="7" a="1"/>
  <c r="BB1474" i="9" a="1"/>
  <c r="BB729" i="7" a="1"/>
  <c r="BB137" i="7" a="1"/>
  <c r="BB272" i="7" a="1"/>
  <c r="BB1079" i="9" a="1"/>
  <c r="BB833" i="7" a="1"/>
  <c r="BB1635" i="9" a="1"/>
  <c r="BB1055" i="9" a="1"/>
  <c r="BB1740" i="9" a="1"/>
  <c r="BB949" i="9" a="1"/>
  <c r="BB392" i="7" a="1"/>
  <c r="BB1852" i="9" a="1"/>
  <c r="BB148" i="7" a="1"/>
  <c r="BB646" i="7" a="1"/>
  <c r="BB649" i="7" a="1"/>
  <c r="BB408" i="7" a="1"/>
  <c r="BB648" i="7" a="1"/>
  <c r="BB298" i="7" a="1"/>
  <c r="BB858" i="7" a="1"/>
  <c r="BB1002" i="9" a="1"/>
  <c r="BB1440" i="9" a="1"/>
  <c r="BB1259" i="9" a="1"/>
  <c r="BB898" i="7" a="1"/>
  <c r="BB76" i="7" a="1"/>
  <c r="BB666" i="7" a="1"/>
  <c r="BB130" i="7" a="1"/>
  <c r="BB379" i="7" a="1"/>
  <c r="BB507" i="7" a="1"/>
  <c r="BB293" i="7" a="1"/>
  <c r="BB96" i="7" a="1"/>
  <c r="BB188" i="7" a="1"/>
  <c r="BB668" i="7" a="1"/>
  <c r="BB512" i="7" a="1"/>
  <c r="BB1193" i="7" a="1"/>
  <c r="BB1982" i="7" a="1"/>
  <c r="BB1158" i="9" a="1"/>
  <c r="BB1833" i="9" a="1"/>
  <c r="BB1945" i="9" a="1"/>
  <c r="BB1091" i="7" a="1"/>
  <c r="BB736" i="7" a="1"/>
  <c r="BB234" i="7" a="1"/>
  <c r="BB543" i="7" a="1"/>
  <c r="BB493" i="7" a="1"/>
  <c r="BB53" i="7" a="1"/>
  <c r="BB88" i="7" a="1"/>
  <c r="BB518" i="7" a="1"/>
  <c r="BB495" i="7" a="1"/>
  <c r="BB54" i="7" a="1"/>
  <c r="BB1278" i="9" a="1"/>
  <c r="BB1288" i="9" a="1"/>
  <c r="BB1045" i="9" a="1"/>
  <c r="BB618" i="7" a="1"/>
  <c r="BB423" i="7" a="1"/>
  <c r="BB178" i="7" a="1"/>
  <c r="BB1618" i="9" a="1"/>
  <c r="BB49" i="7" a="1"/>
  <c r="BB1475" i="9" a="1"/>
  <c r="BB1573" i="9" a="1"/>
  <c r="BB236" i="7" a="1"/>
  <c r="BB303" i="7" a="1"/>
  <c r="BB829" i="7" a="1"/>
  <c r="BB1179" i="7" a="1"/>
  <c r="BB1385" i="7" a="1"/>
  <c r="BB1481" i="7" a="1"/>
  <c r="BB1565" i="10" a="1"/>
  <c r="BB1356" i="9" a="1"/>
  <c r="BB1910" i="10" a="1"/>
  <c r="BB4" i="9" a="1"/>
  <c r="BB562" i="9" a="1"/>
  <c r="BB477" i="9" a="1"/>
  <c r="BB903" i="9" a="1"/>
  <c r="BB992" i="9" a="1"/>
  <c r="BB1799" i="9" a="1"/>
  <c r="BB1762" i="9" a="1"/>
  <c r="BB1779" i="9" a="1"/>
  <c r="BB1056" i="9" a="1"/>
  <c r="BB345" i="7" a="1"/>
  <c r="BB150" i="7" a="1"/>
  <c r="BB159" i="7" a="1"/>
  <c r="BB344" i="9" a="1"/>
  <c r="BB1955" i="9" a="1"/>
  <c r="BB132" i="9" a="1"/>
  <c r="BB167" i="7" a="1"/>
  <c r="BB1125" i="7" a="1"/>
  <c r="BB370" i="7" a="1"/>
  <c r="BB158" i="7" a="1"/>
  <c r="BB176" i="7" a="1"/>
  <c r="BB79" i="7" a="1"/>
  <c r="BB266" i="7" a="1"/>
  <c r="BB1299" i="9" a="1"/>
  <c r="BB100" i="7" a="1"/>
  <c r="BB1005" i="9" a="1"/>
  <c r="BB1765" i="7" a="1"/>
  <c r="BB1151" i="9" a="1"/>
  <c r="BB1160" i="9" a="1"/>
  <c r="BB1787" i="9" a="1"/>
  <c r="BB746" i="7" a="1"/>
  <c r="BB675" i="7" a="1"/>
  <c r="BB310" i="7" a="1"/>
  <c r="BB361" i="7" a="1"/>
  <c r="BB375" i="7" a="1"/>
  <c r="BB7" i="7" a="1"/>
  <c r="BB516" i="7" a="1"/>
  <c r="BB486" i="7" a="1"/>
  <c r="BB347" i="7" a="1"/>
  <c r="BB106" i="7" a="1"/>
  <c r="BB1547" i="7" a="1"/>
  <c r="BB1875" i="7" a="1"/>
  <c r="BB1806" i="7" a="1"/>
  <c r="BB1334" i="9" a="1"/>
  <c r="BB1575" i="9" a="1"/>
  <c r="BB1566" i="9" a="1"/>
  <c r="BB279" i="7" a="1"/>
  <c r="BB213" i="7" a="1"/>
  <c r="BB492" i="7" a="1"/>
  <c r="BB804" i="7" a="1"/>
  <c r="BB485" i="7" a="1"/>
  <c r="BB162" i="7" a="1"/>
  <c r="BB11" i="7" a="1"/>
  <c r="BB732" i="7" a="1"/>
  <c r="BB429" i="7" a="1"/>
  <c r="BB1502" i="9" a="1"/>
  <c r="BB1341" i="9" a="1"/>
  <c r="BB728" i="9" a="1"/>
  <c r="BB1958" i="9" a="1"/>
  <c r="BB1960" i="9" a="1"/>
  <c r="BB342" i="7" a="1"/>
  <c r="BB97" i="7" a="1"/>
  <c r="BB550" i="7" a="1"/>
  <c r="BB28" i="7" a="1"/>
  <c r="BB689" i="7" a="1"/>
  <c r="BB19" i="7" a="1"/>
  <c r="BB813" i="7" a="1"/>
  <c r="BB396" i="7" a="1"/>
  <c r="BB1926" i="9" a="1"/>
  <c r="BB1944" i="9" a="1"/>
  <c r="BB1345" i="9" a="1"/>
  <c r="BB846" i="7" a="1"/>
  <c r="BB1359" i="9" a="1"/>
  <c r="BB1348" i="9" a="1"/>
  <c r="BB1858" i="9" a="1"/>
  <c r="BB1103" i="9" a="1"/>
  <c r="BB1809" i="9" a="1"/>
  <c r="BB1700" i="9" a="1"/>
  <c r="BB693" i="7" a="1"/>
  <c r="BB291" i="7" a="1"/>
  <c r="BB1149" i="9" a="1"/>
  <c r="BB1305" i="9" a="1"/>
  <c r="BB1025" i="9" a="1"/>
  <c r="BB439" i="7" a="1"/>
  <c r="BB1872" i="9" a="1"/>
  <c r="BB1931" i="9" a="1"/>
  <c r="BB1943" i="9" a="1"/>
  <c r="BB1803" i="9" a="1"/>
  <c r="BB1615" i="9" a="1"/>
  <c r="BB1948" i="9" a="1"/>
  <c r="BB34" i="7" a="1"/>
  <c r="BB712" i="7" a="1"/>
  <c r="BB374" i="7" a="1"/>
  <c r="BB1925" i="7" a="1"/>
  <c r="BB628" i="7" a="1"/>
  <c r="BB1946" i="7" a="1"/>
  <c r="BB1823" i="9" a="1"/>
  <c r="BB1888" i="9" a="1"/>
  <c r="BB1708" i="9" a="1"/>
  <c r="BB805" i="7" a="1"/>
  <c r="BB355" i="7" a="1"/>
  <c r="BB155" i="7" a="1"/>
  <c r="BB94" i="7" a="1"/>
  <c r="BB1545" i="9" a="1"/>
  <c r="BB1909" i="9" a="1"/>
  <c r="BB177" i="7" a="1"/>
  <c r="BB168" i="7" a="1"/>
  <c r="BB350" i="7" a="1"/>
  <c r="BB842" i="7" a="1"/>
  <c r="BB445" i="9" a="1"/>
  <c r="BB1040" i="9" a="1"/>
  <c r="BB1661" i="9" a="1"/>
  <c r="BB1934" i="9" a="1"/>
  <c r="BB66" i="7" a="1"/>
  <c r="BB164" i="7" a="1"/>
  <c r="BB280" i="7" a="1"/>
  <c r="BB852" i="7" a="1"/>
  <c r="BB501" i="7" a="1"/>
  <c r="BB230" i="7" a="1"/>
  <c r="BB1229" i="9" a="1"/>
  <c r="BB1027" i="7" a="1"/>
  <c r="BB1380" i="9" a="1"/>
  <c r="BB1068" i="7" a="1"/>
  <c r="BB1833" i="7" a="1"/>
  <c r="BB1851" i="7" a="1"/>
  <c r="BB762" i="9" a="1"/>
  <c r="BB804" i="9" a="1"/>
  <c r="BB1489" i="9" a="1"/>
  <c r="BB1353" i="9" a="1"/>
  <c r="BB974" i="9" a="1"/>
  <c r="BB1260" i="9" a="1"/>
  <c r="BB1307" i="9" a="1"/>
  <c r="BB1050" i="9" a="1"/>
  <c r="BB1501" i="9" a="1"/>
  <c r="BB743" i="9" a="1"/>
  <c r="BB1035" i="9" a="1"/>
  <c r="BB1408" i="9" a="1"/>
  <c r="BB1873" i="9" a="1"/>
  <c r="BB508" i="7" a="1"/>
  <c r="BB1670" i="9" a="1"/>
  <c r="BB943" i="9" a="1"/>
  <c r="BB960" i="9" a="1"/>
  <c r="BB1777" i="9" a="1"/>
  <c r="BB785" i="7" a="1"/>
  <c r="BB1659" i="9" a="1"/>
  <c r="BB1890" i="9" a="1"/>
  <c r="BB1743" i="9" a="1"/>
  <c r="BB302" i="7" a="1"/>
  <c r="BB1458" i="9" a="1"/>
  <c r="BB1443" i="9" a="1"/>
  <c r="BB499" i="7" a="1"/>
  <c r="BB458" i="7" a="1"/>
  <c r="BB52" i="7" a="1"/>
  <c r="BB1219" i="9" a="1"/>
  <c r="BB571" i="9" a="1"/>
  <c r="BB447" i="9" a="1"/>
  <c r="BB430" i="7" a="1"/>
  <c r="BB1764" i="9" a="1"/>
  <c r="BB377" i="7" a="1"/>
  <c r="BB591" i="7" a="1"/>
  <c r="BB1464" i="9" a="1"/>
  <c r="BB596" i="7" a="1"/>
  <c r="BB1853" i="9" a="1"/>
  <c r="BB1094" i="9" a="1"/>
  <c r="BB1720" i="9" a="1"/>
  <c r="BB1679" i="9" a="1"/>
  <c r="BB1016" i="7" a="1"/>
  <c r="BB994" i="7" a="1"/>
  <c r="BB1777" i="7" a="1"/>
  <c r="BB1120" i="9" a="1"/>
  <c r="BB205" i="9" a="1"/>
  <c r="BB544" i="9" a="1"/>
  <c r="BB677" i="7" a="1"/>
  <c r="BB241" i="7" a="1"/>
  <c r="BB545" i="7" a="1"/>
  <c r="BB1317" i="9" a="1"/>
  <c r="BB1843" i="9" a="1"/>
  <c r="BB1105" i="9" a="1"/>
  <c r="BB1350" i="9" a="1"/>
  <c r="BB1761" i="9" a="1"/>
  <c r="BB1896" i="9" a="1"/>
  <c r="BB1915" i="9" a="1"/>
  <c r="BB1513" i="9" a="1"/>
  <c r="BB1789" i="9" a="1"/>
  <c r="BB1190" i="9" a="1"/>
  <c r="BB390" i="7" a="1"/>
  <c r="BB965" i="7" a="1"/>
  <c r="BB1276" i="9" a="1"/>
  <c r="BB1496" i="9" a="1"/>
  <c r="BB799" i="9" a="1"/>
  <c r="BB1243" i="9" a="1"/>
  <c r="BB1756" i="9" a="1"/>
  <c r="BB348" i="7" a="1"/>
  <c r="BB154" i="7" a="1"/>
  <c r="BB672" i="7" a="1"/>
  <c r="BB1846" i="9" a="1"/>
  <c r="BB1236" i="9" a="1"/>
  <c r="BB1143" i="9" a="1"/>
  <c r="BB191" i="7" a="1"/>
  <c r="BB1662" i="9" a="1"/>
  <c r="BB252" i="7" a="1"/>
  <c r="BB468" i="7" a="1"/>
  <c r="BB14" i="7" a="1"/>
  <c r="BB74" i="7" a="1"/>
  <c r="BB621" i="7" a="1"/>
  <c r="BB535" i="7" a="1"/>
  <c r="BB263" i="7" a="1"/>
  <c r="BB1758" i="9" a="1"/>
  <c r="BB736" i="9" a="1"/>
  <c r="BB1606" i="9" a="1"/>
  <c r="BB356" i="7" a="1"/>
  <c r="BB133" i="9" a="1"/>
  <c r="BB456" i="7" a="1"/>
  <c r="BB1352" i="9" a="1"/>
  <c r="BB449" i="7" a="1"/>
  <c r="BB211" i="7" a="1"/>
  <c r="BB68" i="7" a="1"/>
  <c r="BB1267" i="9" a="1"/>
  <c r="BB464" i="7" a="1"/>
  <c r="BB882" i="7" a="1"/>
  <c r="BB1794" i="7" a="1"/>
  <c r="BB1873" i="7" a="1"/>
  <c r="BB1714" i="7" a="1"/>
  <c r="BB1994" i="9" a="1"/>
  <c r="BB1124" i="9" a="1"/>
  <c r="BB1541" i="9" a="1"/>
  <c r="BB245" i="7" a="1"/>
  <c r="BB866" i="9" a="1"/>
  <c r="BB132" i="7" a="1"/>
  <c r="BB1438" i="9" a="1"/>
  <c r="BB228" i="7" a="1"/>
  <c r="BB630" i="7" a="1"/>
  <c r="BB482" i="7" a="1"/>
  <c r="BB1386" i="9" a="1"/>
  <c r="BB641" i="7" a="1"/>
  <c r="BB959" i="7" a="1"/>
  <c r="BB1581" i="9" a="1"/>
  <c r="BB832" i="9" a="1"/>
  <c r="BB1492" i="9" a="1"/>
  <c r="BB1086" i="7" a="1"/>
  <c r="BB445" i="7" a="1"/>
  <c r="BB334" i="7" a="1"/>
  <c r="BB523" i="7" a="1"/>
  <c r="BB1221" i="9" a="1"/>
  <c r="BB140" i="7" a="1"/>
  <c r="BB459" i="7" a="1"/>
  <c r="BB593" i="7" a="1"/>
  <c r="BB153" i="7" a="1"/>
  <c r="BB156" i="7" a="1"/>
  <c r="BB1550" i="7" a="1"/>
  <c r="BB1288" i="7" a="1"/>
  <c r="BB1049" i="7" a="1"/>
  <c r="BB152" i="9" a="1"/>
  <c r="BB1570" i="9" a="1"/>
  <c r="BB62" i="9" a="1"/>
  <c r="BB789" i="7" a="1"/>
  <c r="BB283" i="7" a="1"/>
  <c r="BB526" i="7" a="1"/>
  <c r="BB405" i="7" a="1"/>
  <c r="BB84" i="7" a="1"/>
  <c r="BB386" i="7" a="1"/>
  <c r="BB1172" i="9" a="1"/>
  <c r="BB1444" i="9" a="1"/>
  <c r="BB761" i="7" a="1"/>
  <c r="BB678" i="7" a="1"/>
  <c r="BB1638" i="9" a="1"/>
  <c r="BB1642" i="9" a="1"/>
  <c r="BB503" i="7" a="1"/>
  <c r="BB1419" i="9" a="1"/>
  <c r="BB1695" i="9" a="1"/>
  <c r="BB1755" i="9" a="1"/>
  <c r="BB151" i="7" a="1"/>
  <c r="BB33" i="7" a="1"/>
  <c r="BB567" i="7" a="1"/>
  <c r="BB1455" i="9" a="1"/>
  <c r="BB221" i="7" a="1"/>
  <c r="BB1892" i="9" a="1"/>
  <c r="BB1283" i="9" a="1"/>
  <c r="BB440" i="7" a="1"/>
  <c r="BB95" i="7" a="1"/>
  <c r="BB99" i="7" a="1"/>
  <c r="BB711" i="9" a="1"/>
  <c r="BB1422" i="9" a="1"/>
  <c r="BB1629" i="9" a="1"/>
  <c r="BB1746" i="9" a="1"/>
  <c r="BB714" i="7" a="1"/>
  <c r="BB1884" i="9" a="1"/>
  <c r="BB362" i="7" a="1"/>
  <c r="BB1980" i="9" a="1"/>
  <c r="BB1775" i="9" a="1"/>
  <c r="BB285" i="7" a="1"/>
  <c r="BB116" i="7" a="1"/>
  <c r="BB667" i="7" a="1"/>
  <c r="BB305" i="7" a="1"/>
  <c r="BB334" i="9" a="1"/>
  <c r="BB1728" i="9" a="1"/>
  <c r="BB612" i="7" a="1"/>
  <c r="BB522" i="7" a="1"/>
  <c r="BB27" i="7" a="1"/>
  <c r="BB292" i="7" a="1"/>
  <c r="BB825" i="7" a="1"/>
  <c r="BB181" i="7" a="1"/>
  <c r="BB814" i="7" a="1"/>
  <c r="BB935" i="9" a="1"/>
  <c r="BB754" i="7" a="1"/>
  <c r="BB801" i="7" a="1"/>
  <c r="BB821" i="9" a="1"/>
  <c r="BB1517" i="9" a="1"/>
  <c r="BB92" i="7" a="1"/>
  <c r="BB1119" i="7" a="1"/>
  <c r="BB206" i="7" a="1"/>
  <c r="BB87" i="7" a="1"/>
  <c r="BB724" i="7" a="1"/>
  <c r="BB312" i="7" a="1"/>
  <c r="BB69" i="7" a="1"/>
  <c r="BB358" i="9" a="1"/>
  <c r="BB697" i="7" a="1"/>
  <c r="BB1233" i="9" a="1"/>
  <c r="BB1609" i="7" a="1"/>
  <c r="BB1959" i="7" a="1"/>
  <c r="BB1378" i="7" a="1"/>
  <c r="BB398" i="7" a="1"/>
  <c r="BB1335" i="7" a="1"/>
  <c r="BB1099" i="7" a="1"/>
  <c r="BB918" i="7" a="1"/>
  <c r="BB1929" i="7" a="1"/>
  <c r="BB1164" i="7" a="1"/>
  <c r="BB1493" i="7" a="1"/>
  <c r="BB1189" i="7" a="1"/>
  <c r="BB1033" i="7" a="1"/>
  <c r="BB1269" i="7" a="1"/>
  <c r="BB1019" i="7" a="1"/>
  <c r="BB4" i="7" a="1"/>
  <c r="BB1648" i="7" a="1"/>
  <c r="BB1030" i="7" a="1"/>
  <c r="BB1137" i="7" a="1"/>
  <c r="BB1429" i="7" a="1"/>
  <c r="BB1912" i="7" a="1"/>
  <c r="BB816" i="7" a="1"/>
  <c r="BB901" i="7" a="1"/>
  <c r="BB1363" i="7" a="1"/>
  <c r="BB1273" i="7" a="1"/>
  <c r="BB1883" i="7" a="1"/>
  <c r="BB849" i="7" a="1"/>
  <c r="BB847" i="7" a="1"/>
  <c r="BB1920" i="7" a="1"/>
  <c r="BB1191" i="7" a="1"/>
  <c r="BB1042" i="7" a="1"/>
  <c r="BB1281" i="7" a="1"/>
  <c r="BB1115" i="7" a="1"/>
  <c r="BB1576" i="7" a="1"/>
  <c r="BB1539" i="7" a="1"/>
  <c r="BB1824" i="7" a="1"/>
  <c r="BB980" i="7" a="1"/>
  <c r="BB1004" i="7" a="1"/>
  <c r="BB1617" i="7" a="1"/>
  <c r="BB1289" i="7" a="1"/>
  <c r="BB1696" i="7" a="1"/>
  <c r="BB975" i="7" a="1"/>
  <c r="BB1528" i="7" a="1"/>
  <c r="BB1470" i="7" a="1"/>
  <c r="BB1092" i="7" a="1"/>
  <c r="BB1050" i="7" a="1"/>
  <c r="BB1337" i="7" a="1"/>
  <c r="BB1305" i="7" a="1"/>
  <c r="BB928" i="7" a="1"/>
  <c r="BB1434" i="7" a="1"/>
  <c r="BB1018" i="7" a="1"/>
  <c r="BB1454" i="7" a="1"/>
  <c r="BB1185" i="7" a="1"/>
  <c r="BB381" i="7" a="1"/>
  <c r="BB716" i="7" a="1"/>
  <c r="BB1239" i="9" a="1"/>
  <c r="BB1421" i="7" a="1"/>
  <c r="BB1388" i="7" a="1"/>
  <c r="BB886" i="7" a="1"/>
  <c r="BB982" i="7" a="1"/>
  <c r="BB1076" i="7" a="1"/>
  <c r="BB1722" i="7" a="1"/>
  <c r="BB1097" i="7" a="1"/>
  <c r="BB611" i="9" a="1"/>
  <c r="BB1559" i="9" a="1"/>
  <c r="BB911" i="9" a="1"/>
  <c r="BB10" i="7" a="1"/>
  <c r="BB1074" i="9" a="1"/>
  <c r="BB1879" i="7" a="1"/>
  <c r="BB1745" i="9" a="1"/>
  <c r="BB1300" i="9" a="1"/>
  <c r="BB337" i="7" a="1"/>
  <c r="BB461" i="7" a="1"/>
  <c r="BB1702" i="9" a="1"/>
  <c r="BB1133" i="9" a="1"/>
  <c r="BB1829" i="7" a="1"/>
  <c r="BB1554" i="9" a="1"/>
  <c r="BB1131" i="9" a="1"/>
  <c r="BB304" i="7" a="1"/>
  <c r="BB1289" i="9" a="1"/>
  <c r="BB1457" i="9" a="1"/>
  <c r="BB1838" i="9" a="1"/>
  <c r="BB26" i="7" a="1"/>
  <c r="BB625" i="7" a="1"/>
  <c r="BB338" i="7" a="1"/>
  <c r="BB703" i="7" a="1"/>
  <c r="BB1798" i="9" a="1"/>
  <c r="BB1484" i="9" a="1"/>
  <c r="BB406" i="7" a="1"/>
  <c r="BB1592" i="9" a="1"/>
  <c r="BB1596" i="9" a="1"/>
  <c r="BB1816" i="9" a="1"/>
  <c r="BB1210" i="9" a="1"/>
  <c r="BB1429" i="9" a="1"/>
  <c r="BB757" i="7" a="1"/>
  <c r="BB1137" i="9" a="1"/>
  <c r="BB1582" i="9" a="1"/>
  <c r="BB706" i="7" a="1"/>
  <c r="BB1778" i="9" a="1"/>
  <c r="BB802" i="7" a="1"/>
  <c r="BB690" i="7" a="1"/>
  <c r="BB1733" i="9" a="1"/>
  <c r="BB1432" i="9" a="1"/>
  <c r="BB1412" i="9" a="1"/>
  <c r="BB1837" i="9" a="1"/>
  <c r="BB1435" i="9" a="1"/>
  <c r="BB1859" i="9" a="1"/>
  <c r="BB436" i="7" a="1"/>
  <c r="BB55" i="7" a="1"/>
  <c r="BB1508" i="9" a="1"/>
  <c r="BB794" i="7" a="1"/>
  <c r="BB307" i="7" a="1"/>
  <c r="BB473" i="7" a="1"/>
  <c r="BB352" i="7" a="1"/>
  <c r="BB1961" i="9" a="1"/>
  <c r="BB222" i="7" a="1"/>
  <c r="BB1576" i="9" a="1"/>
  <c r="BB1805" i="9" a="1"/>
  <c r="BB1211" i="9" a="1"/>
  <c r="BB862" i="7" a="1"/>
  <c r="BB780" i="7" a="1"/>
  <c r="BB315" i="7" a="1"/>
  <c r="BB354" i="7" a="1"/>
  <c r="BB726" i="7" a="1"/>
  <c r="BB287" i="7" a="1"/>
  <c r="BB698" i="7" a="1"/>
  <c r="BB1147" i="9" a="1"/>
  <c r="BB653" i="7" a="1"/>
  <c r="BB1232" i="9" a="1"/>
  <c r="BB1391" i="7" a="1"/>
  <c r="BB1397" i="7" a="1"/>
  <c r="BB1630" i="7" a="1"/>
  <c r="BB218" i="7" a="1"/>
  <c r="BB1517" i="7" a="1"/>
  <c r="BB351" i="7" a="1"/>
  <c r="BB199" i="7" a="1"/>
  <c r="BB1723" i="7" a="1"/>
  <c r="BB1669" i="9" a="1"/>
  <c r="BB1196" i="7" a="1"/>
  <c r="BB1021" i="7" a="1"/>
  <c r="BB1711" i="7" a="1"/>
  <c r="BB1084" i="7" a="1"/>
  <c r="BB1180" i="7" a="1"/>
  <c r="BB1556" i="7" a="1"/>
  <c r="BB1590" i="7" a="1"/>
  <c r="BB1620" i="7" a="1"/>
  <c r="BB1346" i="7" a="1"/>
  <c r="BB1047" i="7" a="1"/>
  <c r="BB1877" i="7" a="1"/>
  <c r="BB1748" i="7" a="1"/>
  <c r="BB1426" i="7" a="1"/>
  <c r="BB1867" i="7" a="1"/>
  <c r="BB860" i="7" a="1"/>
  <c r="BB1278" i="7" a="1"/>
  <c r="BB943" i="7" a="1"/>
  <c r="BB1950" i="7" a="1"/>
  <c r="BB1419" i="7" a="1"/>
  <c r="BB1894" i="7" a="1"/>
  <c r="BB1460" i="7" a="1"/>
  <c r="BB1817" i="7" a="1"/>
  <c r="BB1214" i="7" a="1"/>
  <c r="BB1303" i="7" a="1"/>
  <c r="BB710" i="7" a="1"/>
  <c r="BB1637" i="7" a="1"/>
  <c r="BB1085" i="7" a="1"/>
  <c r="BB1142" i="7" a="1"/>
  <c r="BB1600" i="7" a="1"/>
  <c r="BB587" i="7" a="1"/>
  <c r="BB637" i="7" a="1"/>
  <c r="BB1212" i="7" a="1"/>
  <c r="BB909" i="7" a="1"/>
  <c r="BB1580" i="7" a="1"/>
  <c r="BB1351" i="7" a="1"/>
  <c r="BB1070" i="7" a="1"/>
  <c r="BB1447" i="7" a="1"/>
  <c r="BB1400" i="7" a="1"/>
  <c r="BB1981" i="7" a="1"/>
  <c r="BB1051" i="7" a="1"/>
  <c r="BB1394" i="9" a="1"/>
  <c r="BB1283" i="7" a="1"/>
  <c r="BB1328" i="7" a="1"/>
  <c r="BB962" i="7" a="1"/>
  <c r="BB1457" i="7" a="1"/>
  <c r="BB889" i="7" a="1"/>
  <c r="BB1144" i="7" a="1"/>
  <c r="BB1266" i="7" a="1"/>
  <c r="BB542" i="7" a="1"/>
  <c r="BB960" i="7" a="1"/>
  <c r="BB1337" i="9" a="1"/>
  <c r="BB1274" i="9" a="1"/>
  <c r="BB114" i="7" a="1"/>
  <c r="BB721" i="7" a="1"/>
  <c r="BB1801" i="9" a="1"/>
  <c r="BB1700" i="7" a="1"/>
  <c r="BB273" i="7" a="1"/>
  <c r="BB1063" i="9" a="1"/>
  <c r="BB227" i="7" a="1"/>
  <c r="BB926" i="7" a="1"/>
  <c r="BB1717" i="9" a="1"/>
  <c r="BB525" i="7" a="1"/>
  <c r="BB1270" i="9" a="1"/>
  <c r="BB765" i="7" a="1"/>
  <c r="BB1667" i="9" a="1"/>
  <c r="BB73" i="7" a="1"/>
  <c r="BB1646" i="9" a="1"/>
  <c r="BB1038" i="9" a="1"/>
  <c r="BB1292" i="9" a="1"/>
  <c r="BB1893" i="9" a="1"/>
  <c r="BB460" i="7" a="1"/>
  <c r="BB790" i="7" a="1"/>
  <c r="BB179" i="7" a="1"/>
  <c r="BB327" i="7" a="1"/>
  <c r="BB723" i="7" a="1"/>
  <c r="BB331" i="7" a="1"/>
  <c r="BB417" i="7" a="1"/>
  <c r="BB242" i="7" a="1"/>
  <c r="BB769" i="7" a="1"/>
  <c r="BB1624" i="10" a="1"/>
  <c r="BB1225" i="9" a="1"/>
  <c r="BB185" i="7" a="1"/>
  <c r="BB551" i="7" a="1"/>
  <c r="BB1952" i="9" a="1"/>
  <c r="BB513" i="7" a="1"/>
  <c r="BB72" i="7" a="1"/>
  <c r="BB643" i="7" a="1"/>
  <c r="BB443" i="7" a="1"/>
  <c r="BB1891" i="9" a="1"/>
  <c r="BB329" i="7" a="1"/>
  <c r="BB519" i="7" a="1"/>
  <c r="BB77" i="9" a="1"/>
  <c r="BB1929" i="9" a="1"/>
  <c r="BB320" i="9" a="1"/>
  <c r="BB65" i="7" a="1"/>
  <c r="BB82" i="7" a="1"/>
  <c r="BB1724" i="9" a="1"/>
  <c r="BB403" i="7" a="1"/>
  <c r="BB244" i="7" a="1"/>
  <c r="BB259" i="7" a="1"/>
  <c r="BB271" i="7" a="1"/>
  <c r="BB102" i="7" a="1"/>
  <c r="BB165" i="7" a="1"/>
  <c r="BB1527" i="9" a="1"/>
  <c r="BB1201" i="9" a="1"/>
  <c r="BB745" i="9" a="1"/>
  <c r="BB579" i="7" a="1"/>
  <c r="BB216" i="7" a="1"/>
  <c r="BB1668" i="9" a="1"/>
  <c r="BB394" i="7" a="1"/>
  <c r="BB39" i="7" a="1"/>
  <c r="BB680" i="7" a="1"/>
  <c r="BB63" i="7" a="1"/>
  <c r="BB527" i="7" a="1"/>
  <c r="BB296" i="7" a="1"/>
  <c r="BB193" i="7" a="1"/>
  <c r="BB1749" i="7" a="1"/>
  <c r="BB600" i="7" a="1"/>
  <c r="BB1231" i="7" a="1"/>
  <c r="BB941" i="7" a="1"/>
  <c r="BB1382" i="7" a="1"/>
  <c r="BB115" i="7" a="1"/>
  <c r="BB1089" i="7" a="1"/>
  <c r="BB1488" i="7" a="1"/>
  <c r="BB1105" i="7" a="1"/>
  <c r="BB1965" i="7" a="1"/>
  <c r="BB1046" i="7" a="1"/>
  <c r="BB1513" i="7" a="1"/>
  <c r="BB1516" i="7" a="1"/>
  <c r="BB1948" i="7" a="1"/>
  <c r="BB1285" i="7" a="1"/>
  <c r="BB1721" i="7" a="1"/>
  <c r="BB669" i="7" a="1"/>
  <c r="BB1170" i="7" a="1"/>
  <c r="BB1518" i="7" a="1"/>
  <c r="BB1158" i="7" a="1"/>
  <c r="BB1988" i="7" a="1"/>
  <c r="BB1393" i="7" a="1"/>
  <c r="BB1139" i="7" a="1"/>
  <c r="BB702" i="7" a="1"/>
  <c r="BB1276" i="7" a="1"/>
  <c r="BB1751" i="7" a="1"/>
  <c r="BB462" i="7" a="1"/>
  <c r="BB793" i="7" a="1"/>
  <c r="BB1629" i="7" a="1"/>
  <c r="BB1980" i="7" a="1"/>
  <c r="BB856" i="7" a="1"/>
  <c r="BB715" i="7" a="1"/>
  <c r="BB1641" i="7" a="1"/>
  <c r="BB934" i="7" a="1"/>
  <c r="BB906" i="7" a="1"/>
  <c r="BB1623" i="7" a="1"/>
  <c r="BB1914" i="7" a="1"/>
  <c r="BB1515" i="7" a="1"/>
  <c r="BB841" i="7" a="1"/>
  <c r="BB1059" i="7" a="1"/>
  <c r="BB1327" i="7" a="1"/>
  <c r="BB1449" i="7" a="1"/>
  <c r="BB1048" i="7" a="1"/>
  <c r="BB1880" i="7" a="1"/>
  <c r="BB1127" i="7" a="1"/>
  <c r="BB1395" i="7" a="1"/>
  <c r="BB1219" i="7" a="1"/>
  <c r="BB557" i="7" a="1"/>
  <c r="BB1329" i="7" a="1"/>
  <c r="BB1005" i="7" a="1"/>
  <c r="BB774" i="7" a="1"/>
  <c r="BB1901" i="7" a="1"/>
  <c r="BB1067" i="7" a="1"/>
  <c r="BB973" i="7" a="1"/>
  <c r="BB1861" i="7" a="1"/>
  <c r="BB946" i="7" a="1"/>
  <c r="BB1653" i="7" a="1"/>
  <c r="BB1735" i="7" a="1"/>
  <c r="BB1555" i="7" a="1"/>
  <c r="BB845" i="7" a="1"/>
  <c r="BB1203" i="7" a="1"/>
  <c r="BB1675" i="7" a="1"/>
  <c r="BB1130" i="9" a="1"/>
  <c r="BB833" i="9" a="1"/>
  <c r="BB639" i="7" a="1"/>
  <c r="BB475" i="7" a="1"/>
  <c r="BB412" i="7" a="1"/>
  <c r="BB1858" i="7" a="1"/>
  <c r="BB778" i="7" a="1"/>
  <c r="BB771" i="9" a="1"/>
  <c r="BB730" i="7" a="1"/>
  <c r="BB457" i="7" a="1"/>
  <c r="BB941" i="9" a="1"/>
  <c r="BB1349" i="9" a="1"/>
  <c r="BB288" i="9" a="1"/>
  <c r="BB1688" i="9" a="1"/>
  <c r="BB278" i="7" a="1"/>
  <c r="BB489" i="7" a="1"/>
  <c r="BB1949" i="9" a="1"/>
  <c r="BB35" i="9" a="1"/>
  <c r="BB1059" i="9" a="1"/>
  <c r="BB1766" i="9" a="1"/>
  <c r="BB546" i="7" a="1"/>
  <c r="BB763" i="7" a="1"/>
  <c r="BB121" i="7" a="1"/>
  <c r="BB1612" i="9" a="1"/>
  <c r="BB447" i="7" a="1"/>
  <c r="BB822" i="7" a="1"/>
  <c r="BB75" i="7" a="1"/>
  <c r="BB580" i="7" a="1"/>
  <c r="BB469" i="9" a="1"/>
  <c r="BB975" i="9" a="1"/>
  <c r="BB1677" i="9" a="1"/>
  <c r="BB257" i="7" a="1"/>
  <c r="BB260" i="7" a="1"/>
  <c r="BB1500" i="9" a="1"/>
  <c r="BB71" i="7" a="1"/>
  <c r="BB170" i="7" a="1"/>
  <c r="BB38" i="7" a="1"/>
  <c r="BB180" i="7" a="1"/>
  <c r="BB1613" i="9" a="1"/>
  <c r="BB43" i="7" a="1"/>
  <c r="BB111" i="7" a="1"/>
  <c r="BB1568" i="9" a="1"/>
  <c r="BB353" i="9" a="1"/>
  <c r="BB1876" i="9" a="1"/>
  <c r="BB229" i="7" a="1"/>
  <c r="BB286" i="7" a="1"/>
  <c r="BB738" i="7" a="1"/>
  <c r="BB1111" i="9" a="1"/>
  <c r="BB1899" i="9" a="1"/>
  <c r="BB1261" i="9" a="1"/>
  <c r="BB995" i="7" a="1"/>
  <c r="BB17" i="7" a="1"/>
  <c r="BB1818" i="9" a="1"/>
  <c r="BB1357" i="9" a="1"/>
  <c r="BB655" i="9" a="1"/>
  <c r="BB1106" i="9" a="1"/>
  <c r="BB24" i="7" a="1"/>
  <c r="BB1557" i="9" a="1"/>
  <c r="BB1165" i="9" a="1"/>
  <c r="BB1336" i="9" a="1"/>
  <c r="BB123" i="7" a="1"/>
  <c r="BB1682" i="9" a="1"/>
  <c r="BB1831" i="9" a="1"/>
  <c r="BB189" i="7" a="1"/>
  <c r="BB44" i="7" a="1"/>
  <c r="BB795" i="7" a="1"/>
  <c r="BB1161" i="7" a="1"/>
  <c r="BB1551" i="7" a="1"/>
  <c r="BB1209" i="7" a="1"/>
  <c r="BB1482" i="7" a="1"/>
  <c r="BB1826" i="7" a="1"/>
  <c r="BB692" i="7" a="1"/>
  <c r="BB875" i="7" a="1"/>
  <c r="BB923" i="7" a="1"/>
  <c r="BB1474" i="7" a="1"/>
  <c r="BB1734" i="7" a="1"/>
  <c r="BB1251" i="7" a="1"/>
  <c r="BB1496" i="7" a="1"/>
  <c r="BB760" i="7" a="1"/>
  <c r="BB1862" i="7" a="1"/>
  <c r="BB843" i="7" a="1"/>
  <c r="BB1645" i="7" a="1"/>
  <c r="BB1718" i="7" a="1"/>
  <c r="BB1847" i="7" a="1"/>
  <c r="BB1606" i="7" a="1"/>
  <c r="BB1299" i="7" a="1"/>
  <c r="BB751" i="7" a="1"/>
  <c r="BB1533" i="7" a="1"/>
  <c r="BB1088" i="7" a="1"/>
  <c r="BB1544" i="7" a="1"/>
  <c r="BB1729" i="7" a="1"/>
  <c r="BB664" i="7" a="1"/>
  <c r="BB722" i="7" a="1"/>
  <c r="BB1863" i="7" a="1"/>
  <c r="BB1504" i="7" a="1"/>
  <c r="BB1034" i="7" a="1"/>
  <c r="BB1430" i="7" a="1"/>
  <c r="BB1861" i="9" a="1"/>
  <c r="BB1979" i="7" a="1"/>
  <c r="BB1473" i="7" a="1"/>
  <c r="BB1864" i="7" a="1"/>
  <c r="BB848" i="7" a="1"/>
  <c r="BB1897" i="7" a="1"/>
  <c r="BB1889" i="7" a="1"/>
  <c r="BB1930" i="7" a="1"/>
  <c r="BB1631" i="7" a="1"/>
  <c r="BB1589" i="7" a="1"/>
  <c r="BB708" i="7" a="1"/>
  <c r="BB1026" i="7" a="1"/>
  <c r="BB865" i="7" a="1"/>
  <c r="BB1650" i="7" a="1"/>
  <c r="BB983" i="7" a="1"/>
  <c r="BB1574" i="7" a="1"/>
  <c r="BB1956" i="7" a="1"/>
  <c r="BB1229" i="7" a="1"/>
  <c r="BB1411" i="7" a="1"/>
  <c r="BB1970" i="7" a="1"/>
  <c r="BB1150" i="7" a="1"/>
  <c r="BB1601" i="7" a="1"/>
  <c r="BB1507" i="7" a="1"/>
  <c r="BB1967" i="7" a="1"/>
  <c r="BB779" i="7" a="1"/>
  <c r="BB878" i="9" a="1"/>
  <c r="BB387" i="7" a="1"/>
  <c r="BB1916" i="9" a="1"/>
  <c r="BB1532" i="7" a="1"/>
  <c r="BB1997" i="9" a="1"/>
  <c r="BB709" i="7" a="1"/>
  <c r="BB13" i="7" a="1"/>
  <c r="BB326" i="7" a="1"/>
  <c r="BB428" i="7" a="1"/>
  <c r="BB504" i="7" a="1"/>
  <c r="BB1709" i="9" a="1"/>
  <c r="BB1910" i="9" a="1"/>
  <c r="BB1882" i="9" a="1"/>
  <c r="BB251" i="7" a="1"/>
  <c r="BB32" i="7" a="1"/>
  <c r="BB1262" i="7" a="1"/>
  <c r="BB1989" i="9" a="1"/>
  <c r="BB879" i="9" a="1"/>
  <c r="BB817" i="9" a="1"/>
  <c r="BB924" i="7" a="1"/>
  <c r="BB470" i="7" a="1"/>
  <c r="BB1636" i="9" a="1"/>
  <c r="BB1957" i="9" a="1"/>
  <c r="BB1732" i="9" a="1"/>
  <c r="BB1368" i="9" a="1"/>
  <c r="BB113" i="7" a="1"/>
  <c r="BB576" i="7" a="1"/>
  <c r="BB238" i="7" a="1"/>
  <c r="BB1555" i="9" a="1"/>
  <c r="BB1374" i="9" a="1"/>
  <c r="BB894" i="9" a="1"/>
  <c r="BB455" i="7" a="1"/>
  <c r="BB205" i="7" a="1"/>
  <c r="BB839" i="7" a="1"/>
  <c r="BB1953" i="9" a="1"/>
  <c r="BB554" i="7" a="1"/>
  <c r="BB122" i="7" a="1"/>
  <c r="BB1796" i="9" a="1"/>
  <c r="BB614" i="7" a="1"/>
  <c r="BB500" i="7" a="1"/>
  <c r="BB281" i="7" a="1"/>
  <c r="BB1017" i="9" a="1"/>
  <c r="BB891" i="9" a="1"/>
  <c r="BB1415" i="9" a="1"/>
  <c r="BB112" i="7" a="1"/>
  <c r="BB220" i="7" a="1"/>
  <c r="BB385" i="7" a="1"/>
  <c r="BB51" i="7" a="1"/>
  <c r="BB705" i="7" a="1"/>
  <c r="BB547" i="7" a="1"/>
  <c r="BB654" i="7" a="1"/>
  <c r="BB836" i="7" a="1"/>
  <c r="BB1108" i="9" a="1"/>
  <c r="BB1376" i="9" a="1"/>
  <c r="BB1076" i="9" a="1"/>
  <c r="BB1721" i="9" a="1"/>
  <c r="BB532" i="7" a="1"/>
  <c r="BB105" i="7" a="1"/>
  <c r="BB1057" i="9" a="1"/>
  <c r="BB233" i="7" a="1"/>
  <c r="BB1329" i="9" a="1"/>
  <c r="BB18" i="7" a="1"/>
  <c r="BB367" i="7" a="1"/>
  <c r="BB1445" i="9" a="1"/>
  <c r="BB1308" i="9" a="1"/>
  <c r="BB1540" i="9" a="1"/>
  <c r="BB957" i="7" a="1"/>
  <c r="BB1731" i="7" a="1"/>
  <c r="BB1367" i="7" a="1"/>
  <c r="BB1379" i="7" a="1"/>
  <c r="BB1643" i="7" a="1"/>
  <c r="BB1838" i="7" a="1"/>
  <c r="BB1662" i="7" a="1"/>
  <c r="BB972" i="7" a="1"/>
  <c r="BB1626" i="7" a="1"/>
  <c r="BB1501" i="7" a="1"/>
  <c r="BB683" i="7" a="1"/>
  <c r="BB1764" i="7" a="1"/>
  <c r="BB1020" i="7" a="1"/>
  <c r="BB1316" i="7" a="1"/>
  <c r="BB1608" i="7" a="1"/>
  <c r="BB1510" i="7" a="1"/>
  <c r="BB1677" i="7" a="1"/>
  <c r="BB1941" i="7" a="1"/>
  <c r="BB537" i="7" a="1"/>
  <c r="BB1673" i="7" a="1"/>
  <c r="BB1304" i="7" a="1"/>
  <c r="BB1359" i="7" a="1"/>
  <c r="BB1707" i="7" a="1"/>
  <c r="BB1543" i="7" a="1"/>
  <c r="BB1924" i="7" a="1"/>
  <c r="BB1583" i="7" a="1"/>
  <c r="BB1237" i="7" a="1"/>
  <c r="BB1665" i="7" a="1"/>
  <c r="BB996" i="7" a="1"/>
  <c r="BB1789" i="7" a="1"/>
  <c r="BB1081" i="7" a="1"/>
  <c r="BB1902" i="9" a="1"/>
  <c r="BB1168" i="7" a="1"/>
  <c r="BB16" i="7" a="1"/>
  <c r="BB1061" i="7" a="1"/>
  <c r="BB679" i="7" a="1"/>
  <c r="BB1964" i="9" a="1"/>
  <c r="BB1720" i="7" a="1"/>
  <c r="BB1738" i="7" a="1"/>
  <c r="BB1780" i="7" a="1"/>
  <c r="BB1103" i="7" a="1"/>
  <c r="BB433" i="7" a="1"/>
  <c r="BB1621" i="7" a="1"/>
  <c r="BB37" i="7" a="1"/>
  <c r="BB905" i="7" a="1"/>
  <c r="BB1121" i="7" a="1"/>
  <c r="BB131" i="7" a="1"/>
  <c r="BB548" i="7" a="1"/>
  <c r="BB1401" i="7" a="1"/>
  <c r="BB1571" i="7" a="1"/>
  <c r="BB1622" i="7" a="1"/>
  <c r="BB1028" i="7" a="1"/>
  <c r="BB1775" i="7" a="1"/>
  <c r="BB1432" i="7" a="1"/>
  <c r="BB1186" i="7" a="1"/>
  <c r="BB1906" i="7" a="1"/>
  <c r="BB1450" i="7" a="1"/>
  <c r="BB1336" i="7" a="1"/>
  <c r="BB1663" i="7" a="1"/>
  <c r="BB1313" i="7" a="1"/>
  <c r="BB1760" i="7" a="1"/>
  <c r="BB1689" i="9" a="1"/>
  <c r="BB1993" i="9" a="1"/>
  <c r="BB650" i="7" a="1"/>
  <c r="BB1523" i="9" a="1"/>
  <c r="BB1936" i="9" a="1"/>
  <c r="BB1940" i="9" a="1"/>
  <c r="BB250" i="7" a="1"/>
  <c r="BB1604" i="9" a="1"/>
  <c r="BB411" i="7" a="1"/>
  <c r="BB1617" i="9" a="1"/>
  <c r="BB572" i="7" a="1"/>
  <c r="BB1795" i="9" a="1"/>
  <c r="BB295" i="7" a="1"/>
  <c r="BB1834" i="9" a="1"/>
  <c r="BB42" i="7" a="1"/>
  <c r="BB1695" i="7" a="1"/>
  <c r="BB261" i="9" a="1"/>
  <c r="BB1495" i="9" a="1"/>
  <c r="BB1992" i="9" a="1"/>
  <c r="BB1696" i="9" a="1"/>
  <c r="BB1291" i="9" a="1"/>
  <c r="BB652" i="7" a="1"/>
  <c r="BB1115" i="9" a="1"/>
  <c r="BB748" i="7" a="1"/>
  <c r="BB265" i="7" a="1"/>
  <c r="BB884" i="7" a="1"/>
  <c r="BB1041" i="9" a="1"/>
  <c r="BB1372" i="9" a="1"/>
  <c r="BB1985" i="9" a="1"/>
  <c r="BB888" i="9" a="1"/>
  <c r="BB1459" i="9" a="1"/>
  <c r="BB584" i="7" a="1"/>
  <c r="BB107" i="7" a="1"/>
  <c r="BB684" i="7" a="1"/>
  <c r="BB541" i="7" a="1"/>
  <c r="BB1316" i="9" a="1"/>
  <c r="BB1607" i="9" a="1"/>
  <c r="BB850" i="7" a="1"/>
  <c r="BB1954" i="9" a="1"/>
  <c r="BB1572" i="9" a="1"/>
  <c r="BB187" i="7" a="1"/>
  <c r="BB1204" i="9" a="1"/>
  <c r="BB1807" i="9" a="1"/>
  <c r="BB991" i="9" a="1"/>
  <c r="BB91" i="7" a="1"/>
  <c r="BB8" i="7" a="1"/>
  <c r="BB434" i="7" a="1"/>
  <c r="BB634" i="7" a="1"/>
  <c r="BB1996" i="9" a="1"/>
  <c r="BB343" i="7" a="1"/>
  <c r="BB453" i="7" a="1"/>
  <c r="BB685" i="7" a="1"/>
  <c r="BB474" i="7" a="1"/>
  <c r="BB1712" i="9" a="1"/>
  <c r="BB1565" i="9" a="1"/>
  <c r="BB196" i="9" a="1"/>
  <c r="BB270" i="7" a="1"/>
  <c r="BB173" i="7" a="1"/>
  <c r="BB681" i="7" a="1"/>
  <c r="BB202" i="7" a="1"/>
  <c r="BB1312" i="9" a="1"/>
  <c r="BB441" i="7" a="1"/>
  <c r="BB562" i="7" a="1"/>
  <c r="BB134" i="7" a="1"/>
  <c r="BB718" i="7" a="1"/>
  <c r="BB530" i="7" a="1"/>
  <c r="BB1966" i="7" a="1"/>
  <c r="BB1881" i="7" a="1"/>
  <c r="BB1781" i="7" a="1"/>
  <c r="BB1963" i="7" a="1"/>
  <c r="BB1009" i="7" a="1"/>
  <c r="BB1639" i="7" a="1"/>
  <c r="BB1642" i="7" a="1"/>
  <c r="BB1733" i="7" a="1"/>
  <c r="BB966" i="7" a="1"/>
  <c r="BB1343" i="7" a="1"/>
  <c r="BB1607" i="7" a="1"/>
  <c r="BB1058" i="7" a="1"/>
  <c r="BB1834" i="7" a="1"/>
  <c r="BB1407" i="7" a="1"/>
  <c r="BB1773" i="7" a="1"/>
  <c r="BB1224" i="7" a="1"/>
  <c r="BB747" i="7" a="1"/>
  <c r="BB1566" i="7" a="1"/>
  <c r="BB782" i="7" a="1"/>
  <c r="BB953" i="7" a="1"/>
  <c r="BB1414" i="9" a="1"/>
  <c r="BB741" i="7" a="1"/>
  <c r="BB1508" i="7" a="1"/>
  <c r="BB1295" i="9" a="1"/>
  <c r="BB1945" i="7" a="1"/>
  <c r="BB1381" i="7" a="1"/>
  <c r="BB1264" i="7" a="1"/>
  <c r="BB1431" i="7" a="1"/>
  <c r="BB880" i="7" a="1"/>
  <c r="BB887" i="7" a="1"/>
  <c r="BB930" i="7" a="1"/>
  <c r="BB961" i="7" a="1"/>
  <c r="BB1783" i="7" a="1"/>
  <c r="BB655" i="7" a="1"/>
  <c r="BB1737" i="7" a="1"/>
  <c r="BB528" i="7" a="1"/>
  <c r="BB1373" i="7" a="1"/>
  <c r="BB1370" i="7" a="1"/>
  <c r="BB1692" i="7" a="1"/>
  <c r="BB1776" i="7" a="1"/>
  <c r="BB1553" i="7" a="1"/>
  <c r="BB1267" i="7" a="1"/>
  <c r="BB1083" i="7" a="1"/>
  <c r="BB1166" i="7" a="1"/>
  <c r="BB1415" i="7" a="1"/>
  <c r="BB1130" i="7" a="1"/>
  <c r="BB382" i="7" a="1"/>
  <c r="BB1973" i="7" a="1"/>
  <c r="BB1992" i="7" a="1"/>
  <c r="BB1143" i="7" a="1"/>
  <c r="BB1392" i="7" a="1"/>
  <c r="BB1962" i="7" a="1"/>
  <c r="BB1167" i="7" a="1"/>
  <c r="BB1636" i="7" a="1"/>
  <c r="BB1280" i="7" a="1"/>
  <c r="BB1802" i="7" a="1"/>
  <c r="BB1788" i="7" a="1"/>
  <c r="BB564" i="7" a="1"/>
  <c r="BB1280" i="9" a="1"/>
  <c r="BB1982" i="9" a="1"/>
  <c r="BB762" i="7" a="1"/>
  <c r="BB1865" i="9" a="1"/>
  <c r="BB195" i="7" a="1"/>
  <c r="BB227" i="9" a="1"/>
  <c r="BB616" i="7" a="1"/>
  <c r="BB539" i="7" a="1"/>
  <c r="BB1209" i="9" a="1"/>
  <c r="BB104" i="7" a="1"/>
  <c r="BB1714" i="9" a="1"/>
  <c r="BB767" i="7" a="1"/>
  <c r="BB1519" i="9" a="1"/>
  <c r="BB990" i="7" a="1"/>
  <c r="BB604" i="7" a="1"/>
  <c r="BB1616" i="7" a="1"/>
  <c r="BB58" i="9" a="1"/>
  <c r="BB1085" i="9" a="1"/>
  <c r="BB323" i="7" a="1"/>
  <c r="BB764" i="7" a="1"/>
  <c r="BB1763" i="9" a="1"/>
  <c r="BB78" i="7" a="1"/>
  <c r="BB277" i="7" a="1"/>
  <c r="BB301" i="7" a="1"/>
  <c r="BB161" i="7" a="1"/>
  <c r="BB1319" i="9" a="1"/>
  <c r="BB144" i="7" a="1"/>
  <c r="BB86" i="7" a="1"/>
  <c r="BB1460" i="9" a="1"/>
  <c r="BB679" i="9" a="1"/>
  <c r="BB983" i="9" a="1"/>
  <c r="BB314" i="7" a="1"/>
  <c r="BB874" i="7" a="1"/>
  <c r="BB240" i="7" a="1"/>
  <c r="BB598" i="7" a="1"/>
  <c r="BB425" i="7" a="1"/>
  <c r="BB141" i="7" a="1"/>
  <c r="BB402" i="7" a="1"/>
  <c r="BB631" i="7" a="1"/>
  <c r="BB1177" i="9" a="1"/>
  <c r="BB1023" i="7" a="1"/>
  <c r="BB852" i="9" a="1"/>
  <c r="BB1840" i="9" a="1"/>
  <c r="BB1999" i="9" a="1"/>
  <c r="BB1551" i="9" a="1"/>
  <c r="BB247" i="7" a="1"/>
  <c r="BB108" i="7" a="1"/>
  <c r="BB174" i="7" a="1"/>
  <c r="BB209" i="7" a="1"/>
  <c r="BB1868" i="9" a="1"/>
  <c r="BB629" i="7" a="1"/>
  <c r="BB388" i="7" a="1"/>
  <c r="BB256" i="7" a="1"/>
  <c r="BB1214" i="9" a="1"/>
  <c r="BB1032" i="9" a="1"/>
  <c r="BB1181" i="9" a="1"/>
  <c r="BB1927" i="9" a="1"/>
  <c r="BB448" i="7" a="1"/>
  <c r="BB372" i="7" a="1"/>
  <c r="BB603" i="7" a="1"/>
  <c r="BB491" i="7" a="1"/>
  <c r="BB300" i="7" a="1"/>
  <c r="BB308" i="7" a="1"/>
  <c r="BB777" i="7" a="1"/>
  <c r="BB393" i="7" a="1"/>
  <c r="BB197" i="7" a="1"/>
  <c r="BB1195" i="7" a="1"/>
  <c r="BB877" i="7" a="1"/>
  <c r="BB869" i="7" a="1"/>
  <c r="BB623" i="7" a="1"/>
  <c r="BB1584" i="7" a="1"/>
  <c r="BB1268" i="7" a="1"/>
  <c r="BB1399" i="7" a="1"/>
  <c r="BB1888" i="7" a="1"/>
  <c r="BB981" i="7" a="1"/>
  <c r="BB1949" i="7" a="1"/>
  <c r="BB404" i="7" a="1"/>
  <c r="BB588" i="7" a="1"/>
  <c r="BB1634" i="7" a="1"/>
  <c r="BB796" i="7" a="1"/>
  <c r="BB1996" i="7" a="1"/>
  <c r="BB917" i="7" a="1"/>
  <c r="BB1451" i="7" a="1"/>
  <c r="BB1521" i="7" a="1"/>
  <c r="BB529" i="7" a="1"/>
  <c r="BB1387" i="7" a="1"/>
  <c r="BB476" i="7" a="1"/>
  <c r="BB1372" i="7" a="1"/>
  <c r="BB1860" i="7" a="1"/>
  <c r="BB988" i="7" a="1"/>
  <c r="BB1044" i="7" a="1"/>
  <c r="BB1352" i="7" a="1"/>
  <c r="BB1872" i="7" a="1"/>
  <c r="BB688" i="7" a="1"/>
  <c r="BB1618" i="7" a="1"/>
  <c r="BB799" i="7" a="1"/>
  <c r="BB1524" i="7" a="1"/>
  <c r="BB1531" i="7" a="1"/>
  <c r="BB784" i="7" a="1"/>
  <c r="BB1330" i="7" a="1"/>
  <c r="BB1537" i="7" a="1"/>
  <c r="BB1519" i="7" a="1"/>
  <c r="BB1134" i="7" a="1"/>
  <c r="BB1206" i="7" a="1"/>
  <c r="BB1935" i="7" a="1"/>
  <c r="BB1232" i="7" a="1"/>
  <c r="BB945" i="7" a="1"/>
  <c r="BB1255" i="7" a="1"/>
  <c r="BB1188" i="7" a="1"/>
  <c r="BB1505" i="7" a="1"/>
  <c r="BB1893" i="7" a="1"/>
  <c r="BB1324" i="7" a="1"/>
  <c r="BB1173" i="7" a="1"/>
  <c r="BB1767" i="7" a="1"/>
  <c r="BB766" i="7" a="1"/>
  <c r="BB891" i="7" a="1"/>
  <c r="BB1885" i="7" a="1"/>
  <c r="BB903" i="7" a="1"/>
  <c r="BB1369" i="7" a="1"/>
  <c r="BB828" i="7" a="1"/>
  <c r="BB1247" i="7" a="1"/>
  <c r="BB1976" i="7" a="1"/>
  <c r="BB1561" i="7" a="1"/>
  <c r="BB1141" i="7" a="1"/>
  <c r="BB1819" i="7" a="1"/>
  <c r="BB1222" i="7" a="1"/>
  <c r="BB955" i="7" a="1"/>
  <c r="BB1202" i="9" a="1"/>
  <c r="BB1681" i="9" a="1"/>
  <c r="BB1333" i="9" a="1"/>
  <c r="BB555" i="7" a="1"/>
  <c r="BB510" i="7" a="1"/>
  <c r="BB41" i="7" a="1"/>
  <c r="BB1093" i="7" a="1"/>
  <c r="BB1476" i="9" a="1"/>
  <c r="BB219" i="7" a="1"/>
  <c r="BB1149" i="7" a="1"/>
  <c r="BB1332" i="7" a="1"/>
  <c r="BB1152" i="7" a="1"/>
  <c r="BB1905" i="7" a="1"/>
  <c r="BB1197" i="7" a="1"/>
  <c r="BB1160" i="7" a="1"/>
  <c r="BB1810" i="7" a="1"/>
  <c r="BB1978" i="7" a="1"/>
  <c r="BB1077" i="7" a="1"/>
  <c r="BB1903" i="7" a="1"/>
  <c r="BB1096" i="7" a="1"/>
  <c r="BB1427" i="7" a="1"/>
  <c r="BB1301" i="7" a="1"/>
  <c r="BB1475" i="7" a="1"/>
  <c r="BB1353" i="7" a="1"/>
  <c r="BB937" i="7" a="1"/>
  <c r="BB1380" i="7" a="1"/>
  <c r="BB1090" i="7" a="1"/>
  <c r="BB1755" i="7" a="1"/>
  <c r="BB1133" i="7" a="1"/>
  <c r="BB1396" i="7" a="1"/>
  <c r="BB1053" i="7" a="1"/>
  <c r="BB1694" i="7" a="1"/>
  <c r="BB1205" i="7" a="1"/>
  <c r="BB297" i="7" a="1"/>
  <c r="BB1190" i="7" a="1"/>
  <c r="BB1930" i="9" a="1"/>
  <c r="BB1984" i="7" a="1"/>
  <c r="BB1453" i="7" a="1"/>
  <c r="BB753" i="7" a="1"/>
  <c r="BB1633" i="7" a="1"/>
  <c r="BB1405" i="7" a="1"/>
  <c r="BB1410" i="7" a="1"/>
  <c r="BB1697" i="7" a="1"/>
  <c r="BB1594" i="7" a="1"/>
  <c r="BB1771" i="7" a="1"/>
  <c r="BB1823" i="7" a="1"/>
  <c r="BB1491" i="7" a="1"/>
  <c r="BB1445" i="7" a="1"/>
  <c r="BB451" i="7" a="1"/>
  <c r="BB1349" i="7" a="1"/>
  <c r="BB1990" i="7" a="1"/>
  <c r="BB1236" i="7" a="1"/>
  <c r="BB1569" i="7" a="1"/>
  <c r="BB1468" i="7" a="1"/>
  <c r="BB949" i="7" a="1"/>
  <c r="BB1238" i="7" a="1"/>
  <c r="BB1204" i="7" a="1"/>
  <c r="BB1057" i="7" a="1"/>
  <c r="BB1756" i="7" a="1"/>
  <c r="BB1250" i="7" a="1"/>
  <c r="BB1525" i="7" a="1"/>
  <c r="BB1035" i="7" a="1"/>
  <c r="BB1227" i="7" a="1"/>
  <c r="BB977" i="7" a="1"/>
  <c r="BB1347" i="7" a="1"/>
  <c r="BB1147" i="7" a="1"/>
  <c r="BB1437" i="7" a="1"/>
  <c r="BB888" i="7" a="1"/>
  <c r="BB1446" i="7" a="1"/>
  <c r="BB1603" i="7" a="1"/>
  <c r="BB907" i="7" a="1"/>
  <c r="BB1503" i="7" a="1"/>
  <c r="BB1747" i="7" a="1"/>
  <c r="BB881" i="7" a="1"/>
  <c r="BB1995" i="7" a="1"/>
  <c r="BB1078" i="7" a="1"/>
  <c r="BB1499" i="7" a="1"/>
  <c r="BB1567" i="7" a="1"/>
  <c r="BB1502" i="7" a="1"/>
  <c r="BB540" i="7" a="1"/>
  <c r="BB1423" i="7" a="1"/>
  <c r="BB968" i="7" a="1"/>
  <c r="BB1102" i="7" a="1"/>
  <c r="BB1704" i="7" a="1"/>
  <c r="BB1117" i="7" a="1"/>
  <c r="BB1354" i="7" a="1"/>
  <c r="BB1277" i="7" a="1"/>
  <c r="BB1038" i="7" a="1"/>
  <c r="BB921" i="7" a="1"/>
  <c r="BB1208" i="7" a="1"/>
  <c r="BB1991" i="7" a="1"/>
  <c r="BB687" i="7" a="1"/>
  <c r="BB1006" i="7" a="1"/>
  <c r="BB1461" i="7" a="1"/>
  <c r="BB1964" i="7" a="1"/>
  <c r="BB1598" i="7" a="1"/>
  <c r="BB531" i="7" a="1"/>
  <c r="BB647" i="7" a="1"/>
  <c r="BB1406" i="7" a="1"/>
  <c r="BB665" i="7" a="1"/>
  <c r="BB1706" i="7" a="1"/>
  <c r="BB606" i="7" a="1"/>
  <c r="BB1339" i="7" a="1"/>
  <c r="BB1730" i="7" a="1"/>
  <c r="BB1859" i="7" a="1"/>
  <c r="BB1753" i="7" a="1"/>
  <c r="BB1736" i="7" a="1"/>
  <c r="BB1371" i="7" a="1"/>
  <c r="BB1242" i="7" a="1"/>
  <c r="BB254" i="7" a="1"/>
  <c r="BB1986" i="7" a="1"/>
  <c r="BB1562" i="7" a="1"/>
  <c r="BB1546" i="7" a="1"/>
  <c r="BB1440" i="7" a="1"/>
  <c r="BB1762" i="7" a="1"/>
  <c r="BB1599" i="7" a="1"/>
  <c r="BB711" i="7" a="1"/>
  <c r="BB1787" i="7" a="1"/>
  <c r="BB1452" i="7" a="1"/>
  <c r="BB1921" i="7" a="1"/>
  <c r="BB1744" i="7" a="1"/>
  <c r="BB1628" i="7" a="1"/>
  <c r="BB583" i="7" a="1"/>
  <c r="BB1494" i="7" a="1"/>
  <c r="BB1563" i="9" a="1"/>
  <c r="BB1478" i="9" a="1"/>
  <c r="BB1439" i="9" a="1"/>
  <c r="BB1275" i="9" a="1"/>
  <c r="BB20" i="7" a="1"/>
  <c r="BB1387" i="9" a="1"/>
  <c r="BB633" i="7" a="1"/>
  <c r="BB1427" i="9" a="1"/>
  <c r="BB933" i="7" a="1"/>
  <c r="BB1217" i="7" a="1"/>
  <c r="BB1458" i="7" a="1"/>
  <c r="BB1702" i="7" a="1"/>
  <c r="BB1688" i="7" a="1"/>
  <c r="BB1126" i="7" a="1"/>
  <c r="BB1215" i="7" a="1"/>
  <c r="BB1284" i="7" a="1"/>
  <c r="BB1107" i="7" a="1"/>
  <c r="BB1037" i="7" a="1"/>
  <c r="BB1713" i="7" a="1"/>
  <c r="BB1235" i="7" a="1"/>
  <c r="BB1627" i="7" a="1"/>
  <c r="BB832" i="7" a="1"/>
  <c r="BB592" i="7" a="1"/>
  <c r="BB1272" i="7" a="1"/>
  <c r="BB1559" i="7" a="1"/>
  <c r="BB914" i="7" a="1"/>
  <c r="BB879" i="7" a="1"/>
  <c r="BB1436" i="7" a="1"/>
  <c r="BB1523" i="7" a="1"/>
  <c r="BB632" i="7" a="1"/>
  <c r="BB1169" i="7" a="1"/>
  <c r="BB1591" i="7" a="1"/>
  <c r="BB1690" i="7" a="1"/>
  <c r="BB1680" i="7" a="1"/>
  <c r="BB1527" i="7" a="1"/>
  <c r="BB169" i="7" a="1"/>
  <c r="BB1455" i="7" a="1"/>
  <c r="BB1540" i="7" a="1"/>
  <c r="BB1325" i="7" a="1"/>
  <c r="BB1782" i="7" a="1"/>
  <c r="BB1403" i="7" a="1"/>
  <c r="BB1296" i="7" a="1"/>
  <c r="BB1934" i="7" a="1"/>
  <c r="BB935" i="7" a="1"/>
  <c r="BB1815" i="7" a="1"/>
  <c r="BB1900" i="7" a="1"/>
  <c r="BB1489" i="7" a="1"/>
  <c r="BB1350" i="7" a="1"/>
  <c r="BB1884" i="7" a="1"/>
  <c r="BB1055" i="7" a="1"/>
  <c r="BB1309" i="7" a="1"/>
  <c r="BB1348" i="7" a="1"/>
  <c r="BB1816" i="7" a="1"/>
  <c r="BB1317" i="7" a="1"/>
  <c r="BB969" i="7" a="1"/>
  <c r="BB1361" i="7" a="1"/>
  <c r="BB1178" i="7" a="1"/>
  <c r="BB1985" i="7" a="1"/>
  <c r="BB987" i="7" a="1"/>
  <c r="BB1657" i="7" a="1"/>
  <c r="BB1632" i="7" a="1"/>
  <c r="BB1194" i="7" a="1"/>
  <c r="BB1825" i="7" a="1"/>
  <c r="BB1578" i="7" a="1"/>
  <c r="BB1836" i="7" a="1"/>
  <c r="BB1175" i="7" a="1"/>
  <c r="BB1282" i="7" a="1"/>
  <c r="BB1800" i="7" a="1"/>
  <c r="BB974" i="7" a="1"/>
  <c r="BB895" i="7" a="1"/>
  <c r="BB1977" i="7" a="1"/>
  <c r="BB1832" i="7" a="1"/>
  <c r="BB970" i="7" a="1"/>
  <c r="BB1221" i="7" a="1"/>
  <c r="BB1218" i="7" a="1"/>
  <c r="BB1647" i="7" a="1"/>
  <c r="BB1865" i="7" a="1"/>
  <c r="BB1821" i="7" a="1"/>
  <c r="BB992" i="7" a="1"/>
  <c r="BB691" i="7" a="1"/>
  <c r="BB1602" i="7" a="1"/>
  <c r="BB1937" i="7" a="1"/>
  <c r="BB1785" i="7" a="1"/>
  <c r="BB1472" i="7" a="1"/>
  <c r="BB1719" i="7" a="1"/>
  <c r="BB1153" i="7" a="1"/>
  <c r="BB1111" i="7" a="1"/>
  <c r="BB840" i="7" a="1"/>
  <c r="BB1368" i="7" a="1"/>
  <c r="BB1187" i="7" a="1"/>
  <c r="BB1918" i="7" a="1"/>
  <c r="BB1039" i="7" a="1"/>
  <c r="BB1988" i="9" a="1"/>
  <c r="BB1830" i="7" a="1"/>
  <c r="BB1340" i="7" a="1"/>
  <c r="BB857" i="7" a="1"/>
  <c r="BB1596" i="7" a="1"/>
  <c r="BB733" i="7" a="1"/>
  <c r="BB1485" i="7" a="1"/>
  <c r="BB1331" i="7" a="1"/>
  <c r="BB1506" i="7" a="1"/>
  <c r="BB1448" i="7" a="1"/>
  <c r="BB1174" i="7" a="1"/>
  <c r="BB1649" i="7" a="1"/>
  <c r="BB1443" i="7" a="1"/>
  <c r="BB1414" i="7" a="1"/>
  <c r="BB984" i="7" a="1"/>
  <c r="BB1000" i="7" a="1"/>
  <c r="BB1960" i="7" a="1"/>
  <c r="BB1610" i="9" a="1"/>
  <c r="BB1882" i="7" a="1"/>
  <c r="BB1079" i="7" a="1"/>
  <c r="BB1940" i="7" a="1"/>
  <c r="BB1486" i="7" a="1"/>
  <c r="BB775" i="7" a="1"/>
  <c r="BB1417" i="7" a="1"/>
  <c r="BB1750" i="7" a="1"/>
  <c r="BB1438" i="7" a="1"/>
  <c r="BB1999" i="7" a="1"/>
  <c r="BB1804" i="7" a="1"/>
  <c r="BB1689" i="7" a="1"/>
  <c r="BB1801" i="7" a="1"/>
  <c r="BB1564" i="7" a="1"/>
  <c r="BB1490" i="7" a="1"/>
  <c r="BB325" i="7" a="1"/>
  <c r="BB737" i="7" a="1"/>
  <c r="BB160" i="7" a="1"/>
  <c r="BB560" i="7" a="1"/>
  <c r="BB290" i="7" a="1"/>
  <c r="BB1825" i="9" a="1"/>
  <c r="BB1411" i="9" a="1"/>
  <c r="BB1362" i="9" a="1"/>
  <c r="BB1254" i="7" a="1"/>
  <c r="BB1341" i="7" a="1"/>
  <c r="BB1497" i="7" a="1"/>
  <c r="BB1157" i="7" a="1"/>
  <c r="BB920" i="7" a="1"/>
  <c r="BB1727" i="7" a="1"/>
  <c r="BB1625" i="7" a="1"/>
  <c r="BB1120" i="7" a="1"/>
  <c r="BB1951" i="7" a="1"/>
  <c r="BB670" i="7" a="1"/>
  <c r="BB1763" i="7" a="1"/>
  <c r="BB1001" i="7" a="1"/>
  <c r="BB717" i="7" a="1"/>
  <c r="BB859" i="7" a="1"/>
  <c r="BB1844" i="7" a="1"/>
  <c r="BB1939" i="7" a="1"/>
  <c r="BB1534" i="7" a="1"/>
  <c r="BB824" i="7" a="1"/>
  <c r="BB919" i="7" a="1"/>
  <c r="BB1200" i="7" a="1"/>
  <c r="BB1892" i="7" a="1"/>
  <c r="BB1766" i="7" a="1"/>
  <c r="BB798" i="7" a="1"/>
  <c r="BB1110" i="7" a="1"/>
  <c r="BB1442" i="7" a="1"/>
  <c r="BB1441" i="7" a="1"/>
  <c r="BB1913" i="7" a="1"/>
  <c r="BB1132" i="7" a="1"/>
  <c r="BB1290" i="7" a="1"/>
  <c r="BB792" i="7" a="1"/>
  <c r="BB568" i="7" a="1"/>
  <c r="BB1162" i="7" a="1"/>
  <c r="BB1852" i="7" a="1"/>
  <c r="BB1904" i="7" a="1"/>
  <c r="BB951" i="7" a="1"/>
  <c r="BB1008" i="7" a="1"/>
  <c r="BB1850" i="7" a="1"/>
  <c r="BB1926" i="7" a="1"/>
  <c r="BB1679" i="7" a="1"/>
  <c r="BB1585" i="7" a="1"/>
  <c r="BB1308" i="7" a="1"/>
  <c r="BB1911" i="7" a="1"/>
  <c r="BB1902" i="7" a="1"/>
  <c r="BB1952" i="7" a="1"/>
  <c r="BB1418" i="7" a="1"/>
  <c r="BB1148" i="7" a="1"/>
  <c r="BB1116" i="7" a="1"/>
  <c r="BB360" i="7" a="1"/>
  <c r="BB25" i="7" a="1"/>
  <c r="BB863" i="7" a="1"/>
  <c r="BB1106" i="7" a="1"/>
  <c r="BB1073" i="7" a="1"/>
  <c r="BB1245" i="7" a="1"/>
  <c r="BB1899" i="7" a="1"/>
  <c r="BB619" i="7" a="1"/>
  <c r="BB1938" i="7" a="1"/>
  <c r="BB1923" i="7" a="1"/>
  <c r="BB827" i="7" a="1"/>
  <c r="BB1244" i="7" a="1"/>
  <c r="BB1799" i="7" a="1"/>
  <c r="BB1891" i="7" a="1"/>
  <c r="BB1356" i="7" a="1"/>
  <c r="BB1907" i="7" a="1"/>
  <c r="BB1013" i="7" a="1"/>
  <c r="BB1297" i="7" a="1"/>
  <c r="BB1646" i="7" a="1"/>
  <c r="BB1831" i="7" a="1"/>
  <c r="BB806" i="7" a="1"/>
  <c r="BB1820" i="7" a="1"/>
  <c r="BB1151" i="7" a="1"/>
  <c r="BB1870" i="7" a="1"/>
  <c r="BB1274" i="7" a="1"/>
  <c r="BB1757" i="7" a="1"/>
  <c r="BB1917" i="7" a="1"/>
  <c r="BB1746" i="7" a="1"/>
  <c r="BB1927" i="7" a="1"/>
  <c r="BB1652" i="7" a="1"/>
  <c r="BB1265" i="7" a="1"/>
  <c r="BB1615" i="7" a="1"/>
  <c r="BB1056" i="7" a="1"/>
  <c r="BB196" i="7" a="1"/>
  <c r="BB1542" i="7" a="1"/>
  <c r="BB1683" i="7" a="1"/>
  <c r="BB1069" i="7" a="1"/>
  <c r="BB243" i="7" a="1"/>
  <c r="BB1558" i="7" a="1"/>
  <c r="BB1211" i="7" a="1"/>
  <c r="BB1355" i="7" a="1"/>
  <c r="BB1275" i="7" a="1"/>
  <c r="BB1874" i="7" a="1"/>
  <c r="BB844" i="7" a="1"/>
  <c r="BB1306" i="7" a="1"/>
  <c r="BB1814" i="7" a="1"/>
  <c r="BB494" i="7" a="1"/>
  <c r="BB1954" i="7" a="1"/>
  <c r="BB819" i="7" a="1"/>
  <c r="BB1015" i="7" a="1"/>
  <c r="BB1947" i="7" a="1"/>
  <c r="BB1128" i="7" a="1"/>
  <c r="BB1398" i="7" a="1"/>
  <c r="BB1357" i="7" a="1"/>
  <c r="BB997" i="7" a="1"/>
  <c r="BB1832" i="9" a="1"/>
  <c r="BB1422" i="7" a="1"/>
  <c r="BB357" i="7" a="1"/>
  <c r="BB1752" i="7" a="1"/>
  <c r="BB1241" i="7" a="1"/>
  <c r="BB1998" i="7" a="1"/>
  <c r="BB1811" i="7" a="1"/>
  <c r="BB1770" i="7" a="1"/>
  <c r="BB1595" i="7" a="1"/>
  <c r="BB1854" i="7" a="1"/>
  <c r="BB1768" i="7" a="1"/>
  <c r="BB1036" i="7" a="1"/>
  <c r="BB1402" i="7" a="1"/>
  <c r="BB947" i="7" a="1"/>
  <c r="BB1344" i="7" a="1"/>
  <c r="BB749" i="7" a="1"/>
  <c r="BB1022" i="7" a="1"/>
  <c r="BB481" i="7" a="1"/>
  <c r="BB319" i="7" a="1"/>
  <c r="BB1396" i="9" a="1"/>
  <c r="BB98" i="7" a="1"/>
  <c r="BB1811" i="9" a="1"/>
  <c r="BB1991" i="9" a="1"/>
  <c r="BB910" i="7" a="1"/>
  <c r="BB1975" i="7" a="1"/>
  <c r="BB1536" i="7" a="1"/>
  <c r="BB1593" i="7" a="1"/>
  <c r="BB1315" i="7" a="1"/>
  <c r="BB950" i="7" a="1"/>
  <c r="BB1333" i="7" a="1"/>
  <c r="BB954" i="7" a="1"/>
  <c r="BB1749" i="9" a="1"/>
  <c r="BB1512" i="7" a="1"/>
  <c r="BB1693" i="7" a="1"/>
  <c r="BB573" i="7" a="1"/>
  <c r="BB1586" i="7" a="1"/>
  <c r="BB1667" i="7" a="1"/>
  <c r="BB1942" i="7" a="1"/>
  <c r="BB878" i="7" a="1"/>
  <c r="BB1809" i="7" a="1"/>
  <c r="BB1672" i="7" a="1"/>
  <c r="BB1293" i="7" a="1"/>
  <c r="BB1676" i="7" a="1"/>
  <c r="BB1661" i="7" a="1"/>
  <c r="BB1032" i="7" a="1"/>
  <c r="BB1640" i="7" a="1"/>
  <c r="BB1687" i="7" a="1"/>
  <c r="BB1759" i="7" a="1"/>
  <c r="BB1011" i="7" a="1"/>
  <c r="BB1060" i="7" a="1"/>
  <c r="BB936" i="7" a="1"/>
  <c r="BB1230" i="7" a="1"/>
  <c r="BB1685" i="7" a="1"/>
  <c r="BB1993" i="7" a="1"/>
  <c r="BB853" i="7" a="1"/>
  <c r="BB904" i="7" a="1"/>
  <c r="BB615" i="7" a="1"/>
  <c r="BB1384" i="7" a="1"/>
  <c r="BB1320" i="7" a="1"/>
  <c r="BB1413" i="7" a="1"/>
  <c r="BB1007" i="7" a="1"/>
  <c r="BB1795" i="7" a="1"/>
  <c r="BB1898" i="7" a="1"/>
  <c r="BB1856" i="7" a="1"/>
  <c r="BB1732" i="7" a="1"/>
  <c r="BB1613" i="7" a="1"/>
  <c r="BB908" i="7" a="1"/>
  <c r="BB1890" i="7" a="1"/>
  <c r="BB1159" i="7" a="1"/>
  <c r="BB1548" i="7" a="1"/>
  <c r="BB861" i="7" a="1"/>
  <c r="BB899" i="7" a="1"/>
  <c r="BB1052" i="7" a="1"/>
  <c r="BB1246" i="7" a="1"/>
  <c r="BB1389" i="7" a="1"/>
  <c r="BB913" i="7" a="1"/>
  <c r="BB1853" i="7" a="1"/>
  <c r="BB1835" i="7" a="1"/>
  <c r="BB1686" i="7" a="1"/>
  <c r="BB638" i="7" a="1"/>
  <c r="BB1710" i="7" a="1"/>
  <c r="BB1176" i="7" a="1"/>
  <c r="BB1699" i="7" a="1"/>
  <c r="BB1498" i="7" a="1"/>
  <c r="BB1279" i="7" a="1"/>
  <c r="BB1201" i="7" a="1"/>
  <c r="BB214" i="7" a="1"/>
  <c r="BB1572" i="7" a="1"/>
  <c r="BB1837" i="7" a="1"/>
  <c r="BB1682" i="7" a="1"/>
  <c r="BB755" i="7" a="1"/>
  <c r="BB129" i="7" a="1"/>
  <c r="BB450" i="7" a="1"/>
  <c r="BB1660" i="7" a="1"/>
  <c r="BB624" i="7" a="1"/>
  <c r="BB1094" i="7" a="1"/>
  <c r="BB1827" i="7" a="1"/>
  <c r="BB1987" i="7" a="1"/>
  <c r="BB1467" i="7" a="1"/>
  <c r="BB1922" i="7" a="1"/>
  <c r="BB1624" i="7" a="1"/>
  <c r="BB1287" i="7" a="1"/>
  <c r="BB1619" i="7" a="1"/>
  <c r="BB976" i="7" a="1"/>
  <c r="BB1509" i="7" a="1"/>
  <c r="BB1408" i="7" a="1"/>
  <c r="BB1549" i="7" a="1"/>
  <c r="BB1725" i="7" a="1"/>
  <c r="BB1239" i="7" a="1"/>
  <c r="BB1726" i="7" a="1"/>
  <c r="BB818" i="7" a="1"/>
  <c r="BB1248" i="7" a="1"/>
  <c r="BB1322" i="7" a="1"/>
  <c r="BB1953" i="7" a="1"/>
  <c r="BB536" i="7" a="1"/>
  <c r="BB873" i="7" a="1"/>
  <c r="BB1216" i="7" a="1"/>
  <c r="BB1112" i="7" a="1"/>
  <c r="BB1479" i="7" a="1"/>
  <c r="BB1040" i="7" a="1"/>
  <c r="BB1631" i="9" a="1"/>
  <c r="BB1656" i="7" a="1"/>
  <c r="BB1375" i="7" a="1"/>
  <c r="BB1822" i="7" a="1"/>
  <c r="BB1323" i="7" a="1"/>
  <c r="BB1658" i="7" a="1"/>
  <c r="BB642" i="7" a="1"/>
  <c r="BB1928" i="7" a="1"/>
  <c r="BB1828" i="7" a="1"/>
  <c r="BB1514" i="7" a="1"/>
  <c r="BB1024" i="7" a="1"/>
  <c r="BB1961" i="7" a="1"/>
  <c r="BB1183" i="7" a="1"/>
  <c r="BB728" i="7" a="1"/>
  <c r="BB1065" i="7" a="1"/>
  <c r="BB465" i="7" a="1"/>
  <c r="BB991" i="7" a="1"/>
  <c r="BB1165" i="7" a="1"/>
  <c r="BB980" i="9" a="1"/>
  <c r="BB810" i="7" a="1"/>
  <c r="BB1298" i="9" a="1"/>
  <c r="BB1878" i="9" a="1"/>
  <c r="BB1650" i="9" a="1"/>
  <c r="BB644" i="7" a="1"/>
  <c r="BB119" i="7" a="1"/>
  <c r="BB1742" i="7" a="1"/>
  <c r="BB1866" i="7" a="1"/>
  <c r="BB1869" i="7" a="1"/>
  <c r="BB1172" i="7" a="1"/>
  <c r="BB1848" i="7" a="1"/>
  <c r="BB1535" i="7" a="1"/>
  <c r="BB1936" i="7" a="1"/>
  <c r="BB1895" i="7" a="1"/>
  <c r="BB1614" i="7" a="1"/>
  <c r="BB1210" i="7" a="1"/>
  <c r="BB1444" i="7" a="1"/>
  <c r="BB1321" i="7" a="1"/>
  <c r="BB1842" i="7" a="1"/>
  <c r="BB1424" i="7" a="1"/>
  <c r="BB807" i="7" a="1"/>
  <c r="BB1671" i="7" a="1"/>
  <c r="BB1478" i="7" a="1"/>
  <c r="BB1477" i="7" a="1"/>
  <c r="BB998" i="7" a="1"/>
  <c r="BB1958" i="7" a="1"/>
  <c r="BB335" i="7" a="1"/>
  <c r="BB1791" i="7" a="1"/>
  <c r="BB1944" i="7" a="1"/>
  <c r="BB561" i="7" a="1"/>
  <c r="BB660" i="7" a="1"/>
  <c r="BB1029" i="7" a="1"/>
  <c r="BB1465" i="7" a="1"/>
  <c r="BB1113" i="7" a="1"/>
  <c r="BB1915" i="7" a="1"/>
  <c r="BB978" i="7" a="1"/>
  <c r="BB1041" i="7" a="1"/>
  <c r="BB1969" i="7" a="1"/>
  <c r="BB1225" i="7" a="1"/>
  <c r="BB999" i="7" a="1"/>
  <c r="BB927" i="7" a="1"/>
  <c r="BB1855" i="7" a="1"/>
  <c r="BB1312" i="7" a="1"/>
  <c r="BB929" i="7" a="1"/>
  <c r="BB1532" i="9" a="1"/>
  <c r="BB1154" i="7" a="1"/>
  <c r="BB1243" i="7" a="1"/>
  <c r="BB1758" i="7" a="1"/>
  <c r="BB1456" i="7" a="1"/>
  <c r="BB1571" i="9" a="1"/>
  <c r="BB1582" i="7" a="1"/>
  <c r="BB1014" i="7" a="1"/>
  <c r="BB1666" i="7" a="1"/>
  <c r="BB1484" i="7" a="1"/>
  <c r="BB1684" i="7" a="1"/>
  <c r="BB1597" i="7" a="1"/>
  <c r="BB1745" i="7" a="1"/>
  <c r="BB1664" i="7" a="1"/>
  <c r="BB1017" i="7" a="1"/>
  <c r="BB1082" i="7" a="1"/>
  <c r="BB1480" i="7" a="1"/>
  <c r="BB1511" i="7" a="1"/>
  <c r="BB1463" i="7" a="1"/>
  <c r="BB577" i="7" a="1"/>
  <c r="BB328" i="7" a="1"/>
  <c r="BB656" i="7" a="1"/>
  <c r="BB1803" i="7" a="1"/>
  <c r="BB613" i="7" a="1"/>
  <c r="BB1010" i="7" a="1"/>
  <c r="BB515" i="7" a="1"/>
  <c r="BB1691" i="7" a="1"/>
  <c r="BB1487" i="7" a="1"/>
  <c r="BB294" i="7" a="1"/>
  <c r="BB989" i="7" a="1"/>
  <c r="BB1433" i="7" a="1"/>
  <c r="BB701" i="7" a="1"/>
  <c r="BB1109" i="7" a="1"/>
  <c r="BB1138" i="7" a="1"/>
  <c r="BB1703" i="7" a="1"/>
  <c r="BB2000" i="7" a="1"/>
  <c r="BB463" i="7" a="1"/>
  <c r="BB743" i="7" a="1"/>
  <c r="BB1492" i="7" a="1"/>
  <c r="BB1778" i="7" a="1"/>
  <c r="BB1098" i="7" a="1"/>
  <c r="BB344" i="7" a="1"/>
  <c r="BB770" i="7" a="1"/>
  <c r="BB1971" i="7" a="1"/>
  <c r="BB1062" i="7" a="1"/>
  <c r="BB911" i="7" a="1"/>
  <c r="BB1761" i="7" a="1"/>
  <c r="BB1554" i="7" a="1"/>
  <c r="BB967" i="7" a="1"/>
  <c r="BB1724" i="7" a="1"/>
  <c r="BB1529" i="7" a="1"/>
  <c r="BB1728" i="7" a="1"/>
  <c r="BB1366" i="7" a="1"/>
  <c r="BB35" i="7" a="1"/>
  <c r="BB1989" i="7" a="1"/>
  <c r="BB1311" i="7" a="1"/>
  <c r="BB1577" i="7" a="1"/>
  <c r="BB1715" i="7" a="1"/>
  <c r="BB1383" i="7" a="1"/>
  <c r="BB1364" i="7" a="1"/>
  <c r="BB478" i="7" a="1"/>
  <c r="BB1131" i="7" a="1"/>
  <c r="BB1659" i="7" a="1"/>
  <c r="BB1520" i="7" a="1"/>
  <c r="BB1124" i="7" a="1"/>
  <c r="BB734" i="7" a="1"/>
  <c r="BB788" i="7" a="1"/>
  <c r="BB1808" i="7" a="1"/>
  <c r="BB956" i="7" a="1"/>
  <c r="BB776" i="7" a="1"/>
  <c r="BB1611" i="7" a="1"/>
  <c r="BB1295" i="7" a="1"/>
  <c r="BB1813" i="7" a="1"/>
  <c r="BB1114" i="7" a="1"/>
  <c r="BB985" i="7" a="1"/>
  <c r="BB1843" i="7" a="1"/>
  <c r="BB198" i="7" a="1"/>
  <c r="BB1313" i="9" a="1"/>
  <c r="BB276" i="7" a="1"/>
  <c r="BB1029" i="9" a="1"/>
  <c r="BB359" i="7" a="1"/>
  <c r="BB1654" i="9" a="1"/>
  <c r="BB1725" i="9" a="1"/>
  <c r="BB1446" i="9" a="1"/>
  <c r="BB993" i="7" a="1"/>
  <c r="BB1302" i="7" a="1"/>
  <c r="BB1612" i="7" a="1"/>
  <c r="BB942" i="7" a="1"/>
  <c r="BB40" i="7" a="1"/>
  <c r="BB1654" i="7" a="1"/>
  <c r="BB773" i="7" a="1"/>
  <c r="BB1931" i="7" a="1"/>
  <c r="BB1263" i="7" a="1"/>
  <c r="BB1345" i="7" a="1"/>
  <c r="BB756" i="7" a="1"/>
  <c r="BB1300" i="7" a="1"/>
  <c r="BB1565" i="7" a="1"/>
  <c r="BB831" i="7" a="1"/>
  <c r="BB1786" i="7" a="1"/>
  <c r="BB1712" i="7" a="1"/>
  <c r="BB944" i="7" a="1"/>
  <c r="BB1570" i="7" a="1"/>
  <c r="BB964" i="7" a="1"/>
  <c r="BB1919" i="7" a="1"/>
  <c r="BB1271" i="7" a="1"/>
  <c r="BB1604" i="7" a="1"/>
  <c r="BB1045" i="7" a="1"/>
  <c r="BB797" i="7" a="1"/>
  <c r="BB1678" i="7" a="1"/>
  <c r="BB1839" i="7" a="1"/>
  <c r="BB912" i="7" a="1"/>
  <c r="BB1459" i="7" a="1"/>
  <c r="BB1140" i="7" a="1"/>
  <c r="BB915" i="7" a="1"/>
  <c r="BB1310" i="7" a="1"/>
  <c r="BB1462" i="7" a="1"/>
  <c r="BB484" i="7" a="1"/>
  <c r="BB938" i="7" a="1"/>
  <c r="BB815" i="7" a="1"/>
  <c r="BB1435" i="7" a="1"/>
  <c r="BB1074" i="7" a="1"/>
  <c r="BB1213" i="7" a="1"/>
  <c r="BB1849" i="7" a="1"/>
  <c r="BB1530" i="7" a="1"/>
  <c r="BB1319" i="7" a="1"/>
  <c r="BB1466" i="7" a="1"/>
  <c r="BB549" i="7" a="1"/>
  <c r="BB1066" i="7" a="1"/>
  <c r="BB883" i="7" a="1"/>
  <c r="BB110" i="7" a="1"/>
  <c r="BB1955" i="7" a="1"/>
  <c r="BB1790" i="7" a="1"/>
  <c r="BB1464" i="7" a="1"/>
  <c r="BB1483" i="7" a="1"/>
  <c r="BB1638" i="7" a="1"/>
  <c r="BB1471" i="7" a="1"/>
  <c r="BB1741" i="7" a="1"/>
  <c r="BB1002" i="7" a="1"/>
  <c r="BB1253" i="7" a="1"/>
  <c r="BB1270" i="7" a="1"/>
  <c r="BB1681" i="7" a="1"/>
  <c r="BB1416" i="7" a="1"/>
  <c r="BB720" i="7" a="1"/>
  <c r="BB1177" i="7" a="1"/>
  <c r="BB1228" i="7" a="1"/>
  <c r="BB932" i="7" a="1"/>
  <c r="BB1135" i="7" a="1"/>
  <c r="BB1240" i="7" a="1"/>
  <c r="BB1793" i="7" a="1"/>
  <c r="BB1358" i="7" a="1"/>
  <c r="BB1845" i="7" a="1"/>
  <c r="BB1404" i="7" a="1"/>
  <c r="BB872" i="7" a="1"/>
  <c r="BB1063" i="7" a="1"/>
  <c r="BB1108" i="7" a="1"/>
  <c r="BB1818" i="7" a="1"/>
  <c r="BB1291" i="7" a="1"/>
  <c r="BB1101" i="7" a="1"/>
  <c r="BB1439" i="7" a="1"/>
  <c r="BB1974" i="7" a="1"/>
  <c r="BB1668" i="7" a="1"/>
  <c r="BB1377" i="7" a="1"/>
  <c r="BB235" i="7" a="1"/>
  <c r="BB1476" i="7" a="1"/>
  <c r="BB1840" i="7" a="1"/>
  <c r="BB544" i="7" a="1"/>
  <c r="BB1365" i="7" a="1"/>
  <c r="BB1784" i="7" a="1"/>
  <c r="BB1136" i="7" a="1"/>
  <c r="BB864" i="7" a="1"/>
  <c r="BB1957" i="7" a="1"/>
  <c r="BB1292" i="7" a="1"/>
  <c r="BB1428" i="7" a="1"/>
  <c r="BB695" i="7" a="1"/>
  <c r="BB925" i="7" a="1"/>
  <c r="BB1129" i="7" a="1"/>
  <c r="BB1552" i="7" a="1"/>
  <c r="BB556" i="7" a="1"/>
  <c r="BB940" i="7" a="1"/>
  <c r="BB1257" i="7" a="1"/>
  <c r="BB1644" i="7" a="1"/>
  <c r="BB1182" i="7" a="1"/>
  <c r="BB1871" i="7" a="1"/>
  <c r="BB1563" i="7" a="1"/>
  <c r="BB57" i="7" a="1"/>
  <c r="BB939" i="7" a="1"/>
  <c r="BB1635" i="7" a="1"/>
  <c r="BB1425" i="7" a="1"/>
  <c r="BB1286" i="7" a="1"/>
  <c r="BB594" i="7" a="1"/>
  <c r="BB1868" i="7" a="1"/>
  <c r="BB1469" i="7" a="1"/>
  <c r="BB426" i="7" a="1"/>
  <c r="BB1326" i="7" a="1"/>
  <c r="BB948" i="7" a="1"/>
  <c r="BB1739" i="7" a="1"/>
  <c r="BB1031" i="7" a="1"/>
  <c r="BB1181" i="7" a="1"/>
  <c r="BB511" i="7" a="1"/>
  <c r="BB472" i="7" a="1"/>
  <c r="BB1257" i="9" a="1"/>
  <c r="BB552" i="7" a="1"/>
  <c r="BB1284" i="9" a="1"/>
  <c r="BB60" i="7" a="1"/>
  <c r="BB1583" i="9" a="1"/>
  <c r="BB232" i="7" a="1"/>
  <c r="BB1905" i="9" a="1"/>
  <c r="BB1846" i="7" a="1"/>
  <c r="BB1709" i="7" a="1"/>
  <c r="BB1198" i="7" a="1"/>
  <c r="BB1156" i="7" a="1"/>
  <c r="BB1095" i="7" a="1"/>
  <c r="BB823" i="7" a="1"/>
  <c r="BB1226" i="7" a="1"/>
  <c r="BB1256" i="7" a="1"/>
  <c r="BB1886" i="7" a="1"/>
  <c r="BB1390" i="7" a="1"/>
  <c r="BB4" i="10" a="1"/>
  <c r="BB1972" i="7" a="1"/>
  <c r="BB1207" i="7" a="1"/>
  <c r="BB1909" i="7" a="1"/>
  <c r="BB324" i="7" a="1"/>
  <c r="BB868" i="7" a="1"/>
  <c r="BB1347" i="9" a="1"/>
  <c r="BB1796" i="7" a="1"/>
  <c r="BB1769" i="7" a="1"/>
  <c r="BB194" i="7" a="1"/>
  <c r="BB1294" i="7" a="1"/>
  <c r="BB1386" i="7" a="1"/>
  <c r="BB1545" i="7" a="1"/>
  <c r="BB1876" i="7" a="1"/>
  <c r="BB422" i="7" a="1"/>
  <c r="BB1887" i="7" a="1"/>
  <c r="BB1772" i="7" a="1"/>
  <c r="BB1910" i="7" a="1"/>
  <c r="BB1374" i="7" a="1"/>
  <c r="BB437" i="7" a="1"/>
  <c r="BB1805" i="7" a="1"/>
  <c r="BB574" i="7" a="1"/>
  <c r="BB1338" i="7" a="1"/>
  <c r="BB1698" i="7" a="1"/>
  <c r="BB851" i="7" a="1"/>
  <c r="BB1670" i="7" a="1"/>
  <c r="BB1588" i="7" a="1"/>
  <c r="BB1199" i="7" a="1"/>
  <c r="BB787" i="7" a="1"/>
  <c r="BB1409" i="7" a="1"/>
  <c r="BB892" i="7" a="1"/>
  <c r="BB900" i="7" a="1"/>
  <c r="BB1258" i="7" a="1"/>
  <c r="BB1610" i="7" a="1"/>
  <c r="BB971" i="7" a="1"/>
  <c r="BB1146" i="7" a="1"/>
  <c r="BB1314" i="7" a="1"/>
  <c r="BB1541" i="7" a="1"/>
  <c r="BB952" i="7" a="1"/>
  <c r="BB1252" i="7" a="1"/>
  <c r="BB1522" i="7" a="1"/>
  <c r="BB1779" i="7" a="1"/>
  <c r="BB166" i="7" a="1"/>
  <c r="BB1064" i="7" a="1"/>
  <c r="BB21" i="7" a="1"/>
  <c r="BB1202" i="7" a="1"/>
  <c r="BB1122" i="7" a="1"/>
  <c r="BB662" i="7" a="1"/>
  <c r="BB1043" i="7" a="1"/>
  <c r="BB1261" i="7" a="1"/>
  <c r="BB1841" i="7" a="1"/>
  <c r="BB1192" i="7" a="1"/>
  <c r="BB1857" i="7" a="1"/>
  <c r="BB1012" i="7" a="1"/>
  <c r="BB1072" i="7" a="1"/>
  <c r="BB1605" i="7" a="1"/>
  <c r="BB979" i="7" a="1"/>
  <c r="BB1003" i="7" a="1"/>
  <c r="BB1568" i="7" a="1"/>
  <c r="BB1587" i="7" a="1"/>
  <c r="BB1573" i="7" a="1"/>
  <c r="BB1705" i="7" a="1"/>
  <c r="BB867" i="7" a="1"/>
  <c r="BB1362" i="7" a="1"/>
  <c r="BB1932" i="7" a="1"/>
  <c r="BB1376" i="7" a="1"/>
  <c r="BB1740" i="7" a="1"/>
  <c r="BB719" i="7" a="1"/>
  <c r="BB916" i="7" a="1"/>
  <c r="BB1307" i="7" a="1"/>
  <c r="BB1701" i="7" a="1"/>
  <c r="BB1171" i="7" a="1"/>
  <c r="BB1412" i="7" a="1"/>
  <c r="BB1575" i="7" a="1"/>
  <c r="BB1342" i="7" a="1"/>
  <c r="BB210" i="7" a="1"/>
  <c r="BB1420" i="7" a="1"/>
  <c r="BB1968" i="7" a="1"/>
  <c r="BB1526" i="7" a="1"/>
  <c r="BB1234" i="7" a="1"/>
  <c r="BB610" i="7" a="1"/>
  <c r="BB893" i="7" a="1"/>
  <c r="BB1075" i="7" a="1"/>
  <c r="BB1360" i="7" a="1"/>
  <c r="BB1743" i="7" a="1"/>
  <c r="BB871" i="7" a="1"/>
  <c r="BB1651" i="7" a="1"/>
  <c r="BB986" i="7" a="1"/>
  <c r="BB1655" i="7" a="1"/>
  <c r="BB1878" i="7" a="1"/>
  <c r="BB602" i="7" a="1"/>
  <c r="BB1994" i="7" a="1"/>
  <c r="BB1538" i="7" a="1"/>
  <c r="BB1916" i="7" a="1"/>
  <c r="BB1249" i="7" a="1"/>
  <c r="BB1798" i="7" a="1"/>
  <c r="BB1896" i="7" a="1"/>
  <c r="BB558" i="7" a="1"/>
  <c r="BB1812" i="7" a="1"/>
  <c r="BB1754" i="7" a="1"/>
  <c r="BB1557" i="7" a="1"/>
  <c r="BB1184" i="7" a="1"/>
  <c r="BB1579" i="7" a="1"/>
  <c r="BB855" i="7" a="1"/>
  <c r="BB1807" i="7" a="1"/>
  <c r="BB922" i="7" a="1"/>
  <c r="E14" i="19" a="1"/>
  <c r="E21" i="19" a="1"/>
  <c r="E19" i="19" a="1"/>
  <c r="E18" i="19" a="1"/>
  <c r="E17" i="19" a="1"/>
  <c r="E16" i="19" a="1"/>
  <c r="BB922" i="7" l="1"/>
  <c r="BB1807" i="7"/>
  <c r="BB855" i="7"/>
  <c r="BB1579" i="7"/>
  <c r="BB1184" i="7"/>
  <c r="BB1557" i="7"/>
  <c r="BB1754" i="7"/>
  <c r="BB1812" i="7"/>
  <c r="BB558" i="7"/>
  <c r="BB1896" i="7"/>
  <c r="BB1798" i="7"/>
  <c r="BB1249" i="7"/>
  <c r="BB1916" i="7"/>
  <c r="BB1538" i="7"/>
  <c r="BB1994" i="7"/>
  <c r="BB602" i="7"/>
  <c r="BB1878" i="7"/>
  <c r="BB1655" i="7"/>
  <c r="BB986" i="7"/>
  <c r="BB1651" i="7"/>
  <c r="BB871" i="7"/>
  <c r="BB1743" i="7"/>
  <c r="BB1360" i="7"/>
  <c r="BB1075" i="7"/>
  <c r="BB893" i="7"/>
  <c r="BB610" i="7"/>
  <c r="BB1234" i="7"/>
  <c r="BB1526" i="7"/>
  <c r="BB1968" i="7"/>
  <c r="BB1420" i="7"/>
  <c r="BB210" i="7"/>
  <c r="BB1342" i="7"/>
  <c r="BB1575" i="7"/>
  <c r="BB1412" i="7"/>
  <c r="BB1171" i="7"/>
  <c r="BB1701" i="7"/>
  <c r="BB1307" i="7"/>
  <c r="BB916" i="7"/>
  <c r="BB719" i="7"/>
  <c r="BB1740" i="7"/>
  <c r="BB1376" i="7"/>
  <c r="BB1932" i="7"/>
  <c r="BB1362" i="7"/>
  <c r="BB867" i="7"/>
  <c r="BB1705" i="7"/>
  <c r="BB1573" i="7"/>
  <c r="BB1587" i="7"/>
  <c r="BB1568" i="7"/>
  <c r="BB1003" i="7"/>
  <c r="BB979" i="7"/>
  <c r="BB1605" i="7"/>
  <c r="BB1072" i="7"/>
  <c r="BB1012" i="7"/>
  <c r="BB1857" i="7"/>
  <c r="BB1192" i="7"/>
  <c r="BB1841" i="7"/>
  <c r="BB1261" i="7"/>
  <c r="BB1043" i="7"/>
  <c r="BB662" i="7"/>
  <c r="BB1122" i="7"/>
  <c r="BB1202" i="7"/>
  <c r="BB21" i="7"/>
  <c r="BB1064" i="7"/>
  <c r="BB166" i="7"/>
  <c r="BB1779" i="7"/>
  <c r="BB1522" i="7"/>
  <c r="BB1252" i="7"/>
  <c r="BB952" i="7"/>
  <c r="BB1541" i="7"/>
  <c r="BB1314" i="7"/>
  <c r="BB1146" i="7"/>
  <c r="BB971" i="7"/>
  <c r="BB1610" i="7"/>
  <c r="BB1258" i="7"/>
  <c r="BB900" i="7"/>
  <c r="BB892" i="7"/>
  <c r="BB1409" i="7"/>
  <c r="BB787" i="7"/>
  <c r="BB1199" i="7"/>
  <c r="BB1588" i="7"/>
  <c r="BB1670" i="7"/>
  <c r="BB851" i="7"/>
  <c r="BB1698" i="7"/>
  <c r="BB1338" i="7"/>
  <c r="BB574" i="7"/>
  <c r="BB1805" i="7"/>
  <c r="BB437" i="7"/>
  <c r="BB1374" i="7"/>
  <c r="BB1910" i="7"/>
  <c r="BB1772" i="7"/>
  <c r="BB1887" i="7"/>
  <c r="BB422" i="7"/>
  <c r="BB1876" i="7"/>
  <c r="BB1545" i="7"/>
  <c r="BB1386" i="7"/>
  <c r="BB1294" i="7"/>
  <c r="BB194" i="7"/>
  <c r="BB1769" i="7"/>
  <c r="BB1796" i="7"/>
  <c r="BB1347" i="9"/>
  <c r="BB868" i="7"/>
  <c r="BB324" i="7"/>
  <c r="BB1909" i="7"/>
  <c r="BB1207" i="7"/>
  <c r="BB1972" i="7"/>
  <c r="BB4" i="10"/>
  <c r="BB1390" i="7"/>
  <c r="BB1886" i="7"/>
  <c r="BB1256" i="7"/>
  <c r="BB1226" i="7"/>
  <c r="BB823" i="7"/>
  <c r="BB1095" i="7"/>
  <c r="BB1156" i="7"/>
  <c r="BB1198" i="7"/>
  <c r="BB1709" i="7"/>
  <c r="BB1846" i="7"/>
  <c r="BB1905" i="9"/>
  <c r="BB232" i="7"/>
  <c r="BB1583" i="9"/>
  <c r="BB60" i="7"/>
  <c r="BB1284" i="9"/>
  <c r="BB552" i="7"/>
  <c r="BB1257" i="9"/>
  <c r="BB472" i="7"/>
  <c r="BB511" i="7"/>
  <c r="BB1181" i="7"/>
  <c r="BB1031" i="7"/>
  <c r="BB1739" i="7"/>
  <c r="BB948" i="7"/>
  <c r="BB1326" i="7"/>
  <c r="BB426" i="7"/>
  <c r="BB1469" i="7"/>
  <c r="BB1868" i="7"/>
  <c r="BB594" i="7"/>
  <c r="BB1286" i="7"/>
  <c r="BB1425" i="7"/>
  <c r="BB1635" i="7"/>
  <c r="BB939" i="7"/>
  <c r="BB57" i="7"/>
  <c r="BB1563" i="7"/>
  <c r="BB1871" i="7"/>
  <c r="BB1182" i="7"/>
  <c r="BB1644" i="7"/>
  <c r="BB1257" i="7"/>
  <c r="BB940" i="7"/>
  <c r="BB556" i="7"/>
  <c r="BB1552" i="7"/>
  <c r="BB1129" i="7"/>
  <c r="BB925" i="7"/>
  <c r="BB695" i="7"/>
  <c r="BB1428" i="7"/>
  <c r="BB1292" i="7"/>
  <c r="BB1957" i="7"/>
  <c r="BB864" i="7"/>
  <c r="BB1136" i="7"/>
  <c r="BB1784" i="7"/>
  <c r="BB1365" i="7"/>
  <c r="BB544" i="7"/>
  <c r="BB1840" i="7"/>
  <c r="BB1476" i="7"/>
  <c r="BB235" i="7"/>
  <c r="BB1377" i="7"/>
  <c r="BB1668" i="7"/>
  <c r="BB1974" i="7"/>
  <c r="BB1439" i="7"/>
  <c r="BB1101" i="7"/>
  <c r="BB1291" i="7"/>
  <c r="BB1818" i="7"/>
  <c r="BB1108" i="7"/>
  <c r="BB1063" i="7"/>
  <c r="BB872" i="7"/>
  <c r="BB1404" i="7"/>
  <c r="BB1845" i="7"/>
  <c r="BB1358" i="7"/>
  <c r="BB1793" i="7"/>
  <c r="BB1240" i="7"/>
  <c r="BB1135" i="7"/>
  <c r="BB932" i="7"/>
  <c r="BB1228" i="7"/>
  <c r="BB1177" i="7"/>
  <c r="BB720" i="7"/>
  <c r="BB1416" i="7"/>
  <c r="BB1681" i="7"/>
  <c r="BB1270" i="7"/>
  <c r="BB1253" i="7"/>
  <c r="BB1002" i="7"/>
  <c r="BB1741" i="7"/>
  <c r="BB1471" i="7"/>
  <c r="BB1638" i="7"/>
  <c r="BB1483" i="7"/>
  <c r="BB1464" i="7"/>
  <c r="BB1790" i="7"/>
  <c r="BB1955" i="7"/>
  <c r="BB110" i="7"/>
  <c r="BB883" i="7"/>
  <c r="BB1066" i="7"/>
  <c r="BB549" i="7"/>
  <c r="BB1466" i="7"/>
  <c r="BB1319" i="7"/>
  <c r="BB1530" i="7"/>
  <c r="BB1849" i="7"/>
  <c r="BB1213" i="7"/>
  <c r="BB1074" i="7"/>
  <c r="BB1435" i="7"/>
  <c r="BB815" i="7"/>
  <c r="BB938" i="7"/>
  <c r="BB484" i="7"/>
  <c r="BB1462" i="7"/>
  <c r="BB1310" i="7"/>
  <c r="BB915" i="7"/>
  <c r="BB1140" i="7"/>
  <c r="BB1459" i="7"/>
  <c r="BB912" i="7"/>
  <c r="BB1839" i="7"/>
  <c r="BB1678" i="7"/>
  <c r="BB797" i="7"/>
  <c r="BB1045" i="7"/>
  <c r="BB1604" i="7"/>
  <c r="BB1271" i="7"/>
  <c r="BB1919" i="7"/>
  <c r="BB964" i="7"/>
  <c r="BB1570" i="7"/>
  <c r="BB944" i="7"/>
  <c r="BB1712" i="7"/>
  <c r="BB1786" i="7"/>
  <c r="BB831" i="7"/>
  <c r="BB1565" i="7"/>
  <c r="BB1300" i="7"/>
  <c r="BB756" i="7"/>
  <c r="BB1345" i="7"/>
  <c r="BB1263" i="7"/>
  <c r="BB1931" i="7"/>
  <c r="BB773" i="7"/>
  <c r="BB1654" i="7"/>
  <c r="BB40" i="7"/>
  <c r="BB942" i="7"/>
  <c r="BB1612" i="7"/>
  <c r="BB1302" i="7"/>
  <c r="BB993" i="7"/>
  <c r="BB1446" i="9"/>
  <c r="BB1725" i="9"/>
  <c r="BB1654" i="9"/>
  <c r="BB359" i="7"/>
  <c r="BB1029" i="9"/>
  <c r="BB276" i="7"/>
  <c r="BB1313" i="9"/>
  <c r="BB198" i="7"/>
  <c r="BB1843" i="7"/>
  <c r="BB985" i="7"/>
  <c r="BB1114" i="7"/>
  <c r="BB1813" i="7"/>
  <c r="BB1295" i="7"/>
  <c r="BB1611" i="7"/>
  <c r="BB776" i="7"/>
  <c r="BB956" i="7"/>
  <c r="BB1808" i="7"/>
  <c r="BB788" i="7"/>
  <c r="BB734" i="7"/>
  <c r="BB1124" i="7"/>
  <c r="BB1520" i="7"/>
  <c r="BB1659" i="7"/>
  <c r="BB1131" i="7"/>
  <c r="BB478" i="7"/>
  <c r="BB1364" i="7"/>
  <c r="BB1383" i="7"/>
  <c r="BB1715" i="7"/>
  <c r="BB1577" i="7"/>
  <c r="BB1311" i="7"/>
  <c r="BB1989" i="7"/>
  <c r="BB35" i="7"/>
  <c r="BB1366" i="7"/>
  <c r="BB1728" i="7"/>
  <c r="BB1529" i="7"/>
  <c r="BB1724" i="7"/>
  <c r="BB967" i="7"/>
  <c r="BB1554" i="7"/>
  <c r="BB1761" i="7"/>
  <c r="BB911" i="7"/>
  <c r="BB1062" i="7"/>
  <c r="BB1971" i="7"/>
  <c r="BB770" i="7"/>
  <c r="BB344" i="7"/>
  <c r="BB1098" i="7"/>
  <c r="BB1778" i="7"/>
  <c r="BB1492" i="7"/>
  <c r="BB743" i="7"/>
  <c r="BB463" i="7"/>
  <c r="BB2000" i="7"/>
  <c r="BB1703" i="7"/>
  <c r="BB1138" i="7"/>
  <c r="BB1109" i="7"/>
  <c r="BB701" i="7"/>
  <c r="BB1433" i="7"/>
  <c r="BB989" i="7"/>
  <c r="BB294" i="7"/>
  <c r="BB1487" i="7"/>
  <c r="BB1691" i="7"/>
  <c r="BB515" i="7"/>
  <c r="BB1010" i="7"/>
  <c r="BB613" i="7"/>
  <c r="BB1803" i="7"/>
  <c r="BB656" i="7"/>
  <c r="BB328" i="7"/>
  <c r="BB577" i="7"/>
  <c r="BB1463" i="7"/>
  <c r="BB1511" i="7"/>
  <c r="BB1480" i="7"/>
  <c r="BB1082" i="7"/>
  <c r="BB1017" i="7"/>
  <c r="BB1664" i="7"/>
  <c r="BB1745" i="7"/>
  <c r="BB1597" i="7"/>
  <c r="BB1684" i="7"/>
  <c r="BB1484" i="7"/>
  <c r="BB1666" i="7"/>
  <c r="BB1014" i="7"/>
  <c r="BB1582" i="7"/>
  <c r="BB1571" i="9"/>
  <c r="BB1456" i="7"/>
  <c r="BB1758" i="7"/>
  <c r="BB1243" i="7"/>
  <c r="BB1154" i="7"/>
  <c r="BB1532" i="9"/>
  <c r="BB929" i="7"/>
  <c r="BB1312" i="7"/>
  <c r="BB1855" i="7"/>
  <c r="BB927" i="7"/>
  <c r="BB999" i="7"/>
  <c r="BB1225" i="7"/>
  <c r="BB1969" i="7"/>
  <c r="BB1041" i="7"/>
  <c r="BB978" i="7"/>
  <c r="BB1915" i="7"/>
  <c r="BB1113" i="7"/>
  <c r="BB1465" i="7"/>
  <c r="BB1029" i="7"/>
  <c r="BB660" i="7"/>
  <c r="BB561" i="7"/>
  <c r="BB1944" i="7"/>
  <c r="BB1791" i="7"/>
  <c r="BB335" i="7"/>
  <c r="BB1958" i="7"/>
  <c r="BB998" i="7"/>
  <c r="BB1477" i="7"/>
  <c r="BB1478" i="7"/>
  <c r="BB1671" i="7"/>
  <c r="BB807" i="7"/>
  <c r="BB1424" i="7"/>
  <c r="BB1842" i="7"/>
  <c r="BB1321" i="7"/>
  <c r="BB1444" i="7"/>
  <c r="BB1210" i="7"/>
  <c r="BB1614" i="7"/>
  <c r="BB1895" i="7"/>
  <c r="BB1936" i="7"/>
  <c r="BB1535" i="7"/>
  <c r="BB1848" i="7"/>
  <c r="BB1172" i="7"/>
  <c r="BB1869" i="7"/>
  <c r="BB1866" i="7"/>
  <c r="BB1742" i="7"/>
  <c r="BB119" i="7"/>
  <c r="BB644" i="7"/>
  <c r="BB1650" i="9"/>
  <c r="BB1878" i="9"/>
  <c r="BB1298" i="9"/>
  <c r="BB810" i="7"/>
  <c r="BB980" i="9"/>
  <c r="BB1165" i="7"/>
  <c r="BB991" i="7"/>
  <c r="BB465" i="7"/>
  <c r="BB1065" i="7"/>
  <c r="BB728" i="7"/>
  <c r="BB1183" i="7"/>
  <c r="BB1961" i="7"/>
  <c r="BB1024" i="7"/>
  <c r="BB1514" i="7"/>
  <c r="BB1828" i="7"/>
  <c r="BB1928" i="7"/>
  <c r="BB642" i="7"/>
  <c r="BB1658" i="7"/>
  <c r="BB1323" i="7"/>
  <c r="BB1822" i="7"/>
  <c r="BB1375" i="7"/>
  <c r="BB1656" i="7"/>
  <c r="BB1631" i="9"/>
  <c r="BB1040" i="7"/>
  <c r="BB1479" i="7"/>
  <c r="BB1112" i="7"/>
  <c r="BB1216" i="7"/>
  <c r="BB873" i="7"/>
  <c r="BB536" i="7"/>
  <c r="BB1953" i="7"/>
  <c r="BB1322" i="7"/>
  <c r="BB1248" i="7"/>
  <c r="BB818" i="7"/>
  <c r="BB1726" i="7"/>
  <c r="BB1239" i="7"/>
  <c r="BB1725" i="7"/>
  <c r="BB1549" i="7"/>
  <c r="BB1408" i="7"/>
  <c r="BB1509" i="7"/>
  <c r="BB976" i="7"/>
  <c r="BB1619" i="7"/>
  <c r="BB1287" i="7"/>
  <c r="BB1624" i="7"/>
  <c r="BB1922" i="7"/>
  <c r="BB1467" i="7"/>
  <c r="BB1987" i="7"/>
  <c r="BB1827" i="7"/>
  <c r="BB1094" i="7"/>
  <c r="BB624" i="7"/>
  <c r="BB1660" i="7"/>
  <c r="BB450" i="7"/>
  <c r="BB129" i="7"/>
  <c r="BB755" i="7"/>
  <c r="BB1682" i="7"/>
  <c r="BB1837" i="7"/>
  <c r="BB1572" i="7"/>
  <c r="BB214" i="7"/>
  <c r="BB1201" i="7"/>
  <c r="BB1279" i="7"/>
  <c r="BB1498" i="7"/>
  <c r="BB1699" i="7"/>
  <c r="BB1176" i="7"/>
  <c r="BB1710" i="7"/>
  <c r="BB638" i="7"/>
  <c r="BB1686" i="7"/>
  <c r="BB1835" i="7"/>
  <c r="BB1853" i="7"/>
  <c r="BB913" i="7"/>
  <c r="BB1389" i="7"/>
  <c r="BB1246" i="7"/>
  <c r="BB1052" i="7"/>
  <c r="BB899" i="7"/>
  <c r="BB861" i="7"/>
  <c r="BB1548" i="7"/>
  <c r="BB1159" i="7"/>
  <c r="BB1890" i="7"/>
  <c r="BB908" i="7"/>
  <c r="BB1613" i="7"/>
  <c r="BB1732" i="7"/>
  <c r="BB1856" i="7"/>
  <c r="BB1898" i="7"/>
  <c r="BB1795" i="7"/>
  <c r="BB1007" i="7"/>
  <c r="BB1413" i="7"/>
  <c r="BB1320" i="7"/>
  <c r="BB1384" i="7"/>
  <c r="BB615" i="7"/>
  <c r="BB904" i="7"/>
  <c r="BB853" i="7"/>
  <c r="BB1993" i="7"/>
  <c r="BB1685" i="7"/>
  <c r="BB1230" i="7"/>
  <c r="BB936" i="7"/>
  <c r="BB1060" i="7"/>
  <c r="BB1011" i="7"/>
  <c r="BB1759" i="7"/>
  <c r="BB1687" i="7"/>
  <c r="BB1640" i="7"/>
  <c r="BB1032" i="7"/>
  <c r="BB1661" i="7"/>
  <c r="BB1676" i="7"/>
  <c r="BB1293" i="7"/>
  <c r="BB1672" i="7"/>
  <c r="BB1809" i="7"/>
  <c r="BB878" i="7"/>
  <c r="BB1942" i="7"/>
  <c r="BB1667" i="7"/>
  <c r="BB1586" i="7"/>
  <c r="BB573" i="7"/>
  <c r="BB1693" i="7"/>
  <c r="BB1512" i="7"/>
  <c r="BB1749" i="9"/>
  <c r="BB954" i="7"/>
  <c r="BB1333" i="7"/>
  <c r="BB950" i="7"/>
  <c r="BB1315" i="7"/>
  <c r="BB1593" i="7"/>
  <c r="BB1536" i="7"/>
  <c r="BB1975" i="7"/>
  <c r="BB910" i="7"/>
  <c r="BB1991" i="9"/>
  <c r="BB1811" i="9"/>
  <c r="BB98" i="7"/>
  <c r="BB1396" i="9"/>
  <c r="BB319" i="7"/>
  <c r="BB481" i="7"/>
  <c r="BB1022" i="7"/>
  <c r="BB749" i="7"/>
  <c r="BB1344" i="7"/>
  <c r="BB947" i="7"/>
  <c r="BB1402" i="7"/>
  <c r="BB1036" i="7"/>
  <c r="BB1768" i="7"/>
  <c r="BB1854" i="7"/>
  <c r="BB1595" i="7"/>
  <c r="BB1770" i="7"/>
  <c r="BB1811" i="7"/>
  <c r="BB1998" i="7"/>
  <c r="BB1241" i="7"/>
  <c r="BB1752" i="7"/>
  <c r="BB357" i="7"/>
  <c r="BB1422" i="7"/>
  <c r="BB1832" i="9"/>
  <c r="BB997" i="7"/>
  <c r="BB1357" i="7"/>
  <c r="BB1398" i="7"/>
  <c r="BB1128" i="7"/>
  <c r="BB1947" i="7"/>
  <c r="BB1015" i="7"/>
  <c r="BB819" i="7"/>
  <c r="BB1954" i="7"/>
  <c r="BB494" i="7"/>
  <c r="BB1814" i="7"/>
  <c r="BB1306" i="7"/>
  <c r="BB844" i="7"/>
  <c r="BB1874" i="7"/>
  <c r="BB1275" i="7"/>
  <c r="BB1355" i="7"/>
  <c r="BB1211" i="7"/>
  <c r="BB1558" i="7"/>
  <c r="BB243" i="7"/>
  <c r="BB1069" i="7"/>
  <c r="BB1683" i="7"/>
  <c r="BB1542" i="7"/>
  <c r="BB196" i="7"/>
  <c r="BB1056" i="7"/>
  <c r="BB1615" i="7"/>
  <c r="BB1265" i="7"/>
  <c r="BB1652" i="7"/>
  <c r="BB1927" i="7"/>
  <c r="BB1746" i="7"/>
  <c r="BB1917" i="7"/>
  <c r="BB1757" i="7"/>
  <c r="BB1274" i="7"/>
  <c r="BB1870" i="7"/>
  <c r="BB1151" i="7"/>
  <c r="BB1820" i="7"/>
  <c r="BB806" i="7"/>
  <c r="BB1831" i="7"/>
  <c r="BB1646" i="7"/>
  <c r="BB1297" i="7"/>
  <c r="BB1013" i="7"/>
  <c r="BB1907" i="7"/>
  <c r="BB1356" i="7"/>
  <c r="BB1891" i="7"/>
  <c r="BB1799" i="7"/>
  <c r="BB1244" i="7"/>
  <c r="BB827" i="7"/>
  <c r="BB1923" i="7"/>
  <c r="BB1938" i="7"/>
  <c r="BB619" i="7"/>
  <c r="BB1899" i="7"/>
  <c r="BB1245" i="7"/>
  <c r="BB1073" i="7"/>
  <c r="BB1106" i="7"/>
  <c r="BB863" i="7"/>
  <c r="BB25" i="7"/>
  <c r="BB360" i="7"/>
  <c r="BB1116" i="7"/>
  <c r="BB1148" i="7"/>
  <c r="BB1418" i="7"/>
  <c r="BB1952" i="7"/>
  <c r="BB1902" i="7"/>
  <c r="BB1911" i="7"/>
  <c r="BB1308" i="7"/>
  <c r="BB1585" i="7"/>
  <c r="BB1679" i="7"/>
  <c r="BB1926" i="7"/>
  <c r="BB1850" i="7"/>
  <c r="BB1008" i="7"/>
  <c r="BB951" i="7"/>
  <c r="BB1904" i="7"/>
  <c r="BB1852" i="7"/>
  <c r="BB1162" i="7"/>
  <c r="BB568" i="7"/>
  <c r="BB792" i="7"/>
  <c r="BB1290" i="7"/>
  <c r="BB1132" i="7"/>
  <c r="BB1913" i="7"/>
  <c r="BB1441" i="7"/>
  <c r="BB1442" i="7"/>
  <c r="BB1110" i="7"/>
  <c r="BB798" i="7"/>
  <c r="BB1766" i="7"/>
  <c r="BB1892" i="7"/>
  <c r="BB1200" i="7"/>
  <c r="BB919" i="7"/>
  <c r="BB824" i="7"/>
  <c r="BB1534" i="7"/>
  <c r="BB1939" i="7"/>
  <c r="BB1844" i="7"/>
  <c r="BB859" i="7"/>
  <c r="BB717" i="7"/>
  <c r="BB1001" i="7"/>
  <c r="BB1763" i="7"/>
  <c r="BB670" i="7"/>
  <c r="BB1951" i="7"/>
  <c r="BB1120" i="7"/>
  <c r="BB1625" i="7"/>
  <c r="BB1727" i="7"/>
  <c r="BB920" i="7"/>
  <c r="BB1157" i="7"/>
  <c r="BB1497" i="7"/>
  <c r="BB1341" i="7"/>
  <c r="BB1254" i="7"/>
  <c r="BB1362" i="9"/>
  <c r="BB1411" i="9"/>
  <c r="BB1825" i="9"/>
  <c r="BB290" i="7"/>
  <c r="BB560" i="7"/>
  <c r="BB160" i="7"/>
  <c r="BB737" i="7"/>
  <c r="BB325" i="7"/>
  <c r="BB1490" i="7"/>
  <c r="BB1564" i="7"/>
  <c r="BB1801" i="7"/>
  <c r="BB1689" i="7"/>
  <c r="BB1804" i="7"/>
  <c r="BB1999" i="7"/>
  <c r="BB1438" i="7"/>
  <c r="BB1750" i="7"/>
  <c r="BB1417" i="7"/>
  <c r="BB775" i="7"/>
  <c r="BB1486" i="7"/>
  <c r="BB1940" i="7"/>
  <c r="BB1079" i="7"/>
  <c r="BB1882" i="7"/>
  <c r="BB1610" i="9"/>
  <c r="BB1960" i="7"/>
  <c r="BB1000" i="7"/>
  <c r="BB984" i="7"/>
  <c r="BB1414" i="7"/>
  <c r="BB1443" i="7"/>
  <c r="BB1649" i="7"/>
  <c r="BB1174" i="7"/>
  <c r="BB1448" i="7"/>
  <c r="BB1506" i="7"/>
  <c r="BB1331" i="7"/>
  <c r="BB1485" i="7"/>
  <c r="BB733" i="7"/>
  <c r="BB1596" i="7"/>
  <c r="BB857" i="7"/>
  <c r="BB1340" i="7"/>
  <c r="BB1830" i="7"/>
  <c r="BB1988" i="9"/>
  <c r="BB1039" i="7"/>
  <c r="BB1918" i="7"/>
  <c r="BB1187" i="7"/>
  <c r="BB1368" i="7"/>
  <c r="BB840" i="7"/>
  <c r="BB1111" i="7"/>
  <c r="BB1153" i="7"/>
  <c r="BB1719" i="7"/>
  <c r="BB1472" i="7"/>
  <c r="BB1785" i="7"/>
  <c r="BB1937" i="7"/>
  <c r="BB1602" i="7"/>
  <c r="BB691" i="7"/>
  <c r="BB992" i="7"/>
  <c r="BB1821" i="7"/>
  <c r="BB1865" i="7"/>
  <c r="BB1647" i="7"/>
  <c r="BB1218" i="7"/>
  <c r="BB1221" i="7"/>
  <c r="BB970" i="7"/>
  <c r="BB1832" i="7"/>
  <c r="BB1977" i="7"/>
  <c r="BB895" i="7"/>
  <c r="BB974" i="7"/>
  <c r="BB1800" i="7"/>
  <c r="BB1282" i="7"/>
  <c r="BB1175" i="7"/>
  <c r="BB1836" i="7"/>
  <c r="BB1578" i="7"/>
  <c r="BB1825" i="7"/>
  <c r="BB1194" i="7"/>
  <c r="BB1632" i="7"/>
  <c r="BB1657" i="7"/>
  <c r="BB987" i="7"/>
  <c r="BB1985" i="7"/>
  <c r="BB1178" i="7"/>
  <c r="BB1361" i="7"/>
  <c r="BB969" i="7"/>
  <c r="BB1317" i="7"/>
  <c r="BB1816" i="7"/>
  <c r="BB1348" i="7"/>
  <c r="BB1309" i="7"/>
  <c r="BB1055" i="7"/>
  <c r="BB1884" i="7"/>
  <c r="BB1350" i="7"/>
  <c r="BB1489" i="7"/>
  <c r="BB1900" i="7"/>
  <c r="BB1815" i="7"/>
  <c r="BB935" i="7"/>
  <c r="BB1934" i="7"/>
  <c r="BB1296" i="7"/>
  <c r="BB1403" i="7"/>
  <c r="BB1782" i="7"/>
  <c r="BB1325" i="7"/>
  <c r="BB1540" i="7"/>
  <c r="BB1455" i="7"/>
  <c r="BB169" i="7"/>
  <c r="BB1527" i="7"/>
  <c r="BB1680" i="7"/>
  <c r="BB1690" i="7"/>
  <c r="BB1591" i="7"/>
  <c r="BB1169" i="7"/>
  <c r="BB632" i="7"/>
  <c r="BB1523" i="7"/>
  <c r="BB1436" i="7"/>
  <c r="BB879" i="7"/>
  <c r="BB914" i="7"/>
  <c r="BB1559" i="7"/>
  <c r="BB1272" i="7"/>
  <c r="BB592" i="7"/>
  <c r="BB832" i="7"/>
  <c r="BB1627" i="7"/>
  <c r="BB1235" i="7"/>
  <c r="BB1713" i="7"/>
  <c r="BB1037" i="7"/>
  <c r="BB1107" i="7"/>
  <c r="BB1284" i="7"/>
  <c r="BB1215" i="7"/>
  <c r="BB1126" i="7"/>
  <c r="BB1688" i="7"/>
  <c r="BB1702" i="7"/>
  <c r="BB1458" i="7"/>
  <c r="BB1217" i="7"/>
  <c r="BB933" i="7"/>
  <c r="BB1427" i="9"/>
  <c r="BB633" i="7"/>
  <c r="BB1387" i="9"/>
  <c r="BB20" i="7"/>
  <c r="BB1275" i="9"/>
  <c r="BB1439" i="9"/>
  <c r="BB1478" i="9"/>
  <c r="BB1563" i="9"/>
  <c r="BB1494" i="7"/>
  <c r="BB583" i="7"/>
  <c r="BB1628" i="7"/>
  <c r="BB1744" i="7"/>
  <c r="BB1921" i="7"/>
  <c r="BB1452" i="7"/>
  <c r="BB1787" i="7"/>
  <c r="BB711" i="7"/>
  <c r="BB1599" i="7"/>
  <c r="BB1762" i="7"/>
  <c r="BB1440" i="7"/>
  <c r="BB1546" i="7"/>
  <c r="BB1562" i="7"/>
  <c r="BB1986" i="7"/>
  <c r="BB254" i="7"/>
  <c r="BB1242" i="7"/>
  <c r="BB1371" i="7"/>
  <c r="BB1736" i="7"/>
  <c r="BB1753" i="7"/>
  <c r="BB1859" i="7"/>
  <c r="BB1730" i="7"/>
  <c r="BB1339" i="7"/>
  <c r="BB606" i="7"/>
  <c r="BB1706" i="7"/>
  <c r="BB665" i="7"/>
  <c r="BB1406" i="7"/>
  <c r="BB647" i="7"/>
  <c r="BB531" i="7"/>
  <c r="BB1598" i="7"/>
  <c r="BB1964" i="7"/>
  <c r="BB1461" i="7"/>
  <c r="BB1006" i="7"/>
  <c r="BB687" i="7"/>
  <c r="BB1991" i="7"/>
  <c r="BB1208" i="7"/>
  <c r="BB921" i="7"/>
  <c r="BB1038" i="7"/>
  <c r="BB1277" i="7"/>
  <c r="BB1354" i="7"/>
  <c r="BB1117" i="7"/>
  <c r="BB1704" i="7"/>
  <c r="BB1102" i="7"/>
  <c r="BB968" i="7"/>
  <c r="BB1423" i="7"/>
  <c r="BB540" i="7"/>
  <c r="BB1502" i="7"/>
  <c r="BB1567" i="7"/>
  <c r="BB1499" i="7"/>
  <c r="BB1078" i="7"/>
  <c r="BB1995" i="7"/>
  <c r="BB881" i="7"/>
  <c r="BB1747" i="7"/>
  <c r="BB1503" i="7"/>
  <c r="BB907" i="7"/>
  <c r="BB1603" i="7"/>
  <c r="BB1446" i="7"/>
  <c r="BB888" i="7"/>
  <c r="BB1437" i="7"/>
  <c r="BB1147" i="7"/>
  <c r="BB1347" i="7"/>
  <c r="BB977" i="7"/>
  <c r="BB1227" i="7"/>
  <c r="BB1035" i="7"/>
  <c r="BB1525" i="7"/>
  <c r="BB1250" i="7"/>
  <c r="BB1756" i="7"/>
  <c r="BB1057" i="7"/>
  <c r="BB1204" i="7"/>
  <c r="BB1238" i="7"/>
  <c r="BB949" i="7"/>
  <c r="BB1468" i="7"/>
  <c r="BB1569" i="7"/>
  <c r="BB1236" i="7"/>
  <c r="BB1990" i="7"/>
  <c r="BB1349" i="7"/>
  <c r="BB451" i="7"/>
  <c r="BB1445" i="7"/>
  <c r="BB1491" i="7"/>
  <c r="BB1823" i="7"/>
  <c r="BB1771" i="7"/>
  <c r="BB1594" i="7"/>
  <c r="BB1697" i="7"/>
  <c r="BB1410" i="7"/>
  <c r="BB1405" i="7"/>
  <c r="BB1633" i="7"/>
  <c r="BB753" i="7"/>
  <c r="BB1453" i="7"/>
  <c r="BB1984" i="7"/>
  <c r="BB1930" i="9"/>
  <c r="BB1190" i="7"/>
  <c r="BB297" i="7"/>
  <c r="BB1205" i="7"/>
  <c r="BB1694" i="7"/>
  <c r="BB1053" i="7"/>
  <c r="BB1396" i="7"/>
  <c r="BB1133" i="7"/>
  <c r="BB1755" i="7"/>
  <c r="BB1090" i="7"/>
  <c r="BB1380" i="7"/>
  <c r="BB937" i="7"/>
  <c r="BB1353" i="7"/>
  <c r="BB1475" i="7"/>
  <c r="BB1301" i="7"/>
  <c r="BB1427" i="7"/>
  <c r="BB1096" i="7"/>
  <c r="BB1903" i="7"/>
  <c r="BB1077" i="7"/>
  <c r="BB1978" i="7"/>
  <c r="BB1810" i="7"/>
  <c r="BB1160" i="7"/>
  <c r="BB1197" i="7"/>
  <c r="BB1905" i="7"/>
  <c r="BB1152" i="7"/>
  <c r="BB1332" i="7"/>
  <c r="BB1149" i="7"/>
  <c r="BB219" i="7"/>
  <c r="BB1476" i="9"/>
  <c r="BB1093" i="7"/>
  <c r="BB41" i="7"/>
  <c r="BB510" i="7"/>
  <c r="BB555" i="7"/>
  <c r="BB1333" i="9"/>
  <c r="BB1681" i="9"/>
  <c r="BB1202" i="9"/>
  <c r="BB955" i="7"/>
  <c r="BB1222" i="7"/>
  <c r="BB1819" i="7"/>
  <c r="BB1141" i="7"/>
  <c r="BB1561" i="7"/>
  <c r="BB1976" i="7"/>
  <c r="BB1247" i="7"/>
  <c r="BB828" i="7"/>
  <c r="BB1369" i="7"/>
  <c r="BB903" i="7"/>
  <c r="BB1885" i="7"/>
  <c r="BB891" i="7"/>
  <c r="BB766" i="7"/>
  <c r="BB1767" i="7"/>
  <c r="BB1173" i="7"/>
  <c r="BB1324" i="7"/>
  <c r="BB1893" i="7"/>
  <c r="BB1505" i="7"/>
  <c r="BB1188" i="7"/>
  <c r="BB1255" i="7"/>
  <c r="BB945" i="7"/>
  <c r="BB1232" i="7"/>
  <c r="BB1935" i="7"/>
  <c r="BB1206" i="7"/>
  <c r="BB1134" i="7"/>
  <c r="BB1519" i="7"/>
  <c r="BB1537" i="7"/>
  <c r="BB1330" i="7"/>
  <c r="BB784" i="7"/>
  <c r="BB1531" i="7"/>
  <c r="BB1524" i="7"/>
  <c r="BB799" i="7"/>
  <c r="BB1618" i="7"/>
  <c r="BB688" i="7"/>
  <c r="BB1872" i="7"/>
  <c r="BB1352" i="7"/>
  <c r="BB1044" i="7"/>
  <c r="BB988" i="7"/>
  <c r="BB1860" i="7"/>
  <c r="BB1372" i="7"/>
  <c r="BB476" i="7"/>
  <c r="BB1387" i="7"/>
  <c r="BB529" i="7"/>
  <c r="BB1521" i="7"/>
  <c r="BB1451" i="7"/>
  <c r="BB917" i="7"/>
  <c r="BB1996" i="7"/>
  <c r="BB796" i="7"/>
  <c r="BB1634" i="7"/>
  <c r="BB588" i="7"/>
  <c r="BB404" i="7"/>
  <c r="BB1949" i="7"/>
  <c r="BB981" i="7"/>
  <c r="BB1888" i="7"/>
  <c r="BB1399" i="7"/>
  <c r="BB1268" i="7"/>
  <c r="BB1584" i="7"/>
  <c r="BB623" i="7"/>
  <c r="BB869" i="7"/>
  <c r="BB877" i="7"/>
  <c r="BB1195" i="7"/>
  <c r="BB197" i="7"/>
  <c r="BB393" i="7"/>
  <c r="BB777" i="7"/>
  <c r="BB308" i="7"/>
  <c r="BB300" i="7"/>
  <c r="BB491" i="7"/>
  <c r="BB603" i="7"/>
  <c r="BB372" i="7"/>
  <c r="BB448" i="7"/>
  <c r="BB1927" i="9"/>
  <c r="BB1181" i="9"/>
  <c r="BB1032" i="9"/>
  <c r="BB1214" i="9"/>
  <c r="BB256" i="7"/>
  <c r="BB388" i="7"/>
  <c r="BB629" i="7"/>
  <c r="BB1868" i="9"/>
  <c r="BB209" i="7"/>
  <c r="BB174" i="7"/>
  <c r="BB108" i="7"/>
  <c r="BB247" i="7"/>
  <c r="BB1551" i="9"/>
  <c r="BB1999" i="9"/>
  <c r="BB1840" i="9"/>
  <c r="BB852" i="9"/>
  <c r="BB1023" i="7"/>
  <c r="BB1177" i="9"/>
  <c r="BB631" i="7"/>
  <c r="BB402" i="7"/>
  <c r="BB141" i="7"/>
  <c r="BB425" i="7"/>
  <c r="BB598" i="7"/>
  <c r="BB240" i="7"/>
  <c r="BB874" i="7"/>
  <c r="BB314" i="7"/>
  <c r="BB983" i="9"/>
  <c r="BB679" i="9"/>
  <c r="BB1460" i="9"/>
  <c r="BB86" i="7"/>
  <c r="BB144" i="7"/>
  <c r="BB1319" i="9"/>
  <c r="BB161" i="7"/>
  <c r="BB301" i="7"/>
  <c r="BB277" i="7"/>
  <c r="BB78" i="7"/>
  <c r="BB1763" i="9"/>
  <c r="BB764" i="7"/>
  <c r="BB323" i="7"/>
  <c r="BB1085" i="9"/>
  <c r="BB58" i="9"/>
  <c r="BB1616" i="7"/>
  <c r="BB604" i="7"/>
  <c r="BB990" i="7"/>
  <c r="BB1519" i="9"/>
  <c r="BB767" i="7"/>
  <c r="BB1714" i="9"/>
  <c r="BB104" i="7"/>
  <c r="BB1209" i="9"/>
  <c r="BB539" i="7"/>
  <c r="BB616" i="7"/>
  <c r="BB227" i="9"/>
  <c r="BB195" i="7"/>
  <c r="BB1865" i="9"/>
  <c r="BB762" i="7"/>
  <c r="BB1982" i="9"/>
  <c r="BB1280" i="9"/>
  <c r="BB564" i="7"/>
  <c r="BB1788" i="7"/>
  <c r="BB1802" i="7"/>
  <c r="BB1280" i="7"/>
  <c r="BB1636" i="7"/>
  <c r="BB1167" i="7"/>
  <c r="BB1962" i="7"/>
  <c r="BB1392" i="7"/>
  <c r="BB1143" i="7"/>
  <c r="BB1992" i="7"/>
  <c r="BB1973" i="7"/>
  <c r="BB382" i="7"/>
  <c r="BB1130" i="7"/>
  <c r="BB1415" i="7"/>
  <c r="BB1166" i="7"/>
  <c r="BB1083" i="7"/>
  <c r="BB1267" i="7"/>
  <c r="BB1553" i="7"/>
  <c r="BB1776" i="7"/>
  <c r="BB1692" i="7"/>
  <c r="BB1370" i="7"/>
  <c r="BB1373" i="7"/>
  <c r="BB528" i="7"/>
  <c r="BB1737" i="7"/>
  <c r="BB655" i="7"/>
  <c r="BB1783" i="7"/>
  <c r="BB961" i="7"/>
  <c r="BB930" i="7"/>
  <c r="BB887" i="7"/>
  <c r="BB880" i="7"/>
  <c r="BB1431" i="7"/>
  <c r="BB1264" i="7"/>
  <c r="BB1381" i="7"/>
  <c r="BB1945" i="7"/>
  <c r="BB1295" i="9"/>
  <c r="BB1508" i="7"/>
  <c r="BB741" i="7"/>
  <c r="BB1414" i="9"/>
  <c r="BB953" i="7"/>
  <c r="BB782" i="7"/>
  <c r="BB1566" i="7"/>
  <c r="BB747" i="7"/>
  <c r="BB1224" i="7"/>
  <c r="BB1773" i="7"/>
  <c r="BB1407" i="7"/>
  <c r="BB1834" i="7"/>
  <c r="BB1058" i="7"/>
  <c r="BB1607" i="7"/>
  <c r="BB1343" i="7"/>
  <c r="BB966" i="7"/>
  <c r="BB1733" i="7"/>
  <c r="BB1642" i="7"/>
  <c r="BB1639" i="7"/>
  <c r="BB1009" i="7"/>
  <c r="BB1963" i="7"/>
  <c r="BB1781" i="7"/>
  <c r="BB1881" i="7"/>
  <c r="BB1966" i="7"/>
  <c r="BB530" i="7"/>
  <c r="BB718" i="7"/>
  <c r="BB134" i="7"/>
  <c r="BB562" i="7"/>
  <c r="BB441" i="7"/>
  <c r="BB1312" i="9"/>
  <c r="BB202" i="7"/>
  <c r="BB681" i="7"/>
  <c r="BB173" i="7"/>
  <c r="BB270" i="7"/>
  <c r="BB196" i="9"/>
  <c r="BB1565" i="9"/>
  <c r="BB1712" i="9"/>
  <c r="BB474" i="7"/>
  <c r="BB685" i="7"/>
  <c r="BB453" i="7"/>
  <c r="BB343" i="7"/>
  <c r="BB1996" i="9"/>
  <c r="BB634" i="7"/>
  <c r="BB434" i="7"/>
  <c r="BB8" i="7"/>
  <c r="BB91" i="7"/>
  <c r="BB991" i="9"/>
  <c r="BB1807" i="9"/>
  <c r="BB1204" i="9"/>
  <c r="BB187" i="7"/>
  <c r="BB1572" i="9"/>
  <c r="BB1954" i="9"/>
  <c r="BB850" i="7"/>
  <c r="BB1607" i="9"/>
  <c r="BB1316" i="9"/>
  <c r="BB541" i="7"/>
  <c r="BB684" i="7"/>
  <c r="BB107" i="7"/>
  <c r="BB584" i="7"/>
  <c r="BB1459" i="9"/>
  <c r="BB888" i="9"/>
  <c r="BB1985" i="9"/>
  <c r="BB1372" i="9"/>
  <c r="BB1041" i="9"/>
  <c r="BB884" i="7"/>
  <c r="BB265" i="7"/>
  <c r="BB748" i="7"/>
  <c r="BB1115" i="9"/>
  <c r="BB652" i="7"/>
  <c r="BB1291" i="9"/>
  <c r="BB1696" i="9"/>
  <c r="BB1992" i="9"/>
  <c r="BB1495" i="9"/>
  <c r="BB261" i="9"/>
  <c r="BB1695" i="7"/>
  <c r="BB42" i="7"/>
  <c r="BB1834" i="9"/>
  <c r="BB295" i="7"/>
  <c r="BB1795" i="9"/>
  <c r="BB572" i="7"/>
  <c r="BB1617" i="9"/>
  <c r="BB411" i="7"/>
  <c r="BB1604" i="9"/>
  <c r="BB250" i="7"/>
  <c r="BB1940" i="9"/>
  <c r="BB1936" i="9"/>
  <c r="BB1523" i="9"/>
  <c r="BB650" i="7"/>
  <c r="BB1993" i="9"/>
  <c r="BB1689" i="9"/>
  <c r="BB1760" i="7"/>
  <c r="BB1313" i="7"/>
  <c r="BB1663" i="7"/>
  <c r="BB1336" i="7"/>
  <c r="BB1450" i="7"/>
  <c r="BB1906" i="7"/>
  <c r="BB1186" i="7"/>
  <c r="BB1432" i="7"/>
  <c r="BB1775" i="7"/>
  <c r="BB1028" i="7"/>
  <c r="BB1622" i="7"/>
  <c r="BB1571" i="7"/>
  <c r="BB1401" i="7"/>
  <c r="BB548" i="7"/>
  <c r="BB131" i="7"/>
  <c r="BB1121" i="7"/>
  <c r="BB905" i="7"/>
  <c r="BB37" i="7"/>
  <c r="BB1621" i="7"/>
  <c r="BB433" i="7"/>
  <c r="BB1103" i="7"/>
  <c r="BB1780" i="7"/>
  <c r="BB1738" i="7"/>
  <c r="BB1720" i="7"/>
  <c r="BB1964" i="9"/>
  <c r="BB679" i="7"/>
  <c r="BB1061" i="7"/>
  <c r="BB16" i="7"/>
  <c r="BB1168" i="7"/>
  <c r="BB1902" i="9"/>
  <c r="BB1081" i="7"/>
  <c r="BB1789" i="7"/>
  <c r="BB996" i="7"/>
  <c r="BB1665" i="7"/>
  <c r="BB1237" i="7"/>
  <c r="BB1583" i="7"/>
  <c r="BB1924" i="7"/>
  <c r="BB1543" i="7"/>
  <c r="BB1707" i="7"/>
  <c r="BB1359" i="7"/>
  <c r="BB1304" i="7"/>
  <c r="BB1673" i="7"/>
  <c r="BB537" i="7"/>
  <c r="BB1941" i="7"/>
  <c r="BB1677" i="7"/>
  <c r="BB1510" i="7"/>
  <c r="BB1608" i="7"/>
  <c r="BB1316" i="7"/>
  <c r="BB1020" i="7"/>
  <c r="BB1764" i="7"/>
  <c r="BB683" i="7"/>
  <c r="BB1501" i="7"/>
  <c r="BB1626" i="7"/>
  <c r="BB972" i="7"/>
  <c r="BB1662" i="7"/>
  <c r="BB1838" i="7"/>
  <c r="BB1643" i="7"/>
  <c r="BB1379" i="7"/>
  <c r="BB1367" i="7"/>
  <c r="BB1731" i="7"/>
  <c r="BB957" i="7"/>
  <c r="BB1540" i="9"/>
  <c r="BB1308" i="9"/>
  <c r="BB1445" i="9"/>
  <c r="BB367" i="7"/>
  <c r="BB18" i="7"/>
  <c r="BB1329" i="9"/>
  <c r="BB233" i="7"/>
  <c r="BB1057" i="9"/>
  <c r="BB105" i="7"/>
  <c r="BB532" i="7"/>
  <c r="BB1721" i="9"/>
  <c r="BB1076" i="9"/>
  <c r="BB1376" i="9"/>
  <c r="BB1108" i="9"/>
  <c r="BB836" i="7"/>
  <c r="BB654" i="7"/>
  <c r="BB547" i="7"/>
  <c r="BB705" i="7"/>
  <c r="BB51" i="7"/>
  <c r="BB385" i="7"/>
  <c r="BB220" i="7"/>
  <c r="BB112" i="7"/>
  <c r="BB1415" i="9"/>
  <c r="BB891" i="9"/>
  <c r="BB1017" i="9"/>
  <c r="BB281" i="7"/>
  <c r="BB500" i="7"/>
  <c r="BB614" i="7"/>
  <c r="BB1796" i="9"/>
  <c r="BB122" i="7"/>
  <c r="BB554" i="7"/>
  <c r="BB1953" i="9"/>
  <c r="BB839" i="7"/>
  <c r="BB205" i="7"/>
  <c r="BB455" i="7"/>
  <c r="BB894" i="9"/>
  <c r="BB1374" i="9"/>
  <c r="BB1555" i="9"/>
  <c r="BB238" i="7"/>
  <c r="BB576" i="7"/>
  <c r="BB113" i="7"/>
  <c r="BB1368" i="9"/>
  <c r="BB1732" i="9"/>
  <c r="BB1957" i="9"/>
  <c r="BB1636" i="9"/>
  <c r="BB470" i="7"/>
  <c r="BB924" i="7"/>
  <c r="BB817" i="9"/>
  <c r="BB879" i="9"/>
  <c r="BB1989" i="9"/>
  <c r="BB1262" i="7"/>
  <c r="BB32" i="7"/>
  <c r="BB251" i="7"/>
  <c r="BB1882" i="9"/>
  <c r="BB1910" i="9"/>
  <c r="BB1709" i="9"/>
  <c r="BB504" i="7"/>
  <c r="BB428" i="7"/>
  <c r="BB326" i="7"/>
  <c r="BB13" i="7"/>
  <c r="BB709" i="7"/>
  <c r="BB1997" i="9"/>
  <c r="BB1532" i="7"/>
  <c r="BB1916" i="9"/>
  <c r="BB387" i="7"/>
  <c r="BB878" i="9"/>
  <c r="BB779" i="7"/>
  <c r="BB1967" i="7"/>
  <c r="BB1507" i="7"/>
  <c r="BB1601" i="7"/>
  <c r="BB1150" i="7"/>
  <c r="BB1970" i="7"/>
  <c r="BB1411" i="7"/>
  <c r="BB1229" i="7"/>
  <c r="BB1956" i="7"/>
  <c r="BB1574" i="7"/>
  <c r="BB983" i="7"/>
  <c r="BB1650" i="7"/>
  <c r="BB865" i="7"/>
  <c r="BB1026" i="7"/>
  <c r="BB708" i="7"/>
  <c r="BB1589" i="7"/>
  <c r="BB1631" i="7"/>
  <c r="BB1930" i="7"/>
  <c r="BB1889" i="7"/>
  <c r="BB1897" i="7"/>
  <c r="BB848" i="7"/>
  <c r="BB1864" i="7"/>
  <c r="BB1473" i="7"/>
  <c r="BB1979" i="7"/>
  <c r="BB1861" i="9"/>
  <c r="BB1430" i="7"/>
  <c r="BB1034" i="7"/>
  <c r="BB1504" i="7"/>
  <c r="BB1863" i="7"/>
  <c r="BB722" i="7"/>
  <c r="BB664" i="7"/>
  <c r="BB1729" i="7"/>
  <c r="BB1544" i="7"/>
  <c r="BB1088" i="7"/>
  <c r="BB1533" i="7"/>
  <c r="BB751" i="7"/>
  <c r="BB1299" i="7"/>
  <c r="BB1606" i="7"/>
  <c r="BB1847" i="7"/>
  <c r="BB1718" i="7"/>
  <c r="BB1645" i="7"/>
  <c r="BB843" i="7"/>
  <c r="BB1862" i="7"/>
  <c r="BB760" i="7"/>
  <c r="BB1496" i="7"/>
  <c r="BB1251" i="7"/>
  <c r="BB1734" i="7"/>
  <c r="BB1474" i="7"/>
  <c r="BB923" i="7"/>
  <c r="BB875" i="7"/>
  <c r="BB692" i="7"/>
  <c r="BB1826" i="7"/>
  <c r="BB1482" i="7"/>
  <c r="BB1209" i="7"/>
  <c r="BB1551" i="7"/>
  <c r="BB1161" i="7"/>
  <c r="BB795" i="7"/>
  <c r="BB44" i="7"/>
  <c r="BB189" i="7"/>
  <c r="BB1831" i="9"/>
  <c r="BB1682" i="9"/>
  <c r="BB123" i="7"/>
  <c r="BB1336" i="9"/>
  <c r="BB1165" i="9"/>
  <c r="BB1557" i="9"/>
  <c r="BB24" i="7"/>
  <c r="BB1106" i="9"/>
  <c r="BB655" i="9"/>
  <c r="BB1357" i="9"/>
  <c r="BB1818" i="9"/>
  <c r="BB17" i="7"/>
  <c r="BB995" i="7"/>
  <c r="BB1261" i="9"/>
  <c r="BB1899" i="9"/>
  <c r="BB1111" i="9"/>
  <c r="BB738" i="7"/>
  <c r="BB286" i="7"/>
  <c r="BB229" i="7"/>
  <c r="BB1876" i="9"/>
  <c r="BB353" i="9"/>
  <c r="BB1568" i="9"/>
  <c r="BB111" i="7"/>
  <c r="BB43" i="7"/>
  <c r="BB1613" i="9"/>
  <c r="BB180" i="7"/>
  <c r="BB38" i="7"/>
  <c r="BB170" i="7"/>
  <c r="BB71" i="7"/>
  <c r="BB1500" i="9"/>
  <c r="BB260" i="7"/>
  <c r="BB257" i="7"/>
  <c r="BB1677" i="9"/>
  <c r="BB975" i="9"/>
  <c r="BB469" i="9"/>
  <c r="BB580" i="7"/>
  <c r="BB75" i="7"/>
  <c r="BB822" i="7"/>
  <c r="BB447" i="7"/>
  <c r="BB1612" i="9"/>
  <c r="BB121" i="7"/>
  <c r="BB763" i="7"/>
  <c r="BB546" i="7"/>
  <c r="BB1766" i="9"/>
  <c r="BB1059" i="9"/>
  <c r="BB35" i="9"/>
  <c r="BB1949" i="9"/>
  <c r="BB489" i="7"/>
  <c r="BB278" i="7"/>
  <c r="BB1688" i="9"/>
  <c r="BB288" i="9"/>
  <c r="BB1349" i="9"/>
  <c r="BB941" i="9"/>
  <c r="BB457" i="7"/>
  <c r="BB730" i="7"/>
  <c r="BB771" i="9"/>
  <c r="BB778" i="7"/>
  <c r="BB1858" i="7"/>
  <c r="BB412" i="7"/>
  <c r="BB475" i="7"/>
  <c r="BB639" i="7"/>
  <c r="BB833" i="9"/>
  <c r="BB1130" i="9"/>
  <c r="BB1675" i="7"/>
  <c r="BB1203" i="7"/>
  <c r="BB845" i="7"/>
  <c r="BB1555" i="7"/>
  <c r="BB1735" i="7"/>
  <c r="BB1653" i="7"/>
  <c r="BB946" i="7"/>
  <c r="BB1861" i="7"/>
  <c r="BB973" i="7"/>
  <c r="BB1067" i="7"/>
  <c r="BB1901" i="7"/>
  <c r="BB774" i="7"/>
  <c r="BB1005" i="7"/>
  <c r="BB1329" i="7"/>
  <c r="BB557" i="7"/>
  <c r="BB1219" i="7"/>
  <c r="BB1395" i="7"/>
  <c r="BB1127" i="7"/>
  <c r="BB1880" i="7"/>
  <c r="BB1048" i="7"/>
  <c r="BB1449" i="7"/>
  <c r="BB1327" i="7"/>
  <c r="BB1059" i="7"/>
  <c r="BB841" i="7"/>
  <c r="BB1515" i="7"/>
  <c r="BB1914" i="7"/>
  <c r="BB1623" i="7"/>
  <c r="BB906" i="7"/>
  <c r="BB934" i="7"/>
  <c r="BB1641" i="7"/>
  <c r="BB715" i="7"/>
  <c r="BB856" i="7"/>
  <c r="BB1980" i="7"/>
  <c r="BB1629" i="7"/>
  <c r="BB793" i="7"/>
  <c r="BB462" i="7"/>
  <c r="BB1751" i="7"/>
  <c r="BB1276" i="7"/>
  <c r="BB702" i="7"/>
  <c r="BB1139" i="7"/>
  <c r="BB1393" i="7"/>
  <c r="BB1988" i="7"/>
  <c r="BB1158" i="7"/>
  <c r="BB1518" i="7"/>
  <c r="BB1170" i="7"/>
  <c r="BB669" i="7"/>
  <c r="BB1721" i="7"/>
  <c r="BB1285" i="7"/>
  <c r="BB1948" i="7"/>
  <c r="BB1516" i="7"/>
  <c r="BB1513" i="7"/>
  <c r="BB1046" i="7"/>
  <c r="BB1965" i="7"/>
  <c r="BB1105" i="7"/>
  <c r="BB1488" i="7"/>
  <c r="BB1089" i="7"/>
  <c r="BB115" i="7"/>
  <c r="BB1382" i="7"/>
  <c r="BB941" i="7"/>
  <c r="BB1231" i="7"/>
  <c r="BB600" i="7"/>
  <c r="BB1749" i="7"/>
  <c r="BB193" i="7"/>
  <c r="BB296" i="7"/>
  <c r="BB527" i="7"/>
  <c r="BB63" i="7"/>
  <c r="BB680" i="7"/>
  <c r="BB39" i="7"/>
  <c r="BB394" i="7"/>
  <c r="BB1668" i="9"/>
  <c r="BB216" i="7"/>
  <c r="BB579" i="7"/>
  <c r="BB745" i="9"/>
  <c r="BB1201" i="9"/>
  <c r="BB1527" i="9"/>
  <c r="BB165" i="7"/>
  <c r="BB102" i="7"/>
  <c r="BB271" i="7"/>
  <c r="BB259" i="7"/>
  <c r="BB244" i="7"/>
  <c r="BB403" i="7"/>
  <c r="BB1724" i="9"/>
  <c r="BB82" i="7"/>
  <c r="BB65" i="7"/>
  <c r="BB320" i="9"/>
  <c r="BB1929" i="9"/>
  <c r="BB77" i="9"/>
  <c r="BB519" i="7"/>
  <c r="BB329" i="7"/>
  <c r="BB1891" i="9"/>
  <c r="BB443" i="7"/>
  <c r="BB643" i="7"/>
  <c r="BB72" i="7"/>
  <c r="BB513" i="7"/>
  <c r="BB1952" i="9"/>
  <c r="BB551" i="7"/>
  <c r="BB185" i="7"/>
  <c r="BB1225" i="9"/>
  <c r="BB1624" i="10"/>
  <c r="BB769" i="7"/>
  <c r="BB242" i="7"/>
  <c r="BB417" i="7"/>
  <c r="BB331" i="7"/>
  <c r="BB723" i="7"/>
  <c r="BB327" i="7"/>
  <c r="BB179" i="7"/>
  <c r="BB790" i="7"/>
  <c r="BB460" i="7"/>
  <c r="BB1893" i="9"/>
  <c r="BB1292" i="9"/>
  <c r="BB1038" i="9"/>
  <c r="BB1646" i="9"/>
  <c r="BB73" i="7"/>
  <c r="BB1667" i="9"/>
  <c r="BB765" i="7"/>
  <c r="BB1270" i="9"/>
  <c r="BB525" i="7"/>
  <c r="BB1717" i="9"/>
  <c r="BB926" i="7"/>
  <c r="BB227" i="7"/>
  <c r="BB1063" i="9"/>
  <c r="BB273" i="7"/>
  <c r="BB1700" i="7"/>
  <c r="BB1801" i="9"/>
  <c r="BB721" i="7"/>
  <c r="BB114" i="7"/>
  <c r="BB1274" i="9"/>
  <c r="BB1337" i="9"/>
  <c r="BB960" i="7"/>
  <c r="BB542" i="7"/>
  <c r="BB1266" i="7"/>
  <c r="BB1144" i="7"/>
  <c r="BB889" i="7"/>
  <c r="BB1457" i="7"/>
  <c r="BB962" i="7"/>
  <c r="BB1328" i="7"/>
  <c r="BB1283" i="7"/>
  <c r="BB1394" i="9"/>
  <c r="BB1051" i="7"/>
  <c r="BB1981" i="7"/>
  <c r="BB1400" i="7"/>
  <c r="BB1447" i="7"/>
  <c r="BB1070" i="7"/>
  <c r="BB1351" i="7"/>
  <c r="BB1580" i="7"/>
  <c r="BB909" i="7"/>
  <c r="BB1212" i="7"/>
  <c r="BB637" i="7"/>
  <c r="BB587" i="7"/>
  <c r="BB1600" i="7"/>
  <c r="BB1142" i="7"/>
  <c r="BB1085" i="7"/>
  <c r="BB1637" i="7"/>
  <c r="BB710" i="7"/>
  <c r="BB1303" i="7"/>
  <c r="BB1214" i="7"/>
  <c r="BB1817" i="7"/>
  <c r="BB1460" i="7"/>
  <c r="BB1894" i="7"/>
  <c r="BB1419" i="7"/>
  <c r="BB1950" i="7"/>
  <c r="BB943" i="7"/>
  <c r="BB1278" i="7"/>
  <c r="BB860" i="7"/>
  <c r="BB1867" i="7"/>
  <c r="BB1426" i="7"/>
  <c r="BB1748" i="7"/>
  <c r="BB1877" i="7"/>
  <c r="BB1047" i="7"/>
  <c r="BB1346" i="7"/>
  <c r="BB1620" i="7"/>
  <c r="BB1590" i="7"/>
  <c r="BB1556" i="7"/>
  <c r="BB1180" i="7"/>
  <c r="BB1084" i="7"/>
  <c r="BB1711" i="7"/>
  <c r="BB1021" i="7"/>
  <c r="BB1196" i="7"/>
  <c r="BB1669" i="9"/>
  <c r="BB1723" i="7"/>
  <c r="BB199" i="7"/>
  <c r="BB351" i="7"/>
  <c r="BB1517" i="7"/>
  <c r="BB218" i="7"/>
  <c r="BB1630" i="7"/>
  <c r="BB1397" i="7"/>
  <c r="BB1391" i="7"/>
  <c r="BB1232" i="9"/>
  <c r="BB653" i="7"/>
  <c r="BB1147" i="9"/>
  <c r="BB698" i="7"/>
  <c r="BB287" i="7"/>
  <c r="BB726" i="7"/>
  <c r="BB354" i="7"/>
  <c r="BB315" i="7"/>
  <c r="BB780" i="7"/>
  <c r="BB862" i="7"/>
  <c r="BB1211" i="9"/>
  <c r="BB1805" i="9"/>
  <c r="BB1576" i="9"/>
  <c r="BB222" i="7"/>
  <c r="BB1961" i="9"/>
  <c r="BB352" i="7"/>
  <c r="BB473" i="7"/>
  <c r="BB307" i="7"/>
  <c r="BB794" i="7"/>
  <c r="BB1508" i="9"/>
  <c r="BB55" i="7"/>
  <c r="BB436" i="7"/>
  <c r="BB1859" i="9"/>
  <c r="BB1435" i="9"/>
  <c r="BB1837" i="9"/>
  <c r="BB1412" i="9"/>
  <c r="BB1432" i="9"/>
  <c r="BB1733" i="9"/>
  <c r="BB690" i="7"/>
  <c r="BB802" i="7"/>
  <c r="BB1778" i="9"/>
  <c r="BB706" i="7"/>
  <c r="BB1582" i="9"/>
  <c r="BB1137" i="9"/>
  <c r="BB757" i="7"/>
  <c r="BB1429" i="9"/>
  <c r="BB1210" i="9"/>
  <c r="BB1816" i="9"/>
  <c r="BB1596" i="9"/>
  <c r="BB1592" i="9"/>
  <c r="BB406" i="7"/>
  <c r="BB1484" i="9"/>
  <c r="BB1798" i="9"/>
  <c r="BB703" i="7"/>
  <c r="BB338" i="7"/>
  <c r="BB625" i="7"/>
  <c r="BB26" i="7"/>
  <c r="BB1838" i="9"/>
  <c r="BB1457" i="9"/>
  <c r="BB1289" i="9"/>
  <c r="BB304" i="7"/>
  <c r="BB1131" i="9"/>
  <c r="BB1554" i="9"/>
  <c r="BB1829" i="7"/>
  <c r="BB1133" i="9"/>
  <c r="BB1702" i="9"/>
  <c r="BB461" i="7"/>
  <c r="BB337" i="7"/>
  <c r="BB1300" i="9"/>
  <c r="BB1745" i="9"/>
  <c r="BB1879" i="7"/>
  <c r="BB1074" i="9"/>
  <c r="BB10" i="7"/>
  <c r="BB911" i="9"/>
  <c r="BB1559" i="9"/>
  <c r="BB611" i="9"/>
  <c r="BB1097" i="7"/>
  <c r="BB1722" i="7"/>
  <c r="BB1076" i="7"/>
  <c r="BB982" i="7"/>
  <c r="BB886" i="7"/>
  <c r="BB1388" i="7"/>
  <c r="BB1421" i="7"/>
  <c r="BB1239" i="9"/>
  <c r="BB716" i="7"/>
  <c r="BB381" i="7"/>
  <c r="BB1185" i="7"/>
  <c r="BB1454" i="7"/>
  <c r="BB1018" i="7"/>
  <c r="BB1434" i="7"/>
  <c r="BB928" i="7"/>
  <c r="BB1305" i="7"/>
  <c r="BB1337" i="7"/>
  <c r="BB1050" i="7"/>
  <c r="BB1092" i="7"/>
  <c r="BB1470" i="7"/>
  <c r="BB1528" i="7"/>
  <c r="BB975" i="7"/>
  <c r="BB1696" i="7"/>
  <c r="BB1289" i="7"/>
  <c r="BB1617" i="7"/>
  <c r="BB1004" i="7"/>
  <c r="BB980" i="7"/>
  <c r="BB1824" i="7"/>
  <c r="BB1539" i="7"/>
  <c r="BB1576" i="7"/>
  <c r="BB1115" i="7"/>
  <c r="BB1281" i="7"/>
  <c r="BB1042" i="7"/>
  <c r="BB1191" i="7"/>
  <c r="BB1920" i="7"/>
  <c r="BB847" i="7"/>
  <c r="BB849" i="7"/>
  <c r="BB1883" i="7"/>
  <c r="BB1273" i="7"/>
  <c r="BB1363" i="7"/>
  <c r="BB901" i="7"/>
  <c r="BB816" i="7"/>
  <c r="BB1912" i="7"/>
  <c r="BB1429" i="7"/>
  <c r="BB1137" i="7"/>
  <c r="BB1030" i="7"/>
  <c r="BB1648" i="7"/>
  <c r="BB4" i="7"/>
  <c r="BB1019" i="7"/>
  <c r="BB1269" i="7"/>
  <c r="BB1033" i="7"/>
  <c r="BB1189" i="7"/>
  <c r="BB1493" i="7"/>
  <c r="BB1164" i="7"/>
  <c r="BB1929" i="7"/>
  <c r="BB918" i="7"/>
  <c r="BB1099" i="7"/>
  <c r="BB1335" i="7"/>
  <c r="BB398" i="7"/>
  <c r="BB1378" i="7"/>
  <c r="BB1959" i="7"/>
  <c r="BB1609" i="7"/>
  <c r="BB1233" i="9"/>
  <c r="BB697" i="7"/>
  <c r="BB358" i="9"/>
  <c r="BB69" i="7"/>
  <c r="BB312" i="7"/>
  <c r="BB724" i="7"/>
  <c r="BB87" i="7"/>
  <c r="BB206" i="7"/>
  <c r="BB1119" i="7"/>
  <c r="BB92" i="7"/>
  <c r="BB1517" i="9"/>
  <c r="BB821" i="9"/>
  <c r="BB801" i="7"/>
  <c r="BB754" i="7"/>
  <c r="BB935" i="9"/>
  <c r="BB814" i="7"/>
  <c r="BB181" i="7"/>
  <c r="BB825" i="7"/>
  <c r="BB292" i="7"/>
  <c r="BB27" i="7"/>
  <c r="BB522" i="7"/>
  <c r="BB612" i="7"/>
  <c r="BB1728" i="9"/>
  <c r="BB334" i="9"/>
  <c r="BB305" i="7"/>
  <c r="BB667" i="7"/>
  <c r="BB116" i="7"/>
  <c r="BB285" i="7"/>
  <c r="BB1775" i="9"/>
  <c r="BB1980" i="9"/>
  <c r="BB362" i="7"/>
  <c r="BB1884" i="9"/>
  <c r="BB714" i="7"/>
  <c r="BB1746" i="9"/>
  <c r="BB1629" i="9"/>
  <c r="BB1422" i="9"/>
  <c r="BB711" i="9"/>
  <c r="BB99" i="7"/>
  <c r="BB95" i="7"/>
  <c r="BB440" i="7"/>
  <c r="BB1283" i="9"/>
  <c r="BB1892" i="9"/>
  <c r="BB221" i="7"/>
  <c r="BB1455" i="9"/>
  <c r="BB567" i="7"/>
  <c r="BB33" i="7"/>
  <c r="BB151" i="7"/>
  <c r="BB1755" i="9"/>
  <c r="BB1695" i="9"/>
  <c r="BB1419" i="9"/>
  <c r="BB503" i="7"/>
  <c r="BB1642" i="9"/>
  <c r="BB1638" i="9"/>
  <c r="BB678" i="7"/>
  <c r="BB761" i="7"/>
  <c r="BB1444" i="9"/>
  <c r="BB1172" i="9"/>
  <c r="BB386" i="7"/>
  <c r="BB84" i="7"/>
  <c r="BB405" i="7"/>
  <c r="BB526" i="7"/>
  <c r="BB283" i="7"/>
  <c r="BB789" i="7"/>
  <c r="BB62" i="9"/>
  <c r="BB1570" i="9"/>
  <c r="BB152" i="9"/>
  <c r="BB1049" i="7"/>
  <c r="BB1288" i="7"/>
  <c r="BB1550" i="7"/>
  <c r="BB156" i="7"/>
  <c r="BB153" i="7"/>
  <c r="BB593" i="7"/>
  <c r="BB459" i="7"/>
  <c r="BB140" i="7"/>
  <c r="BB1221" i="9"/>
  <c r="BB523" i="7"/>
  <c r="BB334" i="7"/>
  <c r="BB445" i="7"/>
  <c r="BB1086" i="7"/>
  <c r="BB1492" i="9"/>
  <c r="BB832" i="9"/>
  <c r="BB1581" i="9"/>
  <c r="BB959" i="7"/>
  <c r="BB641" i="7"/>
  <c r="BB1386" i="9"/>
  <c r="BB482" i="7"/>
  <c r="BB630" i="7"/>
  <c r="BB228" i="7"/>
  <c r="BB1438" i="9"/>
  <c r="BB132" i="7"/>
  <c r="BB866" i="9"/>
  <c r="BB245" i="7"/>
  <c r="BB1541" i="9"/>
  <c r="BB1124" i="9"/>
  <c r="BB1994" i="9"/>
  <c r="BB1714" i="7"/>
  <c r="BB1873" i="7"/>
  <c r="BB1794" i="7"/>
  <c r="BB882" i="7"/>
  <c r="BB464" i="7"/>
  <c r="BB1267" i="9"/>
  <c r="BB68" i="7"/>
  <c r="BB211" i="7"/>
  <c r="BB449" i="7"/>
  <c r="BB1352" i="9"/>
  <c r="BB456" i="7"/>
  <c r="BB133" i="9"/>
  <c r="BB356" i="7"/>
  <c r="BB1606" i="9"/>
  <c r="BB736" i="9"/>
  <c r="BB1758" i="9"/>
  <c r="BB263" i="7"/>
  <c r="BB535" i="7"/>
  <c r="BB621" i="7"/>
  <c r="BB74" i="7"/>
  <c r="BB14" i="7"/>
  <c r="BB468" i="7"/>
  <c r="BB252" i="7"/>
  <c r="BB1662" i="9"/>
  <c r="BB191" i="7"/>
  <c r="BB1143" i="9"/>
  <c r="BB1236" i="9"/>
  <c r="BB1846" i="9"/>
  <c r="BB672" i="7"/>
  <c r="BB154" i="7"/>
  <c r="BB348" i="7"/>
  <c r="BB1756" i="9"/>
  <c r="BB1243" i="9"/>
  <c r="BB799" i="9"/>
  <c r="BB1496" i="9"/>
  <c r="BB1276" i="9"/>
  <c r="BB965" i="7"/>
  <c r="BB390" i="7"/>
  <c r="BB1190" i="9"/>
  <c r="BB1789" i="9"/>
  <c r="BB1513" i="9"/>
  <c r="BB1915" i="9"/>
  <c r="BB1896" i="9"/>
  <c r="BB1761" i="9"/>
  <c r="BB1350" i="9"/>
  <c r="BB1105" i="9"/>
  <c r="BB1843" i="9"/>
  <c r="BB1317" i="9"/>
  <c r="BB545" i="7"/>
  <c r="BB241" i="7"/>
  <c r="BB677" i="7"/>
  <c r="BB544" i="9"/>
  <c r="BB205" i="9"/>
  <c r="BB1120" i="9"/>
  <c r="BB1777" i="7"/>
  <c r="BB994" i="7"/>
  <c r="BB1016" i="7"/>
  <c r="BB1679" i="9"/>
  <c r="BB1720" i="9"/>
  <c r="BB1094" i="9"/>
  <c r="BB1853" i="9"/>
  <c r="BB596" i="7"/>
  <c r="BB1464" i="9"/>
  <c r="BB591" i="7"/>
  <c r="BB377" i="7"/>
  <c r="BB1764" i="9"/>
  <c r="BB430" i="7"/>
  <c r="BB447" i="9"/>
  <c r="BB571" i="9"/>
  <c r="BB1219" i="9"/>
  <c r="BB52" i="7"/>
  <c r="BB458" i="7"/>
  <c r="BB499" i="7"/>
  <c r="BB1443" i="9"/>
  <c r="BB1458" i="9"/>
  <c r="BB302" i="7"/>
  <c r="BB1743" i="9"/>
  <c r="BB1890" i="9"/>
  <c r="BB1659" i="9"/>
  <c r="BB785" i="7"/>
  <c r="BB1777" i="9"/>
  <c r="BB960" i="9"/>
  <c r="BB943" i="9"/>
  <c r="BB1670" i="9"/>
  <c r="BB508" i="7"/>
  <c r="BB1873" i="9"/>
  <c r="BB1408" i="9"/>
  <c r="BB1035" i="9"/>
  <c r="BB743" i="9"/>
  <c r="BB1501" i="9"/>
  <c r="BB1050" i="9"/>
  <c r="BB1307" i="9"/>
  <c r="BB1260" i="9"/>
  <c r="BB974" i="9"/>
  <c r="BB1353" i="9"/>
  <c r="BB1489" i="9"/>
  <c r="BB804" i="9"/>
  <c r="BB762" i="9"/>
  <c r="BB1851" i="7"/>
  <c r="BB1833" i="7"/>
  <c r="BB1068" i="7"/>
  <c r="BB1380" i="9"/>
  <c r="BB1027" i="7"/>
  <c r="BB1229" i="9"/>
  <c r="BB230" i="7"/>
  <c r="BB501" i="7"/>
  <c r="BB852" i="7"/>
  <c r="BB280" i="7"/>
  <c r="BB164" i="7"/>
  <c r="BB66" i="7"/>
  <c r="BB1934" i="9"/>
  <c r="BB1661" i="9"/>
  <c r="BB1040" i="9"/>
  <c r="BB445" i="9"/>
  <c r="BB842" i="7"/>
  <c r="BB350" i="7"/>
  <c r="BB168" i="7"/>
  <c r="BB177" i="7"/>
  <c r="BB1909" i="9"/>
  <c r="BB1545" i="9"/>
  <c r="BB94" i="7"/>
  <c r="BB155" i="7"/>
  <c r="BB355" i="7"/>
  <c r="BB805" i="7"/>
  <c r="BB1708" i="9"/>
  <c r="BB1888" i="9"/>
  <c r="BB1823" i="9"/>
  <c r="BB1946" i="7"/>
  <c r="BB628" i="7"/>
  <c r="BB1925" i="7"/>
  <c r="BB374" i="7"/>
  <c r="BB712" i="7"/>
  <c r="BB34" i="7"/>
  <c r="BB1948" i="9"/>
  <c r="BB1615" i="9"/>
  <c r="BB1803" i="9"/>
  <c r="BB1943" i="9"/>
  <c r="BB1931" i="9"/>
  <c r="BB1872" i="9"/>
  <c r="BB439" i="7"/>
  <c r="BB1025" i="9"/>
  <c r="BB1305" i="9"/>
  <c r="BB1149" i="9"/>
  <c r="BB291" i="7"/>
  <c r="BB693" i="7"/>
  <c r="BB1700" i="9"/>
  <c r="BB1809" i="9"/>
  <c r="BB1103" i="9"/>
  <c r="BB1858" i="9"/>
  <c r="BB1348" i="9"/>
  <c r="BB1359" i="9"/>
  <c r="BB846" i="7"/>
  <c r="BB1345" i="9"/>
  <c r="BB1944" i="9"/>
  <c r="BB1926" i="9"/>
  <c r="BB396" i="7"/>
  <c r="BB813" i="7"/>
  <c r="BB19" i="7"/>
  <c r="BB689" i="7"/>
  <c r="BB28" i="7"/>
  <c r="BB550" i="7"/>
  <c r="BB97" i="7"/>
  <c r="BB342" i="7"/>
  <c r="BB1960" i="9"/>
  <c r="BB1958" i="9"/>
  <c r="BB728" i="9"/>
  <c r="BB1341" i="9"/>
  <c r="BB1502" i="9"/>
  <c r="BB429" i="7"/>
  <c r="BB732" i="7"/>
  <c r="BB11" i="7"/>
  <c r="BB162" i="7"/>
  <c r="BB485" i="7"/>
  <c r="BB804" i="7"/>
  <c r="BB492" i="7"/>
  <c r="BB213" i="7"/>
  <c r="BB279" i="7"/>
  <c r="BB1566" i="9"/>
  <c r="BB1575" i="9"/>
  <c r="BB1334" i="9"/>
  <c r="BB1806" i="7"/>
  <c r="BB1875" i="7"/>
  <c r="BB1547" i="7"/>
  <c r="BB106" i="7"/>
  <c r="BB347" i="7"/>
  <c r="BB486" i="7"/>
  <c r="BB516" i="7"/>
  <c r="BB7" i="7"/>
  <c r="BB375" i="7"/>
  <c r="BB361" i="7"/>
  <c r="BB310" i="7"/>
  <c r="BB675" i="7"/>
  <c r="BB746" i="7"/>
  <c r="BB1787" i="9"/>
  <c r="BB1160" i="9"/>
  <c r="BB1151" i="9"/>
  <c r="BB1765" i="7"/>
  <c r="BB1005" i="9"/>
  <c r="BB100" i="7"/>
  <c r="BB1299" i="9"/>
  <c r="BB266" i="7"/>
  <c r="BB79" i="7"/>
  <c r="BB176" i="7"/>
  <c r="BB158" i="7"/>
  <c r="BB370" i="7"/>
  <c r="BB1125" i="7"/>
  <c r="BB167" i="7"/>
  <c r="BB132" i="9"/>
  <c r="BB1955" i="9"/>
  <c r="BB344" i="9"/>
  <c r="BB159" i="7"/>
  <c r="BB150" i="7"/>
  <c r="BB345" i="7"/>
  <c r="BB1056" i="9"/>
  <c r="BB1779" i="9"/>
  <c r="BB1762" i="9"/>
  <c r="BB1799" i="9"/>
  <c r="BB992" i="9"/>
  <c r="BB903" i="9"/>
  <c r="BB477" i="9"/>
  <c r="BB562" i="9"/>
  <c r="BB4" i="9"/>
  <c r="BB1910" i="10"/>
  <c r="BB1356" i="9"/>
  <c r="BB1565" i="10"/>
  <c r="BB1481" i="7"/>
  <c r="BB1385" i="7"/>
  <c r="BB1179" i="7"/>
  <c r="BB829" i="7"/>
  <c r="BB303" i="7"/>
  <c r="BB236" i="7"/>
  <c r="BB1573" i="9"/>
  <c r="BB1475" i="9"/>
  <c r="BB49" i="7"/>
  <c r="BB1618" i="9"/>
  <c r="BB178" i="7"/>
  <c r="BB423" i="7"/>
  <c r="BB618" i="7"/>
  <c r="BB1045" i="9"/>
  <c r="BB1288" i="9"/>
  <c r="BB1278" i="9"/>
  <c r="BB54" i="7"/>
  <c r="BB495" i="7"/>
  <c r="BB518" i="7"/>
  <c r="BB88" i="7"/>
  <c r="BB53" i="7"/>
  <c r="BB493" i="7"/>
  <c r="BB543" i="7"/>
  <c r="BB234" i="7"/>
  <c r="BB736" i="7"/>
  <c r="BB1091" i="7"/>
  <c r="BB1945" i="9"/>
  <c r="BB1833" i="9"/>
  <c r="BB1158" i="9"/>
  <c r="BB1982" i="7"/>
  <c r="BB1193" i="7"/>
  <c r="BB512" i="7"/>
  <c r="BB668" i="7"/>
  <c r="BB188" i="7"/>
  <c r="BB96" i="7"/>
  <c r="BB293" i="7"/>
  <c r="BB507" i="7"/>
  <c r="BB379" i="7"/>
  <c r="BB130" i="7"/>
  <c r="BB666" i="7"/>
  <c r="BB76" i="7"/>
  <c r="BB898" i="7"/>
  <c r="BB1259" i="9"/>
  <c r="BB1440" i="9"/>
  <c r="BB1002" i="9"/>
  <c r="BB858" i="7"/>
  <c r="BB298" i="7"/>
  <c r="BB648" i="7"/>
  <c r="BB408" i="7"/>
  <c r="BB649" i="7"/>
  <c r="BB646" i="7"/>
  <c r="BB148" i="7"/>
  <c r="BB1852" i="9"/>
  <c r="BB392" i="7"/>
  <c r="BB949" i="9"/>
  <c r="BB1740" i="9"/>
  <c r="BB1055" i="9"/>
  <c r="BB1635" i="9"/>
  <c r="BB833" i="7"/>
  <c r="BB1079" i="9"/>
  <c r="BB272" i="7"/>
  <c r="BB137" i="7"/>
  <c r="BB729" i="7"/>
  <c r="BB1474" i="9"/>
  <c r="BB467" i="7"/>
  <c r="BB1947" i="9"/>
  <c r="BB1586" i="9"/>
  <c r="BB1719" i="9"/>
  <c r="BB1188" i="9"/>
  <c r="BB1569" i="9"/>
  <c r="BB645" i="7"/>
  <c r="BB897" i="7"/>
  <c r="BB1759" i="9"/>
  <c r="BB771" i="7"/>
  <c r="BB1167" i="9"/>
  <c r="BB208" i="7"/>
  <c r="BB636" i="7"/>
  <c r="BB607" i="7"/>
  <c r="BB409" i="7"/>
  <c r="BB1751" i="9"/>
  <c r="BB1918" i="9"/>
  <c r="BB742" i="9"/>
  <c r="BB651" i="7"/>
  <c r="BB837" i="7"/>
  <c r="BB1908" i="7"/>
  <c r="BB1123" i="7"/>
  <c r="BB378" i="7"/>
  <c r="BB791" i="7"/>
  <c r="BB416" i="7"/>
  <c r="BB47" i="7"/>
  <c r="BB1514" i="9"/>
  <c r="BB758" i="7"/>
  <c r="BB521" i="7"/>
  <c r="BB50" i="7"/>
  <c r="BB288" i="7"/>
  <c r="BB1328" i="9"/>
  <c r="BB1363" i="9"/>
  <c r="BB481" i="9"/>
  <c r="BB1943" i="7"/>
  <c r="BB1272" i="9"/>
  <c r="BB1413" i="9"/>
  <c r="BB884" i="9"/>
  <c r="BB1780" i="9"/>
  <c r="BB735" i="7"/>
  <c r="BB1069" i="9"/>
  <c r="BB812" i="7"/>
  <c r="BB635" i="7"/>
  <c r="BB1330" i="9"/>
  <c r="BB506" i="7"/>
  <c r="BB1885" i="9"/>
  <c r="BB183" i="9"/>
  <c r="BB989" i="9"/>
  <c r="BB184" i="7"/>
  <c r="BB707" i="7"/>
  <c r="BB750" i="7"/>
  <c r="BB1253" i="9"/>
  <c r="BB1465" i="9"/>
  <c r="BB858" i="9"/>
  <c r="BB269" i="9"/>
  <c r="BB1895" i="9"/>
  <c r="BB1178" i="9"/>
  <c r="BB1187" i="9"/>
  <c r="BB1795" i="10"/>
  <c r="BB380" i="9"/>
  <c r="BB661" i="9"/>
  <c r="BB355" i="9"/>
  <c r="BB932" i="9"/>
  <c r="BB1087" i="7"/>
  <c r="BB1792" i="7"/>
  <c r="BB1500" i="7"/>
  <c r="BB505" i="7"/>
  <c r="BB136" i="7"/>
  <c r="BB1087" i="9"/>
  <c r="BB157" i="7"/>
  <c r="BB479" i="7"/>
  <c r="BB258" i="7"/>
  <c r="BB597" i="7"/>
  <c r="BB609" i="7"/>
  <c r="BB46" i="7"/>
  <c r="BB571" i="7"/>
  <c r="BB1666" i="9"/>
  <c r="BB1911" i="9"/>
  <c r="BB449" i="9"/>
  <c r="BB1340" i="9"/>
  <c r="BB866" i="7"/>
  <c r="BB569" i="7"/>
  <c r="BB781" i="7"/>
  <c r="BB383" i="7"/>
  <c r="BB663" i="7"/>
  <c r="BB149" i="7"/>
  <c r="BB284" i="7"/>
  <c r="BB725" i="7"/>
  <c r="BB1379" i="9"/>
  <c r="BB1323" i="9"/>
  <c r="BB1880" i="9"/>
  <c r="BB1977" i="9"/>
  <c r="BB902" i="7"/>
  <c r="BB1163" i="7"/>
  <c r="BB1797" i="7"/>
  <c r="BB1054" i="7"/>
  <c r="BB444" i="7"/>
  <c r="BB626" i="7"/>
  <c r="BB349" i="7"/>
  <c r="BB686" i="7"/>
  <c r="BB418" i="7"/>
  <c r="BB611" i="7"/>
  <c r="BB520" i="7"/>
  <c r="BB364" i="7"/>
  <c r="BB1701" i="9"/>
  <c r="BB1146" i="9"/>
  <c r="BB1704" i="9"/>
  <c r="BB1266" i="9"/>
  <c r="BB262" i="7"/>
  <c r="BB201" i="7"/>
  <c r="BB171" i="7"/>
  <c r="BB442" i="7"/>
  <c r="BB336" i="7"/>
  <c r="BB269" i="7"/>
  <c r="BB421" i="7"/>
  <c r="BB207" i="7"/>
  <c r="BB1734" i="9"/>
  <c r="BB719" i="9"/>
  <c r="BB1754" i="9"/>
  <c r="BB1680" i="9"/>
  <c r="BB204" i="7"/>
  <c r="BB143" i="7"/>
  <c r="BB1793" i="9"/>
  <c r="BB1197" i="9"/>
  <c r="BB1841" i="9"/>
  <c r="BB1844" i="9"/>
  <c r="BB1656" i="9"/>
  <c r="BB321" i="7"/>
  <c r="BB420" i="7"/>
  <c r="BB958" i="7"/>
  <c r="BB1198" i="9"/>
  <c r="BB882" i="9"/>
  <c r="BB649" i="9"/>
  <c r="BB1924" i="9"/>
  <c r="BB175" i="7"/>
  <c r="BB835" i="7"/>
  <c r="BB696" i="7"/>
  <c r="BB173" i="9"/>
  <c r="BB1101" i="9"/>
  <c r="BB1692" i="9"/>
  <c r="BB674" i="7"/>
  <c r="BB225" i="7"/>
  <c r="BB928" i="9"/>
  <c r="BB1430" i="9"/>
  <c r="BB773" i="9"/>
  <c r="BB1669" i="7"/>
  <c r="BB1071" i="7"/>
  <c r="BB1674" i="7"/>
  <c r="BB12" i="7"/>
  <c r="BB1507" i="9"/>
  <c r="BB1928" i="9"/>
  <c r="BB581" i="7"/>
  <c r="BB575" i="7"/>
  <c r="BB823" i="9"/>
  <c r="BB601" i="7"/>
  <c r="BB1022" i="9"/>
  <c r="BB620" i="7"/>
  <c r="BB740" i="7"/>
  <c r="BB623" i="9"/>
  <c r="BB1247" i="9"/>
  <c r="BB441" i="9"/>
  <c r="BB1155" i="7"/>
  <c r="BB373" i="7"/>
  <c r="BB30" i="7"/>
  <c r="BB58" i="7"/>
  <c r="BB1603" i="9"/>
  <c r="BB1487" i="9"/>
  <c r="BB109" i="7"/>
  <c r="BB1268" i="9"/>
  <c r="BB1848" i="9"/>
  <c r="BB1942" i="9"/>
  <c r="BB657" i="7"/>
  <c r="BB1104" i="9"/>
  <c r="BB1907" i="9"/>
  <c r="BB1528" i="9"/>
  <c r="BB1490" i="9"/>
  <c r="BB673" i="7"/>
  <c r="BB963" i="7"/>
  <c r="BB1248" i="9"/>
  <c r="BB770" i="9"/>
  <c r="BB372" i="9"/>
  <c r="BB1707" i="9"/>
  <c r="BB1150" i="9"/>
  <c r="BB1125" i="9"/>
  <c r="BB849" i="9"/>
  <c r="BB359" i="9"/>
  <c r="BB1378" i="9"/>
  <c r="BB281" i="9"/>
  <c r="BB979" i="9"/>
  <c r="BB1989" i="10"/>
  <c r="BB1716" i="7"/>
  <c r="BB553" i="7"/>
  <c r="BB1983" i="7"/>
  <c r="BB700" i="7"/>
  <c r="BB694" i="7"/>
  <c r="BB413" i="7"/>
  <c r="BB676" i="7"/>
  <c r="BB127" i="7"/>
  <c r="BB739" i="7"/>
  <c r="BB659" i="7"/>
  <c r="BB1564" i="9"/>
  <c r="BB380" i="7"/>
  <c r="BB186" i="7"/>
  <c r="BB1978" i="9"/>
  <c r="BB778" i="9"/>
  <c r="BB1145" i="7"/>
  <c r="BB80" i="7"/>
  <c r="BB1870" i="9"/>
  <c r="BB1894" i="9"/>
  <c r="BB820" i="7"/>
  <c r="BB1286" i="9"/>
  <c r="BB1998" i="9"/>
  <c r="BB1741" i="9"/>
  <c r="BB9" i="7"/>
  <c r="BB117" i="7"/>
  <c r="BB509" i="7"/>
  <c r="BB1827" i="9"/>
  <c r="BB1493" i="9"/>
  <c r="BB1397" i="9"/>
  <c r="BB1104" i="7"/>
  <c r="BB1080" i="7"/>
  <c r="BB1708" i="7"/>
  <c r="BB282" i="7"/>
  <c r="BB1315" i="9"/>
  <c r="BB1711" i="9"/>
  <c r="BB599" i="7"/>
  <c r="BB811" i="7"/>
  <c r="BB1624" i="9"/>
  <c r="BB1381" i="9"/>
  <c r="BB431" i="7"/>
  <c r="BB586" i="7"/>
  <c r="BB1889" i="9"/>
  <c r="BB1448" i="9"/>
  <c r="BB1182" i="9"/>
  <c r="BB501" i="9"/>
  <c r="BB1605" i="9"/>
  <c r="BB1304" i="9"/>
  <c r="BB401" i="7"/>
  <c r="BB566" i="7"/>
  <c r="BB1285" i="9"/>
  <c r="BB1485" i="9"/>
  <c r="BB124" i="7"/>
  <c r="BB371" i="7"/>
  <c r="BB1423" i="9"/>
  <c r="BB1498" i="9"/>
  <c r="BB1144" i="9"/>
  <c r="BB1632" i="9"/>
  <c r="BB498" i="7"/>
  <c r="BB226" i="7"/>
  <c r="BB261" i="7"/>
  <c r="BB48" i="7"/>
  <c r="BB438" i="7"/>
  <c r="BB311" i="7"/>
  <c r="BB452" i="7"/>
  <c r="BB1027" i="9"/>
  <c r="BB608" i="7"/>
  <c r="BB483" i="7"/>
  <c r="BB237" i="9"/>
  <c r="BB810" i="9"/>
  <c r="BB713" i="7"/>
  <c r="BB246" i="7"/>
  <c r="BB368" i="7"/>
  <c r="BB90" i="7"/>
  <c r="BB2000" i="9"/>
  <c r="BB320" i="7"/>
  <c r="BB268" i="7"/>
  <c r="BB125" i="7"/>
  <c r="BB1628" i="9"/>
  <c r="BB590" i="7"/>
  <c r="BB64" i="9"/>
  <c r="BB1842" i="9"/>
  <c r="BB1516" i="9"/>
  <c r="BB1581" i="7"/>
  <c r="BB1997" i="7"/>
  <c r="BB1774" i="7"/>
  <c r="BB466" i="7"/>
  <c r="BB704" i="7"/>
  <c r="BB212" i="7"/>
  <c r="BB1860" i="9"/>
  <c r="BB1327" i="9"/>
  <c r="BB731" i="7"/>
  <c r="BB1990" i="9"/>
  <c r="BB6" i="7"/>
  <c r="BB1426" i="9"/>
  <c r="BB267" i="7"/>
  <c r="BB873" i="9"/>
  <c r="BB1710" i="9"/>
  <c r="BB977" i="9"/>
  <c r="BB446" i="7"/>
  <c r="BB585" i="7"/>
  <c r="BB61" i="7"/>
  <c r="BB103" i="7"/>
  <c r="BB384" i="7"/>
  <c r="BB838" i="7"/>
  <c r="BB192" i="7"/>
  <c r="BB768" i="7"/>
  <c r="BB333" i="7"/>
  <c r="BB77" i="7"/>
  <c r="BB1480" i="9"/>
  <c r="BB1452" i="9"/>
  <c r="BB1520" i="9"/>
  <c r="BB427" i="7"/>
  <c r="BB490" i="7"/>
  <c r="BB1867" i="9"/>
  <c r="BB239" i="7"/>
  <c r="BB1129" i="9"/>
  <c r="BB1405" i="9"/>
  <c r="BB643" i="9"/>
  <c r="BB1191" i="9"/>
  <c r="BB574" i="9"/>
  <c r="BB1812" i="9"/>
  <c r="BB825" i="9"/>
  <c r="BB302" i="9"/>
  <c r="BB547" i="9"/>
  <c r="BB1957" i="10"/>
  <c r="BB1767" i="9"/>
  <c r="BB421" i="9"/>
  <c r="BB896" i="7"/>
  <c r="BB1259" i="7"/>
  <c r="BB752" i="7"/>
  <c r="BB1318" i="7"/>
  <c r="BB885" i="7"/>
  <c r="BB1792" i="9"/>
  <c r="BB727" i="7"/>
  <c r="BB83" i="7"/>
  <c r="BB23" i="7"/>
  <c r="BB1509" i="9"/>
  <c r="BB306" i="7"/>
  <c r="BB1134" i="9"/>
  <c r="BB1053" i="9"/>
  <c r="BB1845" i="9"/>
  <c r="BB1080" i="9"/>
  <c r="BB976" i="9"/>
  <c r="BB1717" i="7"/>
  <c r="BB70" i="7"/>
  <c r="BB340" i="7"/>
  <c r="BB1375" i="9"/>
  <c r="BB5" i="7"/>
  <c r="BB172" i="7"/>
  <c r="BB89" i="7"/>
  <c r="BB253" i="7"/>
  <c r="BB432" i="7"/>
  <c r="BB517" i="7"/>
  <c r="BB142" i="7"/>
  <c r="BB1245" i="9"/>
  <c r="BB1705" i="9"/>
  <c r="BB1771" i="9"/>
  <c r="BB358" i="7"/>
  <c r="BB1933" i="7"/>
  <c r="BB1223" i="7"/>
  <c r="BB582" i="7"/>
  <c r="BB661" i="7"/>
  <c r="BB1602" i="9"/>
  <c r="BB1922" i="9"/>
  <c r="BB1850" i="9"/>
  <c r="BB497" i="7"/>
  <c r="BB81" i="7"/>
  <c r="BB894" i="7"/>
  <c r="BB391" i="7"/>
  <c r="BB346" i="7"/>
  <c r="BB1970" i="9"/>
  <c r="BB1399" i="9"/>
  <c r="BB1718" i="9"/>
  <c r="BB317" i="7"/>
  <c r="BB1185" i="9"/>
  <c r="BB1560" i="9"/>
  <c r="BB1647" i="9"/>
  <c r="BB62" i="7"/>
  <c r="BB1830" i="9"/>
  <c r="BB376" i="7"/>
  <c r="BB854" i="7"/>
  <c r="BB1574" i="9"/>
  <c r="BB1154" i="9"/>
  <c r="BB403" i="9"/>
  <c r="BB1649" i="9"/>
  <c r="BB533" i="7"/>
  <c r="BB118" i="7"/>
  <c r="BB190" i="7"/>
  <c r="BB559" i="7"/>
  <c r="BB595" i="7"/>
  <c r="BB289" i="7"/>
  <c r="BB890" i="7"/>
  <c r="BB1371" i="9"/>
  <c r="BB480" i="7"/>
  <c r="BB1983" i="9"/>
  <c r="BB1354" i="9"/>
  <c r="BB1672" i="9"/>
  <c r="BB101" i="7"/>
  <c r="BB365" i="7"/>
  <c r="BB565" i="7"/>
  <c r="BB264" i="7"/>
  <c r="BB538" i="7"/>
  <c r="BB126" i="7"/>
  <c r="BB487" i="7"/>
  <c r="BB800" i="7"/>
  <c r="BB1477" i="9"/>
  <c r="BB671" i="7"/>
  <c r="BB1871" i="9"/>
  <c r="BB1552" i="9"/>
  <c r="BB1621" i="9"/>
  <c r="BB1260" i="7"/>
  <c r="BB1298" i="7"/>
  <c r="BB605" i="7"/>
  <c r="BB830" i="7"/>
  <c r="BB203" i="7"/>
  <c r="BB147" i="7"/>
  <c r="BB133" i="7"/>
  <c r="BB120" i="7"/>
  <c r="BB330" i="7"/>
  <c r="BB183" i="7"/>
  <c r="BB145" i="7"/>
  <c r="BB783" i="7"/>
  <c r="BB248" i="7"/>
  <c r="BB1454" i="9"/>
  <c r="BB1251" i="9"/>
  <c r="BB382" i="9"/>
  <c r="BB622" i="7"/>
  <c r="BB399" i="7"/>
  <c r="BB419" i="7"/>
  <c r="BB316" i="7"/>
  <c r="BB255" i="7"/>
  <c r="BB1735" i="9"/>
  <c r="BB339" i="7"/>
  <c r="BB395" i="7"/>
  <c r="BB563" i="7"/>
  <c r="BB699" i="7"/>
  <c r="BB482" i="9"/>
  <c r="BB1933" i="9"/>
  <c r="BB437" i="9"/>
  <c r="BB826" i="7"/>
  <c r="BB200" i="7"/>
  <c r="BB128" i="7"/>
  <c r="BB1808" i="9"/>
  <c r="BB1162" i="9"/>
  <c r="BB1524" i="9"/>
  <c r="BB1309" i="9"/>
  <c r="BB1164" i="9"/>
  <c r="BB71" i="9"/>
  <c r="BB550" i="9"/>
  <c r="BB1594" i="9"/>
  <c r="BB565" i="9"/>
  <c r="BB1641" i="9"/>
  <c r="BB458" i="9"/>
  <c r="BB1713" i="9"/>
  <c r="BB1739" i="10"/>
  <c r="BB1100" i="7"/>
  <c r="BB1334" i="7"/>
  <c r="BB1495" i="7"/>
  <c r="BB1400" i="9"/>
  <c r="BB59" i="7"/>
  <c r="BB389" i="7"/>
  <c r="BB1864" i="9"/>
  <c r="BB1207" i="9"/>
  <c r="BB1788" i="9"/>
  <c r="BB1731" i="9"/>
  <c r="BB1660" i="9"/>
  <c r="BB45" i="7"/>
  <c r="BB496" i="7"/>
  <c r="BB328" i="9"/>
  <c r="BB713" i="9"/>
  <c r="BB1598" i="9"/>
  <c r="BB1560" i="7"/>
  <c r="BB454" i="7"/>
  <c r="BB275" i="7"/>
  <c r="BB299" i="7"/>
  <c r="BB249" i="7"/>
  <c r="BB414" i="7"/>
  <c r="BB15" i="7"/>
  <c r="BB410" i="7"/>
  <c r="BB1173" i="9"/>
  <c r="BB93" i="7"/>
  <c r="BB1956" i="9"/>
  <c r="BB1449" i="9"/>
  <c r="BB331" i="9"/>
  <c r="BB332" i="7"/>
  <c r="BB1220" i="7"/>
  <c r="BB1592" i="7"/>
  <c r="BB1233" i="7"/>
  <c r="BB29" i="7"/>
  <c r="BB138" i="7"/>
  <c r="BB817" i="7"/>
  <c r="BB67" i="7"/>
  <c r="BB215" i="7"/>
  <c r="BB223" i="7"/>
  <c r="BB407" i="7"/>
  <c r="BB1196" i="9"/>
  <c r="BB809" i="7"/>
  <c r="BB1539" i="9"/>
  <c r="BB1665" i="9"/>
  <c r="BB733" i="9"/>
  <c r="BB745" i="7"/>
  <c r="BB570" i="7"/>
  <c r="BB56" i="7"/>
  <c r="BB808" i="7"/>
  <c r="BB682" i="7"/>
  <c r="BB400" i="7"/>
  <c r="BB870" i="7"/>
  <c r="BB1093" i="9"/>
  <c r="BB435" i="7"/>
  <c r="BB834" i="7"/>
  <c r="BB709" i="9"/>
  <c r="BB794" i="9"/>
  <c r="BB217" i="7"/>
  <c r="BB931" i="7"/>
  <c r="BB1404" i="9"/>
  <c r="BB1855" i="9"/>
  <c r="BB309" i="7"/>
  <c r="BB1526" i="9"/>
  <c r="BB369" i="7"/>
  <c r="BB22" i="7"/>
  <c r="BB742" i="7"/>
  <c r="BB363" i="7"/>
  <c r="BB1530" i="9"/>
  <c r="BB981" i="9"/>
  <c r="BB1562" i="9"/>
  <c r="BB1510" i="9"/>
  <c r="BB759" i="7"/>
  <c r="BB1637" i="9"/>
  <c r="BB821" i="7"/>
  <c r="BB341" i="7"/>
  <c r="BB786" i="7"/>
  <c r="BB36" i="7"/>
  <c r="BB182" i="7"/>
  <c r="BB1391" i="9"/>
  <c r="BB1118" i="7"/>
  <c r="BB1296" i="9"/>
  <c r="BB523" i="9"/>
  <c r="BB914" i="9"/>
  <c r="BB1394" i="7"/>
  <c r="BB1025" i="7"/>
  <c r="BB876" i="7"/>
  <c r="BB1436" i="9"/>
  <c r="BB514" i="7"/>
  <c r="BB1401" i="9"/>
  <c r="BB64" i="7"/>
  <c r="BB803" i="7"/>
  <c r="BB353" i="7"/>
  <c r="BB589" i="7"/>
  <c r="BB640" i="7"/>
  <c r="BB1522" i="9"/>
  <c r="BB534" i="7"/>
  <c r="BB1082" i="9"/>
  <c r="BB486" i="9"/>
  <c r="BB867" i="9"/>
  <c r="BB1981" i="9"/>
  <c r="BB1318" i="9"/>
  <c r="BB1757" i="9"/>
  <c r="BB469" i="7"/>
  <c r="BB152" i="7"/>
  <c r="BB1625" i="9"/>
  <c r="BB658" i="7"/>
  <c r="BB1192" i="9"/>
  <c r="BB274" i="7"/>
  <c r="BB313" i="7"/>
  <c r="BB1018" i="9"/>
  <c r="BB1616" i="9"/>
  <c r="BB283" i="9"/>
  <c r="BB231" i="7"/>
  <c r="BB524" i="7"/>
  <c r="BB397" i="7"/>
  <c r="BB1685" i="9"/>
  <c r="BB1051" i="9"/>
  <c r="BB1790" i="9"/>
  <c r="BB1512" i="9"/>
  <c r="BB737" i="9"/>
  <c r="BB1365" i="9"/>
  <c r="BB1914" i="9"/>
  <c r="BB1269" i="9"/>
  <c r="BB1979" i="9"/>
  <c r="BB1768" i="9"/>
  <c r="BB791" i="9"/>
  <c r="BB1098" i="9"/>
  <c r="BB100" i="9"/>
  <c r="BB1684" i="9"/>
  <c r="BB1969" i="9"/>
  <c r="BB1273" i="9"/>
  <c r="BB107" i="9"/>
  <c r="BB637" i="9"/>
  <c r="BB564" i="9"/>
  <c r="BB1972" i="9"/>
  <c r="BB1001" i="9"/>
  <c r="BB1406" i="9"/>
  <c r="BB1383" i="9"/>
  <c r="BB801" i="9"/>
  <c r="BB271" i="9"/>
  <c r="BB1835" i="10"/>
  <c r="BB1537" i="10"/>
  <c r="BB1772" i="9"/>
  <c r="BB1593" i="9"/>
  <c r="BB1361" i="9"/>
  <c r="BB1282" i="9"/>
  <c r="BB1453" i="9"/>
  <c r="BB195" i="9"/>
  <c r="BB658" i="9"/>
  <c r="BB1946" i="10"/>
  <c r="BB1723" i="9"/>
  <c r="BB853" i="9"/>
  <c r="BB229" i="9"/>
  <c r="BB1141" i="9"/>
  <c r="BB1344" i="9"/>
  <c r="BB1671" i="9"/>
  <c r="BB633" i="9"/>
  <c r="BB536" i="9"/>
  <c r="BB254" i="9"/>
  <c r="BB309" i="9"/>
  <c r="BB1237" i="9"/>
  <c r="BB1208" i="9"/>
  <c r="BB741" i="9"/>
  <c r="BB831" i="9"/>
  <c r="BB1434" i="9"/>
  <c r="BB1690" i="9"/>
  <c r="BB883" i="9"/>
  <c r="BB1521" i="10"/>
  <c r="BB318" i="7"/>
  <c r="BB1951" i="9"/>
  <c r="BB1521" i="9"/>
  <c r="BB1750" i="9"/>
  <c r="BB673" i="9"/>
  <c r="BB1797" i="9"/>
  <c r="BB1252" i="9"/>
  <c r="BB410" i="9"/>
  <c r="BB1975" i="10"/>
  <c r="BB1655" i="9"/>
  <c r="BB1277" i="9"/>
  <c r="BB814" i="9"/>
  <c r="BB1309" i="10"/>
  <c r="BB578" i="7"/>
  <c r="BB997" i="9"/>
  <c r="BB135" i="7"/>
  <c r="BB1854" i="9"/>
  <c r="BB450" i="9"/>
  <c r="BB476" i="9"/>
  <c r="BB995" i="9"/>
  <c r="BB549" i="9"/>
  <c r="BB370" i="9"/>
  <c r="BB1550" i="9"/>
  <c r="BB1116" i="9"/>
  <c r="BB511" i="9"/>
  <c r="BB1215" i="9"/>
  <c r="BB789" i="9"/>
  <c r="BB698" i="9"/>
  <c r="BB872" i="9"/>
  <c r="BB1235" i="9"/>
  <c r="BB1217" i="9"/>
  <c r="BB1121" i="9"/>
  <c r="BB938" i="9"/>
  <c r="BB1809" i="10"/>
  <c r="BB961" i="9"/>
  <c r="BB703" i="9"/>
  <c r="BB1370" i="9"/>
  <c r="BB985" i="9"/>
  <c r="BB923" i="9"/>
  <c r="BB84" i="9"/>
  <c r="BB1806" i="9"/>
  <c r="BB1166" i="9"/>
  <c r="BB224" i="9"/>
  <c r="BB412" i="9"/>
  <c r="BB161" i="9"/>
  <c r="BB846" i="9"/>
  <c r="BB1687" i="9"/>
  <c r="BB834" i="9"/>
  <c r="BB1128" i="9"/>
  <c r="BB954" i="9"/>
  <c r="BB785" i="9"/>
  <c r="BB31" i="7"/>
  <c r="BB1765" i="9"/>
  <c r="BB1346" i="9"/>
  <c r="BB1703" i="9"/>
  <c r="BB1262" i="9"/>
  <c r="BB554" i="9"/>
  <c r="BB1010" i="9"/>
  <c r="BB214" i="9"/>
  <c r="BB367" i="9"/>
  <c r="BB657" i="9"/>
  <c r="BB628" i="9"/>
  <c r="BB933" i="9"/>
  <c r="BB1215" i="10"/>
  <c r="BB553" i="10"/>
  <c r="BB1651" i="10"/>
  <c r="BB1522" i="10"/>
  <c r="BB1966" i="10"/>
  <c r="BB1839" i="10"/>
  <c r="BB1591" i="10"/>
  <c r="BB510" i="9"/>
  <c r="BB1875" i="10"/>
  <c r="BB406" i="10"/>
  <c r="BB1170" i="10"/>
  <c r="BB1672" i="10"/>
  <c r="BB476" i="10"/>
  <c r="BB1759" i="10"/>
  <c r="BB1894" i="10"/>
  <c r="BB1666" i="10"/>
  <c r="BB1986" i="10"/>
  <c r="BB1825" i="10"/>
  <c r="BB495" i="9"/>
  <c r="BB1274" i="10"/>
  <c r="BB1492" i="10"/>
  <c r="BB48" i="10"/>
  <c r="BB1095" i="10"/>
  <c r="BB709" i="10"/>
  <c r="BB366" i="9"/>
  <c r="BB1744" i="9"/>
  <c r="BB937" i="9"/>
  <c r="BB1024" i="9"/>
  <c r="BB1145" i="9"/>
  <c r="BB171" i="9"/>
  <c r="BB944" i="9"/>
  <c r="BB163" i="9"/>
  <c r="BB1084" i="9"/>
  <c r="BB922" i="9"/>
  <c r="BB1153" i="9"/>
  <c r="BB1321" i="9"/>
  <c r="BB1230" i="9"/>
  <c r="BB1736" i="9"/>
  <c r="BB373" i="9"/>
  <c r="BB718" i="9"/>
  <c r="BB95" i="9"/>
  <c r="BB1856" i="9"/>
  <c r="BB678" i="9"/>
  <c r="BB738" i="9"/>
  <c r="BB1425" i="9"/>
  <c r="BB837" i="9"/>
  <c r="BB613" i="9"/>
  <c r="BB1967" i="9"/>
  <c r="BB1537" i="9"/>
  <c r="BB576" i="9"/>
  <c r="BB1398" i="9"/>
  <c r="BB1746" i="10"/>
  <c r="BB18" i="9"/>
  <c r="BB151" i="9"/>
  <c r="BB1974" i="9"/>
  <c r="BB1813" i="9"/>
  <c r="BB1542" i="9"/>
  <c r="BB1006" i="9"/>
  <c r="BB1303" i="9"/>
  <c r="BB1222" i="9"/>
  <c r="BB1175" i="9"/>
  <c r="BB1469" i="9"/>
  <c r="BB1409" i="9"/>
  <c r="BB1491" i="9"/>
  <c r="BB1847" i="9"/>
  <c r="BB1441" i="9"/>
  <c r="BB1026" i="9"/>
  <c r="BB32" i="9"/>
  <c r="BB1658" i="10"/>
  <c r="BB114" i="9"/>
  <c r="BB1193" i="9"/>
  <c r="BB1212" i="9"/>
  <c r="BB1715" i="9"/>
  <c r="BB950" i="9"/>
  <c r="BB1472" i="10"/>
  <c r="BB1081" i="9"/>
  <c r="BB1815" i="9"/>
  <c r="BB1311" i="9"/>
  <c r="BB1965" i="9"/>
  <c r="BB413" i="9"/>
  <c r="BB206" i="9"/>
  <c r="BB1203" i="9"/>
  <c r="BB1135" i="9"/>
  <c r="BB1488" i="9"/>
  <c r="BB1036" i="9"/>
  <c r="BB621" i="9"/>
  <c r="BB325" i="9"/>
  <c r="BB1258" i="9"/>
  <c r="BB1693" i="9"/>
  <c r="BB909" i="9"/>
  <c r="BB1739" i="9"/>
  <c r="BB1703" i="10"/>
  <c r="BB1078" i="9"/>
  <c r="BB1107" i="9"/>
  <c r="BB1585" i="9"/>
  <c r="BB141" i="9"/>
  <c r="BB1504" i="9"/>
  <c r="BB1008" i="9"/>
  <c r="BB154" i="9"/>
  <c r="BB217" i="9"/>
  <c r="BB1319" i="10"/>
  <c r="BB1861" i="10"/>
  <c r="BB1000" i="9"/>
  <c r="BB99" i="9"/>
  <c r="BB1163" i="10"/>
  <c r="BB215" i="9"/>
  <c r="BB667" i="9"/>
  <c r="BB665" i="9"/>
  <c r="BB1158" i="10"/>
  <c r="BB1107" i="10"/>
  <c r="BB340" i="9"/>
  <c r="BB964" i="9"/>
  <c r="BB1205" i="10"/>
  <c r="BB244" i="9"/>
  <c r="BB857" i="9"/>
  <c r="BB1102" i="10"/>
  <c r="BB714" i="9"/>
  <c r="BB295" i="9"/>
  <c r="BB1422" i="10"/>
  <c r="BB505" i="10"/>
  <c r="BB45" i="9"/>
  <c r="BB1377" i="10"/>
  <c r="BB1277" i="10"/>
  <c r="BB926" i="9"/>
  <c r="BB253" i="9"/>
  <c r="BB787" i="9"/>
  <c r="BB173" i="10"/>
  <c r="BB820" i="9"/>
  <c r="BB1199" i="9"/>
  <c r="BB417" i="9"/>
  <c r="BB1669" i="10"/>
  <c r="BB128" i="9"/>
  <c r="BB1637" i="10"/>
  <c r="BB704" i="9"/>
  <c r="BB987" i="9"/>
  <c r="BB1697" i="9"/>
  <c r="BB492" i="9"/>
  <c r="BB1384" i="9"/>
  <c r="BB1238" i="9"/>
  <c r="BB1455" i="10"/>
  <c r="BB76" i="9"/>
  <c r="BB74" i="9"/>
  <c r="BB1533" i="9"/>
  <c r="BB1052" i="9"/>
  <c r="BB371" i="9"/>
  <c r="BB958" i="9"/>
  <c r="BB930" i="9"/>
  <c r="BB319" i="9"/>
  <c r="BB456" i="9"/>
  <c r="BB1112" i="9"/>
  <c r="BB583" i="9"/>
  <c r="BB1195" i="9"/>
  <c r="BB1950" i="9"/>
  <c r="BB1033" i="9"/>
  <c r="BB1923" i="9"/>
  <c r="BB1516" i="10"/>
  <c r="BB1972" i="10"/>
  <c r="BB1699" i="10"/>
  <c r="BB1061" i="9"/>
  <c r="BB1904" i="9"/>
  <c r="BB1138" i="9"/>
  <c r="BB1986" i="9"/>
  <c r="BB1857" i="9"/>
  <c r="BB1140" i="9"/>
  <c r="BB800" i="9"/>
  <c r="BB20" i="9"/>
  <c r="BB813" i="9"/>
  <c r="BB1090" i="9"/>
  <c r="BB1609" i="9"/>
  <c r="BB1377" i="9"/>
  <c r="BB34" i="9"/>
  <c r="BB1851" i="9"/>
  <c r="BB1742" i="9"/>
  <c r="BB1908" i="9"/>
  <c r="BB1608" i="9"/>
  <c r="BB1774" i="9"/>
  <c r="BB1442" i="9"/>
  <c r="BB669" i="9"/>
  <c r="BB225" i="9"/>
  <c r="BB466" i="9"/>
  <c r="BB224" i="7"/>
  <c r="BB477" i="7"/>
  <c r="BB163" i="7"/>
  <c r="BB710" i="9"/>
  <c r="BB1506" i="9"/>
  <c r="BB1183" i="9"/>
  <c r="BB965" i="9"/>
  <c r="BB1416" i="9"/>
  <c r="BB795" i="9"/>
  <c r="BB1433" i="9"/>
  <c r="BB1536" i="9"/>
  <c r="BB1644" i="9"/>
  <c r="BB1332" i="9"/>
  <c r="BB689" i="9"/>
  <c r="BB54" i="9"/>
  <c r="BB626" i="9"/>
  <c r="BB966" i="9"/>
  <c r="BB1189" i="9"/>
  <c r="BB1301" i="9"/>
  <c r="BB491" i="9"/>
  <c r="BB591" i="9"/>
  <c r="BB1136" i="9"/>
  <c r="BB1467" i="9"/>
  <c r="BB1802" i="9"/>
  <c r="BB1906" i="9"/>
  <c r="BB629" i="9"/>
  <c r="BB436" i="9"/>
  <c r="BB885" i="9"/>
  <c r="BB990" i="9"/>
  <c r="BB798" i="9"/>
  <c r="BB1673" i="9"/>
  <c r="BB803" i="9"/>
  <c r="BB1110" i="9"/>
  <c r="BB1657" i="9"/>
  <c r="BB1331" i="9"/>
  <c r="BB1293" i="9"/>
  <c r="BB1913" i="9"/>
  <c r="BB631" i="9"/>
  <c r="BB1170" i="9"/>
  <c r="BB1826" i="9"/>
  <c r="BB222" i="9"/>
  <c r="BB1355" i="9"/>
  <c r="BB851" i="9"/>
  <c r="BB1939" i="10"/>
  <c r="BB1743" i="10"/>
  <c r="BB1976" i="10"/>
  <c r="BB749" i="9"/>
  <c r="BB1283" i="10"/>
  <c r="BB1590" i="10"/>
  <c r="BB121" i="9"/>
  <c r="BB1265" i="10"/>
  <c r="BB1373" i="10"/>
  <c r="BB1848" i="10"/>
  <c r="BB598" i="9"/>
  <c r="BB467" i="10"/>
  <c r="BB1433" i="10"/>
  <c r="BB68" i="9"/>
  <c r="BB1318" i="10"/>
  <c r="BB1927" i="10"/>
  <c r="BB524" i="9"/>
  <c r="BB924" i="9"/>
  <c r="BB1217" i="10"/>
  <c r="BB1235" i="10"/>
  <c r="BB1469" i="10"/>
  <c r="BB1482" i="10"/>
  <c r="BB103" i="10"/>
  <c r="BB593" i="9"/>
  <c r="BB57" i="9"/>
  <c r="BB1978" i="10"/>
  <c r="BB822" i="9"/>
  <c r="BB314" i="9"/>
  <c r="BB1517" i="10"/>
  <c r="BB76" i="10"/>
  <c r="BB1782" i="9"/>
  <c r="BB1431" i="9"/>
  <c r="BB1200" i="9"/>
  <c r="BB1973" i="9"/>
  <c r="BB848" i="9"/>
  <c r="BB1034" i="9"/>
  <c r="BB246" i="9"/>
  <c r="BB563" i="9"/>
  <c r="BB1783" i="9"/>
  <c r="BB1009" i="9"/>
  <c r="BB378" i="9"/>
  <c r="BB915" i="9"/>
  <c r="BB1738" i="9"/>
  <c r="BB1975" i="9"/>
  <c r="BB1256" i="9"/>
  <c r="BB493" i="9"/>
  <c r="BB384" i="9"/>
  <c r="BB845" i="9"/>
  <c r="BB1114" i="9"/>
  <c r="BB1279" i="9"/>
  <c r="BB1366" i="9"/>
  <c r="BB1360" i="9"/>
  <c r="BB1781" i="9"/>
  <c r="BB65" i="9"/>
  <c r="BB1937" i="9"/>
  <c r="BB1325" i="9"/>
  <c r="BB1428" i="9"/>
  <c r="BB1932" i="9"/>
  <c r="BB208" i="9"/>
  <c r="BB102" i="9"/>
  <c r="BB758" i="9"/>
  <c r="BB1529" i="9"/>
  <c r="BB627" i="7"/>
  <c r="BB237" i="7"/>
  <c r="BB1678" i="9"/>
  <c r="BB1531" i="9"/>
  <c r="BB1168" i="9"/>
  <c r="BB769" i="9"/>
  <c r="BB1342" i="9"/>
  <c r="BB1938" i="9"/>
  <c r="BB706" i="9"/>
  <c r="BB897" i="9"/>
  <c r="BB1633" i="9"/>
  <c r="BB1804" i="9"/>
  <c r="BB573" i="9"/>
  <c r="BB299" i="9"/>
  <c r="BB859" i="9"/>
  <c r="BB1971" i="9"/>
  <c r="BB1142" i="9"/>
  <c r="BB1294" i="9"/>
  <c r="BB93" i="9"/>
  <c r="BB805" i="9"/>
  <c r="BB312" i="9"/>
  <c r="BB346" i="9"/>
  <c r="BB1322" i="9"/>
  <c r="BB1887" i="9"/>
  <c r="BB793" i="9"/>
  <c r="BB600" i="9"/>
  <c r="BB1769" i="9"/>
  <c r="BB585" i="9"/>
  <c r="BB1471" i="9"/>
  <c r="BB1088" i="9"/>
  <c r="BB304" i="9"/>
  <c r="BB365" i="9"/>
  <c r="BB1265" i="9"/>
  <c r="BB1479" i="9"/>
  <c r="BB385" i="9"/>
  <c r="BB1218" i="9"/>
  <c r="BB284" i="9"/>
  <c r="BB1800" i="9"/>
  <c r="BB868" i="9"/>
  <c r="BB1271" i="9"/>
  <c r="BB1558" i="9"/>
  <c r="BB1126" i="9"/>
  <c r="BB694" i="9"/>
  <c r="BB869" i="9"/>
  <c r="BB717" i="9"/>
  <c r="BB1501" i="10"/>
  <c r="BB192" i="9"/>
  <c r="BB82" i="9"/>
  <c r="BB528" i="9"/>
  <c r="BB1423" i="10"/>
  <c r="BB1421" i="10"/>
  <c r="BB522" i="9"/>
  <c r="BB953" i="9"/>
  <c r="BB1633" i="10"/>
  <c r="BB5" i="9"/>
  <c r="BB838" i="9"/>
  <c r="BB1340" i="10"/>
  <c r="BB940" i="10"/>
  <c r="BB303" i="9"/>
  <c r="BB1625" i="10"/>
  <c r="BB1928" i="10"/>
  <c r="BB79" i="9"/>
  <c r="BB138" i="9"/>
  <c r="BB1730" i="10"/>
  <c r="BB818" i="9"/>
  <c r="BB887" i="9"/>
  <c r="BB46" i="9"/>
  <c r="BB1644" i="10"/>
  <c r="BB1387" i="10"/>
  <c r="BB1755" i="10"/>
  <c r="BB1007" i="10"/>
  <c r="BB1185" i="10"/>
  <c r="BB1139" i="9"/>
  <c r="BB1424" i="9"/>
  <c r="BB1941" i="9"/>
  <c r="BB1747" i="9"/>
  <c r="BB1966" i="9"/>
  <c r="BB934" i="9"/>
  <c r="BB233" i="9"/>
  <c r="BB1806" i="10"/>
  <c r="BB898" i="9"/>
  <c r="BB1556" i="9"/>
  <c r="BB1118" i="9"/>
  <c r="BB1694" i="9"/>
  <c r="BB1588" i="9"/>
  <c r="BB1835" i="9"/>
  <c r="BB454" i="9"/>
  <c r="BB734" i="9"/>
  <c r="BB555" i="9"/>
  <c r="BB1737" i="9"/>
  <c r="BB1627" i="9"/>
  <c r="BB1234" i="9"/>
  <c r="BB101" i="9"/>
  <c r="BB1065" i="9"/>
  <c r="BB1369" i="10"/>
  <c r="BB907" i="9"/>
  <c r="BB1418" i="9"/>
  <c r="BB1499" i="9"/>
  <c r="BB1634" i="9"/>
  <c r="BB1083" i="9"/>
  <c r="BB471" i="9"/>
  <c r="BB1042" i="9"/>
  <c r="BB1829" i="9"/>
  <c r="BB386" i="9"/>
  <c r="BB895" i="9"/>
  <c r="BB674" i="9"/>
  <c r="BB1169" i="9"/>
  <c r="BB388" i="9"/>
  <c r="BB1241" i="9"/>
  <c r="BB783" i="9"/>
  <c r="BB1995" i="9"/>
  <c r="BB1290" i="9"/>
  <c r="BB129" i="9"/>
  <c r="BB671" i="9"/>
  <c r="BB1920" i="10"/>
  <c r="BB1962" i="9"/>
  <c r="BB1310" i="9"/>
  <c r="BB1595" i="9"/>
  <c r="BB286" i="9"/>
  <c r="BB1897" i="9"/>
  <c r="BB1174" i="9"/>
  <c r="BB996" i="9"/>
  <c r="BB408" i="9"/>
  <c r="BB1417" i="9"/>
  <c r="BB1096" i="9"/>
  <c r="BB1431" i="10"/>
  <c r="BB526" i="9"/>
  <c r="BB120" i="9"/>
  <c r="BB1155" i="9"/>
  <c r="BB146" i="7"/>
  <c r="BB471" i="7"/>
  <c r="BB1619" i="9"/>
  <c r="BB144" i="9"/>
  <c r="BB1046" i="9"/>
  <c r="BB1102" i="9"/>
  <c r="BB411" i="9"/>
  <c r="BB1987" i="9"/>
  <c r="BB1547" i="9"/>
  <c r="BB1184" i="9"/>
  <c r="BB1622" i="9"/>
  <c r="BB1226" i="9"/>
  <c r="BB26" i="9"/>
  <c r="BB1982" i="10"/>
  <c r="BB1028" i="9"/>
  <c r="BB180" i="9"/>
  <c r="BB1047" i="9"/>
  <c r="BB158" i="9"/>
  <c r="BB414" i="9"/>
  <c r="BB951" i="9"/>
  <c r="BB1242" i="9"/>
  <c r="BB1122" i="9"/>
  <c r="BB681" i="9"/>
  <c r="BB614" i="9"/>
  <c r="BB203" i="9"/>
  <c r="BB277" i="9"/>
  <c r="BB1716" i="9"/>
  <c r="BB1591" i="9"/>
  <c r="BB1706" i="9"/>
  <c r="BB578" i="9"/>
  <c r="BB174" i="9"/>
  <c r="BB1044" i="9"/>
  <c r="BB641" i="9"/>
  <c r="BB160" i="9"/>
  <c r="BB1281" i="9"/>
  <c r="BB917" i="9"/>
  <c r="BB468" i="9"/>
  <c r="BB1653" i="9"/>
  <c r="BB827" i="9"/>
  <c r="BB1255" i="9"/>
  <c r="BB1049" i="9"/>
  <c r="BB185" i="9"/>
  <c r="BB1778" i="10"/>
  <c r="BB1822" i="9"/>
  <c r="BB90" i="9"/>
  <c r="BB947" i="9"/>
  <c r="BB1638" i="10"/>
  <c r="BB708" i="9"/>
  <c r="BB1993" i="10"/>
  <c r="BB512" i="10"/>
  <c r="BB1256" i="10"/>
  <c r="BB680" i="9"/>
  <c r="BB606" i="9"/>
  <c r="BB1146" i="10"/>
  <c r="BB1843" i="10"/>
  <c r="BB381" i="9"/>
  <c r="BB1201" i="10"/>
  <c r="BB552" i="9"/>
  <c r="BB1923" i="10"/>
  <c r="BB240" i="9"/>
  <c r="BB1156" i="10"/>
  <c r="BB50" i="9"/>
  <c r="BB326" i="9"/>
  <c r="BB1794" i="10"/>
  <c r="BB1358" i="9"/>
  <c r="BB119" i="9"/>
  <c r="BB118" i="9"/>
  <c r="BB905" i="10"/>
  <c r="BB1868" i="10"/>
  <c r="BB817" i="10"/>
  <c r="BB1142" i="10"/>
  <c r="BB1589" i="10"/>
  <c r="BB360" i="9"/>
  <c r="BB110" i="9"/>
  <c r="BB1904" i="10"/>
  <c r="BB1919" i="9"/>
  <c r="BB137" i="9"/>
  <c r="BB948" i="9"/>
  <c r="BB615" i="9"/>
  <c r="BB1546" i="9"/>
  <c r="BB27" i="9"/>
  <c r="BB602" i="9"/>
  <c r="BB929" i="9"/>
  <c r="BB1854" i="10"/>
  <c r="BB1407" i="9"/>
  <c r="BB291" i="9"/>
  <c r="BB53" i="9"/>
  <c r="BB1392" i="9"/>
  <c r="BB1132" i="9"/>
  <c r="BB686" i="9"/>
  <c r="BB63" i="9"/>
  <c r="BB802" i="9"/>
  <c r="BB105" i="9"/>
  <c r="BB1623" i="9"/>
  <c r="BB1070" i="9"/>
  <c r="BB142" i="9"/>
  <c r="BB1043" i="9"/>
  <c r="BB1119" i="9"/>
  <c r="BB1532" i="10"/>
  <c r="BB1859" i="10"/>
  <c r="BB1729" i="9"/>
  <c r="BB1156" i="9"/>
  <c r="BB324" i="9"/>
  <c r="BB1881" i="9"/>
  <c r="BB1390" i="9"/>
  <c r="BB1963" i="9"/>
  <c r="BB1752" i="9"/>
  <c r="BB1915" i="10"/>
  <c r="BB1907" i="10"/>
  <c r="BB1659" i="10"/>
  <c r="BB1814" i="9"/>
  <c r="BB362" i="9"/>
  <c r="BB259" i="9"/>
  <c r="BB1058" i="9"/>
  <c r="BB768" i="9"/>
  <c r="BB1073" i="9"/>
  <c r="BB1326" i="9"/>
  <c r="BB1611" i="9"/>
  <c r="BB1395" i="9"/>
  <c r="BB1403" i="9"/>
  <c r="BB1456" i="10"/>
  <c r="BB1917" i="10"/>
  <c r="BB1940" i="10"/>
  <c r="BB1863" i="9"/>
  <c r="BB1468" i="9"/>
  <c r="BB1699" i="9"/>
  <c r="BB1561" i="9"/>
  <c r="BB1216" i="9"/>
  <c r="BB514" i="9"/>
  <c r="BB1898" i="9"/>
  <c r="BB1773" i="9"/>
  <c r="BB672" i="9"/>
  <c r="BB1525" i="9"/>
  <c r="BB1099" i="9"/>
  <c r="BB1297" i="9"/>
  <c r="BB1163" i="9"/>
  <c r="BB962" i="9"/>
  <c r="BB130" i="9"/>
  <c r="BB1205" i="9"/>
  <c r="BB87" i="9"/>
  <c r="BB1019" i="9"/>
  <c r="BB847" i="9"/>
  <c r="BB1618" i="10"/>
  <c r="BB275" i="9"/>
  <c r="BB1054" i="9"/>
  <c r="BB323" i="9"/>
  <c r="BB1821" i="9"/>
  <c r="BB1388" i="9"/>
  <c r="BB753" i="9"/>
  <c r="BB356" i="9"/>
  <c r="BB1674" i="9"/>
  <c r="BB1538" i="9"/>
  <c r="BB1597" i="9"/>
  <c r="BB972" i="9"/>
  <c r="BB807" i="9"/>
  <c r="BB1231" i="9"/>
  <c r="BB744" i="9"/>
  <c r="BB155" i="9"/>
  <c r="BB446" i="9"/>
  <c r="BB750" i="9"/>
  <c r="BB1823" i="10"/>
  <c r="BB1339" i="9"/>
  <c r="BB1722" i="9"/>
  <c r="BB1472" i="9"/>
  <c r="BB999" i="9"/>
  <c r="BB94" i="9"/>
  <c r="BB1771" i="10"/>
  <c r="BB1976" i="9"/>
  <c r="BB406" i="9"/>
  <c r="BB1865" i="10"/>
  <c r="BB1654" i="10"/>
  <c r="BB1847" i="10"/>
  <c r="BB1726" i="10"/>
  <c r="BB1533" i="10"/>
  <c r="BB460" i="9"/>
  <c r="BB1952" i="10"/>
  <c r="BB1831" i="10"/>
  <c r="BB1243" i="10"/>
  <c r="BB647" i="9"/>
  <c r="BB1609" i="10"/>
  <c r="BB1866" i="10"/>
  <c r="BB1733" i="10"/>
  <c r="BB1727" i="10"/>
  <c r="BB189" i="9"/>
  <c r="BB1402" i="10"/>
  <c r="BB167" i="9"/>
  <c r="BB201" i="9"/>
  <c r="BB1713" i="10"/>
  <c r="BB806" i="9"/>
  <c r="BB1783" i="10"/>
  <c r="BB350" i="9"/>
  <c r="BB19" i="9"/>
  <c r="BB256" i="9"/>
  <c r="BB1678" i="10"/>
  <c r="BB219" i="10"/>
  <c r="BB1113" i="10"/>
  <c r="BB1920" i="9"/>
  <c r="BB970" i="9"/>
  <c r="BB106" i="9"/>
  <c r="BB646" i="9"/>
  <c r="BB337" i="9"/>
  <c r="BB1901" i="9"/>
  <c r="BB1473" i="9"/>
  <c r="BB508" i="9"/>
  <c r="BB109" i="9"/>
  <c r="BB211" i="9"/>
  <c r="BB22" i="9"/>
  <c r="BB394" i="9"/>
  <c r="BB1402" i="9"/>
  <c r="BB1013" i="9"/>
  <c r="BB1786" i="10"/>
  <c r="BB1589" i="9"/>
  <c r="BB1810" i="9"/>
  <c r="BB1503" i="10"/>
  <c r="BB1582" i="10"/>
  <c r="BB1505" i="9"/>
  <c r="BB1148" i="9"/>
  <c r="BB1580" i="9"/>
  <c r="BB1828" i="9"/>
  <c r="BB1186" i="9"/>
  <c r="BB1912" i="9"/>
  <c r="BB841" i="9"/>
  <c r="BB877" i="9"/>
  <c r="BB439" i="9"/>
  <c r="BB1676" i="9"/>
  <c r="BB1067" i="9"/>
  <c r="BB1015" i="9"/>
  <c r="BB1727" i="9"/>
  <c r="BB1587" i="9"/>
  <c r="BB1824" i="9"/>
  <c r="BB1877" i="9"/>
  <c r="BB726" i="9"/>
  <c r="BB218" i="9"/>
  <c r="BB1925" i="9"/>
  <c r="BB1075" i="9"/>
  <c r="BB1643" i="9"/>
  <c r="BB1171" i="9"/>
  <c r="BB1249" i="9"/>
  <c r="BB1939" i="9"/>
  <c r="BB1060" i="9"/>
  <c r="BB1320" i="9"/>
  <c r="BB1263" i="9"/>
  <c r="BB1630" i="9"/>
  <c r="BB1651" i="9"/>
  <c r="BB594" i="9"/>
  <c r="BB172" i="9"/>
  <c r="BB322" i="7"/>
  <c r="BB85" i="7"/>
  <c r="BB502" i="7"/>
  <c r="BB744" i="7"/>
  <c r="BB579" i="9"/>
  <c r="BB1157" i="9"/>
  <c r="BB828" i="9"/>
  <c r="BB1836" i="9"/>
  <c r="BB1784" i="9"/>
  <c r="BB1577" i="9"/>
  <c r="BB1776" i="9"/>
  <c r="BB855" i="9"/>
  <c r="BB260" i="9"/>
  <c r="BB1819" i="9"/>
  <c r="BB216" i="9"/>
  <c r="BB116" i="9"/>
  <c r="BB890" i="9"/>
  <c r="BB181" i="9"/>
  <c r="BB1373" i="9"/>
  <c r="BB433" i="9"/>
  <c r="BB1479" i="10"/>
  <c r="BB601" i="9"/>
  <c r="BB1097" i="9"/>
  <c r="BB541" i="9"/>
  <c r="BB1474" i="10"/>
  <c r="BB1984" i="9"/>
  <c r="BB187" i="9"/>
  <c r="BB1089" i="9"/>
  <c r="BB1030" i="9"/>
  <c r="BB1389" i="9"/>
  <c r="BB1544" i="9"/>
  <c r="BB1451" i="9"/>
  <c r="BB125" i="9"/>
  <c r="BB1369" i="9"/>
  <c r="BB1626" i="9"/>
  <c r="BB1456" i="9"/>
  <c r="BB1839" i="9"/>
  <c r="BB504" i="9"/>
  <c r="BB1558" i="10"/>
  <c r="BB143" i="9"/>
  <c r="BB1874" i="9"/>
  <c r="BB126" i="9"/>
  <c r="BB1123" i="9"/>
  <c r="BB645" i="9"/>
  <c r="BB775" i="9"/>
  <c r="BB1946" i="9"/>
  <c r="BB729" i="9"/>
  <c r="BB1410" i="10"/>
  <c r="BB1600" i="10"/>
  <c r="BB1750" i="10"/>
  <c r="BB1307" i="10"/>
  <c r="BB1812" i="10"/>
  <c r="BB25" i="9"/>
  <c r="BB432" i="9"/>
  <c r="BB1461" i="10"/>
  <c r="BB1174" i="10"/>
  <c r="BB540" i="9"/>
  <c r="BB622" i="9"/>
  <c r="BB982" i="10"/>
  <c r="BB1064" i="10"/>
  <c r="BB13" i="9"/>
  <c r="BB199" i="9"/>
  <c r="BB1544" i="10"/>
  <c r="BB1797" i="10"/>
  <c r="BB70" i="9"/>
  <c r="BB1426" i="10"/>
  <c r="BB777" i="9"/>
  <c r="BB409" i="9"/>
  <c r="BB43" i="9"/>
  <c r="BB1531" i="10"/>
  <c r="BB146" i="9"/>
  <c r="BB274" i="9"/>
  <c r="BB738" i="10"/>
  <c r="BB321" i="10"/>
  <c r="BB1092" i="9"/>
  <c r="BB387" i="9"/>
  <c r="BB1481" i="9"/>
  <c r="BB123" i="9"/>
  <c r="BB1791" i="9"/>
  <c r="BB1393" i="9"/>
  <c r="BB1816" i="10"/>
  <c r="BB428" i="9"/>
  <c r="BB1306" i="9"/>
  <c r="BB1086" i="9"/>
  <c r="BB1683" i="9"/>
  <c r="BB1420" i="9"/>
  <c r="BB1497" i="9"/>
  <c r="BB617" i="9"/>
  <c r="BB1951" i="10"/>
  <c r="BB1766" i="10"/>
  <c r="BB39" i="9"/>
  <c r="BB1364" i="9"/>
  <c r="BB1223" i="9"/>
  <c r="BB1335" i="9"/>
  <c r="BB1068" i="9"/>
  <c r="BB835" i="9"/>
  <c r="BB241" i="9"/>
  <c r="BB531" i="9"/>
  <c r="BB1494" i="9"/>
  <c r="BB1095" i="9"/>
  <c r="BB1287" i="9"/>
  <c r="BB1206" i="9"/>
  <c r="BB1127" i="9"/>
  <c r="BB1664" i="9"/>
  <c r="BB33" i="9"/>
  <c r="BB307" i="9"/>
  <c r="BB1906" i="10"/>
  <c r="BB1639" i="9"/>
  <c r="BB1072" i="9"/>
  <c r="BB1213" i="9"/>
  <c r="BB1917" i="9"/>
  <c r="BB959" i="9"/>
  <c r="BB774" i="9"/>
  <c r="BB1462" i="9"/>
  <c r="BB265" i="9"/>
  <c r="BB826" i="9"/>
  <c r="BB366" i="7"/>
  <c r="BB916" i="9"/>
  <c r="BB1590" i="9"/>
  <c r="BB499" i="9"/>
  <c r="BB1224" i="9"/>
  <c r="BB1599" i="9"/>
  <c r="BB1900" i="9"/>
  <c r="BB1549" i="9"/>
  <c r="BB489" i="9"/>
  <c r="BB551" i="9"/>
  <c r="BB1021" i="9"/>
  <c r="BB364" i="9"/>
  <c r="BB781" i="9"/>
  <c r="BB488" i="7"/>
  <c r="BB424" i="7"/>
  <c r="BB617" i="7"/>
  <c r="BB139" i="7"/>
  <c r="BB1534" i="9"/>
  <c r="BB1100" i="9"/>
  <c r="BB1039" i="9"/>
  <c r="BB1770" i="9"/>
  <c r="BB1421" i="9"/>
  <c r="BB582" i="9"/>
  <c r="BB219" i="9"/>
  <c r="BB343" i="9"/>
  <c r="BB1240" i="9"/>
  <c r="BB687" i="9"/>
  <c r="BB402" i="9"/>
  <c r="BB228" i="9"/>
  <c r="BB1071" i="9"/>
  <c r="BB1023" i="9"/>
  <c r="BB1959" i="9"/>
  <c r="BB150" i="9"/>
  <c r="BB1728" i="10"/>
  <c r="BB640" i="9"/>
  <c r="BB1077" i="9"/>
  <c r="BB902" i="9"/>
  <c r="BB1194" i="9"/>
  <c r="BB1515" i="9"/>
  <c r="BB662" i="9"/>
  <c r="BB1003" i="9"/>
  <c r="BB1179" i="9"/>
  <c r="BB348" i="9"/>
  <c r="BB1470" i="9"/>
  <c r="BB494" i="9"/>
  <c r="BB263" i="9"/>
  <c r="BB642" i="9"/>
  <c r="BB1567" i="9"/>
  <c r="BB1159" i="9"/>
  <c r="BB839" i="9"/>
  <c r="BB177" i="9"/>
  <c r="BB757" i="9"/>
  <c r="BB1244" i="9"/>
  <c r="BB1869" i="9"/>
  <c r="BB289" i="9"/>
  <c r="BB1921" i="9"/>
  <c r="BB1031" i="9"/>
  <c r="BB376" i="9"/>
  <c r="BB986" i="9"/>
  <c r="BB790" i="9"/>
  <c r="BB66" i="9"/>
  <c r="BB194" i="9"/>
  <c r="BB145" i="9"/>
  <c r="BB1673" i="10"/>
  <c r="BB1285" i="10"/>
  <c r="BB1511" i="10"/>
  <c r="BB760" i="9"/>
  <c r="BB815" i="10"/>
  <c r="BB899" i="9"/>
  <c r="BB580" i="9"/>
  <c r="BB759" i="9"/>
  <c r="BB1383" i="10"/>
  <c r="BB1684" i="10"/>
  <c r="BB1815" i="10"/>
  <c r="BB1502" i="10"/>
  <c r="BB611" i="10"/>
  <c r="BB920" i="9"/>
  <c r="BB429" i="9"/>
  <c r="BB1711" i="10"/>
  <c r="BB1483" i="10"/>
  <c r="BB1719" i="10"/>
  <c r="BB1608" i="10"/>
  <c r="BB830" i="10"/>
  <c r="BB135" i="9"/>
  <c r="BB1385" i="10"/>
  <c r="BB1701" i="10"/>
  <c r="BB741" i="10"/>
  <c r="BB1020" i="9"/>
  <c r="BB1931" i="10"/>
  <c r="BB1740" i="10"/>
  <c r="BB774" i="10"/>
  <c r="BB1619" i="10"/>
  <c r="BB1903" i="10"/>
  <c r="BB80" i="9"/>
  <c r="BB424" i="9"/>
  <c r="BB702" i="9"/>
  <c r="BB1947" i="10"/>
  <c r="BB700" i="9"/>
  <c r="BB357" i="9"/>
  <c r="BB480" i="9"/>
  <c r="BB607" i="9"/>
  <c r="BB1723" i="10"/>
  <c r="BB1224" i="10"/>
  <c r="BB1867" i="10"/>
  <c r="BB1974" i="10"/>
  <c r="BB1110" i="10"/>
  <c r="BB1503" i="9"/>
  <c r="BB451" i="9"/>
  <c r="BB1707" i="10"/>
  <c r="BB936" i="9"/>
  <c r="BB122" i="9"/>
  <c r="BB796" i="9"/>
  <c r="BB1523" i="10"/>
  <c r="BB506" i="9"/>
  <c r="BB1560" i="10"/>
  <c r="BB368" i="9"/>
  <c r="BB505" i="9"/>
  <c r="BB1496" i="10"/>
  <c r="BB724" i="10"/>
  <c r="BB1550" i="10"/>
  <c r="BB753" i="10"/>
  <c r="BB1725" i="10"/>
  <c r="BB1520" i="10"/>
  <c r="BB1278" i="10"/>
  <c r="BB112" i="9"/>
  <c r="BB1080" i="10"/>
  <c r="BB1324" i="9"/>
  <c r="BB1760" i="10"/>
  <c r="BB1731" i="10"/>
  <c r="BB1902" i="10"/>
  <c r="BB1132" i="10"/>
  <c r="BB1370" i="10"/>
  <c r="BB1143" i="10"/>
  <c r="BB221" i="10"/>
  <c r="BB1175" i="10"/>
  <c r="BB529" i="10"/>
  <c r="BB338" i="10"/>
  <c r="BB1872" i="10"/>
  <c r="BB1352" i="10"/>
  <c r="BB468" i="10"/>
  <c r="BB875" i="9"/>
  <c r="BB1631" i="10"/>
  <c r="BB919" i="9"/>
  <c r="BB893" i="9"/>
  <c r="BB88" i="9"/>
  <c r="BB1575" i="10"/>
  <c r="BB1744" i="10"/>
  <c r="BB1505" i="10"/>
  <c r="BB1772" i="10"/>
  <c r="BB1351" i="10"/>
  <c r="BB300" i="9"/>
  <c r="BB1454" i="10"/>
  <c r="BB808" i="9"/>
  <c r="BB561" i="9"/>
  <c r="BB1934" i="10"/>
  <c r="BB1901" i="10"/>
  <c r="BB1710" i="10"/>
  <c r="BB1507" i="10"/>
  <c r="BB1286" i="10"/>
  <c r="BB1781" i="10"/>
  <c r="BB223" i="9"/>
  <c r="BB239" i="9"/>
  <c r="BB341" i="9"/>
  <c r="BB115" i="9"/>
  <c r="BB1227" i="10"/>
  <c r="BB17" i="9"/>
  <c r="BB1542" i="10"/>
  <c r="BB1046" i="10"/>
  <c r="BB1263" i="10"/>
  <c r="BB7" i="9"/>
  <c r="BB306" i="9"/>
  <c r="BB786" i="9"/>
  <c r="BB1510" i="10"/>
  <c r="BB111" i="9"/>
  <c r="BB612" i="9"/>
  <c r="BB1555" i="10"/>
  <c r="BB518" i="9"/>
  <c r="BB871" i="9"/>
  <c r="BB1774" i="10"/>
  <c r="BB859" i="10"/>
  <c r="BB1662" i="10"/>
  <c r="BB1358" i="10"/>
  <c r="BB766" i="10"/>
  <c r="BB1753" i="9"/>
  <c r="BB557" i="9"/>
  <c r="BB69" i="9"/>
  <c r="BB363" i="9"/>
  <c r="BB1488" i="10"/>
  <c r="BB570" i="9"/>
  <c r="BB162" i="9"/>
  <c r="BB664" i="9"/>
  <c r="BB1954" i="10"/>
  <c r="BB967" i="9"/>
  <c r="BB592" i="9"/>
  <c r="BB1741" i="10"/>
  <c r="BB932" i="10"/>
  <c r="BB1349" i="10"/>
  <c r="BB443" i="10"/>
  <c r="BB568" i="9"/>
  <c r="BB1248" i="10"/>
  <c r="BB673" i="10"/>
  <c r="BB1785" i="10"/>
  <c r="BB1408" i="10"/>
  <c r="BB638" i="9"/>
  <c r="BB475" i="9"/>
  <c r="BB765" i="9"/>
  <c r="BB1569" i="10"/>
  <c r="BB643" i="10"/>
  <c r="BB582" i="10"/>
  <c r="BB1239" i="10"/>
  <c r="BB420" i="10"/>
  <c r="BB533" i="10"/>
  <c r="BB1119" i="10"/>
  <c r="BB824" i="9"/>
  <c r="BB1899" i="10"/>
  <c r="BB691" i="9"/>
  <c r="BB301" i="9"/>
  <c r="BB1091" i="9"/>
  <c r="BB1338" i="9"/>
  <c r="BB1343" i="9"/>
  <c r="BB1461" i="9"/>
  <c r="BB1817" i="9"/>
  <c r="BB1064" i="9"/>
  <c r="BB1883" i="9"/>
  <c r="BB36" i="9"/>
  <c r="BB1152" i="9"/>
  <c r="BB520" i="9"/>
  <c r="BB1846" i="10"/>
  <c r="BB361" i="9"/>
  <c r="BB426" i="9"/>
  <c r="BB650" i="9"/>
  <c r="BB1897" i="10"/>
  <c r="BB103" i="9"/>
  <c r="BB170" i="9"/>
  <c r="BB747" i="9"/>
  <c r="BB298" i="9"/>
  <c r="BB462" i="9"/>
  <c r="BB393" i="9"/>
  <c r="BB1365" i="10"/>
  <c r="BB1616" i="10"/>
  <c r="BB1460" i="10"/>
  <c r="BB1551" i="10"/>
  <c r="BB1427" i="10"/>
  <c r="BB920" i="10"/>
  <c r="BB620" i="9"/>
  <c r="BB1971" i="10"/>
  <c r="BB336" i="9"/>
  <c r="BB41" i="9"/>
  <c r="BB1688" i="10"/>
  <c r="BB1862" i="10"/>
  <c r="BB1105" i="10"/>
  <c r="BB1094" i="10"/>
  <c r="BB987" i="10"/>
  <c r="BB644" i="10"/>
  <c r="BB425" i="9"/>
  <c r="BB67" i="9"/>
  <c r="BB59" i="9"/>
  <c r="BB913" i="9"/>
  <c r="BB255" i="9"/>
  <c r="BB1176" i="10"/>
  <c r="BB862" i="10"/>
  <c r="BB1044" i="10"/>
  <c r="BB1459" i="10"/>
  <c r="BB1062" i="10"/>
  <c r="BB474" i="9"/>
  <c r="BB850" i="9"/>
  <c r="BB1495" i="10"/>
  <c r="BB517" i="9"/>
  <c r="BB420" i="9"/>
  <c r="BB1068" i="10"/>
  <c r="BB1789" i="10"/>
  <c r="BB212" i="9"/>
  <c r="BB1389" i="10"/>
  <c r="BB422" i="9"/>
  <c r="BB392" i="9"/>
  <c r="BB1819" i="10"/>
  <c r="BB1967" i="10"/>
  <c r="BB204" i="9"/>
  <c r="BB1687" i="10"/>
  <c r="BB1610" i="10"/>
  <c r="BB1984" i="10"/>
  <c r="BB47" i="9"/>
  <c r="BB1918" i="10"/>
  <c r="BB1166" i="10"/>
  <c r="BB1764" i="10"/>
  <c r="BB1037" i="10"/>
  <c r="BB834" i="10"/>
  <c r="BB553" i="9"/>
  <c r="BB618" i="9"/>
  <c r="BB321" i="9"/>
  <c r="BB332" i="9"/>
  <c r="BB533" i="9"/>
  <c r="BB404" i="9"/>
  <c r="BB663" i="9"/>
  <c r="BB731" i="9"/>
  <c r="BB377" i="9"/>
  <c r="BB589" i="9"/>
  <c r="BB305" i="9"/>
  <c r="BB1929" i="10"/>
  <c r="BB1247" i="10"/>
  <c r="BB1863" i="10"/>
  <c r="BB1648" i="9"/>
  <c r="BB1413" i="10"/>
  <c r="BB860" i="10"/>
  <c r="BB869" i="10"/>
  <c r="BB1150" i="10"/>
  <c r="BB487" i="9"/>
  <c r="BB844" i="9"/>
  <c r="BB166" i="9"/>
  <c r="BB484" i="9"/>
  <c r="BB1698" i="10"/>
  <c r="BB535" i="10"/>
  <c r="BB187" i="10"/>
  <c r="BB58" i="10"/>
  <c r="BB227" i="10"/>
  <c r="BB1420" i="10"/>
  <c r="BB297" i="10"/>
  <c r="BB1062" i="9"/>
  <c r="BB581" i="9"/>
  <c r="BB1109" i="9"/>
  <c r="BB1584" i="9"/>
  <c r="BB840" i="9"/>
  <c r="BB430" i="9"/>
  <c r="BB1592" i="10"/>
  <c r="BB955" i="9"/>
  <c r="BB546" i="9"/>
  <c r="BB1875" i="9"/>
  <c r="BB1849" i="9"/>
  <c r="BB751" i="9"/>
  <c r="BB1180" i="9"/>
  <c r="BB910" i="9"/>
  <c r="BB1849" i="10"/>
  <c r="BB1657" i="10"/>
  <c r="BB896" i="9"/>
  <c r="BB707" i="9"/>
  <c r="BB1820" i="9"/>
  <c r="BB1176" i="9"/>
  <c r="BB836" i="9"/>
  <c r="BB1760" i="9"/>
  <c r="BB861" i="9"/>
  <c r="BB1515" i="10"/>
  <c r="BB407" i="9"/>
  <c r="BB772" i="7"/>
  <c r="BB1483" i="9"/>
  <c r="BB1862" i="9"/>
  <c r="BB1535" i="9"/>
  <c r="BB1578" i="9"/>
  <c r="BB1351" i="9"/>
  <c r="BB1794" i="9"/>
  <c r="BB940" i="9"/>
  <c r="BB1246" i="9"/>
  <c r="BB1066" i="9"/>
  <c r="BB608" i="9"/>
  <c r="BB52" i="9"/>
  <c r="BB1586" i="10"/>
  <c r="BB258" i="9"/>
  <c r="BB739" i="9"/>
  <c r="BB957" i="9"/>
  <c r="BB56" i="9"/>
  <c r="BB415" i="9"/>
  <c r="BB816" i="9"/>
  <c r="BB994" i="9"/>
  <c r="BB507" i="9"/>
  <c r="BB690" i="9"/>
  <c r="BB727" i="9"/>
  <c r="BB699" i="9"/>
  <c r="BB1869" i="10"/>
  <c r="BB1341" i="10"/>
  <c r="BB1477" i="10"/>
  <c r="BB1583" i="10"/>
  <c r="BB900" i="10"/>
  <c r="BB529" i="9"/>
  <c r="BB352" i="9"/>
  <c r="BB339" i="9"/>
  <c r="BB83" i="9"/>
  <c r="BB572" i="9"/>
  <c r="BB1031" i="10"/>
  <c r="BB1612" i="10"/>
  <c r="BB1486" i="10"/>
  <c r="BB136" i="9"/>
  <c r="BB322" i="10"/>
  <c r="BB584" i="9"/>
  <c r="BB1792" i="10"/>
  <c r="BB290" i="9"/>
  <c r="BB49" i="9"/>
  <c r="BB500" i="9"/>
  <c r="BB1814" i="10"/>
  <c r="BB1281" i="10"/>
  <c r="BB1817" i="10"/>
  <c r="BB1072" i="10"/>
  <c r="BB1098" i="10"/>
  <c r="BB632" i="9"/>
  <c r="BB452" i="9"/>
  <c r="BB488" i="9"/>
  <c r="BB569" i="9"/>
  <c r="BB1779" i="10"/>
  <c r="BB1905" i="10"/>
  <c r="BB1858" i="10"/>
  <c r="BB1751" i="10"/>
  <c r="BB727" i="10"/>
  <c r="BB44" i="9"/>
  <c r="BB586" i="9"/>
  <c r="BB656" i="9"/>
  <c r="BB1650" i="10"/>
  <c r="BB784" i="9"/>
  <c r="BB1536" i="10"/>
  <c r="BB755" i="9"/>
  <c r="BB721" i="9"/>
  <c r="BB534" i="9"/>
  <c r="BB1464" i="10"/>
  <c r="BB1467" i="10"/>
  <c r="BB1721" i="10"/>
  <c r="BB1716" i="10"/>
  <c r="BB1786" i="9"/>
  <c r="BB1437" i="9"/>
  <c r="BB925" i="9"/>
  <c r="BB297" i="9"/>
  <c r="BB1430" i="10"/>
  <c r="BB842" i="9"/>
  <c r="BB1821" i="10"/>
  <c r="BB575" i="9"/>
  <c r="BB1933" i="10"/>
  <c r="BB695" i="9"/>
  <c r="BB788" i="9"/>
  <c r="BB1857" i="10"/>
  <c r="BB1499" i="10"/>
  <c r="BB1339" i="10"/>
  <c r="BB870" i="9"/>
  <c r="BB1381" i="10"/>
  <c r="BB1803" i="10"/>
  <c r="BB1543" i="10"/>
  <c r="BB1913" i="10"/>
  <c r="BB1364" i="10"/>
  <c r="BB1345" i="10"/>
  <c r="BB1538" i="10"/>
  <c r="BB1640" i="10"/>
  <c r="BB245" i="9"/>
  <c r="BB1895" i="10"/>
  <c r="BB559" i="10"/>
  <c r="BB1777" i="10"/>
  <c r="BB906" i="10"/>
  <c r="BB1963" i="10"/>
  <c r="BB266" i="10"/>
  <c r="BB1685" i="10"/>
  <c r="BB1113" i="9"/>
  <c r="BB829" i="9"/>
  <c r="BB238" i="9"/>
  <c r="BB1161" i="9"/>
  <c r="BB165" i="9"/>
  <c r="BB993" i="9"/>
  <c r="BB1658" i="9"/>
  <c r="BB905" i="9"/>
  <c r="BB1385" i="9"/>
  <c r="BB273" i="9"/>
  <c r="BB1691" i="10"/>
  <c r="BB1999" i="10"/>
  <c r="BB1466" i="9"/>
  <c r="BB379" i="9"/>
  <c r="BB1886" i="9"/>
  <c r="BB1314" i="9"/>
  <c r="BB1614" i="9"/>
  <c r="BB1518" i="9"/>
  <c r="BB1635" i="10"/>
  <c r="BB752" i="9"/>
  <c r="BB193" i="9"/>
  <c r="BB1903" i="9"/>
  <c r="BB1463" i="9"/>
  <c r="BB815" i="9"/>
  <c r="BB1117" i="9"/>
  <c r="BB61" i="9"/>
  <c r="BB1691" i="9"/>
  <c r="BB705" i="9"/>
  <c r="BB262" i="9"/>
  <c r="BB860" i="9"/>
  <c r="BB415" i="7"/>
  <c r="BB1686" i="9"/>
  <c r="BB1879" i="9"/>
  <c r="BB127" i="9"/>
  <c r="BB559" i="9"/>
  <c r="BB293" i="9"/>
  <c r="BB1645" i="9"/>
  <c r="BB1220" i="9"/>
  <c r="BB513" i="9"/>
  <c r="BB973" i="9"/>
  <c r="BB908" i="9"/>
  <c r="BB249" i="9"/>
  <c r="BB418" i="9"/>
  <c r="BB1011" i="9"/>
  <c r="BB725" i="9"/>
  <c r="BB272" i="9"/>
  <c r="BB349" i="9"/>
  <c r="BB830" i="9"/>
  <c r="BB396" i="9"/>
  <c r="BB247" i="9"/>
  <c r="BB389" i="9"/>
  <c r="BB942" i="9"/>
  <c r="BB767" i="9"/>
  <c r="BB1880" i="10"/>
  <c r="BB1141" i="10"/>
  <c r="BB677" i="10"/>
  <c r="BB1092" i="10"/>
  <c r="BB1288" i="10"/>
  <c r="BB597" i="10"/>
  <c r="BB931" i="9"/>
  <c r="BB31" i="9"/>
  <c r="BB652" i="9"/>
  <c r="BB485" i="9"/>
  <c r="BB862" i="9"/>
  <c r="BB1566" i="10"/>
  <c r="BB650" i="10"/>
  <c r="BB1151" i="10"/>
  <c r="BB1138" i="10"/>
  <c r="BB970" i="10"/>
  <c r="BB651" i="9"/>
  <c r="BB226" i="9"/>
  <c r="BB1039" i="10"/>
  <c r="BB1919" i="10"/>
  <c r="BB516" i="9"/>
  <c r="BB1563" i="10"/>
  <c r="BB1636" i="10"/>
  <c r="BB1214" i="10"/>
  <c r="BB1334" i="10"/>
  <c r="BB617" i="10"/>
  <c r="BB1417" i="10"/>
  <c r="BB685" i="9"/>
  <c r="BB716" i="9"/>
  <c r="BB1648" i="10"/>
  <c r="BB1602" i="10"/>
  <c r="BB1775" i="10"/>
  <c r="BB1838" i="10"/>
  <c r="BB1998" i="10"/>
  <c r="BB1168" i="10"/>
  <c r="BB423" i="9"/>
  <c r="BB1992" i="10"/>
  <c r="BB927" i="9"/>
  <c r="BB1276" i="10"/>
  <c r="BB1014" i="9"/>
  <c r="BB1664" i="10"/>
  <c r="BB539" i="9"/>
  <c r="BB945" i="9"/>
  <c r="BB1374" i="10"/>
  <c r="BB1639" i="10"/>
  <c r="BB1342" i="10"/>
  <c r="BB1157" i="10"/>
  <c r="BB926" i="10"/>
  <c r="BB1748" i="9"/>
  <c r="BB1640" i="9"/>
  <c r="BB1793" i="10"/>
  <c r="BB294" i="9"/>
  <c r="BB1626" i="10"/>
  <c r="BB876" i="9"/>
  <c r="BB1554" i="10"/>
  <c r="BB971" i="9"/>
  <c r="BB164" i="9"/>
  <c r="BB1465" i="10"/>
  <c r="BB956" i="9"/>
  <c r="BB97" i="9"/>
  <c r="BB1598" i="10"/>
  <c r="BB1735" i="10"/>
  <c r="BB1720" i="10"/>
  <c r="BB654" i="9"/>
  <c r="BB1449" i="10"/>
  <c r="BB213" i="9"/>
  <c r="BB39" i="10"/>
  <c r="BB1979" i="10"/>
  <c r="BB1885" i="10"/>
  <c r="BB479" i="9"/>
  <c r="BB1260" i="10"/>
  <c r="BB490" i="9"/>
  <c r="BB360" i="10"/>
  <c r="BB428" i="10"/>
  <c r="BB1131" i="10"/>
  <c r="BB624" i="10"/>
  <c r="BB1354" i="10"/>
  <c r="BB515" i="10"/>
  <c r="BB309" i="10"/>
  <c r="BB1228" i="9"/>
  <c r="BB1620" i="9"/>
  <c r="BB1866" i="9"/>
  <c r="BB1935" i="9"/>
  <c r="BB1643" i="10"/>
  <c r="BB252" i="9"/>
  <c r="BB235" i="9"/>
  <c r="BB1663" i="9"/>
  <c r="BB1037" i="9"/>
  <c r="BB1785" i="9"/>
  <c r="BB1543" i="9"/>
  <c r="BB677" i="9"/>
  <c r="BB1227" i="9"/>
  <c r="BB470" i="9"/>
  <c r="BB465" i="9"/>
  <c r="BB1579" i="10"/>
  <c r="BB1652" i="9"/>
  <c r="BB1410" i="9"/>
  <c r="BB1482" i="9"/>
  <c r="BB1600" i="9"/>
  <c r="BB1698" i="9"/>
  <c r="BB509" i="9"/>
  <c r="BB440" i="9"/>
  <c r="BB398" i="9"/>
  <c r="BB124" i="9"/>
  <c r="BB1382" i="9"/>
  <c r="BB1675" i="9"/>
  <c r="BB1012" i="9"/>
  <c r="BB497" i="9"/>
  <c r="BB1486" i="9"/>
  <c r="BB1048" i="9"/>
  <c r="BB369" i="9"/>
  <c r="BB1968" i="9"/>
  <c r="BB722" i="9"/>
  <c r="BB1264" i="9"/>
  <c r="BB1726" i="9"/>
  <c r="BB1489" i="10"/>
  <c r="BB819" i="9"/>
  <c r="BB969" i="9"/>
  <c r="BB901" i="9"/>
  <c r="BB1736" i="10"/>
  <c r="BB636" i="9"/>
  <c r="BB1874" i="10"/>
  <c r="BB590" i="9"/>
  <c r="BB250" i="9"/>
  <c r="BB588" i="9"/>
  <c r="BB1770" i="10"/>
  <c r="BB1981" i="10"/>
  <c r="BB1440" i="10"/>
  <c r="BB1614" i="10"/>
  <c r="BB1297" i="10"/>
  <c r="BB1386" i="10"/>
  <c r="BB1613" i="10"/>
  <c r="BB1123" i="10"/>
  <c r="BB117" i="9"/>
  <c r="BB268" i="9"/>
  <c r="BB1548" i="10"/>
  <c r="BB1930" i="10"/>
  <c r="BB1400" i="10"/>
  <c r="BB1883" i="10"/>
  <c r="BB1246" i="10"/>
  <c r="BB1181" i="10"/>
  <c r="BB1047" i="10"/>
  <c r="BB728" i="10"/>
  <c r="BB1120" i="10"/>
  <c r="BB330" i="9"/>
  <c r="BB383" i="9"/>
  <c r="BB525" i="9"/>
  <c r="BB38" i="9"/>
  <c r="BB1089" i="10"/>
  <c r="BB1660" i="10"/>
  <c r="BB652" i="10"/>
  <c r="BB1829" i="10"/>
  <c r="BB234" i="9"/>
  <c r="BB545" i="9"/>
  <c r="BB746" i="9"/>
  <c r="BB756" i="9"/>
  <c r="BB880" i="9"/>
  <c r="BB1574" i="10"/>
  <c r="BB1219" i="10"/>
  <c r="BB1116" i="10"/>
  <c r="BB1019" i="10"/>
  <c r="BB908" i="10"/>
  <c r="BB653" i="9"/>
  <c r="BB1466" i="10"/>
  <c r="BB157" i="9"/>
  <c r="BB1086" i="10"/>
  <c r="BB285" i="9"/>
  <c r="BB473" i="9"/>
  <c r="BB1557" i="10"/>
  <c r="BB81" i="9"/>
  <c r="BB139" i="9"/>
  <c r="BB1337" i="10"/>
  <c r="BB1353" i="10"/>
  <c r="BB1528" i="10"/>
  <c r="BB1216" i="10"/>
  <c r="BB1450" i="9"/>
  <c r="BB630" i="9"/>
  <c r="BB670" i="9"/>
  <c r="BB427" i="9"/>
  <c r="BB619" i="9"/>
  <c r="BB315" i="9"/>
  <c r="BB644" i="9"/>
  <c r="BB175" i="9"/>
  <c r="BB1958" i="10"/>
  <c r="BB1949" i="10"/>
  <c r="BB131" i="9"/>
  <c r="BB1876" i="10"/>
  <c r="BB1585" i="10"/>
  <c r="BB1320" i="10"/>
  <c r="BB1051" i="10"/>
  <c r="BB605" i="9"/>
  <c r="BB1572" i="10"/>
  <c r="BB1258" i="10"/>
  <c r="BB156" i="9"/>
  <c r="BB663" i="10"/>
  <c r="BB1173" i="10"/>
  <c r="BB461" i="9"/>
  <c r="BB895" i="10"/>
  <c r="BB761" i="9"/>
  <c r="BB1595" i="10"/>
  <c r="BB1628" i="10"/>
  <c r="BB1058" i="10"/>
  <c r="BB144" i="10"/>
  <c r="BB1680" i="10"/>
  <c r="BB408" i="10"/>
  <c r="BB930" i="10"/>
  <c r="BB1606" i="10"/>
  <c r="BB701" i="10"/>
  <c r="BB147" i="9"/>
  <c r="BB354" i="9"/>
  <c r="BB267" i="9"/>
  <c r="BB519" i="9"/>
  <c r="BB560" i="9"/>
  <c r="BB538" i="9"/>
  <c r="BB688" i="9"/>
  <c r="BB1530" i="10"/>
  <c r="BB1945" i="10"/>
  <c r="BB625" i="9"/>
  <c r="BB1210" i="10"/>
  <c r="BB1126" i="10"/>
  <c r="BB1708" i="10"/>
  <c r="BB1506" i="10"/>
  <c r="BB546" i="10"/>
  <c r="BB548" i="9"/>
  <c r="BB988" i="9"/>
  <c r="BB1686" i="10"/>
  <c r="BB1856" i="10"/>
  <c r="BB30" i="9"/>
  <c r="BB1832" i="10"/>
  <c r="BB1706" i="10"/>
  <c r="BB1578" i="10"/>
  <c r="BB1255" i="10"/>
  <c r="BB460" i="10"/>
  <c r="BB963" i="9"/>
  <c r="BB1842" i="10"/>
  <c r="BB724" i="9"/>
  <c r="BB29" i="9"/>
  <c r="BB1203" i="10"/>
  <c r="BB1296" i="10"/>
  <c r="BB1401" i="10"/>
  <c r="BB1697" i="10"/>
  <c r="BB436" i="10"/>
  <c r="BB998" i="9"/>
  <c r="BB395" i="9"/>
  <c r="BB78" i="9"/>
  <c r="BB732" i="9"/>
  <c r="BB308" i="9"/>
  <c r="BB1291" i="10"/>
  <c r="BB1317" i="10"/>
  <c r="BB1576" i="10"/>
  <c r="BB992" i="10"/>
  <c r="BB873" i="10"/>
  <c r="BB1367" i="9"/>
  <c r="BB443" i="9"/>
  <c r="BB1776" i="10"/>
  <c r="BB1622" i="10"/>
  <c r="BB40" i="9"/>
  <c r="BB113" i="9"/>
  <c r="BB939" i="9"/>
  <c r="BB207" i="9"/>
  <c r="BB1850" i="10"/>
  <c r="BB1991" i="10"/>
  <c r="BB140" i="9"/>
  <c r="BB1117" i="10"/>
  <c r="BB1053" i="10"/>
  <c r="BB1237" i="10"/>
  <c r="BB1390" i="10"/>
  <c r="BB657" i="10"/>
  <c r="BB310" i="9"/>
  <c r="BB1617" i="10"/>
  <c r="BB108" i="9"/>
  <c r="BB221" i="9"/>
  <c r="BB236" i="9"/>
  <c r="BB434" i="9"/>
  <c r="BB438" i="9"/>
  <c r="BB537" i="9"/>
  <c r="BB1559" i="10"/>
  <c r="BB1784" i="10"/>
  <c r="BB1547" i="10"/>
  <c r="BB1890" i="10"/>
  <c r="BB1299" i="10"/>
  <c r="BB980" i="10"/>
  <c r="BB1149" i="10"/>
  <c r="BB823" i="10"/>
  <c r="BB902" i="10"/>
  <c r="BB1443" i="10"/>
  <c r="BB919" i="10"/>
  <c r="BB318" i="10"/>
  <c r="BB921" i="10"/>
  <c r="BB504" i="10"/>
  <c r="BB572" i="10"/>
  <c r="BB659" i="10"/>
  <c r="BB119" i="10"/>
  <c r="BB497" i="10"/>
  <c r="BB477" i="10"/>
  <c r="BB831" i="10"/>
  <c r="BB1393" i="10"/>
  <c r="BB200" i="9"/>
  <c r="BB1328" i="10"/>
  <c r="BB1788" i="10"/>
  <c r="BB806" i="10"/>
  <c r="BB784" i="10"/>
  <c r="BB865" i="10"/>
  <c r="BB1015" i="10"/>
  <c r="BB723" i="10"/>
  <c r="BB1083" i="10"/>
  <c r="BB89" i="10"/>
  <c r="BB217" i="10"/>
  <c r="BB1154" i="10"/>
  <c r="BB57" i="10"/>
  <c r="BB593" i="10"/>
  <c r="BB159" i="9"/>
  <c r="BB1769" i="10"/>
  <c r="BB1841" i="10"/>
  <c r="BB1470" i="10"/>
  <c r="BB858" i="10"/>
  <c r="BB442" i="10"/>
  <c r="BB691" i="10"/>
  <c r="BB1844" i="10"/>
  <c r="BB277" i="10"/>
  <c r="BB981" i="10"/>
  <c r="BB856" i="10"/>
  <c r="BB1065" i="10"/>
  <c r="BB938" i="10"/>
  <c r="BB595" i="10"/>
  <c r="BB1308" i="10"/>
  <c r="BB5" i="10"/>
  <c r="BB1155" i="10"/>
  <c r="BB179" i="10"/>
  <c r="BB703" i="10"/>
  <c r="BB395" i="10"/>
  <c r="BB604" i="10"/>
  <c r="BB9" i="10"/>
  <c r="BB1830" i="10"/>
  <c r="BB1579" i="9"/>
  <c r="BB478" i="9"/>
  <c r="BB666" i="9"/>
  <c r="BB748" i="9"/>
  <c r="BB856" i="9"/>
  <c r="BB278" i="9"/>
  <c r="BB635" i="9"/>
  <c r="BB889" i="9"/>
  <c r="BB1690" i="10"/>
  <c r="BB24" i="9"/>
  <c r="BB311" i="9"/>
  <c r="BB1525" i="10"/>
  <c r="BB791" i="10"/>
  <c r="BB1827" i="10"/>
  <c r="BB12" i="9"/>
  <c r="BB875" i="10"/>
  <c r="BB968" i="9"/>
  <c r="BB287" i="9"/>
  <c r="BB532" i="9"/>
  <c r="BB182" i="9"/>
  <c r="BB483" i="9"/>
  <c r="BB28" i="9"/>
  <c r="BB1360" i="10"/>
  <c r="BB1114" i="10"/>
  <c r="BB1245" i="10"/>
  <c r="BB1004" i="9"/>
  <c r="BB242" i="9"/>
  <c r="BB444" i="9"/>
  <c r="BB464" i="9"/>
  <c r="BB134" i="9"/>
  <c r="BB1696" i="10"/>
  <c r="BB1870" i="10"/>
  <c r="BB1712" i="10"/>
  <c r="BB1137" i="10"/>
  <c r="BB1948" i="10"/>
  <c r="BB1434" i="10"/>
  <c r="BB599" i="9"/>
  <c r="BB316" i="9"/>
  <c r="BB634" i="9"/>
  <c r="BB712" i="9"/>
  <c r="BB1490" i="10"/>
  <c r="BB854" i="10"/>
  <c r="BB1232" i="10"/>
  <c r="BB1191" i="10"/>
  <c r="BB79" i="10"/>
  <c r="BB1553" i="9"/>
  <c r="BB1391" i="10"/>
  <c r="BB23" i="9"/>
  <c r="BB1620" i="10"/>
  <c r="BB266" i="9"/>
  <c r="BB782" i="9"/>
  <c r="BB375" i="9"/>
  <c r="BB527" i="9"/>
  <c r="BB322" i="9"/>
  <c r="BB542" i="9"/>
  <c r="BB1655" i="10"/>
  <c r="BB1343" i="10"/>
  <c r="BB1570" i="10"/>
  <c r="BB1026" i="10"/>
  <c r="BB1955" i="10"/>
  <c r="BB209" i="9"/>
  <c r="BB496" i="9"/>
  <c r="BB811" i="9"/>
  <c r="BB318" i="9"/>
  <c r="BB178" i="9"/>
  <c r="BB92" i="9"/>
  <c r="BB812" i="9"/>
  <c r="BB566" i="9"/>
  <c r="BB220" i="9"/>
  <c r="BB1439" i="10"/>
  <c r="BB1300" i="10"/>
  <c r="BB1425" i="10"/>
  <c r="BB1623" i="10"/>
  <c r="BB863" i="10"/>
  <c r="BB935" i="10"/>
  <c r="BB1361" i="10"/>
  <c r="BB1144" i="10"/>
  <c r="BB1322" i="10"/>
  <c r="BB785" i="10"/>
  <c r="BB256" i="10"/>
  <c r="BB507" i="10"/>
  <c r="BB933" i="10"/>
  <c r="BB390" i="10"/>
  <c r="BB537" i="10"/>
  <c r="BB357" i="10"/>
  <c r="BB291" i="10"/>
  <c r="BB289" i="10"/>
  <c r="BB137" i="10"/>
  <c r="BB1468" i="10"/>
  <c r="BB1704" i="10"/>
  <c r="BB1287" i="10"/>
  <c r="BB909" i="10"/>
  <c r="BB1045" i="10"/>
  <c r="BB739" i="10"/>
  <c r="BB502" i="10"/>
  <c r="BB1042" i="10"/>
  <c r="BB1196" i="10"/>
  <c r="BB807" i="10"/>
  <c r="BB59" i="10"/>
  <c r="BB143" i="10"/>
  <c r="BB371" i="10"/>
  <c r="BB469" i="10"/>
  <c r="BB203" i="10"/>
  <c r="BB494" i="10"/>
  <c r="BB1791" i="10"/>
  <c r="BB14" i="9"/>
  <c r="BB1382" i="10"/>
  <c r="BB1289" i="10"/>
  <c r="BB646" i="10"/>
  <c r="BB1355" i="10"/>
  <c r="BB985" i="10"/>
  <c r="BB1860" i="10"/>
  <c r="BB35" i="10"/>
  <c r="BB973" i="10"/>
  <c r="BB133" i="10"/>
  <c r="BB463" i="10"/>
  <c r="BB169" i="10"/>
  <c r="BB1323" i="10"/>
  <c r="BB1112" i="10"/>
  <c r="BB733" i="10"/>
  <c r="BB719" i="10"/>
  <c r="BB998" i="10"/>
  <c r="BB1852" i="10"/>
  <c r="BB1962" i="10"/>
  <c r="BB474" i="10"/>
  <c r="BB139" i="10"/>
  <c r="BB1730" i="9"/>
  <c r="BB329" i="9"/>
  <c r="BB1763" i="10"/>
  <c r="BB660" i="9"/>
  <c r="BB251" i="9"/>
  <c r="BB153" i="9"/>
  <c r="BB1752" i="10"/>
  <c r="BB317" i="9"/>
  <c r="BB1480" i="10"/>
  <c r="BB73" i="9"/>
  <c r="BB186" i="9"/>
  <c r="BB1734" i="10"/>
  <c r="BB1668" i="10"/>
  <c r="BB1601" i="10"/>
  <c r="BB1773" i="10"/>
  <c r="BB1541" i="10"/>
  <c r="BB279" i="9"/>
  <c r="BB1973" i="10"/>
  <c r="BB881" i="9"/>
  <c r="BB75" i="9"/>
  <c r="BB1694" i="10"/>
  <c r="BB1605" i="10"/>
  <c r="BB1493" i="10"/>
  <c r="BB202" i="9"/>
  <c r="BB814" i="10"/>
  <c r="BB85" i="9"/>
  <c r="BB1893" i="10"/>
  <c r="BB766" i="9"/>
  <c r="BB792" i="9"/>
  <c r="BB91" i="9"/>
  <c r="BB1458" i="10"/>
  <c r="BB1896" i="10"/>
  <c r="BB1371" i="10"/>
  <c r="BB6" i="9"/>
  <c r="BB1165" i="10"/>
  <c r="BB419" i="9"/>
  <c r="BB639" i="9"/>
  <c r="BB37" i="9"/>
  <c r="BB1667" i="10"/>
  <c r="BB1695" i="10"/>
  <c r="BB1757" i="10"/>
  <c r="BB1737" i="10"/>
  <c r="BB891" i="10"/>
  <c r="BB1968" i="10"/>
  <c r="BB515" i="9"/>
  <c r="BB190" i="9"/>
  <c r="BB1969" i="10"/>
  <c r="BB248" i="9"/>
  <c r="BB1836" i="10"/>
  <c r="BB148" i="9"/>
  <c r="BB1450" i="10"/>
  <c r="BB276" i="9"/>
  <c r="BB1802" i="10"/>
  <c r="BB391" i="9"/>
  <c r="BB609" i="9"/>
  <c r="BB1593" i="10"/>
  <c r="BB1568" i="10"/>
  <c r="BB1715" i="10"/>
  <c r="BB982" i="9"/>
  <c r="BB1665" i="10"/>
  <c r="BB401" i="9"/>
  <c r="BB696" i="9"/>
  <c r="BB1512" i="10"/>
  <c r="BB682" i="9"/>
  <c r="BB431" i="9"/>
  <c r="BB776" i="9"/>
  <c r="BB179" i="9"/>
  <c r="BB921" i="9"/>
  <c r="BB1632" i="10"/>
  <c r="BB1023" i="10"/>
  <c r="BB837" i="10"/>
  <c r="BB1645" i="10"/>
  <c r="BB1886" i="10"/>
  <c r="BB740" i="10"/>
  <c r="BB1233" i="10"/>
  <c r="BB850" i="10"/>
  <c r="BB1604" i="10"/>
  <c r="BB1284" i="10"/>
  <c r="BB594" i="10"/>
  <c r="BB638" i="10"/>
  <c r="BB1404" i="10"/>
  <c r="BB1324" i="10"/>
  <c r="BB721" i="10"/>
  <c r="BB138" i="10"/>
  <c r="BB17" i="10"/>
  <c r="BB567" i="10"/>
  <c r="BB752" i="10"/>
  <c r="BB799" i="10"/>
  <c r="BB503" i="9"/>
  <c r="BB1087" i="10"/>
  <c r="BB1384" i="10"/>
  <c r="BB1965" i="10"/>
  <c r="BB1597" i="10"/>
  <c r="BB570" i="10"/>
  <c r="BB949" i="10"/>
  <c r="BB867" i="10"/>
  <c r="BB308" i="10"/>
  <c r="BB620" i="10"/>
  <c r="BB811" i="10"/>
  <c r="BB426" i="10"/>
  <c r="BB20" i="10"/>
  <c r="BB304" i="10"/>
  <c r="BB889" i="10"/>
  <c r="BB193" i="10"/>
  <c r="BB1564" i="10"/>
  <c r="BB1457" i="10"/>
  <c r="BB21" i="9"/>
  <c r="BB1326" i="10"/>
  <c r="BB616" i="10"/>
  <c r="BB922" i="10"/>
  <c r="BB204" i="10"/>
  <c r="BB1363" i="10"/>
  <c r="BB159" i="10"/>
  <c r="BB530" i="10"/>
  <c r="BB876" i="10"/>
  <c r="BB373" i="10"/>
  <c r="BB1171" i="10"/>
  <c r="BB215" i="10"/>
  <c r="BB964" i="10"/>
  <c r="BB118" i="10"/>
  <c r="BB1000" i="10"/>
  <c r="BB199" i="10"/>
  <c r="BB828" i="10"/>
  <c r="BB649" i="10"/>
  <c r="BB154" i="10"/>
  <c r="BB263" i="10"/>
  <c r="BB1301" i="10"/>
  <c r="BB1447" i="9"/>
  <c r="BB198" i="9"/>
  <c r="BB863" i="9"/>
  <c r="BB1016" i="9"/>
  <c r="BB1527" i="10"/>
  <c r="BB405" i="9"/>
  <c r="BB1599" i="10"/>
  <c r="BB327" i="9"/>
  <c r="BB1127" i="10"/>
  <c r="BB610" i="9"/>
  <c r="BB498" i="9"/>
  <c r="BB1220" i="10"/>
  <c r="BB579" i="10"/>
  <c r="BB1093" i="10"/>
  <c r="BB1362" i="10"/>
  <c r="BB518" i="10"/>
  <c r="BB282" i="9"/>
  <c r="BB797" i="9"/>
  <c r="BB1762" i="10"/>
  <c r="BB416" i="9"/>
  <c r="BB1350" i="10"/>
  <c r="BB1075" i="10"/>
  <c r="BB1099" i="10"/>
  <c r="BB1994" i="10"/>
  <c r="BB886" i="10"/>
  <c r="BB191" i="9"/>
  <c r="BB453" i="9"/>
  <c r="BB472" i="9"/>
  <c r="BB577" i="9"/>
  <c r="BB648" i="9"/>
  <c r="BB1169" i="10"/>
  <c r="BB1732" i="10"/>
  <c r="BB1438" i="10"/>
  <c r="BB1311" i="10"/>
  <c r="BB818" i="10"/>
  <c r="BB616" i="9"/>
  <c r="BB1964" i="10"/>
  <c r="BB448" i="9"/>
  <c r="BB1878" i="10"/>
  <c r="BB1641" i="10"/>
  <c r="BB1970" i="10"/>
  <c r="BB1445" i="10"/>
  <c r="BB603" i="9"/>
  <c r="BB1004" i="10"/>
  <c r="BB1601" i="9"/>
  <c r="BB1254" i="9"/>
  <c r="BB55" i="9"/>
  <c r="BB435" i="9"/>
  <c r="BB1961" i="10"/>
  <c r="BB455" i="9"/>
  <c r="BB197" i="9"/>
  <c r="BB556" i="9"/>
  <c r="BB521" i="9"/>
  <c r="BB597" i="9"/>
  <c r="BB1941" i="10"/>
  <c r="BB1729" i="10"/>
  <c r="BB1463" i="10"/>
  <c r="BB1912" i="10"/>
  <c r="BB1442" i="10"/>
  <c r="BB838" i="10"/>
  <c r="BB1415" i="10"/>
  <c r="BB763" i="9"/>
  <c r="BB1914" i="10"/>
  <c r="BB843" i="9"/>
  <c r="BB595" i="9"/>
  <c r="BB715" i="9"/>
  <c r="BB1810" i="10"/>
  <c r="BB1366" i="10"/>
  <c r="BB98" i="9"/>
  <c r="BB1208" i="10"/>
  <c r="BB1330" i="10"/>
  <c r="BB1926" i="10"/>
  <c r="BB1534" i="10"/>
  <c r="BB31" i="10"/>
  <c r="BB1943" i="10"/>
  <c r="BB1647" i="10"/>
  <c r="BB734" i="10"/>
  <c r="BB590" i="10"/>
  <c r="BB1069" i="10"/>
  <c r="BB607" i="10"/>
  <c r="BB461" i="10"/>
  <c r="BB108" i="10"/>
  <c r="BB702" i="10"/>
  <c r="BB403" i="10"/>
  <c r="BB313" i="10"/>
  <c r="BB662" i="10"/>
  <c r="BB779" i="10"/>
  <c r="BB132" i="10"/>
  <c r="BB1754" i="10"/>
  <c r="BB1932" i="10"/>
  <c r="BB1040" i="10"/>
  <c r="BB1540" i="10"/>
  <c r="BB1079" i="10"/>
  <c r="BB416" i="10"/>
  <c r="BB621" i="10"/>
  <c r="BB1067" i="10"/>
  <c r="BB1813" i="10"/>
  <c r="BB348" i="10"/>
  <c r="BB532" i="10"/>
  <c r="BB66" i="10"/>
  <c r="BB310" i="10"/>
  <c r="BB116" i="10"/>
  <c r="BB842" i="10"/>
  <c r="BB419" i="10"/>
  <c r="BB1029" i="10"/>
  <c r="BB1304" i="10"/>
  <c r="BB1911" i="10"/>
  <c r="BB545" i="10"/>
  <c r="BB731" i="10"/>
  <c r="BB1050" i="10"/>
  <c r="BB56" i="10"/>
  <c r="BB374" i="10"/>
  <c r="BB285" i="10"/>
  <c r="BB415" i="10"/>
  <c r="BB1084" i="10"/>
  <c r="BB329" i="10"/>
  <c r="BB672" i="10"/>
  <c r="BB67" i="10"/>
  <c r="BB384" i="10"/>
  <c r="BB381" i="10"/>
  <c r="BB539" i="10"/>
  <c r="BB1473" i="10"/>
  <c r="BB1014" i="10"/>
  <c r="BB1553" i="10"/>
  <c r="BB68" i="10"/>
  <c r="BB157" i="10"/>
  <c r="BB264" i="9"/>
  <c r="BB1103" i="10"/>
  <c r="BB96" i="9"/>
  <c r="BB459" i="9"/>
  <c r="BB1818" i="10"/>
  <c r="BB1855" i="10"/>
  <c r="BB210" i="9"/>
  <c r="BB176" i="9"/>
  <c r="BB338" i="9"/>
  <c r="BB604" i="9"/>
  <c r="BB335" i="9"/>
  <c r="BB230" i="9"/>
  <c r="BB779" i="9"/>
  <c r="BB1424" i="10"/>
  <c r="BB878" i="10"/>
  <c r="BB1254" i="10"/>
  <c r="BB1418" i="10"/>
  <c r="BB351" i="9"/>
  <c r="BB567" i="9"/>
  <c r="BB730" i="9"/>
  <c r="BB740" i="9"/>
  <c r="BB780" i="9"/>
  <c r="BB1298" i="10"/>
  <c r="BB1539" i="10"/>
  <c r="BB1060" i="10"/>
  <c r="BB1577" i="10"/>
  <c r="BB36" i="10"/>
  <c r="BB442" i="9"/>
  <c r="BB659" i="9"/>
  <c r="BB1805" i="10"/>
  <c r="BB1990" i="10"/>
  <c r="BB587" i="9"/>
  <c r="BB1471" i="10"/>
  <c r="BB1811" i="10"/>
  <c r="BB1649" i="10"/>
  <c r="BB1446" i="10"/>
  <c r="BB872" i="10"/>
  <c r="BB683" i="9"/>
  <c r="BB270" i="9"/>
  <c r="BB906" i="9"/>
  <c r="BB1888" i="10"/>
  <c r="BB1603" i="10"/>
  <c r="BB1824" i="10"/>
  <c r="BB1231" i="10"/>
  <c r="BB1462" i="10"/>
  <c r="BB1960" i="10"/>
  <c r="BB1548" i="9"/>
  <c r="BB668" i="9"/>
  <c r="BB243" i="9"/>
  <c r="BB1414" i="10"/>
  <c r="BB1432" i="10"/>
  <c r="BB854" i="9"/>
  <c r="BB345" i="9"/>
  <c r="BB596" i="9"/>
  <c r="BB918" i="9"/>
  <c r="BB900" i="9"/>
  <c r="BB1549" i="10"/>
  <c r="BB1656" i="10"/>
  <c r="BB232" i="9"/>
  <c r="BB1935" i="10"/>
  <c r="BB104" i="9"/>
  <c r="BB853" i="10"/>
  <c r="BB754" i="9"/>
  <c r="BB701" i="9"/>
  <c r="BB292" i="9"/>
  <c r="BB169" i="9"/>
  <c r="BB1394" i="10"/>
  <c r="BB904" i="9"/>
  <c r="BB1937" i="10"/>
  <c r="BB184" i="9"/>
  <c r="BB257" i="9"/>
  <c r="BB1709" i="10"/>
  <c r="BB984" i="10"/>
  <c r="BB513" i="10"/>
  <c r="BB1429" i="10"/>
  <c r="BB368" i="10"/>
  <c r="BB1676" i="10"/>
  <c r="BB628" i="10"/>
  <c r="BB536" i="10"/>
  <c r="BB861" i="10"/>
  <c r="BB1125" i="10"/>
  <c r="BB965" i="10"/>
  <c r="BB45" i="10"/>
  <c r="BB296" i="10"/>
  <c r="BB489" i="10"/>
  <c r="BB301" i="10"/>
  <c r="BB400" i="10"/>
  <c r="BB377" i="10"/>
  <c r="BB270" i="10"/>
  <c r="BB399" i="10"/>
  <c r="BB1129" i="10"/>
  <c r="BB1077" i="10"/>
  <c r="BB1747" i="10"/>
  <c r="BB1398" i="10"/>
  <c r="BB715" i="10"/>
  <c r="BB986" i="10"/>
  <c r="BB687" i="10"/>
  <c r="BB216" i="10"/>
  <c r="BB819" i="10"/>
  <c r="BB485" i="10"/>
  <c r="BB354" i="10"/>
  <c r="BB81" i="10"/>
  <c r="BB790" i="10"/>
  <c r="BB86" i="10"/>
  <c r="BB833" i="10"/>
  <c r="BB1147" i="10"/>
  <c r="BB1437" i="10"/>
  <c r="BB1922" i="10"/>
  <c r="BB1584" i="10"/>
  <c r="BB1241" i="10"/>
  <c r="BB640" i="10"/>
  <c r="BB1001" i="10"/>
  <c r="BB549" i="10"/>
  <c r="BB554" i="10"/>
  <c r="BB934" i="10"/>
  <c r="BB978" i="10"/>
  <c r="BB1161" i="10"/>
  <c r="BB581" i="10"/>
  <c r="BB543" i="10"/>
  <c r="BB190" i="10"/>
  <c r="BB1225" i="10"/>
  <c r="BB224" i="10"/>
  <c r="BB767" i="10"/>
  <c r="BB1921" i="10"/>
  <c r="BB835" i="10"/>
  <c r="BB915" i="10"/>
  <c r="BB249" i="10"/>
  <c r="BB1953" i="10"/>
  <c r="BB1452" i="10"/>
  <c r="BB457" i="9"/>
  <c r="BB892" i="10"/>
  <c r="BB463" i="9"/>
  <c r="BB1882" i="10"/>
  <c r="BB51" i="9"/>
  <c r="BB512" i="9"/>
  <c r="BB1801" i="10"/>
  <c r="BB1184" i="10"/>
  <c r="BB1118" i="10"/>
  <c r="BB374" i="9"/>
  <c r="BB756" i="10"/>
  <c r="BB231" i="9"/>
  <c r="BB1871" i="10"/>
  <c r="BB1891" i="10"/>
  <c r="BB1409" i="10"/>
  <c r="BB1594" i="10"/>
  <c r="BB1742" i="10"/>
  <c r="BB1164" i="10"/>
  <c r="BB1573" i="10"/>
  <c r="BB1190" i="10"/>
  <c r="BB1313" i="10"/>
  <c r="BB1718" i="10"/>
  <c r="BB720" i="9"/>
  <c r="BB1652" i="10"/>
  <c r="BB946" i="9"/>
  <c r="BB978" i="9"/>
  <c r="BB1406" i="10"/>
  <c r="BB1104" i="10"/>
  <c r="BB575" i="10"/>
  <c r="BB1873" i="10"/>
  <c r="BB129" i="10"/>
  <c r="BB865" i="9"/>
  <c r="BB280" i="9"/>
  <c r="BB399" i="9"/>
  <c r="BB86" i="9"/>
  <c r="BB1942" i="10"/>
  <c r="BB1627" i="10"/>
  <c r="BB1329" i="10"/>
  <c r="BB1244" i="10"/>
  <c r="BB1240" i="10"/>
  <c r="BB1511" i="9"/>
  <c r="BB1007" i="9"/>
  <c r="BB502" i="9"/>
  <c r="BB772" i="9"/>
  <c r="BB1498" i="10"/>
  <c r="BB1347" i="10"/>
  <c r="BB530" i="9"/>
  <c r="BB1419" i="10"/>
  <c r="BB342" i="9"/>
  <c r="BB48" i="9"/>
  <c r="BB333" i="9"/>
  <c r="BB1800" i="10"/>
  <c r="BB1513" i="10"/>
  <c r="BB168" i="9"/>
  <c r="BB9" i="9"/>
  <c r="BB492" i="10"/>
  <c r="BB693" i="9"/>
  <c r="BB1375" i="10"/>
  <c r="BB1985" i="10"/>
  <c r="BB42" i="9"/>
  <c r="BB15" i="9"/>
  <c r="BB347" i="9"/>
  <c r="BB1887" i="10"/>
  <c r="BB400" i="9"/>
  <c r="BB1615" i="10"/>
  <c r="BB855" i="10"/>
  <c r="BB1689" i="10"/>
  <c r="BB780" i="10"/>
  <c r="BB923" i="10"/>
  <c r="BB1333" i="10"/>
  <c r="BB1487" i="10"/>
  <c r="BB1484" i="10"/>
  <c r="BB993" i="10"/>
  <c r="BB988" i="10"/>
  <c r="BB971" i="10"/>
  <c r="BB598" i="10"/>
  <c r="BB717" i="10"/>
  <c r="BB472" i="10"/>
  <c r="BB735" i="10"/>
  <c r="BB6" i="10"/>
  <c r="BB1038" i="10"/>
  <c r="BB454" i="10"/>
  <c r="BB317" i="10"/>
  <c r="BB1679" i="10"/>
  <c r="BB2000" i="10"/>
  <c r="BB1889" i="10"/>
  <c r="BB1372" i="10"/>
  <c r="BB1448" i="10"/>
  <c r="BB1186" i="10"/>
  <c r="BB983" i="10"/>
  <c r="BB1056" i="10"/>
  <c r="BB1293" i="10"/>
  <c r="BB898" i="10"/>
  <c r="BB293" i="10"/>
  <c r="BB225" i="10"/>
  <c r="BB601" i="10"/>
  <c r="BB464" i="10"/>
  <c r="BB156" i="10"/>
  <c r="BB18" i="10"/>
  <c r="BB1275" i="10"/>
  <c r="BB1996" i="10"/>
  <c r="BB1303" i="10"/>
  <c r="BB1526" i="10"/>
  <c r="BB961" i="10"/>
  <c r="BB1003" i="10"/>
  <c r="BB1032" i="10"/>
  <c r="BB768" i="10"/>
  <c r="BB1359" i="10"/>
  <c r="BB1485" i="10"/>
  <c r="BB12" i="10"/>
  <c r="BB1453" i="10"/>
  <c r="BB560" i="10"/>
  <c r="BB1475" i="10"/>
  <c r="BB391" i="10"/>
  <c r="BB952" i="10"/>
  <c r="BB1987" i="10"/>
  <c r="BB1262" i="10"/>
  <c r="BB1379" i="10"/>
  <c r="BB200" i="10"/>
  <c r="BB1172" i="10"/>
  <c r="BB242" i="10"/>
  <c r="BB1392" i="10"/>
  <c r="BB894" i="10"/>
  <c r="BB1302" i="9"/>
  <c r="BB1202" i="10"/>
  <c r="BB16" i="9"/>
  <c r="BB1944" i="10"/>
  <c r="BB809" i="9"/>
  <c r="BB1250" i="9"/>
  <c r="BB627" i="9"/>
  <c r="BB864" i="9"/>
  <c r="BB1514" i="10"/>
  <c r="BB558" i="9"/>
  <c r="BB1399" i="10"/>
  <c r="BB1396" i="10"/>
  <c r="BB1279" i="10"/>
  <c r="BB1714" i="10"/>
  <c r="BB729" i="10"/>
  <c r="BB535" i="9"/>
  <c r="BB735" i="9"/>
  <c r="BB676" i="9"/>
  <c r="BB1782" i="10"/>
  <c r="BB984" i="9"/>
  <c r="BB1451" i="10"/>
  <c r="BB642" i="10"/>
  <c r="BB1504" i="10"/>
  <c r="BB1767" i="10"/>
  <c r="BB90" i="10"/>
  <c r="BB692" i="9"/>
  <c r="BB912" i="9"/>
  <c r="BB684" i="9"/>
  <c r="BB1675" i="10"/>
  <c r="BB1980" i="10"/>
  <c r="BB1799" i="10"/>
  <c r="BB1611" i="10"/>
  <c r="BB1136" i="10"/>
  <c r="BB1251" i="10"/>
  <c r="BB624" i="9"/>
  <c r="BB1634" i="10"/>
  <c r="BB467" i="9"/>
  <c r="BB397" i="9"/>
  <c r="BB675" i="9"/>
  <c r="BB1702" i="10"/>
  <c r="BB1630" i="10"/>
  <c r="BB1078" i="10"/>
  <c r="BB1663" i="10"/>
  <c r="BB841" i="10"/>
  <c r="BB952" i="9"/>
  <c r="BB313" i="9"/>
  <c r="BB697" i="9"/>
  <c r="BB1441" i="10"/>
  <c r="BB1378" i="10"/>
  <c r="BB11" i="9"/>
  <c r="BB543" i="9"/>
  <c r="BB892" i="9"/>
  <c r="BB723" i="9"/>
  <c r="BB89" i="9"/>
  <c r="BB188" i="9"/>
  <c r="BB1748" i="10"/>
  <c r="BB1267" i="10"/>
  <c r="BB1822" i="10"/>
  <c r="BB1670" i="10"/>
  <c r="BB1236" i="10"/>
  <c r="BB886" i="9"/>
  <c r="BB1500" i="10"/>
  <c r="BB296" i="9"/>
  <c r="BB1508" i="10"/>
  <c r="BB149" i="9"/>
  <c r="BB1909" i="10"/>
  <c r="BB8" i="9"/>
  <c r="BB764" i="9"/>
  <c r="BB1552" i="10"/>
  <c r="BB1758" i="10"/>
  <c r="BB1881" i="10"/>
  <c r="BB874" i="9"/>
  <c r="BB1642" i="10"/>
  <c r="BB1204" i="10"/>
  <c r="BB1269" i="10"/>
  <c r="BB1983" i="10"/>
  <c r="BB1226" i="10"/>
  <c r="BB1122" i="10"/>
  <c r="BB1207" i="10"/>
  <c r="BB183" i="10"/>
  <c r="BB1230" i="10"/>
  <c r="BB300" i="10"/>
  <c r="BB107" i="10"/>
  <c r="BB692" i="10"/>
  <c r="BB150" i="10"/>
  <c r="BB397" i="10"/>
  <c r="BB259" i="10"/>
  <c r="BB1509" i="10"/>
  <c r="BB1088" i="10"/>
  <c r="BB506" i="10"/>
  <c r="BB1268" i="10"/>
  <c r="BB887" i="10"/>
  <c r="BB52" i="10"/>
  <c r="BB1403" i="10"/>
  <c r="BB578" i="10"/>
  <c r="BB38" i="10"/>
  <c r="BB574" i="10"/>
  <c r="BB666" i="10"/>
  <c r="BB229" i="10"/>
  <c r="BB1018" i="10"/>
  <c r="BB565" i="10"/>
  <c r="BB125" i="10"/>
  <c r="BB251" i="10"/>
  <c r="BB1145" i="10"/>
  <c r="BB1950" i="10"/>
  <c r="BB1497" i="10"/>
  <c r="BB1187" i="10"/>
  <c r="BB1561" i="10"/>
  <c r="BB1009" i="10"/>
  <c r="BB372" i="10"/>
  <c r="BB282" i="10"/>
  <c r="BB916" i="10"/>
  <c r="BB914" i="10"/>
  <c r="BB910" i="10"/>
  <c r="BB812" i="10"/>
  <c r="BB633" i="10"/>
  <c r="BB294" i="10"/>
  <c r="BB409" i="10"/>
  <c r="BB1140" i="10"/>
  <c r="BB1160" i="10"/>
  <c r="BB275" i="10"/>
  <c r="BB1218" i="10"/>
  <c r="BB248" i="10"/>
  <c r="BB804" i="10"/>
  <c r="BB580" i="10"/>
  <c r="BB1411" i="10"/>
  <c r="BB795" i="10"/>
  <c r="BB870" i="10"/>
  <c r="BB641" i="10"/>
  <c r="BB331" i="10"/>
  <c r="BB365" i="10"/>
  <c r="BB389" i="10"/>
  <c r="BB14" i="10"/>
  <c r="BB414" i="10"/>
  <c r="BB762" i="10"/>
  <c r="BB72" i="9"/>
  <c r="BB1134" i="10"/>
  <c r="BB1312" i="10"/>
  <c r="BB675" i="10"/>
  <c r="BB924" i="10"/>
  <c r="BB864" i="10"/>
  <c r="BB482" i="10"/>
  <c r="BB299" i="10"/>
  <c r="BB661" i="10"/>
  <c r="BB490" i="10"/>
  <c r="BB84" i="10"/>
  <c r="BB244" i="10"/>
  <c r="BB801" i="10"/>
  <c r="BB254" i="10"/>
  <c r="BB1997" i="10"/>
  <c r="BB822" i="10"/>
  <c r="BB606" i="10"/>
  <c r="BB1295" i="10"/>
  <c r="BB968" i="10"/>
  <c r="BB960" i="10"/>
  <c r="BB1756" i="10"/>
  <c r="BB475" i="10"/>
  <c r="BB33" i="10"/>
  <c r="BB755" i="10"/>
  <c r="BB647" i="10"/>
  <c r="BB343" i="10"/>
  <c r="BB63" i="10"/>
  <c r="BB1182" i="10"/>
  <c r="BB1580" i="10"/>
  <c r="BB857" i="10"/>
  <c r="BB1938" i="10"/>
  <c r="BB1101" i="10"/>
  <c r="BB1529" i="10"/>
  <c r="BB1252" i="10"/>
  <c r="BB636" i="10"/>
  <c r="BB1198" i="10"/>
  <c r="BB1211" i="10"/>
  <c r="BB480" i="10"/>
  <c r="BB123" i="10"/>
  <c r="BB718" i="10"/>
  <c r="BB111" i="10"/>
  <c r="BB810" i="10"/>
  <c r="BB584" i="10"/>
  <c r="BB1840" i="10"/>
  <c r="BB1481" i="10"/>
  <c r="BB1357" i="10"/>
  <c r="BB394" i="10"/>
  <c r="BB798" i="10"/>
  <c r="BB511" i="10"/>
  <c r="BB201" i="10"/>
  <c r="BB713" i="10"/>
  <c r="BB931" i="10"/>
  <c r="BB98" i="10"/>
  <c r="BB342" i="10"/>
  <c r="BB148" i="10"/>
  <c r="BB655" i="10"/>
  <c r="BB369" i="10"/>
  <c r="BB1807" i="10"/>
  <c r="BB1833" i="10"/>
  <c r="BB658" i="10"/>
  <c r="BB1444" i="10"/>
  <c r="BB825" i="10"/>
  <c r="BB972" i="10"/>
  <c r="BB990" i="10"/>
  <c r="BB398" i="10"/>
  <c r="BB50" i="10"/>
  <c r="BB991" i="10"/>
  <c r="BB272" i="10"/>
  <c r="BB128" i="10"/>
  <c r="BB405" i="10"/>
  <c r="BB805" i="10"/>
  <c r="BB1133" i="10"/>
  <c r="BB1008" i="10"/>
  <c r="BB1749" i="10"/>
  <c r="BB1571" i="10"/>
  <c r="BB614" i="10"/>
  <c r="BB526" i="10"/>
  <c r="BB451" i="10"/>
  <c r="BB813" i="10"/>
  <c r="BB273" i="10"/>
  <c r="BB44" i="10"/>
  <c r="BB1054" i="10"/>
  <c r="BB516" i="10"/>
  <c r="BB325" i="10"/>
  <c r="BB1826" i="10"/>
  <c r="BB1096" i="10"/>
  <c r="BB1052" i="10"/>
  <c r="BB1717" i="10"/>
  <c r="BB783" i="10"/>
  <c r="BB99" i="10"/>
  <c r="BB664" i="10"/>
  <c r="BB109" i="10"/>
  <c r="BB874" i="10"/>
  <c r="BB172" i="10"/>
  <c r="BB24" i="10"/>
  <c r="BB252" i="10"/>
  <c r="BB495" i="10"/>
  <c r="BB250" i="10"/>
  <c r="BB1447" i="10"/>
  <c r="BB1179" i="10"/>
  <c r="BB1494" i="10"/>
  <c r="BB879" i="10"/>
  <c r="BB689" i="10"/>
  <c r="BB481" i="10"/>
  <c r="BB1331" i="10"/>
  <c r="BB413" i="10"/>
  <c r="BB1013" i="10"/>
  <c r="BB809" i="10"/>
  <c r="BB155" i="10"/>
  <c r="BB576" i="10"/>
  <c r="BB49" i="10"/>
  <c r="BB287" i="10"/>
  <c r="BB521" i="10"/>
  <c r="BB449" i="10"/>
  <c r="BB517" i="10"/>
  <c r="BB61" i="10"/>
  <c r="BB487" i="10"/>
  <c r="BB591" i="10"/>
  <c r="BB1057" i="10"/>
  <c r="BB352" i="10"/>
  <c r="BB136" i="10"/>
  <c r="BB1016" i="10"/>
  <c r="BB78" i="10"/>
  <c r="BB361" i="10"/>
  <c r="BB152" i="10"/>
  <c r="BB571" i="10"/>
  <c r="BB196" i="10"/>
  <c r="BB1834" i="10"/>
  <c r="BB1257" i="10"/>
  <c r="BB959" i="10"/>
  <c r="BB884" i="10"/>
  <c r="BB1025" i="10"/>
  <c r="BB849" i="10"/>
  <c r="BB737" i="10"/>
  <c r="BB868" i="10"/>
  <c r="BB493" i="10"/>
  <c r="BB573" i="10"/>
  <c r="BB280" i="10"/>
  <c r="BB186" i="10"/>
  <c r="BB552" i="10"/>
  <c r="BB796" i="10"/>
  <c r="BB1073" i="10"/>
  <c r="BB1562" i="10"/>
  <c r="BB1011" i="10"/>
  <c r="BB1048" i="10"/>
  <c r="BB1253" i="10"/>
  <c r="BB836" i="10"/>
  <c r="BB706" i="10"/>
  <c r="BB645" i="10"/>
  <c r="BB274" i="10"/>
  <c r="BB207" i="10"/>
  <c r="BB726" i="10"/>
  <c r="BB211" i="10"/>
  <c r="BB332" i="10"/>
  <c r="BB1180" i="10"/>
  <c r="BB1188" i="10"/>
  <c r="BB771" i="10"/>
  <c r="BB1223" i="10"/>
  <c r="BB1335" i="10"/>
  <c r="BB456" i="10"/>
  <c r="BB826" i="10"/>
  <c r="BB1128" i="10"/>
  <c r="BB401" i="10"/>
  <c r="BB188" i="10"/>
  <c r="BB160" i="10"/>
  <c r="BB42" i="10"/>
  <c r="BB11" i="10"/>
  <c r="BB241" i="10"/>
  <c r="BB191" i="10"/>
  <c r="BB556" i="10"/>
  <c r="BB1853" i="10"/>
  <c r="BB1546" i="10"/>
  <c r="BB962" i="10"/>
  <c r="BB786" i="10"/>
  <c r="BB1043" i="10"/>
  <c r="BB165" i="10"/>
  <c r="BB1090" i="10"/>
  <c r="BB802" i="10"/>
  <c r="BB382" i="10"/>
  <c r="BB1063" i="10"/>
  <c r="BB496" i="10"/>
  <c r="BB523" i="10"/>
  <c r="BB925" i="10"/>
  <c r="BB1828" i="10"/>
  <c r="BB1898" i="10"/>
  <c r="BB1049" i="10"/>
  <c r="BB585" i="10"/>
  <c r="BB714" i="10"/>
  <c r="BB603" i="10"/>
  <c r="BB789" i="10"/>
  <c r="BB626" i="10"/>
  <c r="BB483" i="10"/>
  <c r="BB421" i="10"/>
  <c r="BB253" i="10"/>
  <c r="BB279" i="10"/>
  <c r="BB1010" i="10"/>
  <c r="BB378" i="10"/>
  <c r="BB1988" i="10"/>
  <c r="BB1091" i="10"/>
  <c r="BB1314" i="10"/>
  <c r="BB1071" i="10"/>
  <c r="BB1282" i="10"/>
  <c r="BB110" i="10"/>
  <c r="BB473" i="10"/>
  <c r="BB619" i="10"/>
  <c r="BB180" i="10"/>
  <c r="BB376" i="10"/>
  <c r="BB358" i="10"/>
  <c r="BB276" i="10"/>
  <c r="BB994" i="10"/>
  <c r="BB161" i="10"/>
  <c r="BB1587" i="10"/>
  <c r="BB1085" i="10"/>
  <c r="BB969" i="10"/>
  <c r="BB847" i="10"/>
  <c r="BB821" i="10"/>
  <c r="BB794" i="10"/>
  <c r="BB778" i="10"/>
  <c r="BB700" i="10"/>
  <c r="BB534" i="10"/>
  <c r="BB851" i="10"/>
  <c r="BB75" i="10"/>
  <c r="BB198" i="10"/>
  <c r="BB484" i="10"/>
  <c r="BB1305" i="10"/>
  <c r="BB1693" i="10"/>
  <c r="BB1177" i="10"/>
  <c r="BB1222" i="10"/>
  <c r="BB1837" i="10"/>
  <c r="BB1097" i="10"/>
  <c r="BB684" i="10"/>
  <c r="BB383" i="10"/>
  <c r="BB230" i="10"/>
  <c r="BB158" i="10"/>
  <c r="BB975" i="10"/>
  <c r="BB74" i="10"/>
  <c r="BB427" i="10"/>
  <c r="BB948" i="10"/>
  <c r="BB95" i="10"/>
  <c r="BB471" i="10"/>
  <c r="BB62" i="10"/>
  <c r="BB1194" i="10"/>
  <c r="BB246" i="10"/>
  <c r="BB97" i="10"/>
  <c r="BB897" i="10"/>
  <c r="BB848" i="10"/>
  <c r="BB540" i="10"/>
  <c r="BB680" i="10"/>
  <c r="BB32" i="10"/>
  <c r="BB247" i="10"/>
  <c r="BB46" i="10"/>
  <c r="BB524" i="10"/>
  <c r="BB550" i="10"/>
  <c r="BB1692" i="10"/>
  <c r="BB1376" i="10"/>
  <c r="BB690" i="10"/>
  <c r="BB437" i="10"/>
  <c r="BB893" i="10"/>
  <c r="BB656" i="10"/>
  <c r="BB547" i="10"/>
  <c r="BB1249" i="10"/>
  <c r="BB181" i="10"/>
  <c r="BB350" i="10"/>
  <c r="BB407" i="10"/>
  <c r="BB681" i="10"/>
  <c r="BB220" i="10"/>
  <c r="BB83" i="10"/>
  <c r="BB1124" i="10"/>
  <c r="BB1024" i="10"/>
  <c r="BB890" i="10"/>
  <c r="BB1845" i="10"/>
  <c r="BB1892" i="10"/>
  <c r="BB758" i="10"/>
  <c r="BB1006" i="10"/>
  <c r="BB470" i="10"/>
  <c r="BB339" i="10"/>
  <c r="BB627" i="10"/>
  <c r="BB176" i="10"/>
  <c r="BB379" i="10"/>
  <c r="BB141" i="10"/>
  <c r="BB235" i="10"/>
  <c r="BB1700" i="10"/>
  <c r="BB1310" i="10"/>
  <c r="BB1183" i="10"/>
  <c r="BB759" i="10"/>
  <c r="BB632" i="10"/>
  <c r="BB1035" i="10"/>
  <c r="BB1076" i="10"/>
  <c r="BB355" i="10"/>
  <c r="BB450" i="10"/>
  <c r="BB424" i="10"/>
  <c r="BB206" i="10"/>
  <c r="BB997" i="10"/>
  <c r="BB271" i="10"/>
  <c r="BB341" i="10"/>
  <c r="BB16" i="10"/>
  <c r="BB349" i="10"/>
  <c r="BB1234" i="10"/>
  <c r="BB1242" i="10"/>
  <c r="BB773" i="10"/>
  <c r="BB939" i="10"/>
  <c r="BB744" i="10"/>
  <c r="BB816" i="10"/>
  <c r="BB1956" i="10"/>
  <c r="BB231" i="10"/>
  <c r="BB262" i="10"/>
  <c r="BB568" i="10"/>
  <c r="BB486" i="10"/>
  <c r="BB29" i="10"/>
  <c r="BB283" i="10"/>
  <c r="BB1264" i="10"/>
  <c r="BB1212" i="10"/>
  <c r="BB1798" i="10"/>
  <c r="BB911" i="10"/>
  <c r="BB999" i="10"/>
  <c r="BB479" i="10"/>
  <c r="BB411" i="10"/>
  <c r="BB845" i="10"/>
  <c r="BB634" i="10"/>
  <c r="BB238" i="10"/>
  <c r="BB87" i="10"/>
  <c r="BB754" i="10"/>
  <c r="BB85" i="10"/>
  <c r="BB264" i="10"/>
  <c r="BB1567" i="10"/>
  <c r="BB541" i="10"/>
  <c r="BB1195" i="10"/>
  <c r="BB1435" i="10"/>
  <c r="BB429" i="10"/>
  <c r="BB438" i="10"/>
  <c r="BB223" i="10"/>
  <c r="BB1280" i="10"/>
  <c r="BB177" i="10"/>
  <c r="BB162" i="10"/>
  <c r="BB375" i="10"/>
  <c r="BB212" i="10"/>
  <c r="BB185" i="10"/>
  <c r="BB1653" i="10"/>
  <c r="BB1864" i="10"/>
  <c r="BB1336" i="10"/>
  <c r="BB732" i="10"/>
  <c r="BB1228" i="10"/>
  <c r="BB918" i="10"/>
  <c r="BB800" i="10"/>
  <c r="BB1100" i="10"/>
  <c r="BB736" i="10"/>
  <c r="BB65" i="10"/>
  <c r="BB696" i="10"/>
  <c r="BB336" i="10"/>
  <c r="BB192" i="10"/>
  <c r="BB295" i="10"/>
  <c r="BB356" i="10"/>
  <c r="BB1646" i="10"/>
  <c r="BB1405" i="10"/>
  <c r="BB1306" i="10"/>
  <c r="BB781" i="10"/>
  <c r="BB685" i="10"/>
  <c r="BB1356" i="10"/>
  <c r="BB761" i="10"/>
  <c r="BB69" i="10"/>
  <c r="BB320" i="10"/>
  <c r="BB102" i="10"/>
  <c r="BB370" i="10"/>
  <c r="BB170" i="10"/>
  <c r="BB234" i="10"/>
  <c r="BB757" i="10"/>
  <c r="BB91" i="10"/>
  <c r="BB337" i="10"/>
  <c r="BB674" i="10"/>
  <c r="BB600" i="10"/>
  <c r="BB101" i="10"/>
  <c r="BB1167" i="10"/>
  <c r="BB751" i="10"/>
  <c r="BB623" i="10"/>
  <c r="BB651" i="10"/>
  <c r="BB314" i="10"/>
  <c r="BB654" i="10"/>
  <c r="BB240" i="10"/>
  <c r="BB96" i="10"/>
  <c r="BB327" i="10"/>
  <c r="BB1908" i="10"/>
  <c r="BB1761" i="10"/>
  <c r="BB899" i="10"/>
  <c r="BB942" i="10"/>
  <c r="BB974" i="10"/>
  <c r="BB88" i="10"/>
  <c r="BB989" i="10"/>
  <c r="BB686" i="10"/>
  <c r="BB695" i="10"/>
  <c r="BB237" i="10"/>
  <c r="BB669" i="10"/>
  <c r="BB747" i="10"/>
  <c r="BB127" i="10"/>
  <c r="BB503" i="10"/>
  <c r="BB1900" i="10"/>
  <c r="BB1804" i="10"/>
  <c r="BB670" i="10"/>
  <c r="BB708" i="10"/>
  <c r="BB928" i="10"/>
  <c r="BB586" i="10"/>
  <c r="BB653" i="10"/>
  <c r="BB544" i="10"/>
  <c r="BB958" i="10"/>
  <c r="BB335" i="10"/>
  <c r="BB126" i="10"/>
  <c r="BB551" i="10"/>
  <c r="BB725" i="10"/>
  <c r="BB13" i="10"/>
  <c r="BB390" i="9"/>
  <c r="BB1581" i="10"/>
  <c r="BB1290" i="10"/>
  <c r="BB1213" i="10"/>
  <c r="BB955" i="10"/>
  <c r="BB178" i="10"/>
  <c r="BB746" i="10"/>
  <c r="BB447" i="10"/>
  <c r="BB527" i="10"/>
  <c r="BB465" i="10"/>
  <c r="BB667" i="10"/>
  <c r="BB333" i="10"/>
  <c r="BB434" i="10"/>
  <c r="BB393" i="10"/>
  <c r="BB792" i="10"/>
  <c r="BB351" i="10"/>
  <c r="BB1925" i="10"/>
  <c r="BB1621" i="10"/>
  <c r="BB832" i="10"/>
  <c r="BB947" i="10"/>
  <c r="BB907" i="10"/>
  <c r="BB885" i="10"/>
  <c r="BB903" i="10"/>
  <c r="BB589" i="10"/>
  <c r="BB135" i="10"/>
  <c r="BB359" i="10"/>
  <c r="BB113" i="10"/>
  <c r="BB555" i="10"/>
  <c r="BB257" i="10"/>
  <c r="BB1197" i="10"/>
  <c r="BB1061" i="10"/>
  <c r="BB1292" i="10"/>
  <c r="BB1111" i="10"/>
  <c r="BB618" i="10"/>
  <c r="BB827" i="10"/>
  <c r="BB131" i="10"/>
  <c r="BB28" i="10"/>
  <c r="BB775" i="10"/>
  <c r="BB592" i="10"/>
  <c r="BB334" i="10"/>
  <c r="BB668" i="10"/>
  <c r="BB363" i="10"/>
  <c r="BB233" i="10"/>
  <c r="BB1765" i="10"/>
  <c r="BB1082" i="10"/>
  <c r="BB769" i="10"/>
  <c r="BB1315" i="10"/>
  <c r="BB1027" i="10"/>
  <c r="BB602" i="10"/>
  <c r="BB683" i="10"/>
  <c r="BB284" i="10"/>
  <c r="BB671" i="10"/>
  <c r="BB749" i="10"/>
  <c r="BB312" i="10"/>
  <c r="BB218" i="10"/>
  <c r="BB344" i="10"/>
  <c r="BB943" i="10"/>
  <c r="BB1671" i="10"/>
  <c r="BB697" i="10"/>
  <c r="BB1380" i="10"/>
  <c r="BB844" i="10"/>
  <c r="BB520" i="10"/>
  <c r="BB705" i="10"/>
  <c r="BB404" i="10"/>
  <c r="BB228" i="10"/>
  <c r="BB353" i="10"/>
  <c r="BB19" i="10"/>
  <c r="BB510" i="10"/>
  <c r="BB458" i="10"/>
  <c r="BB577" i="10"/>
  <c r="BB1959" i="10"/>
  <c r="BB1790" i="10"/>
  <c r="BB1977" i="10"/>
  <c r="BB435" i="10"/>
  <c r="BB950" i="10"/>
  <c r="BB764" i="10"/>
  <c r="BB797" i="10"/>
  <c r="BB255" i="10"/>
  <c r="BB499" i="10"/>
  <c r="BB730" i="10"/>
  <c r="BB888" i="10"/>
  <c r="BB260" i="10"/>
  <c r="BB54" i="10"/>
  <c r="BB699" i="10"/>
  <c r="BB488" i="10"/>
  <c r="BB367" i="10"/>
  <c r="BB175" i="10"/>
  <c r="BB630" i="10"/>
  <c r="BB688" i="10"/>
  <c r="BB278" i="10"/>
  <c r="BB722" i="10"/>
  <c r="BB362" i="10"/>
  <c r="BB1796" i="10"/>
  <c r="BB466" i="10"/>
  <c r="BB265" i="10"/>
  <c r="BB609" i="10"/>
  <c r="BB214" i="10"/>
  <c r="BB445" i="10"/>
  <c r="BB323" i="10"/>
  <c r="BB1055" i="10"/>
  <c r="BB1428" i="10"/>
  <c r="BB1034" i="10"/>
  <c r="BB1221" i="10"/>
  <c r="BB1199" i="10"/>
  <c r="BB134" i="10"/>
  <c r="BB15" i="10"/>
  <c r="BB743" i="10"/>
  <c r="BB896" i="10"/>
  <c r="BB298" i="10"/>
  <c r="BB202" i="10"/>
  <c r="BB995" i="10"/>
  <c r="BB121" i="10"/>
  <c r="BB324" i="10"/>
  <c r="BB1629" i="10"/>
  <c r="BB944" i="10"/>
  <c r="BB941" i="10"/>
  <c r="BB963" i="10"/>
  <c r="BB880" i="10"/>
  <c r="BB605" i="10"/>
  <c r="BB455" i="10"/>
  <c r="BB194" i="10"/>
  <c r="BB936" i="10"/>
  <c r="BB267" i="10"/>
  <c r="BB120" i="10"/>
  <c r="BB222" i="10"/>
  <c r="BB440" i="10"/>
  <c r="BB346" i="10"/>
  <c r="BB1674" i="10"/>
  <c r="BB1879" i="10"/>
  <c r="BB917" i="10"/>
  <c r="BB563" i="10"/>
  <c r="BB852" i="10"/>
  <c r="BB418" i="10"/>
  <c r="BB840" i="10"/>
  <c r="BB742" i="10"/>
  <c r="BB698" i="10"/>
  <c r="BB105" i="10"/>
  <c r="BB569" i="10"/>
  <c r="BB307" i="10"/>
  <c r="BB210" i="10"/>
  <c r="BB538" i="10"/>
  <c r="BB288" i="10"/>
  <c r="BB1388" i="10"/>
  <c r="BB1139" i="10"/>
  <c r="BB1545" i="10"/>
  <c r="BB1518" i="10"/>
  <c r="BB648" i="10"/>
  <c r="BB946" i="10"/>
  <c r="BB1036" i="10"/>
  <c r="BB610" i="10"/>
  <c r="BB557" i="10"/>
  <c r="BB205" i="10"/>
  <c r="BB531" i="10"/>
  <c r="BB829" i="10"/>
  <c r="BB452" i="10"/>
  <c r="BB261" i="10"/>
  <c r="BB1722" i="10"/>
  <c r="BB1200" i="10"/>
  <c r="BB976" i="10"/>
  <c r="BB904" i="10"/>
  <c r="BB966" i="10"/>
  <c r="BB693" i="10"/>
  <c r="BB682" i="10"/>
  <c r="BB500" i="10"/>
  <c r="BB1121" i="10"/>
  <c r="BB459" i="10"/>
  <c r="BB34" i="10"/>
  <c r="BB720" i="10"/>
  <c r="BB1135" i="10"/>
  <c r="BB402" i="10"/>
  <c r="BB1346" i="10"/>
  <c r="BB1193" i="10"/>
  <c r="BB625" i="10"/>
  <c r="BB1327" i="10"/>
  <c r="BB1368" i="10"/>
  <c r="BB564" i="10"/>
  <c r="BB1916" i="10"/>
  <c r="BB1250" i="10"/>
  <c r="BB366" i="10"/>
  <c r="BB954" i="10"/>
  <c r="BB364" i="10"/>
  <c r="BB124" i="10"/>
  <c r="BB319" i="10"/>
  <c r="BB1596" i="10"/>
  <c r="BB1683" i="10"/>
  <c r="BB1407" i="10"/>
  <c r="BB881" i="10"/>
  <c r="BB793" i="10"/>
  <c r="BB1012" i="10"/>
  <c r="BB423" i="10"/>
  <c r="BB345" i="10"/>
  <c r="BB765" i="10"/>
  <c r="BB306" i="10"/>
  <c r="BB130" i="10"/>
  <c r="BB711" i="10"/>
  <c r="BB115" i="10"/>
  <c r="BB236" i="10"/>
  <c r="BB60" i="9"/>
  <c r="BB1416" i="10"/>
  <c r="BB1681" i="10"/>
  <c r="BB846" i="10"/>
  <c r="BB788" i="10"/>
  <c r="BB1115" i="10"/>
  <c r="BB615" i="10"/>
  <c r="BB439" i="10"/>
  <c r="BB122" i="10"/>
  <c r="BB912" i="10"/>
  <c r="BB587" i="10"/>
  <c r="BB208" i="10"/>
  <c r="BB114" i="10"/>
  <c r="BB380" i="10"/>
  <c r="BB967" i="10"/>
  <c r="BB258" i="10"/>
  <c r="BB425" i="10"/>
  <c r="BB953" i="10"/>
  <c r="BB712" i="10"/>
  <c r="BB385" i="10"/>
  <c r="BB566" i="10"/>
  <c r="BB525" i="10"/>
  <c r="BB522" i="10"/>
  <c r="BB996" i="10"/>
  <c r="BB347" i="10"/>
  <c r="BB30" i="10"/>
  <c r="BB1033" i="10"/>
  <c r="BB147" i="10"/>
  <c r="BB268" i="10"/>
  <c r="BB1677" i="10"/>
  <c r="BB1192" i="10"/>
  <c r="BB1344" i="10"/>
  <c r="BB1022" i="10"/>
  <c r="BB1109" i="10"/>
  <c r="BB1017" i="10"/>
  <c r="BB707" i="10"/>
  <c r="BB820" i="10"/>
  <c r="BB226" i="10"/>
  <c r="BB92" i="10"/>
  <c r="BB140" i="10"/>
  <c r="BB153" i="10"/>
  <c r="BB151" i="10"/>
  <c r="BB528" i="10"/>
  <c r="BB1178" i="10"/>
  <c r="BB1106" i="10"/>
  <c r="BB977" i="10"/>
  <c r="BB839" i="10"/>
  <c r="BB1272" i="10"/>
  <c r="BB808" i="10"/>
  <c r="BB1130" i="10"/>
  <c r="BB639" i="10"/>
  <c r="BB82" i="10"/>
  <c r="BB1108" i="10"/>
  <c r="BB311" i="10"/>
  <c r="BB542" i="10"/>
  <c r="BB951" i="10"/>
  <c r="BB1787" i="10"/>
  <c r="BB1661" i="10"/>
  <c r="BB1535" i="10"/>
  <c r="BB1266" i="10"/>
  <c r="BB1936" i="10"/>
  <c r="BB1189" i="10"/>
  <c r="BB748" i="10"/>
  <c r="BB1436" i="10"/>
  <c r="BB392" i="10"/>
  <c r="BB1316" i="10"/>
  <c r="BB877" i="10"/>
  <c r="BB676" i="10"/>
  <c r="BB1884" i="10"/>
  <c r="BB622" i="10"/>
  <c r="BB315" i="10"/>
  <c r="BB431" i="10"/>
  <c r="BB776" i="10"/>
  <c r="BB1556" i="10"/>
  <c r="BB1524" i="10"/>
  <c r="BB704" i="10"/>
  <c r="BB412" i="10"/>
  <c r="BB1209" i="10"/>
  <c r="BB142" i="10"/>
  <c r="BB70" i="10"/>
  <c r="BB93" i="10"/>
  <c r="BB47" i="10"/>
  <c r="BB305" i="10"/>
  <c r="BB106" i="10"/>
  <c r="BB10" i="10"/>
  <c r="BB197" i="10"/>
  <c r="BB1478" i="10"/>
  <c r="BB1041" i="10"/>
  <c r="BB1877" i="10"/>
  <c r="BB174" i="10"/>
  <c r="BB1325" i="10"/>
  <c r="BB41" i="10"/>
  <c r="BB787" i="10"/>
  <c r="BB410" i="10"/>
  <c r="BB637" i="10"/>
  <c r="BB387" i="10"/>
  <c r="BB281" i="10"/>
  <c r="BB184" i="10"/>
  <c r="BB51" i="10"/>
  <c r="BB100" i="10"/>
  <c r="BB10" i="9"/>
  <c r="BB871" i="10"/>
  <c r="BB678" i="10"/>
  <c r="BB883" i="10"/>
  <c r="BB866" i="10"/>
  <c r="BB417" i="10"/>
  <c r="BB882" i="10"/>
  <c r="BB290" i="10"/>
  <c r="BB326" i="10"/>
  <c r="BB213" i="10"/>
  <c r="BB171" i="10"/>
  <c r="BB386" i="10"/>
  <c r="BB21" i="10"/>
  <c r="BB1808" i="10"/>
  <c r="BB1724" i="10"/>
  <c r="BB803" i="10"/>
  <c r="BB1270" i="10"/>
  <c r="BB945" i="10"/>
  <c r="BB660" i="10"/>
  <c r="BB104" i="10"/>
  <c r="BB64" i="10"/>
  <c r="BB694" i="10"/>
  <c r="BB302" i="10"/>
  <c r="BB80" i="10"/>
  <c r="BB457" i="10"/>
  <c r="BB149" i="10"/>
  <c r="BB328" i="10"/>
  <c r="BB1745" i="10"/>
  <c r="BB1753" i="10"/>
  <c r="BB1519" i="10"/>
  <c r="BB1738" i="10"/>
  <c r="BB1162" i="10"/>
  <c r="BB1066" i="10"/>
  <c r="BB750" i="10"/>
  <c r="BB396" i="10"/>
  <c r="BB1302" i="10"/>
  <c r="BB716" i="10"/>
  <c r="BB508" i="10"/>
  <c r="BB164" i="10"/>
  <c r="BB292" i="10"/>
  <c r="BB340" i="10"/>
  <c r="BB245" i="10"/>
  <c r="BB303" i="10"/>
  <c r="BB94" i="10"/>
  <c r="BB22" i="10"/>
  <c r="BB501" i="10"/>
  <c r="BB26" i="10"/>
  <c r="BB1021" i="10"/>
  <c r="BB286" i="10"/>
  <c r="BB491" i="10"/>
  <c r="BB145" i="10"/>
  <c r="BB679" i="10"/>
  <c r="BB209" i="10"/>
  <c r="BB112" i="10"/>
  <c r="BB763" i="10"/>
  <c r="BB53" i="10"/>
  <c r="BB232" i="10"/>
  <c r="BB1159" i="10"/>
  <c r="BB1395" i="10"/>
  <c r="BB444" i="10"/>
  <c r="BB745" i="10"/>
  <c r="BB1271" i="10"/>
  <c r="BB73" i="10"/>
  <c r="BB453" i="10"/>
  <c r="BB782" i="10"/>
  <c r="BB710" i="10"/>
  <c r="BB243" i="10"/>
  <c r="BB146" i="10"/>
  <c r="BB182" i="10"/>
  <c r="BB843" i="10"/>
  <c r="BB167" i="10"/>
  <c r="BB1607" i="10"/>
  <c r="BB1321" i="10"/>
  <c r="BB1059" i="10"/>
  <c r="BB1229" i="10"/>
  <c r="BB777" i="10"/>
  <c r="BB1020" i="10"/>
  <c r="BB1924" i="10"/>
  <c r="BB583" i="10"/>
  <c r="BB71" i="10"/>
  <c r="BB612" i="10"/>
  <c r="BB43" i="10"/>
  <c r="BB166" i="10"/>
  <c r="BB189" i="10"/>
  <c r="BB1332" i="10"/>
  <c r="BB1397" i="10"/>
  <c r="BB1148" i="10"/>
  <c r="BB1152" i="10"/>
  <c r="BB1074" i="10"/>
  <c r="BB1338" i="10"/>
  <c r="BB1820" i="10"/>
  <c r="BB519" i="10"/>
  <c r="BB430" i="10"/>
  <c r="BB608" i="10"/>
  <c r="BB37" i="10"/>
  <c r="BB588" i="10"/>
  <c r="BB561" i="10"/>
  <c r="BB23" i="10"/>
  <c r="BB388" i="10"/>
  <c r="BB509" i="10"/>
  <c r="BB1995" i="10"/>
  <c r="BB613" i="10"/>
  <c r="BB913" i="10"/>
  <c r="BB441" i="10"/>
  <c r="BB1348" i="10"/>
  <c r="BB239" i="10"/>
  <c r="BB562" i="10"/>
  <c r="BB772" i="10"/>
  <c r="BB195" i="10"/>
  <c r="BB760" i="10"/>
  <c r="BB269" i="10"/>
  <c r="BB596" i="10"/>
  <c r="BB1030" i="10"/>
  <c r="BB60" i="10"/>
  <c r="BB1273" i="10"/>
  <c r="BB1153" i="10"/>
  <c r="BB1238" i="10"/>
  <c r="BB1259" i="10"/>
  <c r="BB448" i="10"/>
  <c r="BB957" i="10"/>
  <c r="BB901" i="10"/>
  <c r="BB1491" i="10"/>
  <c r="BB446" i="10"/>
  <c r="BB72" i="10"/>
  <c r="BB498" i="10"/>
  <c r="BB432" i="10"/>
  <c r="BB8" i="10"/>
  <c r="BB1206" i="10"/>
  <c r="BB1851" i="10"/>
  <c r="BB1768" i="10"/>
  <c r="BB665" i="10"/>
  <c r="BB937" i="10"/>
  <c r="BB163" i="10"/>
  <c r="BB956" i="10"/>
  <c r="BB770" i="10"/>
  <c r="BB1002" i="10"/>
  <c r="BB330" i="10"/>
  <c r="BB40" i="10"/>
  <c r="BB1028" i="10"/>
  <c r="BB25" i="10"/>
  <c r="BB27" i="10"/>
  <c r="BB1682" i="10"/>
  <c r="BB927" i="10"/>
  <c r="BB1294" i="10"/>
  <c r="BB929" i="10"/>
  <c r="BB824" i="10"/>
  <c r="BB599" i="10"/>
  <c r="BB635" i="10"/>
  <c r="BB462" i="10"/>
  <c r="BB1081" i="10"/>
  <c r="BB168" i="10"/>
  <c r="BB422" i="10"/>
  <c r="BB979" i="10"/>
  <c r="BB1005" i="10"/>
  <c r="BB7" i="10"/>
  <c r="BB1588" i="10"/>
  <c r="BB1780" i="10"/>
  <c r="BB1705" i="10"/>
  <c r="BB1412" i="10"/>
  <c r="BB514" i="10"/>
  <c r="BB1261" i="10"/>
  <c r="BB1367" i="10"/>
  <c r="BB478" i="10"/>
  <c r="BB1476" i="10"/>
  <c r="BB1070" i="10"/>
  <c r="BB629" i="10"/>
  <c r="BB558" i="10"/>
  <c r="BB55" i="10"/>
  <c r="BB433" i="10"/>
  <c r="BB117" i="10"/>
  <c r="BB77" i="10"/>
  <c r="BB631" i="10"/>
  <c r="BB316" i="10"/>
  <c r="BB548" i="10"/>
  <c r="E18" i="19"/>
  <c r="E21" i="19"/>
  <c r="E19" i="19"/>
  <c r="E14" i="19"/>
  <c r="E17" i="19"/>
  <c r="E16" i="19"/>
  <c r="J2" i="18" l="1"/>
  <c r="H2" i="18"/>
  <c r="F2" i="18"/>
  <c r="D2" i="18"/>
  <c r="B4" i="18"/>
  <c r="AP4" i="9" l="1"/>
  <c r="AP4" i="7" l="1"/>
  <c r="J2" i="10" l="1"/>
  <c r="H2" i="10"/>
  <c r="F2" i="10"/>
  <c r="D2" i="10"/>
  <c r="AP4" i="10"/>
  <c r="AP4" i="8" l="1"/>
  <c r="AN4" i="5"/>
  <c r="BB360" i="5"/>
  <c r="BB359" i="5"/>
  <c r="BB358" i="5"/>
  <c r="BB357" i="5"/>
  <c r="BB356" i="5"/>
  <c r="BB355" i="5"/>
  <c r="BB354" i="5"/>
  <c r="BB353" i="5"/>
  <c r="BB352" i="5"/>
  <c r="BB351" i="5"/>
  <c r="BB350" i="5"/>
  <c r="BB349" i="5"/>
  <c r="BB348" i="5"/>
  <c r="BB347" i="5"/>
  <c r="BB346" i="5"/>
  <c r="BB345" i="5"/>
  <c r="BB344" i="5"/>
  <c r="BB343" i="5"/>
  <c r="BB342" i="5"/>
  <c r="BB341" i="5"/>
  <c r="BB340" i="5"/>
  <c r="BB339" i="5"/>
  <c r="BB338" i="5"/>
  <c r="BB337" i="5"/>
  <c r="BB336" i="5"/>
  <c r="BB335" i="5"/>
  <c r="BB334" i="5"/>
  <c r="BB333" i="5"/>
  <c r="BB332" i="5"/>
  <c r="BB331" i="5"/>
  <c r="BB330" i="5"/>
  <c r="BB329" i="5"/>
  <c r="BB328" i="5"/>
  <c r="BB327" i="5"/>
  <c r="BB326" i="5"/>
  <c r="BB325" i="5"/>
  <c r="BB324" i="5"/>
  <c r="BB323" i="5"/>
  <c r="BB322" i="5"/>
  <c r="BB321" i="5"/>
  <c r="BB320" i="5"/>
  <c r="BB319" i="5"/>
  <c r="BB318" i="5"/>
  <c r="BB317" i="5"/>
  <c r="BB316" i="5"/>
  <c r="BB315" i="5"/>
  <c r="BB314" i="5"/>
  <c r="BB313" i="5"/>
  <c r="BB312" i="5"/>
  <c r="BB311" i="5"/>
  <c r="BB310" i="5"/>
  <c r="BB309" i="5"/>
  <c r="BB308" i="5"/>
  <c r="BB307" i="5"/>
  <c r="BB306" i="5"/>
  <c r="BB305" i="5"/>
  <c r="BB304" i="5"/>
  <c r="BB303" i="5"/>
  <c r="BB302" i="5"/>
  <c r="BB301" i="5"/>
  <c r="BB300" i="5"/>
  <c r="BB299" i="5"/>
  <c r="BB298" i="5"/>
  <c r="BB297" i="5"/>
  <c r="BB296" i="5"/>
  <c r="BB295" i="5"/>
  <c r="BB294" i="5"/>
  <c r="BB293" i="5"/>
  <c r="BB292" i="5"/>
  <c r="BB291" i="5"/>
  <c r="BB290" i="5"/>
  <c r="BB289" i="5"/>
  <c r="BB288" i="5"/>
  <c r="BB287" i="5"/>
  <c r="BB286" i="5"/>
  <c r="BB285" i="5"/>
  <c r="BB284" i="5"/>
  <c r="BB283" i="5"/>
  <c r="BB282" i="5"/>
  <c r="BB281" i="5"/>
  <c r="BB280" i="5"/>
  <c r="BB279" i="5"/>
  <c r="BB278" i="5"/>
  <c r="BB277" i="5"/>
  <c r="BB276" i="5"/>
  <c r="BB275" i="5"/>
  <c r="BB274" i="5"/>
  <c r="BB273" i="5"/>
  <c r="BB272" i="5"/>
  <c r="BB271" i="5"/>
  <c r="BB270" i="5"/>
  <c r="BB269" i="5"/>
  <c r="BB268" i="5"/>
  <c r="BB267" i="5"/>
  <c r="BB266" i="5"/>
  <c r="BB265" i="5"/>
  <c r="BB264" i="5"/>
  <c r="BB263" i="5"/>
  <c r="BB262" i="5"/>
  <c r="BB261" i="5"/>
  <c r="BB260" i="5"/>
  <c r="BB259" i="5"/>
  <c r="BB258" i="5"/>
  <c r="BB257" i="5"/>
  <c r="BB256" i="5"/>
  <c r="BB255" i="5"/>
  <c r="BB254" i="5"/>
  <c r="BB253" i="5"/>
  <c r="BB252" i="5"/>
  <c r="BB251" i="5"/>
  <c r="BB250" i="5"/>
  <c r="BB249" i="5"/>
  <c r="BB248" i="5"/>
  <c r="BB247" i="5"/>
  <c r="BB246" i="5"/>
  <c r="BB245" i="5"/>
  <c r="BB244" i="5"/>
  <c r="BB243" i="5"/>
  <c r="BB242" i="5"/>
  <c r="BB241" i="5"/>
  <c r="BB240" i="5"/>
  <c r="BB239" i="5"/>
  <c r="BB238" i="5"/>
  <c r="BB237" i="5"/>
  <c r="BB236" i="5"/>
  <c r="BB235" i="5"/>
  <c r="BB234" i="5"/>
  <c r="BB233" i="5"/>
  <c r="BB232" i="5"/>
  <c r="BB231" i="5"/>
  <c r="BB230" i="5"/>
  <c r="BB229" i="5"/>
  <c r="BB228" i="5"/>
  <c r="BB227" i="5"/>
  <c r="BB226" i="5"/>
  <c r="BB225" i="5"/>
  <c r="BB224" i="5"/>
  <c r="BB223" i="5"/>
  <c r="BB222" i="5"/>
  <c r="BB221" i="5"/>
  <c r="BB220" i="5"/>
  <c r="BB219" i="5"/>
  <c r="BB218" i="5"/>
  <c r="BB217" i="5"/>
  <c r="BB216" i="5"/>
  <c r="BB215" i="5"/>
  <c r="BB214" i="5"/>
  <c r="BB213" i="5"/>
  <c r="BB212" i="5"/>
  <c r="BB211" i="5"/>
  <c r="BB210" i="5"/>
  <c r="BB209" i="5"/>
  <c r="BB208" i="5"/>
  <c r="BB207" i="5"/>
  <c r="BB206" i="5"/>
  <c r="BB205" i="5"/>
  <c r="BB204" i="5"/>
  <c r="BB203" i="5"/>
  <c r="BB202" i="5"/>
  <c r="BB201" i="5"/>
  <c r="BB200" i="5"/>
  <c r="BB199" i="5"/>
  <c r="BB198" i="5"/>
  <c r="BB197" i="5"/>
  <c r="BB196" i="5"/>
  <c r="BB195" i="5"/>
  <c r="BB194" i="5"/>
  <c r="BB193" i="5"/>
  <c r="BB192" i="5"/>
  <c r="BB191" i="5"/>
  <c r="BB190" i="5"/>
  <c r="BB189" i="5"/>
  <c r="BB188" i="5"/>
  <c r="BB187" i="5"/>
  <c r="BB186" i="5"/>
  <c r="BB185" i="5"/>
  <c r="BB184" i="5"/>
  <c r="BB183" i="5"/>
  <c r="BB182" i="5"/>
  <c r="BB181" i="5"/>
  <c r="BB180" i="5"/>
  <c r="BB179" i="5"/>
  <c r="BB178" i="5"/>
  <c r="BB177" i="5"/>
  <c r="BB176" i="5"/>
  <c r="BB175" i="5"/>
  <c r="BB174" i="5"/>
  <c r="BB173" i="5"/>
  <c r="BB172" i="5"/>
  <c r="BB171" i="5"/>
  <c r="BB170" i="5"/>
  <c r="BB169" i="5"/>
  <c r="BB168" i="5"/>
  <c r="BB167" i="5"/>
  <c r="BB166" i="5"/>
  <c r="BB165" i="5"/>
  <c r="BB164" i="5"/>
  <c r="BB163" i="5"/>
  <c r="BB162" i="5"/>
  <c r="BB161" i="5"/>
  <c r="BB160" i="5"/>
  <c r="BB159" i="5"/>
  <c r="BB158" i="5"/>
  <c r="BB157" i="5"/>
  <c r="BB156" i="5"/>
  <c r="BB155" i="5"/>
  <c r="BB154" i="5"/>
  <c r="BB153" i="5"/>
  <c r="BB152" i="5"/>
  <c r="BB151" i="5"/>
  <c r="BB150" i="5"/>
  <c r="BB149" i="5"/>
  <c r="BB148" i="5"/>
  <c r="BB147" i="5"/>
  <c r="BB146" i="5"/>
  <c r="BB145" i="5"/>
  <c r="BB144" i="5"/>
  <c r="BB143" i="5"/>
  <c r="BB142" i="5"/>
  <c r="BB141" i="5"/>
  <c r="BB140" i="5"/>
  <c r="BB139" i="5"/>
  <c r="BB138" i="5"/>
  <c r="BB137" i="5"/>
  <c r="BB136" i="5"/>
  <c r="BB135" i="5"/>
  <c r="BB134" i="5"/>
  <c r="BB133" i="5"/>
  <c r="BB132" i="5"/>
  <c r="BB131" i="5"/>
  <c r="BB130" i="5"/>
  <c r="BB129" i="5"/>
  <c r="BB128" i="5"/>
  <c r="BB127" i="5"/>
  <c r="BB126" i="5"/>
  <c r="BB125" i="5"/>
  <c r="BB124" i="5"/>
  <c r="BB123" i="5"/>
  <c r="BB122" i="5"/>
  <c r="BB121" i="5"/>
  <c r="BB120" i="5"/>
  <c r="BB119" i="5"/>
  <c r="BB118" i="5"/>
  <c r="BB117" i="5"/>
  <c r="BB116" i="5"/>
  <c r="BB115" i="5"/>
  <c r="BB114" i="5"/>
  <c r="BB113" i="5"/>
  <c r="BB112" i="5"/>
  <c r="BB111" i="5"/>
  <c r="BB110" i="5"/>
  <c r="BB109" i="5"/>
  <c r="BB108" i="5"/>
  <c r="BB107" i="5"/>
  <c r="BB106" i="5"/>
  <c r="BB105" i="5"/>
  <c r="BB104" i="5"/>
  <c r="BB103" i="5"/>
  <c r="BB102" i="5"/>
  <c r="BB101" i="5"/>
  <c r="BB100" i="5"/>
  <c r="BB99" i="5"/>
  <c r="BB98" i="5"/>
  <c r="BB97" i="5"/>
  <c r="BB96" i="5"/>
  <c r="BB95" i="5"/>
  <c r="BB94" i="5"/>
  <c r="BB93" i="5"/>
  <c r="BB92" i="5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BB77" i="5"/>
  <c r="BB76" i="5"/>
  <c r="BB75" i="5"/>
  <c r="BB74" i="5"/>
  <c r="BB73" i="5"/>
  <c r="BB72" i="5"/>
  <c r="BB71" i="5"/>
  <c r="BB70" i="5"/>
  <c r="BB69" i="5"/>
  <c r="BB68" i="5"/>
  <c r="BB67" i="5"/>
  <c r="BB66" i="5"/>
  <c r="BB65" i="5"/>
  <c r="BB64" i="5"/>
  <c r="BB63" i="5"/>
  <c r="BB62" i="5"/>
  <c r="BB61" i="5"/>
  <c r="BB60" i="5"/>
  <c r="BB59" i="5"/>
  <c r="BB58" i="5"/>
  <c r="BB57" i="5"/>
  <c r="BB56" i="5"/>
  <c r="BB55" i="5"/>
  <c r="BB54" i="5"/>
  <c r="BB53" i="5"/>
  <c r="BB52" i="5"/>
  <c r="BB51" i="5"/>
  <c r="BB50" i="5"/>
  <c r="BB49" i="5"/>
  <c r="BB48" i="5"/>
  <c r="BB47" i="5"/>
  <c r="BB46" i="5"/>
  <c r="BB45" i="5"/>
  <c r="BB44" i="5"/>
  <c r="BB43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B25" i="5"/>
  <c r="BB24" i="5"/>
  <c r="BB23" i="5"/>
  <c r="BB22" i="5"/>
  <c r="BB21" i="5"/>
  <c r="BB20" i="5"/>
  <c r="BB19" i="5"/>
  <c r="BB18" i="5"/>
  <c r="BB17" i="5"/>
  <c r="BB16" i="5"/>
  <c r="BB15" i="5"/>
  <c r="BB14" i="5"/>
  <c r="BB13" i="5"/>
  <c r="BB12" i="5"/>
  <c r="BB11" i="5"/>
  <c r="BB10" i="5"/>
  <c r="BB9" i="5"/>
  <c r="BB8" i="5"/>
  <c r="BB7" i="5"/>
  <c r="BB6" i="5"/>
  <c r="BB5" i="5"/>
  <c r="BB4" i="5"/>
  <c r="F2" i="3"/>
  <c r="D2" i="3"/>
  <c r="V2" i="12"/>
  <c r="T2" i="12"/>
  <c r="R2" i="12"/>
  <c r="I56" i="12" l="1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L2" i="12" l="1"/>
  <c r="L3" i="12"/>
  <c r="AN4" i="12"/>
  <c r="BB5" i="12" l="1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B21" i="12"/>
  <c r="BB22" i="12"/>
  <c r="BB23" i="12"/>
  <c r="BB24" i="12"/>
  <c r="BB25" i="12"/>
  <c r="BB26" i="12"/>
  <c r="BB27" i="12"/>
  <c r="BB28" i="12"/>
  <c r="BB29" i="12"/>
  <c r="BB30" i="12"/>
  <c r="BB31" i="12"/>
  <c r="BB32" i="12"/>
  <c r="BB33" i="12"/>
  <c r="BB34" i="12"/>
  <c r="BB35" i="12"/>
  <c r="BB36" i="12"/>
  <c r="BB37" i="12"/>
  <c r="BB38" i="12"/>
  <c r="BB39" i="12"/>
  <c r="BB40" i="12"/>
  <c r="BB41" i="12"/>
  <c r="BB42" i="12"/>
  <c r="BB43" i="12"/>
  <c r="BB44" i="12"/>
  <c r="BB45" i="12"/>
  <c r="BB46" i="12"/>
  <c r="BB47" i="12"/>
  <c r="BB48" i="12"/>
  <c r="BB49" i="12"/>
  <c r="BB50" i="12"/>
  <c r="BB51" i="12"/>
  <c r="BB52" i="12"/>
  <c r="BB53" i="12"/>
  <c r="BB54" i="12"/>
  <c r="BB55" i="12"/>
  <c r="BB56" i="12"/>
  <c r="BB57" i="12"/>
  <c r="BB58" i="12"/>
  <c r="BB59" i="12"/>
  <c r="BB60" i="12"/>
  <c r="BB61" i="12"/>
  <c r="BB62" i="12"/>
  <c r="BB63" i="12"/>
  <c r="BB64" i="12"/>
  <c r="BB65" i="12"/>
  <c r="BB66" i="12"/>
  <c r="BB67" i="12"/>
  <c r="BB68" i="12"/>
  <c r="BB69" i="12"/>
  <c r="BB70" i="12"/>
  <c r="BB71" i="12"/>
  <c r="BB72" i="12"/>
  <c r="BB73" i="12"/>
  <c r="BB74" i="12"/>
  <c r="BB75" i="12"/>
  <c r="BB76" i="12"/>
  <c r="BB77" i="12"/>
  <c r="BB78" i="12"/>
  <c r="BB79" i="12"/>
  <c r="BB80" i="12"/>
  <c r="BB81" i="12"/>
  <c r="BB82" i="12"/>
  <c r="BB83" i="12"/>
  <c r="BB84" i="12"/>
  <c r="BB85" i="12"/>
  <c r="BB86" i="12"/>
  <c r="BB87" i="12"/>
  <c r="BB88" i="12"/>
  <c r="BB89" i="12"/>
  <c r="BB90" i="12"/>
  <c r="BB91" i="12"/>
  <c r="BB92" i="12"/>
  <c r="BB93" i="12"/>
  <c r="BB94" i="12"/>
  <c r="BB95" i="12"/>
  <c r="BB96" i="12"/>
  <c r="BB97" i="12"/>
  <c r="BB98" i="12"/>
  <c r="BB99" i="12"/>
  <c r="BB100" i="12"/>
  <c r="BB101" i="12"/>
  <c r="BB102" i="12"/>
  <c r="BB103" i="12"/>
  <c r="BB104" i="12"/>
  <c r="BB105" i="12"/>
  <c r="BB106" i="12"/>
  <c r="BB107" i="12"/>
  <c r="BB108" i="12"/>
  <c r="BB109" i="12"/>
  <c r="BB110" i="12"/>
  <c r="BB111" i="12"/>
  <c r="BB112" i="12"/>
  <c r="BB113" i="12"/>
  <c r="BB114" i="12"/>
  <c r="BB115" i="12"/>
  <c r="BB116" i="12"/>
  <c r="BB117" i="12"/>
  <c r="BB118" i="12"/>
  <c r="BB119" i="12"/>
  <c r="BB120" i="12"/>
  <c r="BB121" i="12"/>
  <c r="BB122" i="12"/>
  <c r="BB123" i="12"/>
  <c r="BB124" i="12"/>
  <c r="BB125" i="12"/>
  <c r="BB126" i="12"/>
  <c r="BB127" i="12"/>
  <c r="BB128" i="12"/>
  <c r="BB129" i="12"/>
  <c r="BB130" i="12"/>
  <c r="BB131" i="12"/>
  <c r="BB132" i="12"/>
  <c r="BB133" i="12"/>
  <c r="BB134" i="12"/>
  <c r="BB135" i="12"/>
  <c r="BB136" i="12"/>
  <c r="BB137" i="12"/>
  <c r="BB138" i="12"/>
  <c r="BB139" i="12"/>
  <c r="BB140" i="12"/>
  <c r="BB141" i="12"/>
  <c r="BB142" i="12"/>
  <c r="BB143" i="12"/>
  <c r="BB144" i="12"/>
  <c r="BB145" i="12"/>
  <c r="BB146" i="12"/>
  <c r="BB147" i="12"/>
  <c r="BB148" i="12"/>
  <c r="BB149" i="12"/>
  <c r="BB150" i="12"/>
  <c r="BB151" i="12"/>
  <c r="BB152" i="12"/>
  <c r="BB153" i="12"/>
  <c r="BB154" i="12"/>
  <c r="BB155" i="12"/>
  <c r="BB156" i="12"/>
  <c r="BB157" i="12"/>
  <c r="BB158" i="12"/>
  <c r="BB159" i="12"/>
  <c r="BB160" i="12"/>
  <c r="BB161" i="12"/>
  <c r="BB162" i="12"/>
  <c r="BB163" i="12"/>
  <c r="BB164" i="12"/>
  <c r="BB165" i="12"/>
  <c r="BB166" i="12"/>
  <c r="BB167" i="12"/>
  <c r="BB168" i="12"/>
  <c r="BB169" i="12"/>
  <c r="BB170" i="12"/>
  <c r="BB171" i="12"/>
  <c r="BB172" i="12"/>
  <c r="BB173" i="12"/>
  <c r="BB174" i="12"/>
  <c r="BB175" i="12"/>
  <c r="BB176" i="12"/>
  <c r="BB177" i="12"/>
  <c r="BB178" i="12"/>
  <c r="BB179" i="12"/>
  <c r="BB180" i="12"/>
  <c r="BB181" i="12"/>
  <c r="BB182" i="12"/>
  <c r="BB183" i="12"/>
  <c r="BB184" i="12"/>
  <c r="BB185" i="12"/>
  <c r="BB186" i="12"/>
  <c r="BB187" i="12"/>
  <c r="BB188" i="12"/>
  <c r="BB189" i="12"/>
  <c r="BB190" i="12"/>
  <c r="BB191" i="12"/>
  <c r="BB192" i="12"/>
  <c r="BB193" i="12"/>
  <c r="BB194" i="12"/>
  <c r="BB195" i="12"/>
  <c r="BB196" i="12"/>
  <c r="BB197" i="12"/>
  <c r="BB198" i="12"/>
  <c r="BB199" i="12"/>
  <c r="BB200" i="12"/>
  <c r="BB201" i="12"/>
  <c r="BB202" i="12"/>
  <c r="BB203" i="12"/>
  <c r="BB204" i="12"/>
  <c r="BB205" i="12"/>
  <c r="BB206" i="12"/>
  <c r="BB207" i="12"/>
  <c r="BB208" i="12"/>
  <c r="BB209" i="12"/>
  <c r="BB210" i="12"/>
  <c r="BB211" i="12"/>
  <c r="BB212" i="12"/>
  <c r="BB213" i="12"/>
  <c r="BB214" i="12"/>
  <c r="BB215" i="12"/>
  <c r="BB216" i="12"/>
  <c r="BB217" i="12"/>
  <c r="BB218" i="12"/>
  <c r="BB219" i="12"/>
  <c r="BB220" i="12"/>
  <c r="BB221" i="12"/>
  <c r="BB222" i="12"/>
  <c r="BB223" i="12"/>
  <c r="BB224" i="12"/>
  <c r="BB225" i="12"/>
  <c r="BB226" i="12"/>
  <c r="BB227" i="12"/>
  <c r="BB228" i="12"/>
  <c r="BB229" i="12"/>
  <c r="BB230" i="12"/>
  <c r="BB231" i="12"/>
  <c r="BB232" i="12"/>
  <c r="BB233" i="12"/>
  <c r="BB234" i="12"/>
  <c r="BB235" i="12"/>
  <c r="BB236" i="12"/>
  <c r="BB237" i="12"/>
  <c r="BB238" i="12"/>
  <c r="BB239" i="12"/>
  <c r="BB240" i="12"/>
  <c r="BB241" i="12"/>
  <c r="BB242" i="12"/>
  <c r="BB243" i="12"/>
  <c r="BB244" i="12"/>
  <c r="BB245" i="12"/>
  <c r="BB246" i="12"/>
  <c r="BB247" i="12"/>
  <c r="BB248" i="12"/>
  <c r="BB249" i="12"/>
  <c r="BB250" i="12"/>
  <c r="BB251" i="12"/>
  <c r="BB252" i="12"/>
  <c r="BB253" i="12"/>
  <c r="BB254" i="12"/>
  <c r="BB255" i="12"/>
  <c r="BB256" i="12"/>
  <c r="BB257" i="12"/>
  <c r="BB258" i="12"/>
  <c r="BB259" i="12"/>
  <c r="BB260" i="12"/>
  <c r="BB261" i="12"/>
  <c r="BB262" i="12"/>
  <c r="BB263" i="12"/>
  <c r="BB264" i="12"/>
  <c r="BB265" i="12"/>
  <c r="BB266" i="12"/>
  <c r="BB267" i="12"/>
  <c r="BB268" i="12"/>
  <c r="BB269" i="12"/>
  <c r="BB270" i="12"/>
  <c r="BB271" i="12"/>
  <c r="BB272" i="12"/>
  <c r="BB273" i="12"/>
  <c r="BB274" i="12"/>
  <c r="BB275" i="12"/>
  <c r="BB276" i="12"/>
  <c r="BB277" i="12"/>
  <c r="BB278" i="12"/>
  <c r="BB279" i="12"/>
  <c r="BB280" i="12"/>
  <c r="BB281" i="12"/>
  <c r="BB282" i="12"/>
  <c r="BB283" i="12"/>
  <c r="BB284" i="12"/>
  <c r="BB285" i="12"/>
  <c r="BB286" i="12"/>
  <c r="BB287" i="12"/>
  <c r="BB288" i="12"/>
  <c r="BB289" i="12"/>
  <c r="BB290" i="12"/>
  <c r="BB291" i="12"/>
  <c r="BB292" i="12"/>
  <c r="BB293" i="12"/>
  <c r="BB294" i="12"/>
  <c r="BB295" i="12"/>
  <c r="BB296" i="12"/>
  <c r="BB297" i="12"/>
  <c r="BB298" i="12"/>
  <c r="BB299" i="12"/>
  <c r="BB300" i="12"/>
  <c r="BB301" i="12"/>
  <c r="BB302" i="12"/>
  <c r="BB303" i="12"/>
  <c r="BB304" i="12"/>
  <c r="BB305" i="12"/>
  <c r="BB306" i="12"/>
  <c r="BB307" i="12"/>
  <c r="BB308" i="12"/>
  <c r="BB309" i="12"/>
  <c r="BB310" i="12"/>
  <c r="BB311" i="12"/>
  <c r="BB312" i="12"/>
  <c r="BB313" i="12"/>
  <c r="BB314" i="12"/>
  <c r="BB315" i="12"/>
  <c r="BB316" i="12"/>
  <c r="BB317" i="12"/>
  <c r="BB318" i="12"/>
  <c r="BB319" i="12"/>
  <c r="BB320" i="12"/>
  <c r="BB321" i="12"/>
  <c r="BB322" i="12"/>
  <c r="BB323" i="12"/>
  <c r="BB324" i="12"/>
  <c r="BB325" i="12"/>
  <c r="BB326" i="12"/>
  <c r="BB327" i="12"/>
  <c r="BB328" i="12"/>
  <c r="BB329" i="12"/>
  <c r="BB330" i="12"/>
  <c r="BB331" i="12"/>
  <c r="BB332" i="12"/>
  <c r="BB333" i="12"/>
  <c r="BB334" i="12"/>
  <c r="BB335" i="12"/>
  <c r="BB336" i="12"/>
  <c r="BB337" i="12"/>
  <c r="BB338" i="12"/>
  <c r="BB339" i="12"/>
  <c r="BB340" i="12"/>
  <c r="BB341" i="12"/>
  <c r="BB342" i="12"/>
  <c r="BB343" i="12"/>
  <c r="BB344" i="12"/>
  <c r="BB345" i="12"/>
  <c r="BB346" i="12"/>
  <c r="BB347" i="12"/>
  <c r="BB348" i="12"/>
  <c r="BB349" i="12"/>
  <c r="BB350" i="12"/>
  <c r="BB351" i="12"/>
  <c r="BB352" i="12"/>
  <c r="BB353" i="12"/>
  <c r="BB354" i="12"/>
  <c r="BB355" i="12"/>
  <c r="BB356" i="12"/>
  <c r="BB357" i="12"/>
  <c r="BB358" i="12"/>
  <c r="BB359" i="12"/>
  <c r="BB360" i="12"/>
  <c r="BB4" i="12"/>
  <c r="O15" i="9" l="1"/>
  <c r="O14" i="9"/>
  <c r="O13" i="9"/>
  <c r="O12" i="9"/>
  <c r="O11" i="9"/>
  <c r="O10" i="9"/>
  <c r="O9" i="9"/>
  <c r="O8" i="9"/>
  <c r="J2" i="7"/>
  <c r="H2" i="7"/>
  <c r="F2" i="7"/>
  <c r="D2" i="7"/>
  <c r="O15" i="7"/>
  <c r="O14" i="7"/>
  <c r="O13" i="7"/>
  <c r="O11" i="7"/>
  <c r="O10" i="7"/>
  <c r="O9" i="7"/>
  <c r="O15" i="10"/>
  <c r="O14" i="10"/>
  <c r="O13" i="10"/>
  <c r="O12" i="10"/>
  <c r="O11" i="10"/>
  <c r="O10" i="10"/>
  <c r="O9" i="10"/>
  <c r="O8" i="10"/>
  <c r="C2" i="13"/>
  <c r="D2" i="13" s="1"/>
  <c r="M13" i="12"/>
  <c r="M12" i="12"/>
  <c r="M11" i="12"/>
  <c r="M10" i="12"/>
  <c r="M9" i="12"/>
  <c r="M8" i="12"/>
  <c r="O15" i="8" l="1"/>
  <c r="O14" i="8"/>
  <c r="O13" i="8"/>
  <c r="O12" i="8"/>
  <c r="O11" i="8"/>
  <c r="O10" i="8"/>
  <c r="O9" i="8"/>
  <c r="O8" i="8"/>
  <c r="M13" i="5" l="1"/>
  <c r="M12" i="5"/>
  <c r="M11" i="5"/>
  <c r="M10" i="5"/>
  <c r="M9" i="5"/>
  <c r="M8" i="5"/>
  <c r="AN77" i="5" l="1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83" i="5"/>
  <c r="AN184" i="5"/>
  <c r="AN185" i="5"/>
  <c r="AN186" i="5"/>
  <c r="AN187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20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22" i="5"/>
  <c r="AN223" i="5"/>
  <c r="AN224" i="5"/>
  <c r="AN225" i="5"/>
  <c r="AN226" i="5"/>
  <c r="AN227" i="5"/>
  <c r="AN228" i="5"/>
  <c r="AN229" i="5"/>
  <c r="AN230" i="5"/>
  <c r="AN231" i="5"/>
  <c r="AN232" i="5"/>
  <c r="AN233" i="5"/>
  <c r="AN234" i="5"/>
  <c r="AN235" i="5"/>
  <c r="AN236" i="5"/>
  <c r="AN237" i="5"/>
  <c r="AN238" i="5"/>
  <c r="AN239" i="5"/>
  <c r="AN240" i="5"/>
  <c r="AN241" i="5"/>
  <c r="AN242" i="5"/>
  <c r="AN243" i="5"/>
  <c r="AN244" i="5"/>
  <c r="AN245" i="5"/>
  <c r="AN246" i="5"/>
  <c r="AN247" i="5"/>
  <c r="AN248" i="5"/>
  <c r="AN249" i="5"/>
  <c r="AN250" i="5"/>
  <c r="AN251" i="5"/>
  <c r="AN252" i="5"/>
  <c r="AN253" i="5"/>
  <c r="AN254" i="5"/>
  <c r="AN255" i="5"/>
  <c r="AN256" i="5"/>
  <c r="AN257" i="5"/>
  <c r="AN258" i="5"/>
  <c r="AN259" i="5"/>
  <c r="AN260" i="5"/>
  <c r="AN261" i="5"/>
  <c r="AN262" i="5"/>
  <c r="AN263" i="5"/>
  <c r="AN264" i="5"/>
  <c r="AN265" i="5"/>
  <c r="AN266" i="5"/>
  <c r="AN267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5" i="5"/>
  <c r="AN6" i="5" s="1"/>
  <c r="AN7" i="5" s="1"/>
  <c r="AN8" i="5" s="1"/>
  <c r="AN9" i="5" s="1"/>
  <c r="AN10" i="5" s="1"/>
  <c r="AN11" i="5" s="1"/>
  <c r="AN12" i="5" s="1"/>
  <c r="AN13" i="5" s="1"/>
  <c r="AN14" i="5" s="1"/>
  <c r="AN15" i="5" s="1"/>
  <c r="AN16" i="5" s="1"/>
  <c r="AN17" i="5" s="1"/>
  <c r="AN18" i="5" s="1"/>
  <c r="AN19" i="5" s="1"/>
  <c r="AN20" i="5" s="1"/>
  <c r="AN21" i="5" s="1"/>
  <c r="AN22" i="5" s="1"/>
  <c r="AN23" i="5" s="1"/>
  <c r="AN24" i="5" s="1"/>
  <c r="AN25" i="5" s="1"/>
  <c r="AN26" i="5" s="1"/>
  <c r="AN27" i="5" s="1"/>
  <c r="AN28" i="5" s="1"/>
  <c r="AN29" i="5" s="1"/>
  <c r="AN30" i="5" s="1"/>
  <c r="AN31" i="5" s="1"/>
  <c r="AN32" i="5" s="1"/>
  <c r="AN33" i="5" s="1"/>
  <c r="AN34" i="5" s="1"/>
  <c r="AN35" i="5" s="1"/>
  <c r="AN36" i="5" s="1"/>
  <c r="AN37" i="5" s="1"/>
  <c r="AN38" i="5" s="1"/>
  <c r="H2" i="16" l="1"/>
  <c r="F2" i="16"/>
  <c r="J2" i="15"/>
  <c r="H2" i="15"/>
  <c r="F2" i="15"/>
  <c r="D2" i="15"/>
  <c r="AT5" i="12" l="1"/>
  <c r="AT4" i="12"/>
  <c r="AV5" i="9" l="1"/>
  <c r="AV4" i="9"/>
  <c r="AV5" i="7"/>
  <c r="AV4" i="7"/>
  <c r="AV5" i="10"/>
  <c r="AV4" i="10"/>
  <c r="AV4" i="8"/>
  <c r="AV5" i="8"/>
  <c r="AT4" i="5" l="1"/>
  <c r="AT5" i="5"/>
  <c r="I2" i="13" l="1"/>
  <c r="N3" i="9" l="1"/>
  <c r="N2" i="9"/>
  <c r="AB202" i="9"/>
  <c r="AB201" i="9"/>
  <c r="AB200" i="9"/>
  <c r="AB199" i="9"/>
  <c r="AB198" i="9"/>
  <c r="AB197" i="9"/>
  <c r="AB196" i="9"/>
  <c r="AB195" i="9"/>
  <c r="AB194" i="9"/>
  <c r="AB193" i="9"/>
  <c r="AB192" i="9"/>
  <c r="AB191" i="9"/>
  <c r="AB190" i="9"/>
  <c r="AB189" i="9"/>
  <c r="AB188" i="9"/>
  <c r="AB187" i="9"/>
  <c r="AB186" i="9"/>
  <c r="AB185" i="9"/>
  <c r="AB184" i="9"/>
  <c r="AB183" i="9"/>
  <c r="AB182" i="9"/>
  <c r="AB181" i="9"/>
  <c r="AB180" i="9"/>
  <c r="AB179" i="9"/>
  <c r="AB178" i="9"/>
  <c r="AB177" i="9"/>
  <c r="AB176" i="9"/>
  <c r="AB175" i="9"/>
  <c r="AB174" i="9"/>
  <c r="AB173" i="9"/>
  <c r="AB172" i="9"/>
  <c r="AB171" i="9"/>
  <c r="AB170" i="9"/>
  <c r="AB169" i="9"/>
  <c r="AB168" i="9"/>
  <c r="AB167" i="9"/>
  <c r="AB166" i="9"/>
  <c r="AB165" i="9"/>
  <c r="AB164" i="9"/>
  <c r="AB163" i="9"/>
  <c r="AB162" i="9"/>
  <c r="AB161" i="9"/>
  <c r="AB160" i="9"/>
  <c r="AB159" i="9"/>
  <c r="AB158" i="9"/>
  <c r="AB157" i="9"/>
  <c r="AB156" i="9"/>
  <c r="AB155" i="9"/>
  <c r="AB154" i="9"/>
  <c r="AB153" i="9"/>
  <c r="AB152" i="9"/>
  <c r="AB151" i="9"/>
  <c r="AB150" i="9"/>
  <c r="AB149" i="9"/>
  <c r="AB148" i="9"/>
  <c r="AB147" i="9"/>
  <c r="AB146" i="9"/>
  <c r="AB145" i="9"/>
  <c r="AB144" i="9"/>
  <c r="AB143" i="9"/>
  <c r="AB142" i="9"/>
  <c r="AB141" i="9"/>
  <c r="AB140" i="9"/>
  <c r="AB139" i="9"/>
  <c r="AB138" i="9"/>
  <c r="AB137" i="9"/>
  <c r="AB136" i="9"/>
  <c r="AB135" i="9"/>
  <c r="AB134" i="9"/>
  <c r="AB133" i="9"/>
  <c r="AB132" i="9"/>
  <c r="AB131" i="9"/>
  <c r="AB130" i="9"/>
  <c r="AB129" i="9"/>
  <c r="AB128" i="9"/>
  <c r="AB127" i="9"/>
  <c r="AB126" i="9"/>
  <c r="AB125" i="9"/>
  <c r="AB124" i="9"/>
  <c r="AB123" i="9"/>
  <c r="AB122" i="9"/>
  <c r="AB121" i="9"/>
  <c r="AB120" i="9"/>
  <c r="AB119" i="9"/>
  <c r="AB118" i="9"/>
  <c r="AB117" i="9"/>
  <c r="AB116" i="9"/>
  <c r="AB115" i="9"/>
  <c r="AB114" i="9"/>
  <c r="AB113" i="9"/>
  <c r="AB112" i="9"/>
  <c r="AB111" i="9"/>
  <c r="AB110" i="9"/>
  <c r="AB109" i="9"/>
  <c r="AB108" i="9"/>
  <c r="AB107" i="9"/>
  <c r="AB106" i="9"/>
  <c r="AB105" i="9"/>
  <c r="AB104" i="9"/>
  <c r="AB103" i="9"/>
  <c r="AB102" i="9"/>
  <c r="AB101" i="9"/>
  <c r="AB100" i="9"/>
  <c r="AB99" i="9"/>
  <c r="AB98" i="9"/>
  <c r="AB97" i="9"/>
  <c r="AB96" i="9"/>
  <c r="AB95" i="9"/>
  <c r="AB94" i="9"/>
  <c r="AB93" i="9"/>
  <c r="AB92" i="9"/>
  <c r="AB91" i="9"/>
  <c r="AB90" i="9"/>
  <c r="AB89" i="9"/>
  <c r="AB88" i="9"/>
  <c r="AB87" i="9"/>
  <c r="AB86" i="9"/>
  <c r="AB85" i="9"/>
  <c r="AB84" i="9"/>
  <c r="AB83" i="9"/>
  <c r="AB82" i="9"/>
  <c r="AB81" i="9"/>
  <c r="AB80" i="9"/>
  <c r="AB79" i="9"/>
  <c r="AB78" i="9"/>
  <c r="AB77" i="9"/>
  <c r="AB76" i="9"/>
  <c r="AB75" i="9"/>
  <c r="AB74" i="9"/>
  <c r="AB73" i="9"/>
  <c r="AB72" i="9"/>
  <c r="AB71" i="9"/>
  <c r="AB70" i="9"/>
  <c r="AB69" i="9"/>
  <c r="AB68" i="9"/>
  <c r="AB67" i="9"/>
  <c r="AB66" i="9"/>
  <c r="AB65" i="9"/>
  <c r="AB64" i="9"/>
  <c r="AB63" i="9"/>
  <c r="AB62" i="9"/>
  <c r="AB61" i="9"/>
  <c r="AB60" i="9"/>
  <c r="AB59" i="9"/>
  <c r="AB58" i="9"/>
  <c r="AB57" i="9"/>
  <c r="AB56" i="9"/>
  <c r="AB55" i="9"/>
  <c r="AB54" i="9"/>
  <c r="AB53" i="9"/>
  <c r="AB52" i="9"/>
  <c r="AB51" i="9"/>
  <c r="AB50" i="9"/>
  <c r="AB49" i="9"/>
  <c r="AB48" i="9"/>
  <c r="AB47" i="9"/>
  <c r="AB46" i="9"/>
  <c r="AB45" i="9"/>
  <c r="AB44" i="9"/>
  <c r="AB43" i="9"/>
  <c r="AB42" i="9"/>
  <c r="AB41" i="9"/>
  <c r="AB40" i="9"/>
  <c r="AB39" i="9"/>
  <c r="AB38" i="9"/>
  <c r="AB37" i="9"/>
  <c r="AB36" i="9"/>
  <c r="AB35" i="9"/>
  <c r="AB34" i="9"/>
  <c r="AB33" i="9"/>
  <c r="AB32" i="9"/>
  <c r="AB31" i="9"/>
  <c r="AB30" i="9"/>
  <c r="AB29" i="9"/>
  <c r="AB28" i="9"/>
  <c r="AB27" i="9"/>
  <c r="AB26" i="9"/>
  <c r="AB25" i="9"/>
  <c r="AB24" i="9"/>
  <c r="AB23" i="9"/>
  <c r="AB22" i="9"/>
  <c r="AB21" i="9"/>
  <c r="AB20" i="9"/>
  <c r="AB19" i="9"/>
  <c r="AB18" i="9"/>
  <c r="AB17" i="9"/>
  <c r="AB16" i="9"/>
  <c r="AB15" i="9"/>
  <c r="AB14" i="9"/>
  <c r="AB13" i="9"/>
  <c r="AB12" i="9"/>
  <c r="AB11" i="9"/>
  <c r="AB10" i="9"/>
  <c r="AB9" i="9"/>
  <c r="AB8" i="9"/>
  <c r="AB7" i="9"/>
  <c r="AB6" i="9"/>
  <c r="AB5" i="9"/>
  <c r="AB4" i="9"/>
  <c r="AR201" i="9"/>
  <c r="AP201" i="9"/>
  <c r="AP200" i="9"/>
  <c r="AR200" i="9" s="1"/>
  <c r="AP199" i="9"/>
  <c r="AR199" i="9" s="1"/>
  <c r="AP198" i="9"/>
  <c r="AR198" i="9" s="1"/>
  <c r="AP197" i="9"/>
  <c r="AR197" i="9" s="1"/>
  <c r="AP196" i="9"/>
  <c r="AR196" i="9" s="1"/>
  <c r="AP195" i="9"/>
  <c r="AR195" i="9" s="1"/>
  <c r="AP194" i="9"/>
  <c r="AR194" i="9" s="1"/>
  <c r="AP193" i="9"/>
  <c r="AR193" i="9" s="1"/>
  <c r="AP192" i="9"/>
  <c r="AR192" i="9" s="1"/>
  <c r="AP191" i="9"/>
  <c r="AR191" i="9" s="1"/>
  <c r="AP190" i="9"/>
  <c r="AR190" i="9" s="1"/>
  <c r="AP189" i="9"/>
  <c r="AR189" i="9" s="1"/>
  <c r="AP188" i="9"/>
  <c r="AR188" i="9" s="1"/>
  <c r="AP187" i="9"/>
  <c r="AR187" i="9" s="1"/>
  <c r="AP186" i="9"/>
  <c r="AR186" i="9" s="1"/>
  <c r="AP185" i="9"/>
  <c r="AR185" i="9" s="1"/>
  <c r="AP184" i="9"/>
  <c r="AR184" i="9" s="1"/>
  <c r="AP183" i="9"/>
  <c r="AR183" i="9" s="1"/>
  <c r="AP182" i="9"/>
  <c r="AR182" i="9" s="1"/>
  <c r="AP181" i="9"/>
  <c r="AR181" i="9" s="1"/>
  <c r="AP180" i="9"/>
  <c r="AR180" i="9" s="1"/>
  <c r="AP179" i="9"/>
  <c r="AR179" i="9" s="1"/>
  <c r="AP178" i="9"/>
  <c r="AR178" i="9" s="1"/>
  <c r="AP177" i="9"/>
  <c r="AR177" i="9" s="1"/>
  <c r="AP176" i="9"/>
  <c r="AR176" i="9" s="1"/>
  <c r="AP175" i="9"/>
  <c r="AR175" i="9" s="1"/>
  <c r="AP174" i="9"/>
  <c r="AR174" i="9" s="1"/>
  <c r="AP173" i="9"/>
  <c r="AR173" i="9" s="1"/>
  <c r="AP172" i="9"/>
  <c r="AR172" i="9" s="1"/>
  <c r="AP171" i="9"/>
  <c r="AR171" i="9" s="1"/>
  <c r="AP170" i="9"/>
  <c r="AR170" i="9" s="1"/>
  <c r="AP169" i="9"/>
  <c r="AR169" i="9" s="1"/>
  <c r="AP168" i="9"/>
  <c r="AR168" i="9" s="1"/>
  <c r="AP167" i="9"/>
  <c r="AR167" i="9" s="1"/>
  <c r="AP166" i="9"/>
  <c r="AR166" i="9" s="1"/>
  <c r="AP165" i="9"/>
  <c r="AR165" i="9" s="1"/>
  <c r="AP164" i="9"/>
  <c r="AR164" i="9" s="1"/>
  <c r="AP163" i="9"/>
  <c r="AR163" i="9" s="1"/>
  <c r="AP162" i="9"/>
  <c r="AR162" i="9" s="1"/>
  <c r="AP161" i="9"/>
  <c r="AR161" i="9" s="1"/>
  <c r="AP160" i="9"/>
  <c r="AR160" i="9" s="1"/>
  <c r="AP159" i="9"/>
  <c r="AR159" i="9" s="1"/>
  <c r="AP158" i="9"/>
  <c r="AR158" i="9" s="1"/>
  <c r="AP157" i="9"/>
  <c r="AR157" i="9" s="1"/>
  <c r="AP156" i="9"/>
  <c r="AR156" i="9" s="1"/>
  <c r="AP155" i="9"/>
  <c r="AR155" i="9" s="1"/>
  <c r="AP154" i="9"/>
  <c r="AR154" i="9" s="1"/>
  <c r="AP153" i="9"/>
  <c r="AR153" i="9" s="1"/>
  <c r="AP152" i="9"/>
  <c r="AR152" i="9" s="1"/>
  <c r="AP151" i="9"/>
  <c r="AR151" i="9" s="1"/>
  <c r="AP150" i="9"/>
  <c r="AR150" i="9" s="1"/>
  <c r="AP149" i="9"/>
  <c r="AR149" i="9" s="1"/>
  <c r="AP148" i="9"/>
  <c r="AR148" i="9" s="1"/>
  <c r="AP147" i="9"/>
  <c r="AR147" i="9" s="1"/>
  <c r="AP146" i="9"/>
  <c r="AR146" i="9" s="1"/>
  <c r="AP145" i="9"/>
  <c r="AR145" i="9" s="1"/>
  <c r="AP144" i="9"/>
  <c r="AR144" i="9" s="1"/>
  <c r="AP143" i="9"/>
  <c r="AR143" i="9" s="1"/>
  <c r="AP142" i="9"/>
  <c r="AR142" i="9" s="1"/>
  <c r="AP141" i="9"/>
  <c r="AR141" i="9" s="1"/>
  <c r="AP140" i="9"/>
  <c r="AR140" i="9" s="1"/>
  <c r="AP139" i="9"/>
  <c r="AR139" i="9" s="1"/>
  <c r="AP138" i="9"/>
  <c r="AR138" i="9" s="1"/>
  <c r="AP137" i="9"/>
  <c r="AR137" i="9" s="1"/>
  <c r="AP136" i="9"/>
  <c r="AR136" i="9" s="1"/>
  <c r="AP135" i="9"/>
  <c r="AR135" i="9" s="1"/>
  <c r="AP134" i="9"/>
  <c r="AR134" i="9" s="1"/>
  <c r="AP133" i="9"/>
  <c r="AR133" i="9" s="1"/>
  <c r="AP132" i="9"/>
  <c r="AR132" i="9" s="1"/>
  <c r="AP131" i="9"/>
  <c r="AR131" i="9" s="1"/>
  <c r="AP130" i="9"/>
  <c r="AR130" i="9" s="1"/>
  <c r="AP129" i="9"/>
  <c r="AR129" i="9" s="1"/>
  <c r="AP128" i="9"/>
  <c r="AR128" i="9" s="1"/>
  <c r="AP127" i="9"/>
  <c r="AR127" i="9" s="1"/>
  <c r="AP126" i="9"/>
  <c r="AR126" i="9" s="1"/>
  <c r="AP125" i="9"/>
  <c r="AR125" i="9" s="1"/>
  <c r="AP124" i="9"/>
  <c r="AR124" i="9" s="1"/>
  <c r="AP123" i="9"/>
  <c r="AR123" i="9" s="1"/>
  <c r="AP122" i="9"/>
  <c r="AR122" i="9" s="1"/>
  <c r="AP121" i="9"/>
  <c r="AR121" i="9" s="1"/>
  <c r="AP120" i="9"/>
  <c r="AR120" i="9" s="1"/>
  <c r="AP119" i="9"/>
  <c r="AR119" i="9" s="1"/>
  <c r="AP118" i="9"/>
  <c r="AR118" i="9" s="1"/>
  <c r="AP117" i="9"/>
  <c r="AR117" i="9" s="1"/>
  <c r="AP116" i="9"/>
  <c r="AR116" i="9" s="1"/>
  <c r="AP115" i="9"/>
  <c r="AR115" i="9" s="1"/>
  <c r="AP114" i="9"/>
  <c r="AR114" i="9" s="1"/>
  <c r="AP113" i="9"/>
  <c r="AR113" i="9" s="1"/>
  <c r="AP112" i="9"/>
  <c r="AR112" i="9" s="1"/>
  <c r="AP111" i="9"/>
  <c r="AR111" i="9" s="1"/>
  <c r="AP110" i="9"/>
  <c r="AR110" i="9" s="1"/>
  <c r="AP109" i="9"/>
  <c r="AR109" i="9" s="1"/>
  <c r="AP108" i="9"/>
  <c r="AR108" i="9" s="1"/>
  <c r="AP107" i="9"/>
  <c r="AR107" i="9" s="1"/>
  <c r="AP106" i="9"/>
  <c r="AR106" i="9" s="1"/>
  <c r="AP105" i="9"/>
  <c r="AR105" i="9" s="1"/>
  <c r="AP104" i="9"/>
  <c r="AR104" i="9" s="1"/>
  <c r="AP103" i="9"/>
  <c r="AR103" i="9" s="1"/>
  <c r="AP102" i="9"/>
  <c r="AR102" i="9" s="1"/>
  <c r="AP101" i="9"/>
  <c r="AR101" i="9" s="1"/>
  <c r="AP100" i="9"/>
  <c r="AR100" i="9" s="1"/>
  <c r="AP99" i="9"/>
  <c r="AR99" i="9" s="1"/>
  <c r="AP98" i="9"/>
  <c r="AR98" i="9" s="1"/>
  <c r="AP97" i="9"/>
  <c r="AR97" i="9" s="1"/>
  <c r="AP96" i="9"/>
  <c r="AR96" i="9" s="1"/>
  <c r="AP95" i="9"/>
  <c r="AR95" i="9" s="1"/>
  <c r="AP94" i="9"/>
  <c r="AR94" i="9" s="1"/>
  <c r="AP93" i="9"/>
  <c r="AR93" i="9" s="1"/>
  <c r="AP92" i="9"/>
  <c r="AR92" i="9" s="1"/>
  <c r="AP91" i="9"/>
  <c r="AR91" i="9" s="1"/>
  <c r="AP90" i="9"/>
  <c r="AR90" i="9" s="1"/>
  <c r="AP89" i="9"/>
  <c r="AR89" i="9" s="1"/>
  <c r="AP88" i="9"/>
  <c r="AR88" i="9" s="1"/>
  <c r="AP87" i="9"/>
  <c r="AR87" i="9" s="1"/>
  <c r="AP86" i="9"/>
  <c r="AR86" i="9" s="1"/>
  <c r="AP85" i="9"/>
  <c r="AR85" i="9" s="1"/>
  <c r="AP84" i="9"/>
  <c r="AR84" i="9" s="1"/>
  <c r="AP83" i="9"/>
  <c r="AR83" i="9" s="1"/>
  <c r="AP82" i="9"/>
  <c r="AR82" i="9" s="1"/>
  <c r="AP81" i="9"/>
  <c r="AR81" i="9" s="1"/>
  <c r="AP80" i="9"/>
  <c r="AR80" i="9" s="1"/>
  <c r="AP79" i="9"/>
  <c r="AR79" i="9" s="1"/>
  <c r="AP78" i="9"/>
  <c r="AR78" i="9" s="1"/>
  <c r="AP77" i="9"/>
  <c r="AR77" i="9" s="1"/>
  <c r="AP76" i="9"/>
  <c r="AR76" i="9" s="1"/>
  <c r="AP75" i="9"/>
  <c r="AR75" i="9" s="1"/>
  <c r="AP74" i="9"/>
  <c r="AR74" i="9" s="1"/>
  <c r="AP73" i="9"/>
  <c r="AR73" i="9" s="1"/>
  <c r="AP72" i="9"/>
  <c r="AR72" i="9" s="1"/>
  <c r="AP71" i="9"/>
  <c r="AR71" i="9" s="1"/>
  <c r="AP70" i="9"/>
  <c r="AR70" i="9" s="1"/>
  <c r="AP69" i="9"/>
  <c r="AR69" i="9" s="1"/>
  <c r="AP68" i="9"/>
  <c r="AR68" i="9" s="1"/>
  <c r="AP67" i="9"/>
  <c r="AR67" i="9" s="1"/>
  <c r="AP66" i="9"/>
  <c r="AR66" i="9" s="1"/>
  <c r="AP65" i="9"/>
  <c r="AR65" i="9" s="1"/>
  <c r="AP64" i="9"/>
  <c r="AR64" i="9" s="1"/>
  <c r="AP63" i="9"/>
  <c r="AR63" i="9" s="1"/>
  <c r="AP62" i="9"/>
  <c r="AR62" i="9" s="1"/>
  <c r="AP61" i="9"/>
  <c r="AR61" i="9" s="1"/>
  <c r="AP60" i="9"/>
  <c r="AR60" i="9" s="1"/>
  <c r="AP59" i="9"/>
  <c r="AR59" i="9" s="1"/>
  <c r="AP58" i="9"/>
  <c r="AR58" i="9" s="1"/>
  <c r="AP57" i="9"/>
  <c r="AR57" i="9" s="1"/>
  <c r="AP56" i="9"/>
  <c r="AR56" i="9" s="1"/>
  <c r="AP55" i="9"/>
  <c r="AR55" i="9" s="1"/>
  <c r="AP54" i="9"/>
  <c r="AR54" i="9" s="1"/>
  <c r="AP53" i="9"/>
  <c r="AR53" i="9" s="1"/>
  <c r="AP52" i="9"/>
  <c r="AR52" i="9" s="1"/>
  <c r="AP51" i="9"/>
  <c r="AR51" i="9" s="1"/>
  <c r="AP50" i="9"/>
  <c r="AR50" i="9" s="1"/>
  <c r="AP49" i="9"/>
  <c r="AR49" i="9" s="1"/>
  <c r="AP48" i="9"/>
  <c r="AR48" i="9" s="1"/>
  <c r="AP47" i="9"/>
  <c r="AR47" i="9" s="1"/>
  <c r="AP46" i="9"/>
  <c r="AR46" i="9" s="1"/>
  <c r="AP45" i="9"/>
  <c r="AR45" i="9" s="1"/>
  <c r="AP44" i="9"/>
  <c r="AR44" i="9" s="1"/>
  <c r="AP43" i="9"/>
  <c r="AR43" i="9" s="1"/>
  <c r="AP42" i="9"/>
  <c r="AR42" i="9" s="1"/>
  <c r="AP41" i="9"/>
  <c r="AR41" i="9" s="1"/>
  <c r="AP40" i="9"/>
  <c r="AR40" i="9" s="1"/>
  <c r="AP5" i="9"/>
  <c r="AR4" i="9"/>
  <c r="AV3" i="9"/>
  <c r="AV2" i="9"/>
  <c r="AP6" i="9" l="1"/>
  <c r="N1" i="9"/>
  <c r="AR201" i="8"/>
  <c r="AP201" i="8"/>
  <c r="AP200" i="8"/>
  <c r="AR200" i="8" s="1"/>
  <c r="AP199" i="8"/>
  <c r="AR199" i="8" s="1"/>
  <c r="AP198" i="8"/>
  <c r="AR198" i="8" s="1"/>
  <c r="AP197" i="8"/>
  <c r="AR197" i="8" s="1"/>
  <c r="AP196" i="8"/>
  <c r="AR196" i="8" s="1"/>
  <c r="AP195" i="8"/>
  <c r="AR195" i="8" s="1"/>
  <c r="AP194" i="8"/>
  <c r="AR194" i="8" s="1"/>
  <c r="AP193" i="8"/>
  <c r="AR193" i="8" s="1"/>
  <c r="AP192" i="8"/>
  <c r="AR192" i="8" s="1"/>
  <c r="AP191" i="8"/>
  <c r="AR191" i="8" s="1"/>
  <c r="AP190" i="8"/>
  <c r="AR190" i="8" s="1"/>
  <c r="AP189" i="8"/>
  <c r="AR189" i="8" s="1"/>
  <c r="AP188" i="8"/>
  <c r="AR188" i="8" s="1"/>
  <c r="AP187" i="8"/>
  <c r="AR187" i="8" s="1"/>
  <c r="AP186" i="8"/>
  <c r="AR186" i="8" s="1"/>
  <c r="AP185" i="8"/>
  <c r="AR185" i="8" s="1"/>
  <c r="AP184" i="8"/>
  <c r="AR184" i="8" s="1"/>
  <c r="AP183" i="8"/>
  <c r="AR183" i="8" s="1"/>
  <c r="AP182" i="8"/>
  <c r="AR182" i="8" s="1"/>
  <c r="AP181" i="8"/>
  <c r="AR181" i="8" s="1"/>
  <c r="AP180" i="8"/>
  <c r="AR180" i="8" s="1"/>
  <c r="AP179" i="8"/>
  <c r="AR179" i="8" s="1"/>
  <c r="AP178" i="8"/>
  <c r="AR178" i="8" s="1"/>
  <c r="AP177" i="8"/>
  <c r="AR177" i="8" s="1"/>
  <c r="AP176" i="8"/>
  <c r="AR176" i="8" s="1"/>
  <c r="AP175" i="8"/>
  <c r="AR175" i="8" s="1"/>
  <c r="AP174" i="8"/>
  <c r="AR174" i="8" s="1"/>
  <c r="AP173" i="8"/>
  <c r="AR173" i="8" s="1"/>
  <c r="AP172" i="8"/>
  <c r="AR172" i="8" s="1"/>
  <c r="AP171" i="8"/>
  <c r="AR171" i="8" s="1"/>
  <c r="AP170" i="8"/>
  <c r="AR170" i="8" s="1"/>
  <c r="AP169" i="8"/>
  <c r="AR169" i="8" s="1"/>
  <c r="AP168" i="8"/>
  <c r="AR168" i="8" s="1"/>
  <c r="AP167" i="8"/>
  <c r="AR167" i="8" s="1"/>
  <c r="AP166" i="8"/>
  <c r="AR166" i="8" s="1"/>
  <c r="AP165" i="8"/>
  <c r="AR165" i="8" s="1"/>
  <c r="AP164" i="8"/>
  <c r="AR164" i="8" s="1"/>
  <c r="AP163" i="8"/>
  <c r="AR163" i="8" s="1"/>
  <c r="AP162" i="8"/>
  <c r="AR162" i="8" s="1"/>
  <c r="AP161" i="8"/>
  <c r="AR161" i="8" s="1"/>
  <c r="AP160" i="8"/>
  <c r="AR160" i="8" s="1"/>
  <c r="AP159" i="8"/>
  <c r="AR159" i="8" s="1"/>
  <c r="AP158" i="8"/>
  <c r="AR158" i="8" s="1"/>
  <c r="AP157" i="8"/>
  <c r="AR157" i="8" s="1"/>
  <c r="AP156" i="8"/>
  <c r="AR156" i="8" s="1"/>
  <c r="AP155" i="8"/>
  <c r="AR155" i="8" s="1"/>
  <c r="AP154" i="8"/>
  <c r="AR154" i="8" s="1"/>
  <c r="AP153" i="8"/>
  <c r="AR153" i="8" s="1"/>
  <c r="AP152" i="8"/>
  <c r="AR152" i="8" s="1"/>
  <c r="AP151" i="8"/>
  <c r="AR151" i="8" s="1"/>
  <c r="AP150" i="8"/>
  <c r="AR150" i="8" s="1"/>
  <c r="AP149" i="8"/>
  <c r="AR149" i="8" s="1"/>
  <c r="AP148" i="8"/>
  <c r="AR148" i="8" s="1"/>
  <c r="AP147" i="8"/>
  <c r="AR147" i="8" s="1"/>
  <c r="AP146" i="8"/>
  <c r="AR146" i="8" s="1"/>
  <c r="AP145" i="8"/>
  <c r="AR145" i="8" s="1"/>
  <c r="AP144" i="8"/>
  <c r="AR144" i="8" s="1"/>
  <c r="AP143" i="8"/>
  <c r="AR143" i="8" s="1"/>
  <c r="AP142" i="8"/>
  <c r="AR142" i="8" s="1"/>
  <c r="AP141" i="8"/>
  <c r="AR141" i="8" s="1"/>
  <c r="AP140" i="8"/>
  <c r="AR140" i="8" s="1"/>
  <c r="AP139" i="8"/>
  <c r="AR139" i="8" s="1"/>
  <c r="AP138" i="8"/>
  <c r="AR138" i="8" s="1"/>
  <c r="AP137" i="8"/>
  <c r="AR137" i="8" s="1"/>
  <c r="AP136" i="8"/>
  <c r="AR136" i="8" s="1"/>
  <c r="AP135" i="8"/>
  <c r="AR135" i="8" s="1"/>
  <c r="AP134" i="8"/>
  <c r="AR134" i="8" s="1"/>
  <c r="AP133" i="8"/>
  <c r="AR133" i="8" s="1"/>
  <c r="AP132" i="8"/>
  <c r="AR132" i="8" s="1"/>
  <c r="AP131" i="8"/>
  <c r="AR131" i="8" s="1"/>
  <c r="AP130" i="8"/>
  <c r="AR130" i="8" s="1"/>
  <c r="AP129" i="8"/>
  <c r="AR129" i="8" s="1"/>
  <c r="AP128" i="8"/>
  <c r="AR128" i="8" s="1"/>
  <c r="AP127" i="8"/>
  <c r="AR127" i="8" s="1"/>
  <c r="AP126" i="8"/>
  <c r="AR126" i="8" s="1"/>
  <c r="AP125" i="8"/>
  <c r="AR125" i="8" s="1"/>
  <c r="AP124" i="8"/>
  <c r="AR124" i="8" s="1"/>
  <c r="AP123" i="8"/>
  <c r="AR123" i="8" s="1"/>
  <c r="AP122" i="8"/>
  <c r="AR122" i="8" s="1"/>
  <c r="AP121" i="8"/>
  <c r="AR121" i="8" s="1"/>
  <c r="AP120" i="8"/>
  <c r="AR120" i="8" s="1"/>
  <c r="AP119" i="8"/>
  <c r="AR119" i="8" s="1"/>
  <c r="AP118" i="8"/>
  <c r="AR118" i="8" s="1"/>
  <c r="AP117" i="8"/>
  <c r="AR117" i="8" s="1"/>
  <c r="AP116" i="8"/>
  <c r="AR116" i="8" s="1"/>
  <c r="AP115" i="8"/>
  <c r="AR115" i="8" s="1"/>
  <c r="AP114" i="8"/>
  <c r="AR114" i="8" s="1"/>
  <c r="AP113" i="8"/>
  <c r="AR113" i="8" s="1"/>
  <c r="AP112" i="8"/>
  <c r="AR112" i="8" s="1"/>
  <c r="AP111" i="8"/>
  <c r="AR111" i="8" s="1"/>
  <c r="AP110" i="8"/>
  <c r="AR110" i="8" s="1"/>
  <c r="AP109" i="8"/>
  <c r="AR109" i="8" s="1"/>
  <c r="AP108" i="8"/>
  <c r="AR108" i="8" s="1"/>
  <c r="AP107" i="8"/>
  <c r="AR107" i="8" s="1"/>
  <c r="AP106" i="8"/>
  <c r="AR106" i="8" s="1"/>
  <c r="AP105" i="8"/>
  <c r="AR105" i="8" s="1"/>
  <c r="AP104" i="8"/>
  <c r="AR104" i="8" s="1"/>
  <c r="AP103" i="8"/>
  <c r="AR103" i="8" s="1"/>
  <c r="AP102" i="8"/>
  <c r="AR102" i="8" s="1"/>
  <c r="AP101" i="8"/>
  <c r="AR101" i="8" s="1"/>
  <c r="AP100" i="8"/>
  <c r="AR100" i="8" s="1"/>
  <c r="AP99" i="8"/>
  <c r="AR99" i="8" s="1"/>
  <c r="AP98" i="8"/>
  <c r="AR98" i="8" s="1"/>
  <c r="AP97" i="8"/>
  <c r="AR97" i="8" s="1"/>
  <c r="AP96" i="8"/>
  <c r="AR96" i="8" s="1"/>
  <c r="AP95" i="8"/>
  <c r="AR95" i="8" s="1"/>
  <c r="AP94" i="8"/>
  <c r="AR94" i="8" s="1"/>
  <c r="AP93" i="8"/>
  <c r="AR93" i="8" s="1"/>
  <c r="AP92" i="8"/>
  <c r="AR92" i="8" s="1"/>
  <c r="AP91" i="8"/>
  <c r="AR91" i="8" s="1"/>
  <c r="AP90" i="8"/>
  <c r="AR90" i="8" s="1"/>
  <c r="AP89" i="8"/>
  <c r="AR89" i="8" s="1"/>
  <c r="AP88" i="8"/>
  <c r="AR88" i="8" s="1"/>
  <c r="AP87" i="8"/>
  <c r="AR87" i="8" s="1"/>
  <c r="AP86" i="8"/>
  <c r="AR86" i="8" s="1"/>
  <c r="AP85" i="8"/>
  <c r="AR85" i="8" s="1"/>
  <c r="AP84" i="8"/>
  <c r="AR84" i="8" s="1"/>
  <c r="AP83" i="8"/>
  <c r="AR83" i="8" s="1"/>
  <c r="AP82" i="8"/>
  <c r="AR82" i="8" s="1"/>
  <c r="AP81" i="8"/>
  <c r="AR81" i="8" s="1"/>
  <c r="AP80" i="8"/>
  <c r="AR80" i="8" s="1"/>
  <c r="AP79" i="8"/>
  <c r="AR79" i="8" s="1"/>
  <c r="AP78" i="8"/>
  <c r="AR78" i="8" s="1"/>
  <c r="AP77" i="8"/>
  <c r="AR77" i="8" s="1"/>
  <c r="AP76" i="8"/>
  <c r="AR76" i="8" s="1"/>
  <c r="AP75" i="8"/>
  <c r="AR75" i="8" s="1"/>
  <c r="AP74" i="8"/>
  <c r="AR74" i="8" s="1"/>
  <c r="AP73" i="8"/>
  <c r="AR73" i="8" s="1"/>
  <c r="AP72" i="8"/>
  <c r="AR72" i="8" s="1"/>
  <c r="AP71" i="8"/>
  <c r="AR71" i="8" s="1"/>
  <c r="AP70" i="8"/>
  <c r="AR70" i="8" s="1"/>
  <c r="AP69" i="8"/>
  <c r="AR69" i="8" s="1"/>
  <c r="AP68" i="8"/>
  <c r="AR68" i="8" s="1"/>
  <c r="AP67" i="8"/>
  <c r="AR67" i="8" s="1"/>
  <c r="AP66" i="8"/>
  <c r="AR66" i="8" s="1"/>
  <c r="AP65" i="8"/>
  <c r="AR65" i="8" s="1"/>
  <c r="AP64" i="8"/>
  <c r="AR64" i="8" s="1"/>
  <c r="AP63" i="8"/>
  <c r="AR63" i="8" s="1"/>
  <c r="AP62" i="8"/>
  <c r="AR62" i="8" s="1"/>
  <c r="AP61" i="8"/>
  <c r="AR61" i="8" s="1"/>
  <c r="AP60" i="8"/>
  <c r="AR60" i="8" s="1"/>
  <c r="AP59" i="8"/>
  <c r="AR59" i="8" s="1"/>
  <c r="AP58" i="8"/>
  <c r="AR58" i="8" s="1"/>
  <c r="AP57" i="8"/>
  <c r="AR57" i="8" s="1"/>
  <c r="AP56" i="8"/>
  <c r="AR56" i="8" s="1"/>
  <c r="AP55" i="8"/>
  <c r="AR55" i="8" s="1"/>
  <c r="AP54" i="8"/>
  <c r="AR54" i="8" s="1"/>
  <c r="AP53" i="8"/>
  <c r="AR53" i="8" s="1"/>
  <c r="AP52" i="8"/>
  <c r="AR52" i="8" s="1"/>
  <c r="AP51" i="8"/>
  <c r="AR51" i="8" s="1"/>
  <c r="AP50" i="8"/>
  <c r="AR50" i="8" s="1"/>
  <c r="AP49" i="8"/>
  <c r="AR49" i="8" s="1"/>
  <c r="AP48" i="8"/>
  <c r="AR48" i="8" s="1"/>
  <c r="AP47" i="8"/>
  <c r="AR47" i="8" s="1"/>
  <c r="AP46" i="8"/>
  <c r="AR46" i="8" s="1"/>
  <c r="AP45" i="8"/>
  <c r="AR45" i="8" s="1"/>
  <c r="AP44" i="8"/>
  <c r="AR44" i="8" s="1"/>
  <c r="AP43" i="8"/>
  <c r="AR43" i="8" s="1"/>
  <c r="AP42" i="8"/>
  <c r="AR42" i="8" s="1"/>
  <c r="AP41" i="8"/>
  <c r="AR41" i="8" s="1"/>
  <c r="AP40" i="8"/>
  <c r="AR40" i="8" s="1"/>
  <c r="AP39" i="8"/>
  <c r="AR39" i="8" s="1"/>
  <c r="AP38" i="8"/>
  <c r="AR38" i="8" s="1"/>
  <c r="AP37" i="8"/>
  <c r="AR37" i="8" s="1"/>
  <c r="AP36" i="8"/>
  <c r="AR36" i="8" s="1"/>
  <c r="AP35" i="8"/>
  <c r="AR35" i="8" s="1"/>
  <c r="AP34" i="8"/>
  <c r="AR34" i="8" s="1"/>
  <c r="AP5" i="8"/>
  <c r="AR4" i="8"/>
  <c r="AV3" i="8"/>
  <c r="AV2" i="8"/>
  <c r="AB202" i="8"/>
  <c r="AB201" i="8"/>
  <c r="AB200" i="8"/>
  <c r="AB199" i="8"/>
  <c r="AB198" i="8"/>
  <c r="AB197" i="8"/>
  <c r="AB196" i="8"/>
  <c r="AB195" i="8"/>
  <c r="AB194" i="8"/>
  <c r="AB193" i="8"/>
  <c r="AB192" i="8"/>
  <c r="AB191" i="8"/>
  <c r="AB190" i="8"/>
  <c r="AB189" i="8"/>
  <c r="AB188" i="8"/>
  <c r="AB187" i="8"/>
  <c r="AB186" i="8"/>
  <c r="AB185" i="8"/>
  <c r="AB184" i="8"/>
  <c r="AB183" i="8"/>
  <c r="AB182" i="8"/>
  <c r="AB181" i="8"/>
  <c r="AB180" i="8"/>
  <c r="AB179" i="8"/>
  <c r="AB178" i="8"/>
  <c r="AB177" i="8"/>
  <c r="AB176" i="8"/>
  <c r="AB175" i="8"/>
  <c r="AB174" i="8"/>
  <c r="AB173" i="8"/>
  <c r="AB172" i="8"/>
  <c r="AB171" i="8"/>
  <c r="AB170" i="8"/>
  <c r="AB169" i="8"/>
  <c r="AB168" i="8"/>
  <c r="AB167" i="8"/>
  <c r="AB166" i="8"/>
  <c r="AB165" i="8"/>
  <c r="AB164" i="8"/>
  <c r="AB163" i="8"/>
  <c r="AB162" i="8"/>
  <c r="AB161" i="8"/>
  <c r="AB160" i="8"/>
  <c r="AB159" i="8"/>
  <c r="AB158" i="8"/>
  <c r="AB157" i="8"/>
  <c r="AB156" i="8"/>
  <c r="AB155" i="8"/>
  <c r="AB154" i="8"/>
  <c r="AB153" i="8"/>
  <c r="AB152" i="8"/>
  <c r="AB151" i="8"/>
  <c r="AB150" i="8"/>
  <c r="AB149" i="8"/>
  <c r="AB148" i="8"/>
  <c r="AB147" i="8"/>
  <c r="AB146" i="8"/>
  <c r="AB145" i="8"/>
  <c r="AB144" i="8"/>
  <c r="AB143" i="8"/>
  <c r="AB142" i="8"/>
  <c r="AB141" i="8"/>
  <c r="AB140" i="8"/>
  <c r="AB139" i="8"/>
  <c r="AB138" i="8"/>
  <c r="AB137" i="8"/>
  <c r="AB136" i="8"/>
  <c r="AB135" i="8"/>
  <c r="AB134" i="8"/>
  <c r="AB133" i="8"/>
  <c r="AB132" i="8"/>
  <c r="AB131" i="8"/>
  <c r="AB130" i="8"/>
  <c r="AB129" i="8"/>
  <c r="AB128" i="8"/>
  <c r="AB127" i="8"/>
  <c r="AB126" i="8"/>
  <c r="AB125" i="8"/>
  <c r="AB124" i="8"/>
  <c r="AB123" i="8"/>
  <c r="AB122" i="8"/>
  <c r="AB121" i="8"/>
  <c r="AB120" i="8"/>
  <c r="AB119" i="8"/>
  <c r="AB118" i="8"/>
  <c r="AB117" i="8"/>
  <c r="AB116" i="8"/>
  <c r="AB115" i="8"/>
  <c r="AB114" i="8"/>
  <c r="AB113" i="8"/>
  <c r="AB112" i="8"/>
  <c r="AB111" i="8"/>
  <c r="AB110" i="8"/>
  <c r="AB109" i="8"/>
  <c r="AB108" i="8"/>
  <c r="AB107" i="8"/>
  <c r="AB106" i="8"/>
  <c r="AB105" i="8"/>
  <c r="AB104" i="8"/>
  <c r="AB103" i="8"/>
  <c r="AB102" i="8"/>
  <c r="AB101" i="8"/>
  <c r="AB100" i="8"/>
  <c r="AB99" i="8"/>
  <c r="AB98" i="8"/>
  <c r="AB97" i="8"/>
  <c r="AB96" i="8"/>
  <c r="AB95" i="8"/>
  <c r="AB94" i="8"/>
  <c r="AB93" i="8"/>
  <c r="AB92" i="8"/>
  <c r="AB91" i="8"/>
  <c r="AB90" i="8"/>
  <c r="AB89" i="8"/>
  <c r="AB88" i="8"/>
  <c r="AB87" i="8"/>
  <c r="AB86" i="8"/>
  <c r="AB85" i="8"/>
  <c r="AB84" i="8"/>
  <c r="AB83" i="8"/>
  <c r="AB82" i="8"/>
  <c r="AB81" i="8"/>
  <c r="AB80" i="8"/>
  <c r="AB79" i="8"/>
  <c r="AB78" i="8"/>
  <c r="AB77" i="8"/>
  <c r="AB76" i="8"/>
  <c r="AB75" i="8"/>
  <c r="AB74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60" i="8"/>
  <c r="AB59" i="8"/>
  <c r="AB58" i="8"/>
  <c r="AB57" i="8"/>
  <c r="AB56" i="8"/>
  <c r="AB55" i="8"/>
  <c r="AB54" i="8"/>
  <c r="AB53" i="8"/>
  <c r="AB52" i="8"/>
  <c r="AB51" i="8"/>
  <c r="AB50" i="8"/>
  <c r="AB49" i="8"/>
  <c r="AB48" i="8"/>
  <c r="AB4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4" i="8"/>
  <c r="N3" i="8"/>
  <c r="N2" i="8"/>
  <c r="AP6" i="8" l="1"/>
  <c r="AR6" i="8" s="1"/>
  <c r="AR6" i="9"/>
  <c r="AP7" i="9"/>
  <c r="N1" i="8"/>
  <c r="AP7" i="8" l="1"/>
  <c r="AR7" i="8" s="1"/>
  <c r="AR7" i="9"/>
  <c r="AP8" i="9"/>
  <c r="AB202" i="7"/>
  <c r="AR201" i="7"/>
  <c r="AP201" i="7"/>
  <c r="AB201" i="7"/>
  <c r="AP200" i="7"/>
  <c r="AR200" i="7" s="1"/>
  <c r="AB200" i="7"/>
  <c r="AP199" i="7"/>
  <c r="AR199" i="7" s="1"/>
  <c r="AB199" i="7"/>
  <c r="AP198" i="7"/>
  <c r="AR198" i="7" s="1"/>
  <c r="AB198" i="7"/>
  <c r="AP197" i="7"/>
  <c r="AR197" i="7" s="1"/>
  <c r="AB197" i="7"/>
  <c r="AP196" i="7"/>
  <c r="AR196" i="7" s="1"/>
  <c r="AB196" i="7"/>
  <c r="AP195" i="7"/>
  <c r="AR195" i="7" s="1"/>
  <c r="AB195" i="7"/>
  <c r="AP194" i="7"/>
  <c r="AR194" i="7" s="1"/>
  <c r="AB194" i="7"/>
  <c r="AP193" i="7"/>
  <c r="AR193" i="7" s="1"/>
  <c r="AB193" i="7"/>
  <c r="AP192" i="7"/>
  <c r="AR192" i="7" s="1"/>
  <c r="AB192" i="7"/>
  <c r="AP191" i="7"/>
  <c r="AR191" i="7" s="1"/>
  <c r="AB191" i="7"/>
  <c r="AP190" i="7"/>
  <c r="AR190" i="7" s="1"/>
  <c r="AB190" i="7"/>
  <c r="AP189" i="7"/>
  <c r="AR189" i="7" s="1"/>
  <c r="AB189" i="7"/>
  <c r="AP188" i="7"/>
  <c r="AR188" i="7" s="1"/>
  <c r="AB188" i="7"/>
  <c r="AP187" i="7"/>
  <c r="AR187" i="7" s="1"/>
  <c r="AB187" i="7"/>
  <c r="AP186" i="7"/>
  <c r="AR186" i="7" s="1"/>
  <c r="AB186" i="7"/>
  <c r="AP185" i="7"/>
  <c r="AR185" i="7" s="1"/>
  <c r="AB185" i="7"/>
  <c r="AP184" i="7"/>
  <c r="AR184" i="7" s="1"/>
  <c r="AB184" i="7"/>
  <c r="AP183" i="7"/>
  <c r="AR183" i="7" s="1"/>
  <c r="AB183" i="7"/>
  <c r="AP182" i="7"/>
  <c r="AR182" i="7" s="1"/>
  <c r="AB182" i="7"/>
  <c r="AP181" i="7"/>
  <c r="AR181" i="7" s="1"/>
  <c r="AB181" i="7"/>
  <c r="AP180" i="7"/>
  <c r="AR180" i="7" s="1"/>
  <c r="AB180" i="7"/>
  <c r="AP179" i="7"/>
  <c r="AR179" i="7" s="1"/>
  <c r="AB179" i="7"/>
  <c r="AP178" i="7"/>
  <c r="AR178" i="7" s="1"/>
  <c r="AB178" i="7"/>
  <c r="AP177" i="7"/>
  <c r="AR177" i="7" s="1"/>
  <c r="AB177" i="7"/>
  <c r="AP176" i="7"/>
  <c r="AR176" i="7" s="1"/>
  <c r="AB176" i="7"/>
  <c r="AP175" i="7"/>
  <c r="AR175" i="7" s="1"/>
  <c r="AB175" i="7"/>
  <c r="AP174" i="7"/>
  <c r="AR174" i="7" s="1"/>
  <c r="AB174" i="7"/>
  <c r="AP173" i="7"/>
  <c r="AR173" i="7" s="1"/>
  <c r="AB173" i="7"/>
  <c r="AP172" i="7"/>
  <c r="AR172" i="7" s="1"/>
  <c r="AB172" i="7"/>
  <c r="AP171" i="7"/>
  <c r="AR171" i="7" s="1"/>
  <c r="AB171" i="7"/>
  <c r="AP170" i="7"/>
  <c r="AR170" i="7" s="1"/>
  <c r="AB170" i="7"/>
  <c r="AP169" i="7"/>
  <c r="AR169" i="7" s="1"/>
  <c r="AB169" i="7"/>
  <c r="AP168" i="7"/>
  <c r="AR168" i="7" s="1"/>
  <c r="AB168" i="7"/>
  <c r="AP167" i="7"/>
  <c r="AR167" i="7" s="1"/>
  <c r="AB167" i="7"/>
  <c r="AP166" i="7"/>
  <c r="AR166" i="7" s="1"/>
  <c r="AB166" i="7"/>
  <c r="AP165" i="7"/>
  <c r="AR165" i="7" s="1"/>
  <c r="AB165" i="7"/>
  <c r="AP164" i="7"/>
  <c r="AR164" i="7" s="1"/>
  <c r="AB164" i="7"/>
  <c r="AP163" i="7"/>
  <c r="AR163" i="7" s="1"/>
  <c r="AB163" i="7"/>
  <c r="AP162" i="7"/>
  <c r="AR162" i="7" s="1"/>
  <c r="AB162" i="7"/>
  <c r="AP161" i="7"/>
  <c r="AR161" i="7" s="1"/>
  <c r="AB161" i="7"/>
  <c r="AP160" i="7"/>
  <c r="AR160" i="7" s="1"/>
  <c r="AB160" i="7"/>
  <c r="AP159" i="7"/>
  <c r="AR159" i="7" s="1"/>
  <c r="AB159" i="7"/>
  <c r="AP158" i="7"/>
  <c r="AR158" i="7" s="1"/>
  <c r="AB158" i="7"/>
  <c r="AP157" i="7"/>
  <c r="AR157" i="7" s="1"/>
  <c r="AB157" i="7"/>
  <c r="AP156" i="7"/>
  <c r="AR156" i="7" s="1"/>
  <c r="AB156" i="7"/>
  <c r="AP155" i="7"/>
  <c r="AR155" i="7" s="1"/>
  <c r="AB155" i="7"/>
  <c r="AP154" i="7"/>
  <c r="AR154" i="7" s="1"/>
  <c r="AB154" i="7"/>
  <c r="AP153" i="7"/>
  <c r="AR153" i="7" s="1"/>
  <c r="AB153" i="7"/>
  <c r="AP152" i="7"/>
  <c r="AR152" i="7" s="1"/>
  <c r="AB152" i="7"/>
  <c r="AP151" i="7"/>
  <c r="AR151" i="7" s="1"/>
  <c r="AB151" i="7"/>
  <c r="AP150" i="7"/>
  <c r="AR150" i="7" s="1"/>
  <c r="AB150" i="7"/>
  <c r="AP149" i="7"/>
  <c r="AR149" i="7" s="1"/>
  <c r="AB149" i="7"/>
  <c r="AP148" i="7"/>
  <c r="AR148" i="7" s="1"/>
  <c r="AB148" i="7"/>
  <c r="AP147" i="7"/>
  <c r="AR147" i="7" s="1"/>
  <c r="AB147" i="7"/>
  <c r="AP146" i="7"/>
  <c r="AR146" i="7" s="1"/>
  <c r="AB146" i="7"/>
  <c r="AP145" i="7"/>
  <c r="AR145" i="7" s="1"/>
  <c r="AB145" i="7"/>
  <c r="AP144" i="7"/>
  <c r="AR144" i="7" s="1"/>
  <c r="AB144" i="7"/>
  <c r="AP143" i="7"/>
  <c r="AR143" i="7" s="1"/>
  <c r="AB143" i="7"/>
  <c r="AP142" i="7"/>
  <c r="AR142" i="7" s="1"/>
  <c r="AB142" i="7"/>
  <c r="AP141" i="7"/>
  <c r="AR141" i="7" s="1"/>
  <c r="AB141" i="7"/>
  <c r="AP140" i="7"/>
  <c r="AR140" i="7" s="1"/>
  <c r="AB140" i="7"/>
  <c r="AP139" i="7"/>
  <c r="AR139" i="7" s="1"/>
  <c r="AB139" i="7"/>
  <c r="AP138" i="7"/>
  <c r="AR138" i="7" s="1"/>
  <c r="AB138" i="7"/>
  <c r="AP137" i="7"/>
  <c r="AR137" i="7" s="1"/>
  <c r="AB137" i="7"/>
  <c r="AP136" i="7"/>
  <c r="AR136" i="7" s="1"/>
  <c r="AB136" i="7"/>
  <c r="AP135" i="7"/>
  <c r="AR135" i="7" s="1"/>
  <c r="AB135" i="7"/>
  <c r="AP134" i="7"/>
  <c r="AR134" i="7" s="1"/>
  <c r="AB134" i="7"/>
  <c r="AP133" i="7"/>
  <c r="AR133" i="7" s="1"/>
  <c r="AB133" i="7"/>
  <c r="AP132" i="7"/>
  <c r="AR132" i="7" s="1"/>
  <c r="AB132" i="7"/>
  <c r="AP131" i="7"/>
  <c r="AR131" i="7" s="1"/>
  <c r="AB131" i="7"/>
  <c r="AP130" i="7"/>
  <c r="AR130" i="7" s="1"/>
  <c r="AB130" i="7"/>
  <c r="AP129" i="7"/>
  <c r="AR129" i="7" s="1"/>
  <c r="AB129" i="7"/>
  <c r="AP128" i="7"/>
  <c r="AR128" i="7" s="1"/>
  <c r="AB128" i="7"/>
  <c r="AP127" i="7"/>
  <c r="AR127" i="7" s="1"/>
  <c r="AB127" i="7"/>
  <c r="AP126" i="7"/>
  <c r="AR126" i="7" s="1"/>
  <c r="AB126" i="7"/>
  <c r="AP125" i="7"/>
  <c r="AR125" i="7" s="1"/>
  <c r="AB125" i="7"/>
  <c r="AP124" i="7"/>
  <c r="AR124" i="7" s="1"/>
  <c r="AB124" i="7"/>
  <c r="AP123" i="7"/>
  <c r="AR123" i="7" s="1"/>
  <c r="AB123" i="7"/>
  <c r="AP122" i="7"/>
  <c r="AR122" i="7" s="1"/>
  <c r="AB122" i="7"/>
  <c r="AP121" i="7"/>
  <c r="AR121" i="7" s="1"/>
  <c r="AB121" i="7"/>
  <c r="AP120" i="7"/>
  <c r="AR120" i="7" s="1"/>
  <c r="AB120" i="7"/>
  <c r="AP119" i="7"/>
  <c r="AR119" i="7" s="1"/>
  <c r="AB119" i="7"/>
  <c r="AP118" i="7"/>
  <c r="AR118" i="7" s="1"/>
  <c r="AB118" i="7"/>
  <c r="AP117" i="7"/>
  <c r="AR117" i="7" s="1"/>
  <c r="AB117" i="7"/>
  <c r="AP116" i="7"/>
  <c r="AR116" i="7" s="1"/>
  <c r="AB116" i="7"/>
  <c r="AP115" i="7"/>
  <c r="AR115" i="7" s="1"/>
  <c r="AB115" i="7"/>
  <c r="AP114" i="7"/>
  <c r="AR114" i="7" s="1"/>
  <c r="AB114" i="7"/>
  <c r="AP113" i="7"/>
  <c r="AR113" i="7" s="1"/>
  <c r="AB113" i="7"/>
  <c r="AP112" i="7"/>
  <c r="AR112" i="7" s="1"/>
  <c r="AB112" i="7"/>
  <c r="AP111" i="7"/>
  <c r="AR111" i="7" s="1"/>
  <c r="AB111" i="7"/>
  <c r="AP110" i="7"/>
  <c r="AR110" i="7" s="1"/>
  <c r="AB110" i="7"/>
  <c r="AP109" i="7"/>
  <c r="AR109" i="7" s="1"/>
  <c r="AB109" i="7"/>
  <c r="AP108" i="7"/>
  <c r="AR108" i="7" s="1"/>
  <c r="AB108" i="7"/>
  <c r="AP107" i="7"/>
  <c r="AR107" i="7" s="1"/>
  <c r="AB107" i="7"/>
  <c r="AP106" i="7"/>
  <c r="AR106" i="7" s="1"/>
  <c r="AB106" i="7"/>
  <c r="AP105" i="7"/>
  <c r="AR105" i="7" s="1"/>
  <c r="AB105" i="7"/>
  <c r="AP104" i="7"/>
  <c r="AR104" i="7" s="1"/>
  <c r="AB104" i="7"/>
  <c r="AP103" i="7"/>
  <c r="AR103" i="7" s="1"/>
  <c r="AB103" i="7"/>
  <c r="AP102" i="7"/>
  <c r="AR102" i="7" s="1"/>
  <c r="AB102" i="7"/>
  <c r="AP101" i="7"/>
  <c r="AR101" i="7" s="1"/>
  <c r="AB101" i="7"/>
  <c r="AP100" i="7"/>
  <c r="AR100" i="7" s="1"/>
  <c r="AB100" i="7"/>
  <c r="AP99" i="7"/>
  <c r="AR99" i="7" s="1"/>
  <c r="AB99" i="7"/>
  <c r="AP98" i="7"/>
  <c r="AR98" i="7" s="1"/>
  <c r="AB98" i="7"/>
  <c r="AP97" i="7"/>
  <c r="AR97" i="7" s="1"/>
  <c r="AB97" i="7"/>
  <c r="AP96" i="7"/>
  <c r="AR96" i="7" s="1"/>
  <c r="AB96" i="7"/>
  <c r="AP95" i="7"/>
  <c r="AR95" i="7" s="1"/>
  <c r="AB95" i="7"/>
  <c r="AP94" i="7"/>
  <c r="AR94" i="7" s="1"/>
  <c r="AB94" i="7"/>
  <c r="AP93" i="7"/>
  <c r="AR93" i="7" s="1"/>
  <c r="AB93" i="7"/>
  <c r="AP92" i="7"/>
  <c r="AR92" i="7" s="1"/>
  <c r="AB92" i="7"/>
  <c r="AP91" i="7"/>
  <c r="AR91" i="7" s="1"/>
  <c r="AB91" i="7"/>
  <c r="AP90" i="7"/>
  <c r="AR90" i="7" s="1"/>
  <c r="AB90" i="7"/>
  <c r="AP89" i="7"/>
  <c r="AR89" i="7" s="1"/>
  <c r="AB89" i="7"/>
  <c r="AP88" i="7"/>
  <c r="AR88" i="7" s="1"/>
  <c r="AB88" i="7"/>
  <c r="AP87" i="7"/>
  <c r="AR87" i="7" s="1"/>
  <c r="AB87" i="7"/>
  <c r="AP86" i="7"/>
  <c r="AR86" i="7" s="1"/>
  <c r="AB86" i="7"/>
  <c r="AP85" i="7"/>
  <c r="AR85" i="7" s="1"/>
  <c r="AB85" i="7"/>
  <c r="AP84" i="7"/>
  <c r="AR84" i="7" s="1"/>
  <c r="AB84" i="7"/>
  <c r="AP83" i="7"/>
  <c r="AR83" i="7" s="1"/>
  <c r="AB83" i="7"/>
  <c r="AP82" i="7"/>
  <c r="AR82" i="7" s="1"/>
  <c r="AB82" i="7"/>
  <c r="AP81" i="7"/>
  <c r="AR81" i="7" s="1"/>
  <c r="AB81" i="7"/>
  <c r="AP80" i="7"/>
  <c r="AR80" i="7" s="1"/>
  <c r="AB80" i="7"/>
  <c r="AP79" i="7"/>
  <c r="AR79" i="7" s="1"/>
  <c r="AB79" i="7"/>
  <c r="AP78" i="7"/>
  <c r="AR78" i="7" s="1"/>
  <c r="AB78" i="7"/>
  <c r="AP77" i="7"/>
  <c r="AR77" i="7" s="1"/>
  <c r="AB77" i="7"/>
  <c r="AP76" i="7"/>
  <c r="AR76" i="7" s="1"/>
  <c r="AB76" i="7"/>
  <c r="AP75" i="7"/>
  <c r="AR75" i="7" s="1"/>
  <c r="AB75" i="7"/>
  <c r="AP74" i="7"/>
  <c r="AR74" i="7" s="1"/>
  <c r="AB74" i="7"/>
  <c r="AP73" i="7"/>
  <c r="AR73" i="7" s="1"/>
  <c r="AB73" i="7"/>
  <c r="AP72" i="7"/>
  <c r="AR72" i="7" s="1"/>
  <c r="AB72" i="7"/>
  <c r="AP71" i="7"/>
  <c r="AR71" i="7" s="1"/>
  <c r="AB71" i="7"/>
  <c r="AP70" i="7"/>
  <c r="AR70" i="7" s="1"/>
  <c r="AB70" i="7"/>
  <c r="AP69" i="7"/>
  <c r="AR69" i="7" s="1"/>
  <c r="AB69" i="7"/>
  <c r="AP68" i="7"/>
  <c r="AR68" i="7" s="1"/>
  <c r="AB68" i="7"/>
  <c r="AP67" i="7"/>
  <c r="AR67" i="7" s="1"/>
  <c r="AB67" i="7"/>
  <c r="AP66" i="7"/>
  <c r="AR66" i="7" s="1"/>
  <c r="AB66" i="7"/>
  <c r="AP65" i="7"/>
  <c r="AR65" i="7" s="1"/>
  <c r="AB65" i="7"/>
  <c r="AP64" i="7"/>
  <c r="AR64" i="7" s="1"/>
  <c r="AB64" i="7"/>
  <c r="AP63" i="7"/>
  <c r="AR63" i="7" s="1"/>
  <c r="AB63" i="7"/>
  <c r="AP62" i="7"/>
  <c r="AR62" i="7" s="1"/>
  <c r="AB62" i="7"/>
  <c r="AP61" i="7"/>
  <c r="AR61" i="7" s="1"/>
  <c r="AB61" i="7"/>
  <c r="AP60" i="7"/>
  <c r="AR60" i="7" s="1"/>
  <c r="AB60" i="7"/>
  <c r="AP59" i="7"/>
  <c r="AR59" i="7" s="1"/>
  <c r="AB59" i="7"/>
  <c r="AP58" i="7"/>
  <c r="AR58" i="7" s="1"/>
  <c r="AB58" i="7"/>
  <c r="AP57" i="7"/>
  <c r="AR57" i="7" s="1"/>
  <c r="AB57" i="7"/>
  <c r="AP56" i="7"/>
  <c r="AR56" i="7" s="1"/>
  <c r="AB56" i="7"/>
  <c r="AP55" i="7"/>
  <c r="AR55" i="7" s="1"/>
  <c r="AB55" i="7"/>
  <c r="AP54" i="7"/>
  <c r="AR54" i="7" s="1"/>
  <c r="AB54" i="7"/>
  <c r="AP53" i="7"/>
  <c r="AR53" i="7" s="1"/>
  <c r="AB53" i="7"/>
  <c r="AP52" i="7"/>
  <c r="AR52" i="7" s="1"/>
  <c r="AB52" i="7"/>
  <c r="AP51" i="7"/>
  <c r="AR51" i="7" s="1"/>
  <c r="AB51" i="7"/>
  <c r="AP50" i="7"/>
  <c r="AR50" i="7" s="1"/>
  <c r="AB50" i="7"/>
  <c r="AP49" i="7"/>
  <c r="AR49" i="7" s="1"/>
  <c r="AB49" i="7"/>
  <c r="AP48" i="7"/>
  <c r="AR48" i="7" s="1"/>
  <c r="AB48" i="7"/>
  <c r="AP47" i="7"/>
  <c r="AR47" i="7" s="1"/>
  <c r="AB47" i="7"/>
  <c r="AP46" i="7"/>
  <c r="AR46" i="7" s="1"/>
  <c r="AB46" i="7"/>
  <c r="AP45" i="7"/>
  <c r="AR45" i="7" s="1"/>
  <c r="AB45" i="7"/>
  <c r="AP44" i="7"/>
  <c r="AR44" i="7" s="1"/>
  <c r="AB44" i="7"/>
  <c r="AP43" i="7"/>
  <c r="AR43" i="7" s="1"/>
  <c r="AB43" i="7"/>
  <c r="AP42" i="7"/>
  <c r="AR42" i="7" s="1"/>
  <c r="AB42" i="7"/>
  <c r="AP41" i="7"/>
  <c r="AR41" i="7" s="1"/>
  <c r="AB41" i="7"/>
  <c r="AP40" i="7"/>
  <c r="AR40" i="7" s="1"/>
  <c r="AB40" i="7"/>
  <c r="AP39" i="7"/>
  <c r="AR39" i="7" s="1"/>
  <c r="AB39" i="7"/>
  <c r="AP38" i="7"/>
  <c r="AR38" i="7" s="1"/>
  <c r="AB38" i="7"/>
  <c r="AB37" i="7"/>
  <c r="AB36" i="7"/>
  <c r="AB35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AB13" i="7"/>
  <c r="AB12" i="7"/>
  <c r="AB11" i="7"/>
  <c r="AB10" i="7"/>
  <c r="AB9" i="7"/>
  <c r="AB8" i="7"/>
  <c r="AB7" i="7"/>
  <c r="AB6" i="7"/>
  <c r="AP5" i="7"/>
  <c r="AB5" i="7"/>
  <c r="AR4" i="7"/>
  <c r="AB4" i="7"/>
  <c r="AV3" i="7"/>
  <c r="N3" i="7"/>
  <c r="AV2" i="7"/>
  <c r="N2" i="7"/>
  <c r="AP8" i="8" l="1"/>
  <c r="AR8" i="8" s="1"/>
  <c r="AR8" i="9"/>
  <c r="AP9" i="9"/>
  <c r="AP6" i="7"/>
  <c r="AR6" i="7" s="1"/>
  <c r="N1" i="7"/>
  <c r="AP9" i="8" l="1"/>
  <c r="AR9" i="8" s="1"/>
  <c r="AP7" i="7"/>
  <c r="AR7" i="7" s="1"/>
  <c r="AR9" i="9"/>
  <c r="AP10" i="9"/>
  <c r="AB73" i="10"/>
  <c r="AB74" i="10"/>
  <c r="AB75" i="10"/>
  <c r="AB76" i="10"/>
  <c r="AB77" i="10"/>
  <c r="AB78" i="10"/>
  <c r="AB79" i="10"/>
  <c r="AB80" i="10"/>
  <c r="AB81" i="10"/>
  <c r="AB82" i="10"/>
  <c r="AB83" i="10"/>
  <c r="AB84" i="10"/>
  <c r="AB85" i="10"/>
  <c r="AB86" i="10"/>
  <c r="AB87" i="10"/>
  <c r="AB88" i="10"/>
  <c r="AB89" i="10"/>
  <c r="AB90" i="10"/>
  <c r="AB91" i="10"/>
  <c r="AB92" i="10"/>
  <c r="AB93" i="10"/>
  <c r="AB94" i="10"/>
  <c r="AB95" i="10"/>
  <c r="AB96" i="10"/>
  <c r="AB97" i="10"/>
  <c r="AB98" i="10"/>
  <c r="AB99" i="10"/>
  <c r="AB100" i="10"/>
  <c r="AB101" i="10"/>
  <c r="AB102" i="10"/>
  <c r="AB103" i="10"/>
  <c r="AB104" i="10"/>
  <c r="AB105" i="10"/>
  <c r="AB106" i="10"/>
  <c r="AB107" i="10"/>
  <c r="AB108" i="10"/>
  <c r="AB109" i="10"/>
  <c r="AB110" i="10"/>
  <c r="AB111" i="10"/>
  <c r="AB112" i="10"/>
  <c r="AB113" i="10"/>
  <c r="AB114" i="10"/>
  <c r="AB115" i="10"/>
  <c r="AB116" i="10"/>
  <c r="AB117" i="10"/>
  <c r="AB118" i="10"/>
  <c r="AB119" i="10"/>
  <c r="AB120" i="10"/>
  <c r="AB121" i="10"/>
  <c r="AB122" i="10"/>
  <c r="AB123" i="10"/>
  <c r="AB124" i="10"/>
  <c r="AB125" i="10"/>
  <c r="AB126" i="10"/>
  <c r="AB127" i="10"/>
  <c r="AB128" i="10"/>
  <c r="AB129" i="10"/>
  <c r="AB130" i="10"/>
  <c r="AB131" i="10"/>
  <c r="AB132" i="10"/>
  <c r="AB133" i="10"/>
  <c r="AB134" i="10"/>
  <c r="AB135" i="10"/>
  <c r="AB136" i="10"/>
  <c r="AB137" i="10"/>
  <c r="AB138" i="10"/>
  <c r="AB139" i="10"/>
  <c r="AB140" i="10"/>
  <c r="AB141" i="10"/>
  <c r="AB142" i="10"/>
  <c r="AB143" i="10"/>
  <c r="AB144" i="10"/>
  <c r="AB145" i="10"/>
  <c r="AB146" i="10"/>
  <c r="AB147" i="10"/>
  <c r="AB148" i="10"/>
  <c r="AB149" i="10"/>
  <c r="AB150" i="10"/>
  <c r="AB151" i="10"/>
  <c r="AB152" i="10"/>
  <c r="AB153" i="10"/>
  <c r="AB154" i="10"/>
  <c r="AB155" i="10"/>
  <c r="AB156" i="10"/>
  <c r="AB157" i="10"/>
  <c r="AB158" i="10"/>
  <c r="AB159" i="10"/>
  <c r="AB160" i="10"/>
  <c r="AB161" i="10"/>
  <c r="AB162" i="10"/>
  <c r="AB163" i="10"/>
  <c r="AB164" i="10"/>
  <c r="AB165" i="10"/>
  <c r="AB166" i="10"/>
  <c r="AB167" i="10"/>
  <c r="AB168" i="10"/>
  <c r="AB169" i="10"/>
  <c r="AB170" i="10"/>
  <c r="AB171" i="10"/>
  <c r="AB172" i="10"/>
  <c r="AB173" i="10"/>
  <c r="AB174" i="10"/>
  <c r="AB175" i="10"/>
  <c r="AB176" i="10"/>
  <c r="AB177" i="10"/>
  <c r="AB178" i="10"/>
  <c r="AB179" i="10"/>
  <c r="AB180" i="10"/>
  <c r="AB181" i="10"/>
  <c r="AB182" i="10"/>
  <c r="AB183" i="10"/>
  <c r="AB184" i="10"/>
  <c r="AB185" i="10"/>
  <c r="AB186" i="10"/>
  <c r="AB187" i="10"/>
  <c r="AB188" i="10"/>
  <c r="AB189" i="10"/>
  <c r="AB190" i="10"/>
  <c r="AB191" i="10"/>
  <c r="AB192" i="10"/>
  <c r="AB193" i="10"/>
  <c r="AB194" i="10"/>
  <c r="AB195" i="10"/>
  <c r="AB196" i="10"/>
  <c r="AB197" i="10"/>
  <c r="AB198" i="10"/>
  <c r="AB199" i="10"/>
  <c r="AB200" i="10"/>
  <c r="AB201" i="10"/>
  <c r="AB202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4" i="10"/>
  <c r="AP10" i="8" l="1"/>
  <c r="AP11" i="8" s="1"/>
  <c r="AP12" i="8" s="1"/>
  <c r="AP8" i="7"/>
  <c r="AR8" i="7" s="1"/>
  <c r="AR10" i="9"/>
  <c r="AP11" i="9"/>
  <c r="AR201" i="10"/>
  <c r="AP201" i="10"/>
  <c r="AP200" i="10"/>
  <c r="AR200" i="10" s="1"/>
  <c r="AP199" i="10"/>
  <c r="AR199" i="10" s="1"/>
  <c r="AP198" i="10"/>
  <c r="AR198" i="10" s="1"/>
  <c r="AP197" i="10"/>
  <c r="AR197" i="10" s="1"/>
  <c r="AP196" i="10"/>
  <c r="AR196" i="10" s="1"/>
  <c r="AP195" i="10"/>
  <c r="AR195" i="10" s="1"/>
  <c r="AP194" i="10"/>
  <c r="AR194" i="10" s="1"/>
  <c r="AP193" i="10"/>
  <c r="AR193" i="10" s="1"/>
  <c r="AP192" i="10"/>
  <c r="AR192" i="10" s="1"/>
  <c r="AP191" i="10"/>
  <c r="AR191" i="10" s="1"/>
  <c r="AP190" i="10"/>
  <c r="AR190" i="10" s="1"/>
  <c r="AP189" i="10"/>
  <c r="AR189" i="10" s="1"/>
  <c r="AP188" i="10"/>
  <c r="AR188" i="10" s="1"/>
  <c r="AP187" i="10"/>
  <c r="AR187" i="10" s="1"/>
  <c r="AP186" i="10"/>
  <c r="AR186" i="10" s="1"/>
  <c r="AP185" i="10"/>
  <c r="AR185" i="10" s="1"/>
  <c r="AP184" i="10"/>
  <c r="AR184" i="10" s="1"/>
  <c r="AP183" i="10"/>
  <c r="AR183" i="10" s="1"/>
  <c r="AP182" i="10"/>
  <c r="AR182" i="10" s="1"/>
  <c r="AP181" i="10"/>
  <c r="AR181" i="10" s="1"/>
  <c r="AP180" i="10"/>
  <c r="AR180" i="10" s="1"/>
  <c r="AP179" i="10"/>
  <c r="AR179" i="10" s="1"/>
  <c r="AP178" i="10"/>
  <c r="AR178" i="10" s="1"/>
  <c r="AP177" i="10"/>
  <c r="AR177" i="10" s="1"/>
  <c r="AP176" i="10"/>
  <c r="AR176" i="10" s="1"/>
  <c r="AP175" i="10"/>
  <c r="AR175" i="10" s="1"/>
  <c r="AP174" i="10"/>
  <c r="AR174" i="10" s="1"/>
  <c r="AP173" i="10"/>
  <c r="AR173" i="10" s="1"/>
  <c r="AP172" i="10"/>
  <c r="AR172" i="10" s="1"/>
  <c r="AP171" i="10"/>
  <c r="AR171" i="10" s="1"/>
  <c r="AP170" i="10"/>
  <c r="AR170" i="10" s="1"/>
  <c r="AP169" i="10"/>
  <c r="AR169" i="10" s="1"/>
  <c r="AP168" i="10"/>
  <c r="AR168" i="10" s="1"/>
  <c r="AP167" i="10"/>
  <c r="AR167" i="10" s="1"/>
  <c r="AP166" i="10"/>
  <c r="AR166" i="10" s="1"/>
  <c r="AP165" i="10"/>
  <c r="AR165" i="10" s="1"/>
  <c r="AP164" i="10"/>
  <c r="AR164" i="10" s="1"/>
  <c r="AP163" i="10"/>
  <c r="AR163" i="10" s="1"/>
  <c r="AP162" i="10"/>
  <c r="AR162" i="10" s="1"/>
  <c r="AP161" i="10"/>
  <c r="AR161" i="10" s="1"/>
  <c r="AP160" i="10"/>
  <c r="AR160" i="10" s="1"/>
  <c r="AP159" i="10"/>
  <c r="AR159" i="10" s="1"/>
  <c r="AP158" i="10"/>
  <c r="AR158" i="10" s="1"/>
  <c r="AP157" i="10"/>
  <c r="AR157" i="10" s="1"/>
  <c r="AP156" i="10"/>
  <c r="AR156" i="10" s="1"/>
  <c r="AP155" i="10"/>
  <c r="AR155" i="10" s="1"/>
  <c r="AP154" i="10"/>
  <c r="AR154" i="10" s="1"/>
  <c r="AP153" i="10"/>
  <c r="AR153" i="10" s="1"/>
  <c r="AP152" i="10"/>
  <c r="AR152" i="10" s="1"/>
  <c r="AP151" i="10"/>
  <c r="AR151" i="10" s="1"/>
  <c r="AP150" i="10"/>
  <c r="AR150" i="10" s="1"/>
  <c r="AP149" i="10"/>
  <c r="AR149" i="10" s="1"/>
  <c r="AP148" i="10"/>
  <c r="AR148" i="10" s="1"/>
  <c r="AP147" i="10"/>
  <c r="AR147" i="10" s="1"/>
  <c r="AP146" i="10"/>
  <c r="AR146" i="10" s="1"/>
  <c r="AP145" i="10"/>
  <c r="AR145" i="10" s="1"/>
  <c r="AP144" i="10"/>
  <c r="AR144" i="10" s="1"/>
  <c r="AP143" i="10"/>
  <c r="AR143" i="10" s="1"/>
  <c r="AP142" i="10"/>
  <c r="AR142" i="10" s="1"/>
  <c r="AP141" i="10"/>
  <c r="AR141" i="10" s="1"/>
  <c r="AP140" i="10"/>
  <c r="AR140" i="10" s="1"/>
  <c r="AP139" i="10"/>
  <c r="AR139" i="10" s="1"/>
  <c r="AP138" i="10"/>
  <c r="AR138" i="10" s="1"/>
  <c r="AP137" i="10"/>
  <c r="AR137" i="10" s="1"/>
  <c r="AP136" i="10"/>
  <c r="AR136" i="10" s="1"/>
  <c r="AP135" i="10"/>
  <c r="AR135" i="10" s="1"/>
  <c r="AP134" i="10"/>
  <c r="AR134" i="10" s="1"/>
  <c r="AP133" i="10"/>
  <c r="AR133" i="10" s="1"/>
  <c r="AP132" i="10"/>
  <c r="AR132" i="10" s="1"/>
  <c r="AP131" i="10"/>
  <c r="AR131" i="10" s="1"/>
  <c r="AP130" i="10"/>
  <c r="AR130" i="10" s="1"/>
  <c r="AP129" i="10"/>
  <c r="AR129" i="10" s="1"/>
  <c r="AP128" i="10"/>
  <c r="AR128" i="10" s="1"/>
  <c r="AP127" i="10"/>
  <c r="AR127" i="10" s="1"/>
  <c r="AP126" i="10"/>
  <c r="AR126" i="10" s="1"/>
  <c r="AP125" i="10"/>
  <c r="AR125" i="10" s="1"/>
  <c r="AP124" i="10"/>
  <c r="AR124" i="10" s="1"/>
  <c r="AP123" i="10"/>
  <c r="AR123" i="10" s="1"/>
  <c r="AP122" i="10"/>
  <c r="AR122" i="10" s="1"/>
  <c r="AP121" i="10"/>
  <c r="AR121" i="10" s="1"/>
  <c r="AP120" i="10"/>
  <c r="AR120" i="10" s="1"/>
  <c r="AP119" i="10"/>
  <c r="AR119" i="10" s="1"/>
  <c r="AP118" i="10"/>
  <c r="AR118" i="10" s="1"/>
  <c r="AP117" i="10"/>
  <c r="AR117" i="10" s="1"/>
  <c r="AP116" i="10"/>
  <c r="AR116" i="10" s="1"/>
  <c r="AP115" i="10"/>
  <c r="AR115" i="10" s="1"/>
  <c r="AP114" i="10"/>
  <c r="AR114" i="10" s="1"/>
  <c r="AP113" i="10"/>
  <c r="AR113" i="10" s="1"/>
  <c r="AP112" i="10"/>
  <c r="AR112" i="10" s="1"/>
  <c r="AP111" i="10"/>
  <c r="AR111" i="10" s="1"/>
  <c r="AP110" i="10"/>
  <c r="AR110" i="10" s="1"/>
  <c r="AP109" i="10"/>
  <c r="AR109" i="10" s="1"/>
  <c r="AP108" i="10"/>
  <c r="AR108" i="10" s="1"/>
  <c r="AP107" i="10"/>
  <c r="AR107" i="10" s="1"/>
  <c r="AP106" i="10"/>
  <c r="AR106" i="10" s="1"/>
  <c r="AP105" i="10"/>
  <c r="AR105" i="10" s="1"/>
  <c r="AP104" i="10"/>
  <c r="AR104" i="10" s="1"/>
  <c r="AP103" i="10"/>
  <c r="AR103" i="10" s="1"/>
  <c r="AP102" i="10"/>
  <c r="AR102" i="10" s="1"/>
  <c r="AP101" i="10"/>
  <c r="AR101" i="10" s="1"/>
  <c r="AP100" i="10"/>
  <c r="AR100" i="10" s="1"/>
  <c r="AP99" i="10"/>
  <c r="AR99" i="10" s="1"/>
  <c r="AP98" i="10"/>
  <c r="AR98" i="10" s="1"/>
  <c r="AP97" i="10"/>
  <c r="AR97" i="10" s="1"/>
  <c r="AP96" i="10"/>
  <c r="AR96" i="10" s="1"/>
  <c r="AP95" i="10"/>
  <c r="AR95" i="10" s="1"/>
  <c r="AP94" i="10"/>
  <c r="AR94" i="10" s="1"/>
  <c r="AP93" i="10"/>
  <c r="AR93" i="10" s="1"/>
  <c r="AP92" i="10"/>
  <c r="AR92" i="10" s="1"/>
  <c r="AP91" i="10"/>
  <c r="AR91" i="10" s="1"/>
  <c r="AP90" i="10"/>
  <c r="AR90" i="10" s="1"/>
  <c r="AP89" i="10"/>
  <c r="AR89" i="10" s="1"/>
  <c r="AP88" i="10"/>
  <c r="AR88" i="10" s="1"/>
  <c r="AP87" i="10"/>
  <c r="AR87" i="10" s="1"/>
  <c r="AP86" i="10"/>
  <c r="AR86" i="10" s="1"/>
  <c r="AP85" i="10"/>
  <c r="AR85" i="10" s="1"/>
  <c r="AP84" i="10"/>
  <c r="AR84" i="10" s="1"/>
  <c r="AP83" i="10"/>
  <c r="AR83" i="10" s="1"/>
  <c r="AP82" i="10"/>
  <c r="AR82" i="10" s="1"/>
  <c r="AP81" i="10"/>
  <c r="AR81" i="10" s="1"/>
  <c r="AP80" i="10"/>
  <c r="AR80" i="10" s="1"/>
  <c r="AP79" i="10"/>
  <c r="AR79" i="10" s="1"/>
  <c r="AP78" i="10"/>
  <c r="AR78" i="10" s="1"/>
  <c r="AP77" i="10"/>
  <c r="AR77" i="10" s="1"/>
  <c r="AP76" i="10"/>
  <c r="AR76" i="10" s="1"/>
  <c r="AP75" i="10"/>
  <c r="AR75" i="10" s="1"/>
  <c r="AP74" i="10"/>
  <c r="AR74" i="10" s="1"/>
  <c r="AP73" i="10"/>
  <c r="AR73" i="10" s="1"/>
  <c r="AP72" i="10"/>
  <c r="AR72" i="10" s="1"/>
  <c r="AP71" i="10"/>
  <c r="AR71" i="10" s="1"/>
  <c r="AP70" i="10"/>
  <c r="AR70" i="10" s="1"/>
  <c r="AP69" i="10"/>
  <c r="AR69" i="10" s="1"/>
  <c r="AP68" i="10"/>
  <c r="AR68" i="10" s="1"/>
  <c r="AP67" i="10"/>
  <c r="AR67" i="10" s="1"/>
  <c r="AP66" i="10"/>
  <c r="AR66" i="10" s="1"/>
  <c r="AP65" i="10"/>
  <c r="AR65" i="10" s="1"/>
  <c r="AP64" i="10"/>
  <c r="AR64" i="10" s="1"/>
  <c r="AP63" i="10"/>
  <c r="AR63" i="10" s="1"/>
  <c r="AP62" i="10"/>
  <c r="AR62" i="10" s="1"/>
  <c r="AP61" i="10"/>
  <c r="AR61" i="10" s="1"/>
  <c r="AP60" i="10"/>
  <c r="AR60" i="10" s="1"/>
  <c r="AP59" i="10"/>
  <c r="AR59" i="10" s="1"/>
  <c r="AP58" i="10"/>
  <c r="AR58" i="10" s="1"/>
  <c r="AP57" i="10"/>
  <c r="AR57" i="10" s="1"/>
  <c r="AP56" i="10"/>
  <c r="AR56" i="10" s="1"/>
  <c r="AP55" i="10"/>
  <c r="AR55" i="10" s="1"/>
  <c r="AP54" i="10"/>
  <c r="AR54" i="10" s="1"/>
  <c r="AP53" i="10"/>
  <c r="AR53" i="10" s="1"/>
  <c r="AP52" i="10"/>
  <c r="AR52" i="10" s="1"/>
  <c r="AP51" i="10"/>
  <c r="AR51" i="10" s="1"/>
  <c r="AP50" i="10"/>
  <c r="AR50" i="10" s="1"/>
  <c r="AP49" i="10"/>
  <c r="AR49" i="10" s="1"/>
  <c r="AP48" i="10"/>
  <c r="AR48" i="10" s="1"/>
  <c r="AP47" i="10"/>
  <c r="AR47" i="10" s="1"/>
  <c r="AP46" i="10"/>
  <c r="AR46" i="10" s="1"/>
  <c r="AP45" i="10"/>
  <c r="AR45" i="10" s="1"/>
  <c r="AP44" i="10"/>
  <c r="AR44" i="10" s="1"/>
  <c r="AP43" i="10"/>
  <c r="AR43" i="10" s="1"/>
  <c r="AP42" i="10"/>
  <c r="AR42" i="10" s="1"/>
  <c r="AP41" i="10"/>
  <c r="AR41" i="10" s="1"/>
  <c r="AP40" i="10"/>
  <c r="AR40" i="10" s="1"/>
  <c r="AP39" i="10"/>
  <c r="AR39" i="10" s="1"/>
  <c r="AP38" i="10"/>
  <c r="AR38" i="10" s="1"/>
  <c r="AP37" i="10"/>
  <c r="AR37" i="10" s="1"/>
  <c r="AP36" i="10"/>
  <c r="AR36" i="10" s="1"/>
  <c r="AP35" i="10"/>
  <c r="AR35" i="10" s="1"/>
  <c r="AP34" i="10"/>
  <c r="AR34" i="10" s="1"/>
  <c r="AP5" i="10"/>
  <c r="AR5" i="10" s="1"/>
  <c r="AR4" i="10"/>
  <c r="AV3" i="10"/>
  <c r="AV2" i="10"/>
  <c r="N2" i="10"/>
  <c r="N3" i="10"/>
  <c r="L3" i="5"/>
  <c r="AR11" i="8" l="1"/>
  <c r="AR10" i="8"/>
  <c r="AR12" i="8"/>
  <c r="AP13" i="8"/>
  <c r="AP14" i="8" s="1"/>
  <c r="AP9" i="7"/>
  <c r="AR9" i="7" s="1"/>
  <c r="AR11" i="9"/>
  <c r="AP12" i="9"/>
  <c r="AP6" i="10"/>
  <c r="N1" i="10"/>
  <c r="AP203" i="12"/>
  <c r="AN203" i="12"/>
  <c r="AN202" i="12"/>
  <c r="AP202" i="12" s="1"/>
  <c r="AN201" i="12"/>
  <c r="AP201" i="12" s="1"/>
  <c r="AN200" i="12"/>
  <c r="AP200" i="12" s="1"/>
  <c r="AN199" i="12"/>
  <c r="AP199" i="12" s="1"/>
  <c r="AN198" i="12"/>
  <c r="AP198" i="12" s="1"/>
  <c r="AN197" i="12"/>
  <c r="AP197" i="12" s="1"/>
  <c r="AN196" i="12"/>
  <c r="AP196" i="12" s="1"/>
  <c r="AN195" i="12"/>
  <c r="AP195" i="12" s="1"/>
  <c r="AN194" i="12"/>
  <c r="AP194" i="12" s="1"/>
  <c r="AN193" i="12"/>
  <c r="AP193" i="12" s="1"/>
  <c r="AN192" i="12"/>
  <c r="AP192" i="12" s="1"/>
  <c r="AN191" i="12"/>
  <c r="AP191" i="12" s="1"/>
  <c r="AN190" i="12"/>
  <c r="AP190" i="12" s="1"/>
  <c r="AN189" i="12"/>
  <c r="AP189" i="12" s="1"/>
  <c r="AN188" i="12"/>
  <c r="AP188" i="12" s="1"/>
  <c r="AN187" i="12"/>
  <c r="AP187" i="12" s="1"/>
  <c r="AN186" i="12"/>
  <c r="AP186" i="12" s="1"/>
  <c r="AN185" i="12"/>
  <c r="AP185" i="12" s="1"/>
  <c r="AN184" i="12"/>
  <c r="AP184" i="12" s="1"/>
  <c r="AN183" i="12"/>
  <c r="AP183" i="12" s="1"/>
  <c r="AN182" i="12"/>
  <c r="AP182" i="12" s="1"/>
  <c r="AN181" i="12"/>
  <c r="AP181" i="12" s="1"/>
  <c r="AN180" i="12"/>
  <c r="AP180" i="12" s="1"/>
  <c r="AN179" i="12"/>
  <c r="AP179" i="12" s="1"/>
  <c r="AN178" i="12"/>
  <c r="AP178" i="12" s="1"/>
  <c r="AN177" i="12"/>
  <c r="AP177" i="12" s="1"/>
  <c r="AN176" i="12"/>
  <c r="AP176" i="12" s="1"/>
  <c r="AN175" i="12"/>
  <c r="AP175" i="12" s="1"/>
  <c r="AN174" i="12"/>
  <c r="AP174" i="12" s="1"/>
  <c r="AN173" i="12"/>
  <c r="AP173" i="12" s="1"/>
  <c r="AN172" i="12"/>
  <c r="AP172" i="12" s="1"/>
  <c r="AN171" i="12"/>
  <c r="AP171" i="12" s="1"/>
  <c r="AN170" i="12"/>
  <c r="AP170" i="12" s="1"/>
  <c r="AN169" i="12"/>
  <c r="AP169" i="12" s="1"/>
  <c r="AN168" i="12"/>
  <c r="AP168" i="12" s="1"/>
  <c r="AN167" i="12"/>
  <c r="AP167" i="12" s="1"/>
  <c r="AN166" i="12"/>
  <c r="AP166" i="12" s="1"/>
  <c r="AN165" i="12"/>
  <c r="AP165" i="12" s="1"/>
  <c r="AN164" i="12"/>
  <c r="AP164" i="12" s="1"/>
  <c r="AN163" i="12"/>
  <c r="AP163" i="12" s="1"/>
  <c r="AN162" i="12"/>
  <c r="AP162" i="12" s="1"/>
  <c r="AN161" i="12"/>
  <c r="AP161" i="12" s="1"/>
  <c r="AN160" i="12"/>
  <c r="AP160" i="12" s="1"/>
  <c r="AN159" i="12"/>
  <c r="AP159" i="12" s="1"/>
  <c r="AN158" i="12"/>
  <c r="AP158" i="12" s="1"/>
  <c r="AN157" i="12"/>
  <c r="AP157" i="12" s="1"/>
  <c r="AN156" i="12"/>
  <c r="AP156" i="12" s="1"/>
  <c r="AN155" i="12"/>
  <c r="AP155" i="12" s="1"/>
  <c r="AN154" i="12"/>
  <c r="AP154" i="12" s="1"/>
  <c r="AN153" i="12"/>
  <c r="AP153" i="12" s="1"/>
  <c r="AN152" i="12"/>
  <c r="AP152" i="12" s="1"/>
  <c r="AN151" i="12"/>
  <c r="AP151" i="12" s="1"/>
  <c r="AN150" i="12"/>
  <c r="AP150" i="12" s="1"/>
  <c r="AN149" i="12"/>
  <c r="AP149" i="12" s="1"/>
  <c r="AN148" i="12"/>
  <c r="AP148" i="12" s="1"/>
  <c r="AN147" i="12"/>
  <c r="AP147" i="12" s="1"/>
  <c r="AN146" i="12"/>
  <c r="AP146" i="12" s="1"/>
  <c r="AN145" i="12"/>
  <c r="AP145" i="12" s="1"/>
  <c r="AN144" i="12"/>
  <c r="AP144" i="12" s="1"/>
  <c r="AN143" i="12"/>
  <c r="AP143" i="12" s="1"/>
  <c r="AN142" i="12"/>
  <c r="AP142" i="12" s="1"/>
  <c r="AN141" i="12"/>
  <c r="AP141" i="12" s="1"/>
  <c r="AN140" i="12"/>
  <c r="AP140" i="12" s="1"/>
  <c r="AN139" i="12"/>
  <c r="AP139" i="12" s="1"/>
  <c r="AN138" i="12"/>
  <c r="AP138" i="12" s="1"/>
  <c r="AN137" i="12"/>
  <c r="AP137" i="12" s="1"/>
  <c r="AN136" i="12"/>
  <c r="AP136" i="12" s="1"/>
  <c r="AN135" i="12"/>
  <c r="AP135" i="12" s="1"/>
  <c r="AN134" i="12"/>
  <c r="AP134" i="12" s="1"/>
  <c r="AN133" i="12"/>
  <c r="AP133" i="12" s="1"/>
  <c r="AN132" i="12"/>
  <c r="AP132" i="12" s="1"/>
  <c r="AN131" i="12"/>
  <c r="AP131" i="12" s="1"/>
  <c r="AN130" i="12"/>
  <c r="AP130" i="12" s="1"/>
  <c r="AN129" i="12"/>
  <c r="AP129" i="12" s="1"/>
  <c r="AN128" i="12"/>
  <c r="AP128" i="12" s="1"/>
  <c r="AN127" i="12"/>
  <c r="AP127" i="12" s="1"/>
  <c r="AN126" i="12"/>
  <c r="AP126" i="12" s="1"/>
  <c r="AN125" i="12"/>
  <c r="AP125" i="12" s="1"/>
  <c r="AN124" i="12"/>
  <c r="AP124" i="12" s="1"/>
  <c r="AN123" i="12"/>
  <c r="AP123" i="12" s="1"/>
  <c r="AN122" i="12"/>
  <c r="AP122" i="12" s="1"/>
  <c r="AN121" i="12"/>
  <c r="AP121" i="12" s="1"/>
  <c r="AN120" i="12"/>
  <c r="AP120" i="12" s="1"/>
  <c r="AN119" i="12"/>
  <c r="AP119" i="12" s="1"/>
  <c r="AN118" i="12"/>
  <c r="AP118" i="12" s="1"/>
  <c r="AN117" i="12"/>
  <c r="AP117" i="12" s="1"/>
  <c r="AN116" i="12"/>
  <c r="AP116" i="12" s="1"/>
  <c r="AN115" i="12"/>
  <c r="AP115" i="12" s="1"/>
  <c r="AN114" i="12"/>
  <c r="AP114" i="12" s="1"/>
  <c r="AN113" i="12"/>
  <c r="AP113" i="12" s="1"/>
  <c r="AN112" i="12"/>
  <c r="AP112" i="12" s="1"/>
  <c r="AN111" i="12"/>
  <c r="AP111" i="12" s="1"/>
  <c r="AN110" i="12"/>
  <c r="AP110" i="12" s="1"/>
  <c r="AN109" i="12"/>
  <c r="AP109" i="12" s="1"/>
  <c r="AN108" i="12"/>
  <c r="AP108" i="12" s="1"/>
  <c r="AN107" i="12"/>
  <c r="AP107" i="12" s="1"/>
  <c r="AN106" i="12"/>
  <c r="AP106" i="12" s="1"/>
  <c r="AN105" i="12"/>
  <c r="AP105" i="12" s="1"/>
  <c r="AN104" i="12"/>
  <c r="AP104" i="12" s="1"/>
  <c r="AN103" i="12"/>
  <c r="AP103" i="12" s="1"/>
  <c r="AN102" i="12"/>
  <c r="AP102" i="12" s="1"/>
  <c r="AN101" i="12"/>
  <c r="AP101" i="12" s="1"/>
  <c r="AN100" i="12"/>
  <c r="AP100" i="12" s="1"/>
  <c r="AN99" i="12"/>
  <c r="AP99" i="12" s="1"/>
  <c r="AN98" i="12"/>
  <c r="AP98" i="12" s="1"/>
  <c r="AN97" i="12"/>
  <c r="AP97" i="12" s="1"/>
  <c r="AN96" i="12"/>
  <c r="AP96" i="12" s="1"/>
  <c r="AN95" i="12"/>
  <c r="AP95" i="12" s="1"/>
  <c r="AN94" i="12"/>
  <c r="AP94" i="12" s="1"/>
  <c r="AN93" i="12"/>
  <c r="AP93" i="12" s="1"/>
  <c r="AN92" i="12"/>
  <c r="AP92" i="12" s="1"/>
  <c r="AN91" i="12"/>
  <c r="AP91" i="12" s="1"/>
  <c r="AN90" i="12"/>
  <c r="AP90" i="12" s="1"/>
  <c r="AN89" i="12"/>
  <c r="AP89" i="12" s="1"/>
  <c r="AN88" i="12"/>
  <c r="AP88" i="12" s="1"/>
  <c r="AN87" i="12"/>
  <c r="AP87" i="12" s="1"/>
  <c r="AN86" i="12"/>
  <c r="AP86" i="12" s="1"/>
  <c r="AN85" i="12"/>
  <c r="AP85" i="12" s="1"/>
  <c r="AN84" i="12"/>
  <c r="AP84" i="12" s="1"/>
  <c r="AN83" i="12"/>
  <c r="AP83" i="12" s="1"/>
  <c r="AN82" i="12"/>
  <c r="AP82" i="12" s="1"/>
  <c r="AN81" i="12"/>
  <c r="AP81" i="12" s="1"/>
  <c r="AN80" i="12"/>
  <c r="AP80" i="12" s="1"/>
  <c r="AN79" i="12"/>
  <c r="AP79" i="12" s="1"/>
  <c r="AN78" i="12"/>
  <c r="AP78" i="12" s="1"/>
  <c r="AN77" i="12"/>
  <c r="AP77" i="12" s="1"/>
  <c r="AN76" i="12"/>
  <c r="AP76" i="12" s="1"/>
  <c r="AN75" i="12"/>
  <c r="AP75" i="12" s="1"/>
  <c r="AN74" i="12"/>
  <c r="AP74" i="12" s="1"/>
  <c r="AN73" i="12"/>
  <c r="AP73" i="12" s="1"/>
  <c r="AN72" i="12"/>
  <c r="AP72" i="12" s="1"/>
  <c r="AN71" i="12"/>
  <c r="AP71" i="12" s="1"/>
  <c r="AN70" i="12"/>
  <c r="AP70" i="12" s="1"/>
  <c r="AN69" i="12"/>
  <c r="AP69" i="12" s="1"/>
  <c r="AN68" i="12"/>
  <c r="AP68" i="12" s="1"/>
  <c r="AN67" i="12"/>
  <c r="AP67" i="12" s="1"/>
  <c r="AN66" i="12"/>
  <c r="AP66" i="12" s="1"/>
  <c r="AN65" i="12"/>
  <c r="AP65" i="12" s="1"/>
  <c r="AN64" i="12"/>
  <c r="AP64" i="12" s="1"/>
  <c r="AN63" i="12"/>
  <c r="AP63" i="12" s="1"/>
  <c r="AN62" i="12"/>
  <c r="AP62" i="12" s="1"/>
  <c r="AN61" i="12"/>
  <c r="AP61" i="12" s="1"/>
  <c r="AN60" i="12"/>
  <c r="AP60" i="12" s="1"/>
  <c r="AN59" i="12"/>
  <c r="AP59" i="12" s="1"/>
  <c r="AN58" i="12"/>
  <c r="AP58" i="12" s="1"/>
  <c r="AN57" i="12"/>
  <c r="AP57" i="12" s="1"/>
  <c r="AN56" i="12"/>
  <c r="AP56" i="12" s="1"/>
  <c r="AN55" i="12"/>
  <c r="AP55" i="12" s="1"/>
  <c r="AN54" i="12"/>
  <c r="AP54" i="12" s="1"/>
  <c r="AN53" i="12"/>
  <c r="AP53" i="12" s="1"/>
  <c r="AN52" i="12"/>
  <c r="AP52" i="12" s="1"/>
  <c r="AN51" i="12"/>
  <c r="AP51" i="12" s="1"/>
  <c r="AN50" i="12"/>
  <c r="AP50" i="12" s="1"/>
  <c r="AN49" i="12"/>
  <c r="AP49" i="12" s="1"/>
  <c r="AN48" i="12"/>
  <c r="AP48" i="12" s="1"/>
  <c r="AN45" i="12"/>
  <c r="AP45" i="12" s="1"/>
  <c r="AN44" i="12"/>
  <c r="AP44" i="12" s="1"/>
  <c r="AN43" i="12"/>
  <c r="AP43" i="12" s="1"/>
  <c r="AN42" i="12"/>
  <c r="AP42" i="12" s="1"/>
  <c r="AN41" i="12"/>
  <c r="AP41" i="12" s="1"/>
  <c r="AN40" i="12"/>
  <c r="AP40" i="12" s="1"/>
  <c r="AN39" i="12"/>
  <c r="AP39" i="12" s="1"/>
  <c r="AN38" i="12"/>
  <c r="AP38" i="12" s="1"/>
  <c r="AN37" i="12"/>
  <c r="AP37" i="12" s="1"/>
  <c r="AN36" i="12"/>
  <c r="AP36" i="12" s="1"/>
  <c r="AN35" i="12"/>
  <c r="AP35" i="12" s="1"/>
  <c r="AN34" i="12"/>
  <c r="AP34" i="12" s="1"/>
  <c r="AN5" i="12"/>
  <c r="AP4" i="12"/>
  <c r="AT3" i="12"/>
  <c r="AT2" i="12"/>
  <c r="AR14" i="8" l="1"/>
  <c r="AP15" i="8"/>
  <c r="AR13" i="8"/>
  <c r="AP10" i="7"/>
  <c r="AP11" i="7" s="1"/>
  <c r="AR11" i="7" s="1"/>
  <c r="AR12" i="9"/>
  <c r="AP13" i="9"/>
  <c r="AR6" i="10"/>
  <c r="AP7" i="10"/>
  <c r="AN6" i="12"/>
  <c r="AN7" i="12" s="1"/>
  <c r="AR15" i="8" l="1"/>
  <c r="AP16" i="8"/>
  <c r="AP12" i="7"/>
  <c r="AR12" i="7" s="1"/>
  <c r="AR10" i="7"/>
  <c r="AR13" i="9"/>
  <c r="AP14" i="9"/>
  <c r="AR7" i="10"/>
  <c r="AP8" i="10"/>
  <c r="AP6" i="12"/>
  <c r="AP7" i="12"/>
  <c r="AN8" i="12"/>
  <c r="AT3" i="5"/>
  <c r="AT2" i="5"/>
  <c r="AR16" i="8" l="1"/>
  <c r="AP17" i="8"/>
  <c r="AP13" i="7"/>
  <c r="AR13" i="7" s="1"/>
  <c r="AR14" i="9"/>
  <c r="AP15" i="9"/>
  <c r="AP16" i="9" s="1"/>
  <c r="AR8" i="10"/>
  <c r="AP9" i="10"/>
  <c r="AP8" i="12"/>
  <c r="AN9" i="12"/>
  <c r="AP180" i="5"/>
  <c r="AP179" i="5"/>
  <c r="AP178" i="5"/>
  <c r="AP177" i="5"/>
  <c r="AP176" i="5"/>
  <c r="AP175" i="5"/>
  <c r="AP174" i="5"/>
  <c r="AP173" i="5"/>
  <c r="AP172" i="5"/>
  <c r="AP171" i="5"/>
  <c r="AP170" i="5"/>
  <c r="AP169" i="5"/>
  <c r="AP168" i="5"/>
  <c r="AP167" i="5"/>
  <c r="AP166" i="5"/>
  <c r="AP165" i="5"/>
  <c r="AP164" i="5"/>
  <c r="AP163" i="5"/>
  <c r="AP162" i="5"/>
  <c r="AP161" i="5"/>
  <c r="AP160" i="5"/>
  <c r="AP159" i="5"/>
  <c r="AP158" i="5"/>
  <c r="AP157" i="5"/>
  <c r="AP156" i="5"/>
  <c r="AP155" i="5"/>
  <c r="AP154" i="5"/>
  <c r="AP153" i="5"/>
  <c r="AP152" i="5"/>
  <c r="AP151" i="5"/>
  <c r="AP150" i="5"/>
  <c r="AP149" i="5"/>
  <c r="AP148" i="5"/>
  <c r="AP147" i="5"/>
  <c r="AP146" i="5"/>
  <c r="AP145" i="5"/>
  <c r="AP144" i="5"/>
  <c r="AP143" i="5"/>
  <c r="AP142" i="5"/>
  <c r="AP141" i="5"/>
  <c r="AP140" i="5"/>
  <c r="AP139" i="5"/>
  <c r="AP138" i="5"/>
  <c r="AP137" i="5"/>
  <c r="AP136" i="5"/>
  <c r="AP135" i="5"/>
  <c r="AP134" i="5"/>
  <c r="AP133" i="5"/>
  <c r="AP132" i="5"/>
  <c r="AP131" i="5"/>
  <c r="AP130" i="5"/>
  <c r="AP129" i="5"/>
  <c r="AP128" i="5"/>
  <c r="AP127" i="5"/>
  <c r="AP126" i="5"/>
  <c r="AP125" i="5"/>
  <c r="AP124" i="5"/>
  <c r="AP123" i="5"/>
  <c r="AP122" i="5"/>
  <c r="AP121" i="5"/>
  <c r="AP120" i="5"/>
  <c r="AP119" i="5"/>
  <c r="AP118" i="5"/>
  <c r="AP117" i="5"/>
  <c r="AP116" i="5"/>
  <c r="AP115" i="5"/>
  <c r="AP114" i="5"/>
  <c r="AP113" i="5"/>
  <c r="AP112" i="5"/>
  <c r="AP111" i="5"/>
  <c r="AP110" i="5"/>
  <c r="AP109" i="5"/>
  <c r="AP108" i="5"/>
  <c r="AP107" i="5"/>
  <c r="AP106" i="5"/>
  <c r="AP105" i="5"/>
  <c r="AP104" i="5"/>
  <c r="AP103" i="5"/>
  <c r="AP102" i="5"/>
  <c r="AP101" i="5"/>
  <c r="AP100" i="5"/>
  <c r="AP99" i="5"/>
  <c r="AP98" i="5"/>
  <c r="AP97" i="5"/>
  <c r="AP96" i="5"/>
  <c r="AP95" i="5"/>
  <c r="AP94" i="5"/>
  <c r="AP93" i="5"/>
  <c r="AP92" i="5"/>
  <c r="AP91" i="5"/>
  <c r="AP90" i="5"/>
  <c r="AP89" i="5"/>
  <c r="AP88" i="5"/>
  <c r="AP87" i="5"/>
  <c r="AP86" i="5"/>
  <c r="AP85" i="5"/>
  <c r="AP84" i="5"/>
  <c r="AP83" i="5"/>
  <c r="AP82" i="5"/>
  <c r="AP81" i="5"/>
  <c r="AP80" i="5"/>
  <c r="AP79" i="5"/>
  <c r="AP78" i="5"/>
  <c r="AP181" i="5"/>
  <c r="Z12" i="12"/>
  <c r="AP14" i="7" l="1"/>
  <c r="AR14" i="7" s="1"/>
  <c r="AR16" i="9"/>
  <c r="AP17" i="9"/>
  <c r="AR17" i="8"/>
  <c r="AP18" i="8"/>
  <c r="AR15" i="9"/>
  <c r="AP15" i="7"/>
  <c r="AP16" i="7" s="1"/>
  <c r="AR9" i="10"/>
  <c r="AP10" i="10"/>
  <c r="AP9" i="12"/>
  <c r="AN10" i="12"/>
  <c r="AR17" i="9" l="1"/>
  <c r="AP18" i="9"/>
  <c r="AR16" i="7"/>
  <c r="AP17" i="7"/>
  <c r="AR18" i="8"/>
  <c r="AP19" i="8"/>
  <c r="AR15" i="7"/>
  <c r="AR10" i="10"/>
  <c r="AP11" i="10"/>
  <c r="AP10" i="12"/>
  <c r="AN11" i="12"/>
  <c r="AR18" i="9" l="1"/>
  <c r="AP19" i="9"/>
  <c r="AR17" i="7"/>
  <c r="AP18" i="7"/>
  <c r="AR19" i="8"/>
  <c r="AP20" i="8"/>
  <c r="AR11" i="10"/>
  <c r="AP12" i="10"/>
  <c r="AP11" i="12"/>
  <c r="AN12" i="12"/>
  <c r="AR19" i="9" l="1"/>
  <c r="AP20" i="9"/>
  <c r="AR18" i="7"/>
  <c r="AP19" i="7"/>
  <c r="AR20" i="8"/>
  <c r="AP21" i="8"/>
  <c r="AR12" i="10"/>
  <c r="AP13" i="10"/>
  <c r="AP12" i="12"/>
  <c r="AN13" i="12"/>
  <c r="AR20" i="9" l="1"/>
  <c r="AP21" i="9"/>
  <c r="AR19" i="7"/>
  <c r="AP20" i="7"/>
  <c r="AR21" i="8"/>
  <c r="AP22" i="8"/>
  <c r="AR13" i="10"/>
  <c r="AP14" i="10"/>
  <c r="AP13" i="12"/>
  <c r="AN14" i="12"/>
  <c r="AR21" i="9" l="1"/>
  <c r="AP22" i="9"/>
  <c r="AR20" i="7"/>
  <c r="AP21" i="7"/>
  <c r="AR22" i="8"/>
  <c r="AP23" i="8"/>
  <c r="AR14" i="10"/>
  <c r="AP15" i="10"/>
  <c r="AP16" i="10" s="1"/>
  <c r="AP14" i="12"/>
  <c r="AN15" i="12"/>
  <c r="L2" i="5"/>
  <c r="Z174" i="5"/>
  <c r="Z173" i="5"/>
  <c r="Z172" i="5"/>
  <c r="Z171" i="5"/>
  <c r="Z170" i="5"/>
  <c r="Z169" i="5"/>
  <c r="Z168" i="5"/>
  <c r="Z167" i="5"/>
  <c r="Z166" i="5"/>
  <c r="Z165" i="5"/>
  <c r="Z164" i="5"/>
  <c r="Z163" i="5"/>
  <c r="Z162" i="5"/>
  <c r="Z161" i="5"/>
  <c r="Z160" i="5"/>
  <c r="Z159" i="5"/>
  <c r="Z158" i="5"/>
  <c r="Z157" i="5"/>
  <c r="Z156" i="5"/>
  <c r="Z155" i="5"/>
  <c r="Z154" i="5"/>
  <c r="Z153" i="5"/>
  <c r="Z152" i="5"/>
  <c r="Z151" i="5"/>
  <c r="Z150" i="5"/>
  <c r="Z149" i="5"/>
  <c r="Z148" i="5"/>
  <c r="Z147" i="5"/>
  <c r="Z146" i="5"/>
  <c r="Z145" i="5"/>
  <c r="Z144" i="5"/>
  <c r="Z143" i="5"/>
  <c r="Z142" i="5"/>
  <c r="Z141" i="5"/>
  <c r="Z140" i="5"/>
  <c r="Z139" i="5"/>
  <c r="Z138" i="5"/>
  <c r="Z137" i="5"/>
  <c r="Z136" i="5"/>
  <c r="Z135" i="5"/>
  <c r="Z134" i="5"/>
  <c r="Z133" i="5"/>
  <c r="Z132" i="5"/>
  <c r="Z131" i="5"/>
  <c r="Z130" i="5"/>
  <c r="Z129" i="5"/>
  <c r="Z128" i="5"/>
  <c r="Z127" i="5"/>
  <c r="Z126" i="5"/>
  <c r="Z125" i="5"/>
  <c r="Z124" i="5"/>
  <c r="Z123" i="5"/>
  <c r="Z122" i="5"/>
  <c r="Z121" i="5"/>
  <c r="Z120" i="5"/>
  <c r="Z119" i="5"/>
  <c r="Z118" i="5"/>
  <c r="Z117" i="5"/>
  <c r="Z116" i="5"/>
  <c r="Z115" i="5"/>
  <c r="Z114" i="5"/>
  <c r="Z113" i="5"/>
  <c r="Z112" i="5"/>
  <c r="Z111" i="5"/>
  <c r="Z110" i="5"/>
  <c r="Z109" i="5"/>
  <c r="Z108" i="5"/>
  <c r="Z107" i="5"/>
  <c r="Z106" i="5"/>
  <c r="Z105" i="5"/>
  <c r="Z104" i="5"/>
  <c r="Z103" i="5"/>
  <c r="Z102" i="5"/>
  <c r="Z101" i="5"/>
  <c r="Z100" i="5"/>
  <c r="Z99" i="5"/>
  <c r="Z98" i="5"/>
  <c r="Z97" i="5"/>
  <c r="Z96" i="5"/>
  <c r="Z95" i="5"/>
  <c r="Z94" i="5"/>
  <c r="Z93" i="5"/>
  <c r="Z92" i="5"/>
  <c r="Z91" i="5"/>
  <c r="Z90" i="5"/>
  <c r="Z89" i="5"/>
  <c r="Z88" i="5"/>
  <c r="Z87" i="5"/>
  <c r="Z86" i="5"/>
  <c r="Z85" i="5"/>
  <c r="Z84" i="5"/>
  <c r="Z83" i="5"/>
  <c r="Z82" i="5"/>
  <c r="Z81" i="5"/>
  <c r="Z80" i="5"/>
  <c r="Z79" i="5"/>
  <c r="Z78" i="5"/>
  <c r="Z76" i="5"/>
  <c r="Z75" i="5"/>
  <c r="Z74" i="5"/>
  <c r="Z73" i="5"/>
  <c r="Z72" i="5"/>
  <c r="Z71" i="5"/>
  <c r="Z70" i="5"/>
  <c r="Z69" i="5"/>
  <c r="Z68" i="5"/>
  <c r="Z67" i="5"/>
  <c r="Z66" i="5"/>
  <c r="Z65" i="5"/>
  <c r="Z64" i="5"/>
  <c r="Z63" i="5"/>
  <c r="Z62" i="5"/>
  <c r="Z61" i="5"/>
  <c r="Z60" i="5"/>
  <c r="Z59" i="5"/>
  <c r="Z58" i="5"/>
  <c r="Z57" i="5"/>
  <c r="Z56" i="5"/>
  <c r="Z55" i="5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Z25" i="5"/>
  <c r="Z24" i="5"/>
  <c r="Z23" i="5"/>
  <c r="Z22" i="5"/>
  <c r="Z21" i="5"/>
  <c r="Z20" i="5"/>
  <c r="Z19" i="5"/>
  <c r="Z18" i="5"/>
  <c r="Z17" i="5"/>
  <c r="Z16" i="5"/>
  <c r="Z15" i="5"/>
  <c r="Z14" i="5"/>
  <c r="Z13" i="5"/>
  <c r="Z12" i="5"/>
  <c r="Z11" i="5"/>
  <c r="Z10" i="5"/>
  <c r="Z9" i="5"/>
  <c r="Z8" i="5"/>
  <c r="Z7" i="5"/>
  <c r="Z6" i="5"/>
  <c r="Z5" i="5"/>
  <c r="Z4" i="5"/>
  <c r="AR22" i="9" l="1"/>
  <c r="AP23" i="9"/>
  <c r="AR21" i="7"/>
  <c r="AP22" i="7"/>
  <c r="AP15" i="12"/>
  <c r="AN16" i="12"/>
  <c r="AR23" i="8"/>
  <c r="AP24" i="8"/>
  <c r="AR16" i="10"/>
  <c r="AP17" i="10"/>
  <c r="AR15" i="10"/>
  <c r="L1" i="5"/>
  <c r="Z69" i="12"/>
  <c r="Z6" i="12"/>
  <c r="Z7" i="12"/>
  <c r="Z8" i="12"/>
  <c r="Z9" i="12"/>
  <c r="Z10" i="12"/>
  <c r="Z11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5" i="12"/>
  <c r="Z4" i="12"/>
  <c r="L1" i="12" l="1"/>
  <c r="AR23" i="9"/>
  <c r="AP24" i="9"/>
  <c r="AR22" i="7"/>
  <c r="AP23" i="7"/>
  <c r="AP16" i="12"/>
  <c r="AN17" i="12"/>
  <c r="AR24" i="8"/>
  <c r="AP25" i="8"/>
  <c r="AR17" i="10"/>
  <c r="AP18" i="10"/>
  <c r="AR24" i="9" l="1"/>
  <c r="AP25" i="9"/>
  <c r="AR23" i="7"/>
  <c r="AP24" i="7"/>
  <c r="AP17" i="12"/>
  <c r="AN18" i="12"/>
  <c r="AR25" i="8"/>
  <c r="AP26" i="8"/>
  <c r="AR18" i="10"/>
  <c r="AP19" i="10"/>
  <c r="Q3" i="12"/>
  <c r="R3" i="12"/>
  <c r="S3" i="12"/>
  <c r="T3" i="12"/>
  <c r="U3" i="12"/>
  <c r="V3" i="12"/>
  <c r="W3" i="12"/>
  <c r="X3" i="12"/>
  <c r="P3" i="12"/>
  <c r="AR25" i="9" l="1"/>
  <c r="AP26" i="9"/>
  <c r="AR24" i="7"/>
  <c r="AP25" i="7"/>
  <c r="AP18" i="12"/>
  <c r="AN19" i="12"/>
  <c r="AR26" i="8"/>
  <c r="AP27" i="8"/>
  <c r="AR19" i="10"/>
  <c r="AP20" i="10"/>
  <c r="AR26" i="9" l="1"/>
  <c r="AP27" i="9"/>
  <c r="AR25" i="7"/>
  <c r="AP26" i="7"/>
  <c r="AP19" i="12"/>
  <c r="AN20" i="12"/>
  <c r="AR27" i="8"/>
  <c r="AP28" i="8"/>
  <c r="AR20" i="10"/>
  <c r="AP21" i="10"/>
  <c r="AR27" i="9" l="1"/>
  <c r="AP28" i="9"/>
  <c r="AR26" i="7"/>
  <c r="AP27" i="7"/>
  <c r="AP20" i="12"/>
  <c r="AN21" i="12"/>
  <c r="AR28" i="8"/>
  <c r="AP29" i="8"/>
  <c r="AR21" i="10"/>
  <c r="AP22" i="10"/>
  <c r="AR28" i="9" l="1"/>
  <c r="AP29" i="9"/>
  <c r="AR27" i="7"/>
  <c r="AP28" i="7"/>
  <c r="AP21" i="12"/>
  <c r="AN22" i="12"/>
  <c r="AR29" i="8"/>
  <c r="AP30" i="8"/>
  <c r="AR22" i="10"/>
  <c r="AP23" i="10"/>
  <c r="AR29" i="9" l="1"/>
  <c r="AP30" i="9"/>
  <c r="AR28" i="7"/>
  <c r="AP29" i="7"/>
  <c r="AP22" i="12"/>
  <c r="AN23" i="12"/>
  <c r="AR30" i="8"/>
  <c r="AP31" i="8"/>
  <c r="AR23" i="10"/>
  <c r="AP24" i="10"/>
  <c r="AN2" i="5"/>
  <c r="AR30" i="9" l="1"/>
  <c r="AP31" i="9"/>
  <c r="AR29" i="7"/>
  <c r="AP30" i="7"/>
  <c r="AP23" i="12"/>
  <c r="AN24" i="12"/>
  <c r="AR31" i="8"/>
  <c r="AP32" i="8"/>
  <c r="AR24" i="10"/>
  <c r="AP25" i="10"/>
  <c r="AR31" i="9" l="1"/>
  <c r="AP32" i="9"/>
  <c r="AR30" i="7"/>
  <c r="AP31" i="7"/>
  <c r="AR25" i="10"/>
  <c r="AP26" i="10"/>
  <c r="AP24" i="12"/>
  <c r="AN25" i="12"/>
  <c r="AP33" i="8"/>
  <c r="AR32" i="8"/>
  <c r="AR32" i="9" l="1"/>
  <c r="AP33" i="9"/>
  <c r="AP34" i="9" s="1"/>
  <c r="AR31" i="7"/>
  <c r="AP32" i="7"/>
  <c r="AR26" i="10"/>
  <c r="AP27" i="10"/>
  <c r="AP25" i="12"/>
  <c r="AN26" i="12"/>
  <c r="AR33" i="8"/>
  <c r="AP2" i="8"/>
  <c r="AR34" i="9" l="1"/>
  <c r="AP35" i="9"/>
  <c r="AR33" i="9"/>
  <c r="AR32" i="7"/>
  <c r="AP33" i="7"/>
  <c r="AP34" i="7" s="1"/>
  <c r="AR27" i="10"/>
  <c r="AP28" i="10"/>
  <c r="AP26" i="12"/>
  <c r="AN27" i="12"/>
  <c r="AR35" i="9" l="1"/>
  <c r="AP36" i="9"/>
  <c r="AR34" i="7"/>
  <c r="AP35" i="7"/>
  <c r="AR33" i="7"/>
  <c r="AR28" i="10"/>
  <c r="AP29" i="10"/>
  <c r="AP27" i="12"/>
  <c r="AN28" i="12"/>
  <c r="AR36" i="9" l="1"/>
  <c r="AP37" i="9"/>
  <c r="AR35" i="7"/>
  <c r="AP36" i="7"/>
  <c r="AR29" i="10"/>
  <c r="AP30" i="10"/>
  <c r="AP28" i="12"/>
  <c r="AN29" i="12"/>
  <c r="AR37" i="9" l="1"/>
  <c r="AP38" i="9"/>
  <c r="AR36" i="7"/>
  <c r="AP37" i="7"/>
  <c r="AR37" i="7" s="1"/>
  <c r="AR30" i="10"/>
  <c r="AP31" i="10"/>
  <c r="AP29" i="12"/>
  <c r="AN30" i="12"/>
  <c r="AR38" i="9" l="1"/>
  <c r="AP39" i="9"/>
  <c r="AP2" i="7"/>
  <c r="AR31" i="10"/>
  <c r="AP32" i="10"/>
  <c r="AP30" i="12"/>
  <c r="AN31" i="12"/>
  <c r="AR39" i="9" l="1"/>
  <c r="AP2" i="9"/>
  <c r="AR32" i="10"/>
  <c r="AP33" i="10"/>
  <c r="AP31" i="12"/>
  <c r="AN32" i="12"/>
  <c r="AR33" i="10" l="1"/>
  <c r="AP2" i="10"/>
  <c r="AP32" i="12"/>
  <c r="AN33" i="12"/>
  <c r="AP33" i="12" l="1"/>
  <c r="AN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<sst xmlns="http://schemas.openxmlformats.org/spreadsheetml/2006/main" count="15723" uniqueCount="1585">
  <si>
    <t>Structural Framing</t>
  </si>
  <si>
    <t>Floor</t>
  </si>
  <si>
    <t>Doors</t>
  </si>
  <si>
    <t>Pipes</t>
  </si>
  <si>
    <t>Duct</t>
  </si>
  <si>
    <t>-</t>
  </si>
  <si>
    <t>FALIMY</t>
  </si>
  <si>
    <t>Categories</t>
  </si>
  <si>
    <t>Abbr</t>
  </si>
  <si>
    <t>Falimy Name</t>
  </si>
  <si>
    <t>Column</t>
  </si>
  <si>
    <t>General Models</t>
  </si>
  <si>
    <t>Massing</t>
  </si>
  <si>
    <t>Ramps</t>
  </si>
  <si>
    <t>Roofs</t>
  </si>
  <si>
    <t>Openings</t>
  </si>
  <si>
    <t>Stairs</t>
  </si>
  <si>
    <t>Structural Connections</t>
  </si>
  <si>
    <t>Structural Truss</t>
  </si>
  <si>
    <t>Rectangular</t>
  </si>
  <si>
    <t>REC</t>
  </si>
  <si>
    <t>Round</t>
  </si>
  <si>
    <t>ROU</t>
  </si>
  <si>
    <t>Irregular</t>
  </si>
  <si>
    <t>IRR</t>
  </si>
  <si>
    <t>Precast Concrete</t>
  </si>
  <si>
    <t>PRC</t>
  </si>
  <si>
    <t>CIP Concrete</t>
  </si>
  <si>
    <t>Steel</t>
  </si>
  <si>
    <t>STE</t>
  </si>
  <si>
    <t>Wood</t>
  </si>
  <si>
    <t>WOO</t>
  </si>
  <si>
    <t>Structural Foundations</t>
  </si>
  <si>
    <t>WIN</t>
  </si>
  <si>
    <t>DOO</t>
  </si>
  <si>
    <t>Square</t>
  </si>
  <si>
    <t>SQU</t>
  </si>
  <si>
    <t>BOL</t>
  </si>
  <si>
    <t>Triangular PipeCap</t>
  </si>
  <si>
    <t>Rectangular Footing</t>
  </si>
  <si>
    <t>PIP</t>
  </si>
  <si>
    <t>PHC</t>
  </si>
  <si>
    <t>Basic Wall</t>
  </si>
  <si>
    <t>Pull</t>
  </si>
  <si>
    <t>PUL</t>
  </si>
  <si>
    <t>COM</t>
  </si>
  <si>
    <t>Aluminum</t>
  </si>
  <si>
    <t>ALU</t>
  </si>
  <si>
    <t>Sliding</t>
  </si>
  <si>
    <t>Double</t>
  </si>
  <si>
    <t>SLI</t>
  </si>
  <si>
    <t>DOU</t>
  </si>
  <si>
    <t>Glass</t>
  </si>
  <si>
    <t>GLA</t>
  </si>
  <si>
    <t>Railing</t>
  </si>
  <si>
    <t>Wall</t>
  </si>
  <si>
    <t>Top Rail Type</t>
  </si>
  <si>
    <t>Furniture</t>
  </si>
  <si>
    <t>Types/ Shapes</t>
  </si>
  <si>
    <t>Inox</t>
  </si>
  <si>
    <t>Table</t>
  </si>
  <si>
    <t>TAB</t>
  </si>
  <si>
    <t>Mechanical Equipment</t>
  </si>
  <si>
    <t>Duct Accessories</t>
  </si>
  <si>
    <t>Duct Fitting</t>
  </si>
  <si>
    <t>Parallel</t>
  </si>
  <si>
    <t>PAR</t>
  </si>
  <si>
    <t>Fire Damper</t>
  </si>
  <si>
    <t>FDA</t>
  </si>
  <si>
    <t>Balancing Damper</t>
  </si>
  <si>
    <t>BDA</t>
  </si>
  <si>
    <t>Filters</t>
  </si>
  <si>
    <t>Angle</t>
  </si>
  <si>
    <t>Flat</t>
  </si>
  <si>
    <t>FIL</t>
  </si>
  <si>
    <t>ANG</t>
  </si>
  <si>
    <t>FLA</t>
  </si>
  <si>
    <t>Oval</t>
  </si>
  <si>
    <t>OVA</t>
  </si>
  <si>
    <t>Mutil-shape</t>
  </si>
  <si>
    <t>MUS</t>
  </si>
  <si>
    <t>Tees</t>
  </si>
  <si>
    <t>Union</t>
  </si>
  <si>
    <t>Taps</t>
  </si>
  <si>
    <t>TEE</t>
  </si>
  <si>
    <t>UNI</t>
  </si>
  <si>
    <t>TAP</t>
  </si>
  <si>
    <t>Transition</t>
  </si>
  <si>
    <t>TRA</t>
  </si>
  <si>
    <t>Pyramiadal</t>
  </si>
  <si>
    <t>PYR</t>
  </si>
  <si>
    <t>Galvanized</t>
  </si>
  <si>
    <t>GAL</t>
  </si>
  <si>
    <t>CTI</t>
  </si>
  <si>
    <t>Frame</t>
  </si>
  <si>
    <t>FRA</t>
  </si>
  <si>
    <t>Cross-gable Roof</t>
  </si>
  <si>
    <t>CGR</t>
  </si>
  <si>
    <t>Hipped roof</t>
  </si>
  <si>
    <t>HRO</t>
  </si>
  <si>
    <t>Clay Tiles</t>
  </si>
  <si>
    <t>Tole</t>
  </si>
  <si>
    <t>TOL</t>
  </si>
  <si>
    <t>CIP</t>
  </si>
  <si>
    <t>Tap</t>
  </si>
  <si>
    <t>DUA</t>
  </si>
  <si>
    <t>Flexible</t>
  </si>
  <si>
    <t>FLE</t>
  </si>
  <si>
    <t>DUF</t>
  </si>
  <si>
    <t>Wye</t>
  </si>
  <si>
    <t>WYE</t>
  </si>
  <si>
    <t>COL</t>
  </si>
  <si>
    <t>ROO</t>
  </si>
  <si>
    <t>OPE</t>
  </si>
  <si>
    <t>CON</t>
  </si>
  <si>
    <t>FOU</t>
  </si>
  <si>
    <t>TRU</t>
  </si>
  <si>
    <t>Irregular PipeCap</t>
  </si>
  <si>
    <t>Ceiling</t>
  </si>
  <si>
    <t>Compound Ceiling</t>
  </si>
  <si>
    <t>Basic Ceiling</t>
  </si>
  <si>
    <t>FUR</t>
  </si>
  <si>
    <t>Basic Roof</t>
  </si>
  <si>
    <t>MEQ</t>
  </si>
  <si>
    <t>Air Terminals</t>
  </si>
  <si>
    <t>AIT</t>
  </si>
  <si>
    <t>Return Air</t>
  </si>
  <si>
    <t>REA</t>
  </si>
  <si>
    <t>Pipe Types</t>
  </si>
  <si>
    <t>Pipe Accessories</t>
  </si>
  <si>
    <t>PIA</t>
  </si>
  <si>
    <t>Gate Valve</t>
  </si>
  <si>
    <t>GVA</t>
  </si>
  <si>
    <t>Ball Valve</t>
  </si>
  <si>
    <t>BVA</t>
  </si>
  <si>
    <t>Butterfly Valve</t>
  </si>
  <si>
    <t>Pipe Fittings</t>
  </si>
  <si>
    <t>PIF</t>
  </si>
  <si>
    <t>Elbow</t>
  </si>
  <si>
    <t>ELB</t>
  </si>
  <si>
    <t>Cross</t>
  </si>
  <si>
    <t>CRS</t>
  </si>
  <si>
    <t>Flange</t>
  </si>
  <si>
    <t>FLG</t>
  </si>
  <si>
    <t xml:space="preserve">Cable Tray Fittings </t>
  </si>
  <si>
    <t>CAF</t>
  </si>
  <si>
    <t>Horizontal Bend</t>
  </si>
  <si>
    <t>Vertical Inside Bend</t>
  </si>
  <si>
    <t>VIB</t>
  </si>
  <si>
    <t>Vertical Outside Bend</t>
  </si>
  <si>
    <t>VOB</t>
  </si>
  <si>
    <t>Tee</t>
  </si>
  <si>
    <t>Cable Tray</t>
  </si>
  <si>
    <t>Conduit Fittings</t>
  </si>
  <si>
    <t>COF</t>
  </si>
  <si>
    <t xml:space="preserve">Conduit </t>
  </si>
  <si>
    <t>Communication Devices</t>
  </si>
  <si>
    <t>COD</t>
  </si>
  <si>
    <t>Antennas</t>
  </si>
  <si>
    <t>ANT</t>
  </si>
  <si>
    <t>Data Devices</t>
  </si>
  <si>
    <t>DAD</t>
  </si>
  <si>
    <t>LAN Socket</t>
  </si>
  <si>
    <t>Electrical Equipment</t>
  </si>
  <si>
    <t>EEQ</t>
  </si>
  <si>
    <t>ELF</t>
  </si>
  <si>
    <t>Socket</t>
  </si>
  <si>
    <t>Fire Alarm Devices</t>
  </si>
  <si>
    <t>FID</t>
  </si>
  <si>
    <t>Downlight</t>
  </si>
  <si>
    <t>DOW</t>
  </si>
  <si>
    <t>Plumbing Fixtures</t>
  </si>
  <si>
    <t>Sprinklers</t>
  </si>
  <si>
    <t>SPK</t>
  </si>
  <si>
    <t>Up</t>
  </si>
  <si>
    <t>UP</t>
  </si>
  <si>
    <t>K=5.6</t>
  </si>
  <si>
    <t>Down</t>
  </si>
  <si>
    <t>K=11.2</t>
  </si>
  <si>
    <t>Side</t>
  </si>
  <si>
    <t>SID</t>
  </si>
  <si>
    <t>EXT</t>
  </si>
  <si>
    <t>WMO</t>
  </si>
  <si>
    <t>INO</t>
  </si>
  <si>
    <t>Loadable</t>
  </si>
  <si>
    <t>System</t>
  </si>
  <si>
    <t>Walls</t>
  </si>
  <si>
    <t>Square Shaped</t>
  </si>
  <si>
    <t>I Shaped</t>
  </si>
  <si>
    <t>ISH</t>
  </si>
  <si>
    <t>TShaped</t>
  </si>
  <si>
    <t>TSH</t>
  </si>
  <si>
    <t>Round-Hollow</t>
  </si>
  <si>
    <t>Rectangular - Grade Beam</t>
  </si>
  <si>
    <t>RGB</t>
  </si>
  <si>
    <t>Isolate Footing</t>
  </si>
  <si>
    <t>ISF</t>
  </si>
  <si>
    <t>Triangular  Footing</t>
  </si>
  <si>
    <t>TGL</t>
  </si>
  <si>
    <t>Irregular Footing</t>
  </si>
  <si>
    <t>Pipe Cap</t>
  </si>
  <si>
    <t>PCA</t>
  </si>
  <si>
    <t>Pile</t>
  </si>
  <si>
    <t>Driven Pile</t>
  </si>
  <si>
    <t>DRI</t>
  </si>
  <si>
    <t>Bored Pile</t>
  </si>
  <si>
    <t>BOR</t>
  </si>
  <si>
    <t>Hollow Pile</t>
  </si>
  <si>
    <t>HOL</t>
  </si>
  <si>
    <t>Precast Rectangular Pile</t>
  </si>
  <si>
    <t>Assembled Stair</t>
  </si>
  <si>
    <t>Cast-In-Place Stair</t>
  </si>
  <si>
    <t>Precast Stair</t>
  </si>
  <si>
    <t>Handrail</t>
  </si>
  <si>
    <t>Baluster</t>
  </si>
  <si>
    <t>Support</t>
  </si>
  <si>
    <t>Termination</t>
  </si>
  <si>
    <t>Stacked Wall</t>
  </si>
  <si>
    <t>Curtain Wall</t>
  </si>
  <si>
    <t>Chair</t>
  </si>
  <si>
    <t>CHA</t>
  </si>
  <si>
    <t>Sofa</t>
  </si>
  <si>
    <t>SFA</t>
  </si>
  <si>
    <t>Cabinets</t>
  </si>
  <si>
    <t>CAB</t>
  </si>
  <si>
    <t>Windows</t>
  </si>
  <si>
    <t>Awning</t>
  </si>
  <si>
    <t>AWN</t>
  </si>
  <si>
    <t>FIX</t>
  </si>
  <si>
    <t>Skylight</t>
  </si>
  <si>
    <t>SKL</t>
  </si>
  <si>
    <t>Profiles</t>
  </si>
  <si>
    <t>PRO</t>
  </si>
  <si>
    <t>ELL</t>
  </si>
  <si>
    <t>Radius</t>
  </si>
  <si>
    <t>RAD</t>
  </si>
  <si>
    <t>Lighting</t>
  </si>
  <si>
    <t>LIG</t>
  </si>
  <si>
    <t>External</t>
  </si>
  <si>
    <t xml:space="preserve">Wall </t>
  </si>
  <si>
    <t>Street</t>
  </si>
  <si>
    <t>STR</t>
  </si>
  <si>
    <t>Bollard</t>
  </si>
  <si>
    <t>Internal</t>
  </si>
  <si>
    <t>INT</t>
  </si>
  <si>
    <t>SPL</t>
  </si>
  <si>
    <t>Types/Shape</t>
  </si>
  <si>
    <t>Subtype/Materials</t>
  </si>
  <si>
    <t>SubTypes/Materials</t>
  </si>
  <si>
    <t>Structural Column</t>
  </si>
  <si>
    <t xml:space="preserve"> Abbr    Types/Shape</t>
  </si>
  <si>
    <t>Abbr    SubTypes/Materials</t>
  </si>
  <si>
    <t xml:space="preserve">Abbr  Categories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</si>
  <si>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</si>
  <si>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</si>
  <si>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</si>
  <si>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</si>
  <si>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</si>
  <si>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</si>
  <si>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</si>
  <si>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</si>
  <si>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</si>
  <si>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</si>
  <si>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</si>
  <si>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</si>
  <si>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</si>
  <si>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</si>
  <si>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</si>
  <si>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S_COL_REC_CIP_08</t>
  </si>
  <si>
    <t>S_COL_REC_PRC_09</t>
  </si>
  <si>
    <t>S_COL_REC_STE_10</t>
  </si>
  <si>
    <t>S_COL_REC_WOO_11</t>
  </si>
  <si>
    <t>S_COL_ROU_CIP_12</t>
  </si>
  <si>
    <t>S_COL_ROU_PRC_13</t>
  </si>
  <si>
    <t>S_COL_SQU_STE_16</t>
  </si>
  <si>
    <t>S_COL_TSH_CIP_17</t>
  </si>
  <si>
    <t>S_COL_TSH_PRC_18</t>
  </si>
  <si>
    <t>S_COL_TSH_STE_19</t>
  </si>
  <si>
    <t>S_FOU_IRR_ISF_01</t>
  </si>
  <si>
    <t>S_FOU_IRR_PCA_02</t>
  </si>
  <si>
    <t>S_FOU_PIP_BOR_03</t>
  </si>
  <si>
    <t>S_FOU_PIP_DRI_04</t>
  </si>
  <si>
    <t>S_FOU_PIP_HOL_05</t>
  </si>
  <si>
    <t>S_FOU_PIP_PHC_06</t>
  </si>
  <si>
    <t>S_FOU_PIP_REC_07</t>
  </si>
  <si>
    <t>S_FOU_PIP_STE_08</t>
  </si>
  <si>
    <t>S_FOU_REC_ISF_09</t>
  </si>
  <si>
    <t>A_LIG_EXT_BOL_01</t>
  </si>
  <si>
    <t>A_LIG_EXT_STR_02</t>
  </si>
  <si>
    <t>A_LIG_INT_DOW_05</t>
  </si>
  <si>
    <t>A_LIG_INT_SPL_06</t>
  </si>
  <si>
    <t>A_ROO_CGR_CTI_01</t>
  </si>
  <si>
    <t>A_ROO_HRO_TOL_02</t>
  </si>
  <si>
    <t>Conduit</t>
  </si>
  <si>
    <t>Conduit with Fittings</t>
  </si>
  <si>
    <t>Automatic Air Valve</t>
  </si>
  <si>
    <t>AAV</t>
  </si>
  <si>
    <t>GAV</t>
  </si>
  <si>
    <t>Landing Valve</t>
  </si>
  <si>
    <t>LAV</t>
  </si>
  <si>
    <t>WFC</t>
  </si>
  <si>
    <t>Check Valve</t>
  </si>
  <si>
    <t>CKV</t>
  </si>
  <si>
    <t>Alarm Valve</t>
  </si>
  <si>
    <t>ALV</t>
  </si>
  <si>
    <t>BTF</t>
  </si>
  <si>
    <t>With Supervision Switch</t>
  </si>
  <si>
    <t>WSS</t>
  </si>
  <si>
    <t>Flow Water Switch</t>
  </si>
  <si>
    <t>FWS</t>
  </si>
  <si>
    <t>Pressure gauge</t>
  </si>
  <si>
    <t>PSG</t>
  </si>
  <si>
    <t>WBV</t>
  </si>
  <si>
    <t>Fire water flow water</t>
  </si>
  <si>
    <t>FWF</t>
  </si>
  <si>
    <t>Pressure Switch</t>
  </si>
  <si>
    <t>PRS</t>
  </si>
  <si>
    <t>Vortex Inhibitor</t>
  </si>
  <si>
    <t>VIR</t>
  </si>
  <si>
    <t>Crepin</t>
  </si>
  <si>
    <t>CRP</t>
  </si>
  <si>
    <t>Fire department connection</t>
  </si>
  <si>
    <t>FDC</t>
  </si>
  <si>
    <t>Sight Glass</t>
  </si>
  <si>
    <t>SGS</t>
  </si>
  <si>
    <t>Expansion joint</t>
  </si>
  <si>
    <t>EXJ</t>
  </si>
  <si>
    <t>Y Strainer</t>
  </si>
  <si>
    <t>YST</t>
  </si>
  <si>
    <t>Reducer</t>
  </si>
  <si>
    <t>RED</t>
  </si>
  <si>
    <t>Nozzle</t>
  </si>
  <si>
    <t>NOZ</t>
  </si>
  <si>
    <t>360 Degrees</t>
  </si>
  <si>
    <t>Portable fire extinguisher</t>
  </si>
  <si>
    <t>PFX</t>
  </si>
  <si>
    <t>Fire Pump</t>
  </si>
  <si>
    <t>FPP</t>
  </si>
  <si>
    <t>Pressure vessel</t>
  </si>
  <si>
    <t>PVS</t>
  </si>
  <si>
    <t>Jockey Pump</t>
  </si>
  <si>
    <t>JKP</t>
  </si>
  <si>
    <t>Roof fire water tank</t>
  </si>
  <si>
    <t>RFWT</t>
  </si>
  <si>
    <t>Fire Hose  Reel Cabinet</t>
  </si>
  <si>
    <t>FHRC</t>
  </si>
  <si>
    <t>1200x600x200m</t>
  </si>
  <si>
    <t>1200x600x200</t>
  </si>
  <si>
    <t>FM-200 Cylinders set</t>
  </si>
  <si>
    <t>2x100LB</t>
  </si>
  <si>
    <t>2x150LB</t>
  </si>
  <si>
    <t>Portable fire extinguisher cabinet</t>
  </si>
  <si>
    <t>PFEC</t>
  </si>
  <si>
    <t>9000x600x180mm</t>
  </si>
  <si>
    <t>9000x600x180</t>
  </si>
  <si>
    <t>ELECTRIC EQUIPMENT</t>
  </si>
  <si>
    <t>Fire pump control panel</t>
  </si>
  <si>
    <t>FPCP</t>
  </si>
  <si>
    <t xml:space="preserve">Extinguising control panel </t>
  </si>
  <si>
    <t>ECP</t>
  </si>
  <si>
    <t>4 chanel</t>
  </si>
  <si>
    <t>4CH</t>
  </si>
  <si>
    <t xml:space="preserve">Addressable monitor module </t>
  </si>
  <si>
    <t>AMM</t>
  </si>
  <si>
    <t>Addressale module for convention detector</t>
  </si>
  <si>
    <t>ACD</t>
  </si>
  <si>
    <t>Addressable relay module</t>
  </si>
  <si>
    <t>ARM</t>
  </si>
  <si>
    <t>End of line resistor</t>
  </si>
  <si>
    <t>ELR</t>
  </si>
  <si>
    <t>Isolator module</t>
  </si>
  <si>
    <t>ISM</t>
  </si>
  <si>
    <t>Fire alarm control panel 10 loop</t>
  </si>
  <si>
    <t>FACP</t>
  </si>
  <si>
    <t>WBS</t>
  </si>
  <si>
    <t>10 loop</t>
  </si>
  <si>
    <t>Addressable smoke detector</t>
  </si>
  <si>
    <t>ASD</t>
  </si>
  <si>
    <t>Addressable heat detector</t>
  </si>
  <si>
    <t>AHD</t>
  </si>
  <si>
    <t>Conventrional smoke detector</t>
  </si>
  <si>
    <t>CSD</t>
  </si>
  <si>
    <t>Conventrional heat detector</t>
  </si>
  <si>
    <t>CHD</t>
  </si>
  <si>
    <t>Addressable Fire alarm button</t>
  </si>
  <si>
    <t>AFB</t>
  </si>
  <si>
    <t>Addressable alarm lamp and bell</t>
  </si>
  <si>
    <t>ALB</t>
  </si>
  <si>
    <t>Horn and stroble light</t>
  </si>
  <si>
    <t>HSL</t>
  </si>
  <si>
    <t>Cover for button, lamp and bell</t>
  </si>
  <si>
    <t>CBL</t>
  </si>
  <si>
    <t>Telephone jack</t>
  </si>
  <si>
    <t>TLJ</t>
  </si>
  <si>
    <t>Telephone for fire fighting communitation</t>
  </si>
  <si>
    <t>TFF</t>
  </si>
  <si>
    <t>CIF</t>
  </si>
  <si>
    <t xml:space="preserve">Floor box </t>
  </si>
  <si>
    <t>FLX</t>
  </si>
  <si>
    <t>Juction box</t>
  </si>
  <si>
    <t>JTB</t>
  </si>
  <si>
    <t>Electric Fixtures</t>
  </si>
  <si>
    <t>Manual release and abort station</t>
  </si>
  <si>
    <t>MAB</t>
  </si>
  <si>
    <t>Duct Round</t>
  </si>
  <si>
    <t>Flexiable Duct</t>
  </si>
  <si>
    <t>Flexible Duct Round</t>
  </si>
  <si>
    <t>Duct Insulations</t>
  </si>
  <si>
    <t>Pipe</t>
  </si>
  <si>
    <t>Pipe Insulations</t>
  </si>
  <si>
    <t xml:space="preserve">Pipe Insulation </t>
  </si>
  <si>
    <t>Fire damper</t>
  </si>
  <si>
    <t>Volume control damper</t>
  </si>
  <si>
    <t>VCD</t>
  </si>
  <si>
    <t xml:space="preserve">Relief damper </t>
  </si>
  <si>
    <t>PRD</t>
  </si>
  <si>
    <t>Duct Silencer</t>
  </si>
  <si>
    <t>Galvanized Steel</t>
  </si>
  <si>
    <t>GTE</t>
  </si>
  <si>
    <t>Outdoor unit</t>
  </si>
  <si>
    <t>ODU</t>
  </si>
  <si>
    <t xml:space="preserve">Indoor unit </t>
  </si>
  <si>
    <t>INU</t>
  </si>
  <si>
    <t>Celling Mounted</t>
  </si>
  <si>
    <t>CMO</t>
  </si>
  <si>
    <t>4 ways</t>
  </si>
  <si>
    <t>Wall Mounted</t>
  </si>
  <si>
    <t>Axial fan</t>
  </si>
  <si>
    <t>AXF</t>
  </si>
  <si>
    <t>Wall mounted fan</t>
  </si>
  <si>
    <t>WMF</t>
  </si>
  <si>
    <t>MD Valve</t>
  </si>
  <si>
    <t>MDV</t>
  </si>
  <si>
    <t>Kitchen exhaust fan</t>
  </si>
  <si>
    <t>KEF</t>
  </si>
  <si>
    <t>Support for axial fan</t>
  </si>
  <si>
    <t>SFAF</t>
  </si>
  <si>
    <t>Support for mounted fan</t>
  </si>
  <si>
    <t>SFMF</t>
  </si>
  <si>
    <t>Support for ceiling fan</t>
  </si>
  <si>
    <t>SFCF</t>
  </si>
  <si>
    <t>Canvas joint for fan</t>
  </si>
  <si>
    <t>CVA</t>
  </si>
  <si>
    <t>Anti-vibration springs for fans</t>
  </si>
  <si>
    <t>AVS</t>
  </si>
  <si>
    <t>CDV</t>
  </si>
  <si>
    <t>Motor fire Damper</t>
  </si>
  <si>
    <t>MFD</t>
  </si>
  <si>
    <t>ABI</t>
  </si>
  <si>
    <t>Exhaust Air Grille</t>
  </si>
  <si>
    <t>EAG</t>
  </si>
  <si>
    <t>Outside air supply louvers</t>
  </si>
  <si>
    <t>OAL</t>
  </si>
  <si>
    <t>C/w filter</t>
  </si>
  <si>
    <t>CWF</t>
  </si>
  <si>
    <t>Outside air exhaust louvers</t>
  </si>
  <si>
    <t>EAL</t>
  </si>
  <si>
    <t>Fire Alarm Device</t>
  </si>
  <si>
    <t>CO Detector</t>
  </si>
  <si>
    <t>Cabble Tray with Fittings</t>
  </si>
  <si>
    <t>Cabble Tray without Fittings</t>
  </si>
  <si>
    <t>BEL</t>
  </si>
  <si>
    <t>TVS</t>
  </si>
  <si>
    <t>Pipes Insulations</t>
  </si>
  <si>
    <t>Pipe Insulation</t>
  </si>
  <si>
    <t>Water meter</t>
  </si>
  <si>
    <t>WMT</t>
  </si>
  <si>
    <t>FEB</t>
  </si>
  <si>
    <t>BAT</t>
  </si>
  <si>
    <t>Heat Water</t>
  </si>
  <si>
    <t>HWA</t>
  </si>
  <si>
    <t xml:space="preserve">Lavabo </t>
  </si>
  <si>
    <t>SHO</t>
  </si>
  <si>
    <t>Toilet</t>
  </si>
  <si>
    <t>WC</t>
  </si>
  <si>
    <t>Family</t>
  </si>
  <si>
    <t xml:space="preserve">With Battery </t>
  </si>
  <si>
    <t>In Put Module</t>
  </si>
  <si>
    <t>Output Module</t>
  </si>
  <si>
    <t>With Battery And Software</t>
  </si>
  <si>
    <t>With Base</t>
  </si>
  <si>
    <t>FM200C</t>
  </si>
  <si>
    <t>INM</t>
  </si>
  <si>
    <t>OUM</t>
  </si>
  <si>
    <t>FM200</t>
  </si>
  <si>
    <t>WBA</t>
  </si>
  <si>
    <t>WHB</t>
  </si>
  <si>
    <t>With Fast Coupling</t>
  </si>
  <si>
    <t>With Ball Valve</t>
  </si>
  <si>
    <t>Fm-200</t>
  </si>
  <si>
    <t>DUS</t>
  </si>
  <si>
    <t>Air box wrapped insulating</t>
  </si>
  <si>
    <t>Subtypes1 / Materials1</t>
  </si>
  <si>
    <t>Subtypes2 / Materials2</t>
  </si>
  <si>
    <t>Abbr Cate</t>
  </si>
  <si>
    <t>Abbr Types</t>
  </si>
  <si>
    <t>Abbr Sub 1</t>
  </si>
  <si>
    <t>Abbr Sub 2</t>
  </si>
  <si>
    <t>ID</t>
  </si>
  <si>
    <t>Num.</t>
  </si>
  <si>
    <t>S_OPE_IRR_01</t>
  </si>
  <si>
    <t>S_OPE_ROU_02</t>
  </si>
  <si>
    <t>S_OPE_SQU_03</t>
  </si>
  <si>
    <t/>
  </si>
  <si>
    <t>New Name</t>
  </si>
  <si>
    <t>Old Name</t>
  </si>
  <si>
    <t>Single</t>
  </si>
  <si>
    <t>SIN</t>
  </si>
  <si>
    <t>10LO</t>
  </si>
  <si>
    <t>F_MEQ_PFEC_1200x600x200_02</t>
  </si>
  <si>
    <t>Abbr Categories</t>
  </si>
  <si>
    <t>4WA</t>
  </si>
  <si>
    <t>QQQQQ</t>
  </si>
  <si>
    <t>QQQ</t>
  </si>
  <si>
    <t>P_PIA_BVA_02</t>
  </si>
  <si>
    <t>M_DUF_ROU_TEE_TRA_04</t>
  </si>
  <si>
    <t>M_FID_COD_01</t>
  </si>
  <si>
    <t>yyy</t>
  </si>
  <si>
    <t>czc</t>
  </si>
  <si>
    <t>Cvcvc</t>
  </si>
  <si>
    <t>cvc</t>
  </si>
  <si>
    <t>kik</t>
  </si>
  <si>
    <t>YUY</t>
  </si>
  <si>
    <t>YUYU</t>
  </si>
  <si>
    <t>ETE</t>
  </si>
  <si>
    <t>ETETET</t>
  </si>
  <si>
    <t>TYT</t>
  </si>
  <si>
    <t>TYTY</t>
  </si>
  <si>
    <t>WVW</t>
  </si>
  <si>
    <t>WVWVW</t>
  </si>
  <si>
    <t>AFAF</t>
  </si>
  <si>
    <t>FVF</t>
  </si>
  <si>
    <t>FVFVF</t>
  </si>
  <si>
    <t>klklk</t>
  </si>
  <si>
    <t>klklkl</t>
  </si>
  <si>
    <t>Kiki</t>
  </si>
  <si>
    <t>Czczcz</t>
  </si>
  <si>
    <t>mvm</t>
  </si>
  <si>
    <t>mvmv</t>
  </si>
  <si>
    <t>Yuyu</t>
  </si>
  <si>
    <t>yuy</t>
  </si>
  <si>
    <t>Yyyy</t>
  </si>
  <si>
    <t>Dvdvdv</t>
  </si>
  <si>
    <t>Rvrv</t>
  </si>
  <si>
    <t>Rvrvr</t>
  </si>
  <si>
    <t>dvd</t>
  </si>
  <si>
    <t>rvr</t>
  </si>
  <si>
    <t>Dzdz</t>
  </si>
  <si>
    <t>Dzdzdz</t>
  </si>
  <si>
    <t>dzd</t>
  </si>
  <si>
    <t>dzz</t>
  </si>
  <si>
    <t>tht</t>
  </si>
  <si>
    <t>yuyu</t>
  </si>
  <si>
    <t>AWN_ALU_yyy_112.rfa</t>
  </si>
  <si>
    <t>P_PIA_WMT_3VA_2ME_5555.txt</t>
  </si>
  <si>
    <t>Types</t>
  </si>
  <si>
    <t>SubTypes</t>
  </si>
  <si>
    <t>Abbr SubTypes</t>
  </si>
  <si>
    <t>Subtypes1</t>
  </si>
  <si>
    <t>Subtypes2</t>
  </si>
  <si>
    <t>Subtypes 1</t>
  </si>
  <si>
    <t>Subtypes 2</t>
  </si>
  <si>
    <t>AWN_ALU_DDD_112.rfa</t>
  </si>
  <si>
    <t>k1</t>
  </si>
  <si>
    <t>k2</t>
  </si>
  <si>
    <t>k3</t>
  </si>
  <si>
    <t>ththth</t>
  </si>
  <si>
    <t>tytytyty</t>
  </si>
  <si>
    <t>wswdwdwd</t>
  </si>
  <si>
    <t>rfrfrfr</t>
  </si>
  <si>
    <t>vbvbv</t>
  </si>
  <si>
    <t>A_Source</t>
  </si>
  <si>
    <t>E_Source</t>
  </si>
  <si>
    <t>F_Source</t>
  </si>
  <si>
    <t>M_Source</t>
  </si>
  <si>
    <t>P_Source</t>
  </si>
  <si>
    <t>S_Source</t>
  </si>
  <si>
    <t>S</t>
  </si>
  <si>
    <t>Connections</t>
  </si>
  <si>
    <t>Rectangular - Hollow</t>
  </si>
  <si>
    <t>Round - Hollow</t>
  </si>
  <si>
    <t>S_COL_IRR_CIP_01</t>
  </si>
  <si>
    <t>S_COL_IRR_PRC_02</t>
  </si>
  <si>
    <t>S_COL_IRR_STE_03</t>
  </si>
  <si>
    <t>S_COL_IRR_WOO_04</t>
  </si>
  <si>
    <t>S_COL_ISH_CIP_05</t>
  </si>
  <si>
    <t>S_COL_ISH_PRC_06</t>
  </si>
  <si>
    <t>S_COL_ISH_STE_07</t>
  </si>
  <si>
    <t>S_COL_ROU_STE_14</t>
  </si>
  <si>
    <t>S_COL_ROU_WOO_15</t>
  </si>
  <si>
    <t>S_FOU_TGL_ISF_10</t>
  </si>
  <si>
    <t>S_FOU_TGL_PCA_11</t>
  </si>
  <si>
    <t>S_FRA_ISH_PRC_01</t>
  </si>
  <si>
    <t>S_FRA_ISH_STE_02</t>
  </si>
  <si>
    <t>S_FRA_REC_CIP_03</t>
  </si>
  <si>
    <t>S_FRA_REC_PRC_04</t>
  </si>
  <si>
    <t>S_FRA_REC_STE_05</t>
  </si>
  <si>
    <t>S_FRA_REC_WOO_06</t>
  </si>
  <si>
    <t>S_FRA_RGB_CIP_07</t>
  </si>
  <si>
    <t>S_FRA_ROU_STE_08</t>
  </si>
  <si>
    <t>S_FRA_ROU_WOO_09</t>
  </si>
  <si>
    <t>S_FRA_TSH_PRC_10</t>
  </si>
  <si>
    <t>S_FRA_TSH_STE_11</t>
  </si>
  <si>
    <t>S_TRU_FRA_ALU_01</t>
  </si>
  <si>
    <t>A</t>
  </si>
  <si>
    <t>F</t>
  </si>
  <si>
    <t>M</t>
  </si>
  <si>
    <t>E</t>
  </si>
  <si>
    <t>P</t>
  </si>
  <si>
    <t>16</t>
  </si>
  <si>
    <t>17</t>
  </si>
  <si>
    <t>18</t>
  </si>
  <si>
    <t>19</t>
  </si>
  <si>
    <t>20</t>
  </si>
  <si>
    <t>21</t>
  </si>
  <si>
    <t>22</t>
  </si>
  <si>
    <t>Roof</t>
  </si>
  <si>
    <t>Sloped Glazing</t>
  </si>
  <si>
    <t xml:space="preserve">Generic Model </t>
  </si>
  <si>
    <t>Generic Model</t>
  </si>
  <si>
    <t>Ramp</t>
  </si>
  <si>
    <t xml:space="preserve">Curtain Wall Mullion </t>
  </si>
  <si>
    <t>Circular Mullion</t>
  </si>
  <si>
    <t xml:space="preserve">L Corner Mullion </t>
  </si>
  <si>
    <t xml:space="preserve">Quad Corner Mullion </t>
  </si>
  <si>
    <t xml:space="preserve">Rectangular Mullion </t>
  </si>
  <si>
    <t>Trapezoid Corner Mullion</t>
  </si>
  <si>
    <t xml:space="preserve">V Corner Mullion </t>
  </si>
  <si>
    <t>Monolithic Run</t>
  </si>
  <si>
    <t>Non-Monolithic Run</t>
  </si>
  <si>
    <t>Landing</t>
  </si>
  <si>
    <t>Monolithic Landing</t>
  </si>
  <si>
    <t>Non-Monolithic Landing</t>
  </si>
  <si>
    <t>Stringer</t>
  </si>
  <si>
    <t>Carriage</t>
  </si>
  <si>
    <t>Top Rail</t>
  </si>
  <si>
    <t>Handrail Type</t>
  </si>
  <si>
    <t>BAL</t>
  </si>
  <si>
    <t>Panel</t>
  </si>
  <si>
    <t>PAN</t>
  </si>
  <si>
    <t>BRA</t>
  </si>
  <si>
    <t>Post</t>
  </si>
  <si>
    <t>POS</t>
  </si>
  <si>
    <t>Newel</t>
  </si>
  <si>
    <t>NEW</t>
  </si>
  <si>
    <t>Square &amp; Ball</t>
  </si>
  <si>
    <t>S&amp;B</t>
  </si>
  <si>
    <t>Casework</t>
  </si>
  <si>
    <t>CAS</t>
  </si>
  <si>
    <t>Chamfer</t>
  </si>
  <si>
    <t>Gypsum</t>
  </si>
  <si>
    <t>GYP</t>
  </si>
  <si>
    <t>Clad</t>
  </si>
  <si>
    <t>CLA</t>
  </si>
  <si>
    <t>Concrete</t>
  </si>
  <si>
    <t>Curtain Panel</t>
  </si>
  <si>
    <t>CWP</t>
  </si>
  <si>
    <t>Solid</t>
  </si>
  <si>
    <t>SOL</t>
  </si>
  <si>
    <t>WAL</t>
  </si>
  <si>
    <t>CWL</t>
  </si>
  <si>
    <t>Double Storefront</t>
  </si>
  <si>
    <t>DOS</t>
  </si>
  <si>
    <t>Single 3wings</t>
  </si>
  <si>
    <t>SI3</t>
  </si>
  <si>
    <t>Fireproof</t>
  </si>
  <si>
    <t>FIR</t>
  </si>
  <si>
    <t>4Wings</t>
  </si>
  <si>
    <t>4WI</t>
  </si>
  <si>
    <t>Office</t>
  </si>
  <si>
    <t>OFF</t>
  </si>
  <si>
    <t>Staff</t>
  </si>
  <si>
    <t>STA</t>
  </si>
  <si>
    <t>Projectors</t>
  </si>
  <si>
    <t>Meeting</t>
  </si>
  <si>
    <t>MET</t>
  </si>
  <si>
    <t>Directer</t>
  </si>
  <si>
    <t>DIR</t>
  </si>
  <si>
    <t>Reception</t>
  </si>
  <si>
    <t>RCE</t>
  </si>
  <si>
    <t>Furniture System</t>
  </si>
  <si>
    <t>FUS</t>
  </si>
  <si>
    <t xml:space="preserve">Television </t>
  </si>
  <si>
    <t>TVI</t>
  </si>
  <si>
    <t>Hardware</t>
  </si>
  <si>
    <t>HAR</t>
  </si>
  <si>
    <t>Domestic</t>
  </si>
  <si>
    <t>DOM</t>
  </si>
  <si>
    <t>Door</t>
  </si>
  <si>
    <t>Basic</t>
  </si>
  <si>
    <t>BAS</t>
  </si>
  <si>
    <t>Entry</t>
  </si>
  <si>
    <t>ENT</t>
  </si>
  <si>
    <t>Exterior</t>
  </si>
  <si>
    <t>Lever</t>
  </si>
  <si>
    <t>LEV</t>
  </si>
  <si>
    <t xml:space="preserve">Panic </t>
  </si>
  <si>
    <t>Bar</t>
  </si>
  <si>
    <t>BAR</t>
  </si>
  <si>
    <t xml:space="preserve">Sportlight </t>
  </si>
  <si>
    <t>Curtain Wall Mullion</t>
  </si>
  <si>
    <t>CWM</t>
  </si>
  <si>
    <t>Bottom Left</t>
  </si>
  <si>
    <t>BTL</t>
  </si>
  <si>
    <t>Center</t>
  </si>
  <si>
    <t>CEN</t>
  </si>
  <si>
    <t>Louver</t>
  </si>
  <si>
    <t>LOU</t>
  </si>
  <si>
    <t>Top Right</t>
  </si>
  <si>
    <t>TOR</t>
  </si>
  <si>
    <t>FLO</t>
  </si>
  <si>
    <t>Deck</t>
  </si>
  <si>
    <t>DEC</t>
  </si>
  <si>
    <t>Gutter</t>
  </si>
  <si>
    <t>GUT</t>
  </si>
  <si>
    <t>Bevel</t>
  </si>
  <si>
    <t>BEV</t>
  </si>
  <si>
    <t>Cove</t>
  </si>
  <si>
    <t>COV</t>
  </si>
  <si>
    <t>Nosing</t>
  </si>
  <si>
    <t>NOS</t>
  </si>
  <si>
    <t>SUP</t>
  </si>
  <si>
    <t>Circular</t>
  </si>
  <si>
    <t>CIR</t>
  </si>
  <si>
    <t>Metal</t>
  </si>
  <si>
    <t>MEL</t>
  </si>
  <si>
    <t>TER</t>
  </si>
  <si>
    <t>TRI</t>
  </si>
  <si>
    <t>Triple</t>
  </si>
  <si>
    <t>Varible</t>
  </si>
  <si>
    <t>VAR</t>
  </si>
  <si>
    <t>Bay</t>
  </si>
  <si>
    <t>BAY</t>
  </si>
  <si>
    <t>10Angle</t>
  </si>
  <si>
    <t>10A</t>
  </si>
  <si>
    <t>30Angle</t>
  </si>
  <si>
    <t>30A</t>
  </si>
  <si>
    <t>45Angle</t>
  </si>
  <si>
    <t>45A</t>
  </si>
  <si>
    <t>Bow</t>
  </si>
  <si>
    <t>BOW</t>
  </si>
  <si>
    <t>15Angle</t>
  </si>
  <si>
    <t>15A</t>
  </si>
  <si>
    <t>Instance</t>
  </si>
  <si>
    <t>INS</t>
  </si>
  <si>
    <t>Opening</t>
  </si>
  <si>
    <t>Pivot</t>
  </si>
  <si>
    <t>PIV</t>
  </si>
  <si>
    <t>Pyramid</t>
  </si>
  <si>
    <t>Top</t>
  </si>
  <si>
    <t>TOP</t>
  </si>
  <si>
    <t>A_BAL_PAN_BRA_01</t>
  </si>
  <si>
    <t>A_BAL_PAN_INO_03</t>
  </si>
  <si>
    <t>A_BAL_POS_NEW_05</t>
  </si>
  <si>
    <t>A_BAL_POS_S&amp;B_06</t>
  </si>
  <si>
    <t>A_CAS_CAB_DOU_04</t>
  </si>
  <si>
    <t>A_CAS_CAB_SIN_02</t>
  </si>
  <si>
    <t>A_COL_CHA_GYP_01</t>
  </si>
  <si>
    <t>A_COL_CLA_GYP_02</t>
  </si>
  <si>
    <t>A_COL_REC_CON_03</t>
  </si>
  <si>
    <t>A_COL_ROU_WOO_04</t>
  </si>
  <si>
    <t>A_CWP_DOU_GLA_02</t>
  </si>
  <si>
    <t>A_CWP_SIN_GLA_01</t>
  </si>
  <si>
    <t>A_CWP_SOL_WAL_03</t>
  </si>
  <si>
    <t>A_DOO_CWL_DOS_11</t>
  </si>
  <si>
    <t>A_DOO_CWL_DOU_10</t>
  </si>
  <si>
    <t>A_DOO_CWL_SI3_09</t>
  </si>
  <si>
    <t>A_DOO_CWL_SIN_03</t>
  </si>
  <si>
    <t>A_DOO_FIR_DOU_01</t>
  </si>
  <si>
    <t>A_DOO_FIR_SIN_02</t>
  </si>
  <si>
    <t>A_DOO_GLA_SIN_13</t>
  </si>
  <si>
    <t>A_DOO_PUL_DOU_05</t>
  </si>
  <si>
    <t>A_DOO_SLI_4WI_12</t>
  </si>
  <si>
    <t>A_DOO_SLI_DOU_07</t>
  </si>
  <si>
    <t>A_DOO_SLI_DOU_08</t>
  </si>
  <si>
    <t>A_FUR_CAB_OFF_02</t>
  </si>
  <si>
    <t>A_FUR_CAB_STA_08</t>
  </si>
  <si>
    <t>A_FUR_CHA_WOO_03</t>
  </si>
  <si>
    <t>A_FUR_PRO_MET_11</t>
  </si>
  <si>
    <t>A_FUR_SFA_DIR_06</t>
  </si>
  <si>
    <t>A_FUR_TAB_DIR_07</t>
  </si>
  <si>
    <t>A_FUR_TAB_MET_10</t>
  </si>
  <si>
    <t>A_FUR_TAB_RCE_12</t>
  </si>
  <si>
    <t>A_FUS_CAB_TVI_01</t>
  </si>
  <si>
    <t>A_HAR_DOO_BAS_01</t>
  </si>
  <si>
    <t>A_HAR_DOO_ENT_02</t>
  </si>
  <si>
    <t>A_HAR_DOO_SLI_07</t>
  </si>
  <si>
    <t>A_HAR_EXT_PUL_03</t>
  </si>
  <si>
    <t>A_HAR_LEV_05</t>
  </si>
  <si>
    <t>A_HAR_PAN_BAR_06</t>
  </si>
  <si>
    <t>A_LIG_EXT_WAL_04</t>
  </si>
  <si>
    <t>A_PRO_CWM_BTL_09</t>
  </si>
  <si>
    <t>A_PRO_CWM_CEN_07</t>
  </si>
  <si>
    <t>A_PRO_CWM_LOU_13</t>
  </si>
  <si>
    <t>A_PRO_CWM_TOR_08</t>
  </si>
  <si>
    <t>A_PRO_FLO_DEC_05</t>
  </si>
  <si>
    <t>A_PRO_GUT_BEV_12</t>
  </si>
  <si>
    <t>A_PRO_GUT_COV_11</t>
  </si>
  <si>
    <t>A_PRO_NOS_RAD_01</t>
  </si>
  <si>
    <t>A_SUP_CIR_MEL_01</t>
  </si>
  <si>
    <t>A_TER_REC_WOO_01</t>
  </si>
  <si>
    <t>A_WIN_AWN_SIN_02</t>
  </si>
  <si>
    <t>A_WIN_AWN_VAR_06</t>
  </si>
  <si>
    <t>A_WIN_BAY_10A_12</t>
  </si>
  <si>
    <t>A_WIN_BAY_30A_13</t>
  </si>
  <si>
    <t>A_WIN_BAY_45A_14</t>
  </si>
  <si>
    <t>A_WIN_BOW_10A_15</t>
  </si>
  <si>
    <t>A_WIN_BOW_15A_16</t>
  </si>
  <si>
    <t>A_WIN_CWL_SIN_01</t>
  </si>
  <si>
    <t>A_WIN_INS_OPE_07</t>
  </si>
  <si>
    <t>A_WIN_SKL_PIV_08</t>
  </si>
  <si>
    <t>A_WIN_SKL_PYR_09</t>
  </si>
  <si>
    <t>A_WIN_SKL_ROU_10</t>
  </si>
  <si>
    <t>A_WIN_SKL_TOP_11</t>
  </si>
  <si>
    <t xml:space="preserve">Run </t>
  </si>
  <si>
    <t>Cable</t>
  </si>
  <si>
    <t>Chanel</t>
  </si>
  <si>
    <t>Horizontal 4 Way</t>
  </si>
  <si>
    <t>H4W</t>
  </si>
  <si>
    <t>HOB</t>
  </si>
  <si>
    <t>Perpendicular</t>
  </si>
  <si>
    <t>PER</t>
  </si>
  <si>
    <t>Horizontal Tee</t>
  </si>
  <si>
    <t>HTE</t>
  </si>
  <si>
    <t>Ladder</t>
  </si>
  <si>
    <t>LAD</t>
  </si>
  <si>
    <t>Horizontal Cross</t>
  </si>
  <si>
    <t>HOC</t>
  </si>
  <si>
    <t>OMMI</t>
  </si>
  <si>
    <t>360-800</t>
  </si>
  <si>
    <t>Box Speaker</t>
  </si>
  <si>
    <t>BOS</t>
  </si>
  <si>
    <t>3W</t>
  </si>
  <si>
    <t>Celling Speaker</t>
  </si>
  <si>
    <t>CES</t>
  </si>
  <si>
    <t>Loud Speaker</t>
  </si>
  <si>
    <t>LOS</t>
  </si>
  <si>
    <t>15W</t>
  </si>
  <si>
    <t>Coupling</t>
  </si>
  <si>
    <t>COU</t>
  </si>
  <si>
    <t>PVC</t>
  </si>
  <si>
    <t>Juction Box</t>
  </si>
  <si>
    <t>JBX</t>
  </si>
  <si>
    <t>Button and break glass</t>
  </si>
  <si>
    <t>BBG</t>
  </si>
  <si>
    <t>Bell</t>
  </si>
  <si>
    <t>DOR</t>
  </si>
  <si>
    <t>Lobby</t>
  </si>
  <si>
    <t>LOB</t>
  </si>
  <si>
    <t>Electromagic Lock</t>
  </si>
  <si>
    <t>LSK</t>
  </si>
  <si>
    <t>2xRJ15</t>
  </si>
  <si>
    <t>SIG</t>
  </si>
  <si>
    <t>1xRJ15</t>
  </si>
  <si>
    <t>Monitor</t>
  </si>
  <si>
    <t>MON</t>
  </si>
  <si>
    <t>In Apartment</t>
  </si>
  <si>
    <t>IAM</t>
  </si>
  <si>
    <t>Open door button</t>
  </si>
  <si>
    <t>ODB</t>
  </si>
  <si>
    <t>Telephone Socket</t>
  </si>
  <si>
    <t>TES</t>
  </si>
  <si>
    <t>Television Socket</t>
  </si>
  <si>
    <t>Wfi Adapter</t>
  </si>
  <si>
    <t>WFA</t>
  </si>
  <si>
    <t>Audio Bus Control</t>
  </si>
  <si>
    <t>ABC</t>
  </si>
  <si>
    <t>Air Condition Panel</t>
  </si>
  <si>
    <t>ACP</t>
  </si>
  <si>
    <t>AMPLIFIER</t>
  </si>
  <si>
    <t>AMP</t>
  </si>
  <si>
    <t>Aparment Comunication Panel</t>
  </si>
  <si>
    <t>AOP</t>
  </si>
  <si>
    <t>Area Control</t>
  </si>
  <si>
    <t>ARC</t>
  </si>
  <si>
    <t>Center Control</t>
  </si>
  <si>
    <t>CEC</t>
  </si>
  <si>
    <t xml:space="preserve">DOOR CONTROL CONNECT INTERNET </t>
  </si>
  <si>
    <t>DOC</t>
  </si>
  <si>
    <t>WITH CARD READER</t>
  </si>
  <si>
    <t>WCD</t>
  </si>
  <si>
    <t>ELECTRONIC LED, NOTIFICATION BLANK AREA</t>
  </si>
  <si>
    <t>EEL</t>
  </si>
  <si>
    <t>FLOOR COMMUNICATION PANEL</t>
  </si>
  <si>
    <t>FCP</t>
  </si>
  <si>
    <t>Generator</t>
  </si>
  <si>
    <t>GEN</t>
  </si>
  <si>
    <t>LIGHTING PANEL</t>
  </si>
  <si>
    <t>LIP</t>
  </si>
  <si>
    <t>DISTRIBUTION COMMUNICATION PANEL</t>
  </si>
  <si>
    <t>MCP</t>
  </si>
  <si>
    <t>MODULE PANEL</t>
  </si>
  <si>
    <t>MOP</t>
  </si>
  <si>
    <t>OPEN CONTROL AUDIO BUS</t>
  </si>
  <si>
    <t>OCAB</t>
  </si>
  <si>
    <t>OPEN CONTROL VIDEO BUS</t>
  </si>
  <si>
    <t>OCVB</t>
  </si>
  <si>
    <t>POWER DISTRIBUTION BOARD</t>
  </si>
  <si>
    <t>PDB</t>
  </si>
  <si>
    <t>RACK PANEL</t>
  </si>
  <si>
    <t>RAP</t>
  </si>
  <si>
    <t>SPLITER 2,3,4,6,8 WAY OUT</t>
  </si>
  <si>
    <t>Television System Panel</t>
  </si>
  <si>
    <t>TSP</t>
  </si>
  <si>
    <t>Video Phone Panel</t>
  </si>
  <si>
    <t>VPP</t>
  </si>
  <si>
    <t>Water Meter Panel</t>
  </si>
  <si>
    <t>WMP</t>
  </si>
  <si>
    <t>E_CAF_CAB_RED_01</t>
  </si>
  <si>
    <t>E_CAF_CHA_H4W_03</t>
  </si>
  <si>
    <t>E_CAF_CHA_HOB_04</t>
  </si>
  <si>
    <t>E_CAF_CHA_HOB_PER_02</t>
  </si>
  <si>
    <t>E_CAF_CHA_HTE_05</t>
  </si>
  <si>
    <t>E_CAF_CHA_RED_06</t>
  </si>
  <si>
    <t>E_CAF_CHA_VIB_08</t>
  </si>
  <si>
    <t>E_CAF_CHA_VIB_WAL_07</t>
  </si>
  <si>
    <t>E_CAF_CHA_VOB_09</t>
  </si>
  <si>
    <t>E_CAF_LAD_HOB_10</t>
  </si>
  <si>
    <t>E_CAF_LAD_HOC_11</t>
  </si>
  <si>
    <t>E_CAF_LAD_HTE_12</t>
  </si>
  <si>
    <t>E_CAF_LAD_RED_13</t>
  </si>
  <si>
    <t>E_CAF_LAD_UNI_14</t>
  </si>
  <si>
    <t>E_CAF_LAD_VIB_15</t>
  </si>
  <si>
    <t>E_CAF_LAD_VOB_16</t>
  </si>
  <si>
    <t>E_COD_ANT_OMMI_360-800_01</t>
  </si>
  <si>
    <t>E_COD_BOS_3W_02</t>
  </si>
  <si>
    <t>E_COD_CES_3W_03</t>
  </si>
  <si>
    <t>E_COD_LOS_15W_04</t>
  </si>
  <si>
    <t>E_COF_COU_PVC_01</t>
  </si>
  <si>
    <t>E_COF_ELB_PVC_02</t>
  </si>
  <si>
    <t>E_COF_JBX_CRS_03</t>
  </si>
  <si>
    <t>E_COF_JBX_TEE_04</t>
  </si>
  <si>
    <t>E_COF_JBX_TRA_05</t>
  </si>
  <si>
    <t>E_DAD_BBG_01</t>
  </si>
  <si>
    <t>E_DAD_BEL_DOR_03</t>
  </si>
  <si>
    <t>E_DAD_BEL_LOB_02</t>
  </si>
  <si>
    <t>E_DAD_ELL_05</t>
  </si>
  <si>
    <t>E_DAD_LSK_DOU_2xRJ15_04</t>
  </si>
  <si>
    <t>E_DAD_LSK_SIG_1xRJ15_08</t>
  </si>
  <si>
    <t>E_DAD_MON_IAM_06</t>
  </si>
  <si>
    <t>E_DAD_ODB_07</t>
  </si>
  <si>
    <t>E_DAD_TES_1xRJ15_09</t>
  </si>
  <si>
    <t>E_DAD_TVS_10</t>
  </si>
  <si>
    <t>E_DAD_WFA_11</t>
  </si>
  <si>
    <t>E_EEQ_ABC_04</t>
  </si>
  <si>
    <t>E_EEQ_ACP_01</t>
  </si>
  <si>
    <t>E_EEQ_AMP_02</t>
  </si>
  <si>
    <t>E_EEQ_AOP_18</t>
  </si>
  <si>
    <t>E_EEQ_ARC_03</t>
  </si>
  <si>
    <t>E_EEQ_CEC_05</t>
  </si>
  <si>
    <t>E_EEQ_DOC_WCD_06</t>
  </si>
  <si>
    <t>E_EEQ_EEL_07</t>
  </si>
  <si>
    <t>E_EEQ_FCP_08</t>
  </si>
  <si>
    <t>E_EEQ_GEN_09</t>
  </si>
  <si>
    <t>E_EEQ_LIP_10</t>
  </si>
  <si>
    <t>E_EEQ_MCP_11</t>
  </si>
  <si>
    <t>E_EEQ_MOP_12</t>
  </si>
  <si>
    <t>E_EEQ_OCAB_13</t>
  </si>
  <si>
    <t>E_EEQ_OCVB_14</t>
  </si>
  <si>
    <t>E_EEQ_PDB_15</t>
  </si>
  <si>
    <t>E_EEQ_RAP_16</t>
  </si>
  <si>
    <t>E_EEQ_SPL_17</t>
  </si>
  <si>
    <t>E_EEQ_TSP_20</t>
  </si>
  <si>
    <t>E_EEQ_VPP_21</t>
  </si>
  <si>
    <t>E_EEQ_WMP_19</t>
  </si>
  <si>
    <t>Control Module</t>
  </si>
  <si>
    <t>Elevator Control Panel</t>
  </si>
  <si>
    <t>Fire alarm control panel</t>
  </si>
  <si>
    <t>Fan control panel</t>
  </si>
  <si>
    <t>PSF</t>
  </si>
  <si>
    <t>SEF</t>
  </si>
  <si>
    <t>Fire fighting pump control panel</t>
  </si>
  <si>
    <t>FFPCP</t>
  </si>
  <si>
    <t>Relay Module</t>
  </si>
  <si>
    <t>REM</t>
  </si>
  <si>
    <t>Sub Alarm Panel</t>
  </si>
  <si>
    <t>SAP</t>
  </si>
  <si>
    <t>Alarm Bell</t>
  </si>
  <si>
    <t>ABE</t>
  </si>
  <si>
    <t>Emergency Lighting Lobby</t>
  </si>
  <si>
    <t>Emergency Lighting</t>
  </si>
  <si>
    <t>EML</t>
  </si>
  <si>
    <t>Manual Breakiglass point</t>
  </si>
  <si>
    <t>MBP</t>
  </si>
  <si>
    <t>Ball fire protection</t>
  </si>
  <si>
    <t>BFP</t>
  </si>
  <si>
    <t>6kg</t>
  </si>
  <si>
    <t>6KG</t>
  </si>
  <si>
    <t>800x1300x250</t>
  </si>
  <si>
    <t>In cabinet</t>
  </si>
  <si>
    <t>Pump</t>
  </si>
  <si>
    <t>PUM</t>
  </si>
  <si>
    <t>Type 1</t>
  </si>
  <si>
    <t>Type 2</t>
  </si>
  <si>
    <t>Ebara</t>
  </si>
  <si>
    <t>EBA</t>
  </si>
  <si>
    <t>Vertical</t>
  </si>
  <si>
    <t>VER</t>
  </si>
  <si>
    <t>Surface hydrant (fire plug)</t>
  </si>
  <si>
    <t>SFH</t>
  </si>
  <si>
    <t>2 gates</t>
  </si>
  <si>
    <t>2GA</t>
  </si>
  <si>
    <t>4 gates</t>
  </si>
  <si>
    <t>4GA</t>
  </si>
  <si>
    <t xml:space="preserve">Tank </t>
  </si>
  <si>
    <t>TAK</t>
  </si>
  <si>
    <t>Modul</t>
  </si>
  <si>
    <t>MOL</t>
  </si>
  <si>
    <t>BFV</t>
  </si>
  <si>
    <t>Wheel Type</t>
  </si>
  <si>
    <t>WHT</t>
  </si>
  <si>
    <t>Flexible Connection</t>
  </si>
  <si>
    <t>FLC</t>
  </si>
  <si>
    <t>Below 50</t>
  </si>
  <si>
    <t>B50</t>
  </si>
  <si>
    <t xml:space="preserve">Over 50 </t>
  </si>
  <si>
    <t>O50</t>
  </si>
  <si>
    <t>Over 50</t>
  </si>
  <si>
    <t>Pressure Gauge</t>
  </si>
  <si>
    <t>PRG</t>
  </si>
  <si>
    <t>Pressure Reducing Valve</t>
  </si>
  <si>
    <t>PRV</t>
  </si>
  <si>
    <t>Swing Check Valve</t>
  </si>
  <si>
    <t>SCV</t>
  </si>
  <si>
    <t>Safety Valve</t>
  </si>
  <si>
    <t>SFV</t>
  </si>
  <si>
    <t>DN25</t>
  </si>
  <si>
    <t>Cap End</t>
  </si>
  <si>
    <t>CAE</t>
  </si>
  <si>
    <t>Threaded</t>
  </si>
  <si>
    <t>THR</t>
  </si>
  <si>
    <t>COP</t>
  </si>
  <si>
    <t>Welded</t>
  </si>
  <si>
    <t>WEL</t>
  </si>
  <si>
    <t>DOB</t>
  </si>
  <si>
    <t>Spud</t>
  </si>
  <si>
    <t>SPU</t>
  </si>
  <si>
    <t>F_EEQ_COM_01</t>
  </si>
  <si>
    <t>F_EEQ_ECP_02</t>
  </si>
  <si>
    <t>F_EEQ_ECP_2x100LB_03</t>
  </si>
  <si>
    <t>F_EEQ_FACP_05</t>
  </si>
  <si>
    <t>F_EEQ_FCP_PSF_SEF_04</t>
  </si>
  <si>
    <t>F_EEQ_FFPCP_06</t>
  </si>
  <si>
    <t>F_EEQ_ISM_WHB_4CH_07</t>
  </si>
  <si>
    <t>F_EEQ_REM_08</t>
  </si>
  <si>
    <t>F_EEQ_SAP_09</t>
  </si>
  <si>
    <t>F_FID_ABE_01</t>
  </si>
  <si>
    <t>F_FID_ELL_02</t>
  </si>
  <si>
    <t>F_FID_EML_03</t>
  </si>
  <si>
    <t>F_FID_HSL_04</t>
  </si>
  <si>
    <t>F_FID_MBP_05</t>
  </si>
  <si>
    <t>F_MEQ_BFP_6KG_03</t>
  </si>
  <si>
    <t>F_MEQ_FHRC_800x1300x250_02</t>
  </si>
  <si>
    <t>F_MEQ_PFX_ABC_CAB_01</t>
  </si>
  <si>
    <t>F_MEQ_PUM_CEN_1_07</t>
  </si>
  <si>
    <t>F_MEQ_PUM_CEN_2_08</t>
  </si>
  <si>
    <t>F_MEQ_PUM_EBA_09</t>
  </si>
  <si>
    <t>F_MEQ_PUM_EBA_VER_10</t>
  </si>
  <si>
    <t>F_MEQ_PUM_VER_11</t>
  </si>
  <si>
    <t>F_MEQ_SFH_2GA_05</t>
  </si>
  <si>
    <t>F_MEQ_SFH_4GA_04</t>
  </si>
  <si>
    <t>F_MEQ_TAK_MOL_06</t>
  </si>
  <si>
    <t>F_PIA_BFV_WHT_01</t>
  </si>
  <si>
    <t>F_PIA_BVA_02</t>
  </si>
  <si>
    <t>F_PIA_FLC_B50_03</t>
  </si>
  <si>
    <t>F_PIA_FLC_O50_04</t>
  </si>
  <si>
    <t>F_PIA_GVA_B50_05</t>
  </si>
  <si>
    <t>F_PIA_GVA_O50_06</t>
  </si>
  <si>
    <t>F_PIA_PRG_07</t>
  </si>
  <si>
    <t>F_PIA_PRV_B50_08</t>
  </si>
  <si>
    <t>F_PIA_PRV_O50_09</t>
  </si>
  <si>
    <t>F_PIA_SCV_B50_11</t>
  </si>
  <si>
    <t>F_PIA_SCV_O50_12</t>
  </si>
  <si>
    <t>F_PIA_SFV_10</t>
  </si>
  <si>
    <t>F_PIA_WMT_DN25_13</t>
  </si>
  <si>
    <t>F_PIA_YST_B50_14</t>
  </si>
  <si>
    <t>F_PIA_YST_O50_15</t>
  </si>
  <si>
    <t>F_PIF_CAE_STE_FLG_01</t>
  </si>
  <si>
    <t>F_PIF_CAE_STE_THR_04</t>
  </si>
  <si>
    <t>F_PIF_COP_STE_WEL_08</t>
  </si>
  <si>
    <t>F_PIF_ELB_STE_THR_05</t>
  </si>
  <si>
    <t>F_PIF_ELB_STE_WEL_09</t>
  </si>
  <si>
    <t>F_PIF_FLG_STE_DOB_03</t>
  </si>
  <si>
    <t>F_PIF_FLG_STE_SIG_02</t>
  </si>
  <si>
    <t>F_PIF_RED_STE_THR_07</t>
  </si>
  <si>
    <t>F_PIF_RED_STE_WEL_12</t>
  </si>
  <si>
    <t>F_PIF_SPU_STE_WEL_10</t>
  </si>
  <si>
    <t>F_PIF_TEE_STE_THR_06</t>
  </si>
  <si>
    <t>F_PIF_TEE_STE_WEL_11</t>
  </si>
  <si>
    <t>F_SPK_DOW_K=5.6_01</t>
  </si>
  <si>
    <t>F_SPK_SID_K=5.6_03</t>
  </si>
  <si>
    <t>F_SPK_UP_K=11.2_02</t>
  </si>
  <si>
    <t>1 Rectangular Connector</t>
  </si>
  <si>
    <t>1REC</t>
  </si>
  <si>
    <t>Face</t>
  </si>
  <si>
    <t>FAC</t>
  </si>
  <si>
    <t>1 Round Connector</t>
  </si>
  <si>
    <t>1ROC</t>
  </si>
  <si>
    <t>Horizontal</t>
  </si>
  <si>
    <t>HOZ</t>
  </si>
  <si>
    <t>Pressure Air Grille</t>
  </si>
  <si>
    <t>PAG</t>
  </si>
  <si>
    <t>Return Air Grille</t>
  </si>
  <si>
    <t>RAG</t>
  </si>
  <si>
    <t>2 Round Connector</t>
  </si>
  <si>
    <t>2ROC</t>
  </si>
  <si>
    <t>1 Horizontal and 1 Vertical</t>
  </si>
  <si>
    <t>1H1V</t>
  </si>
  <si>
    <t>1RA+1OA</t>
  </si>
  <si>
    <t>1R1O</t>
  </si>
  <si>
    <t>2RA Vertical</t>
  </si>
  <si>
    <t>2RV</t>
  </si>
  <si>
    <t>Return Air Louver</t>
  </si>
  <si>
    <t>RASL</t>
  </si>
  <si>
    <t>3 Round Connector</t>
  </si>
  <si>
    <t>3ROC</t>
  </si>
  <si>
    <t>Supply Air D</t>
  </si>
  <si>
    <t>SAD</t>
  </si>
  <si>
    <t>Supply Air Grill</t>
  </si>
  <si>
    <t>SAG</t>
  </si>
  <si>
    <t>Supply Air Louver</t>
  </si>
  <si>
    <t>SASL</t>
  </si>
  <si>
    <t>Duct Damper</t>
  </si>
  <si>
    <t>DUP</t>
  </si>
  <si>
    <t>Motor Damper</t>
  </si>
  <si>
    <t>MOD</t>
  </si>
  <si>
    <t>Volume Control Damper</t>
  </si>
  <si>
    <t>ROUND</t>
  </si>
  <si>
    <t>ROD</t>
  </si>
  <si>
    <t>Silencer</t>
  </si>
  <si>
    <t>SIL</t>
  </si>
  <si>
    <t>1 Return Air</t>
  </si>
  <si>
    <t>1RA</t>
  </si>
  <si>
    <t>1 Return Air 1 Open Air</t>
  </si>
  <si>
    <t>1RA1OA</t>
  </si>
  <si>
    <t>1 Supply Air</t>
  </si>
  <si>
    <t>1SA</t>
  </si>
  <si>
    <t>1 Supply Air 1 Open Air</t>
  </si>
  <si>
    <t>1SA1OP</t>
  </si>
  <si>
    <t>2 Return Air</t>
  </si>
  <si>
    <t>2RA</t>
  </si>
  <si>
    <t>2 Return Air Type 2</t>
  </si>
  <si>
    <t>2RA_2</t>
  </si>
  <si>
    <t>2 Return Air 1 Open Air</t>
  </si>
  <si>
    <t>2RA1OA</t>
  </si>
  <si>
    <t>2 Return Air 1 Open Air Type 2</t>
  </si>
  <si>
    <t>2RA1OA2</t>
  </si>
  <si>
    <t>2 Supply Air</t>
  </si>
  <si>
    <t>2SA</t>
  </si>
  <si>
    <t>2 Supply Air 1 Open Air</t>
  </si>
  <si>
    <t>2SA1OA</t>
  </si>
  <si>
    <t>3 Return Air</t>
  </si>
  <si>
    <t>3RA</t>
  </si>
  <si>
    <t>3 Return Air 1 Open Air</t>
  </si>
  <si>
    <t>3RA1OA</t>
  </si>
  <si>
    <t>3 Supply Air</t>
  </si>
  <si>
    <t>3SA</t>
  </si>
  <si>
    <t>3 Supply Air 1 Open Air</t>
  </si>
  <si>
    <t>3SA1OA</t>
  </si>
  <si>
    <t>4 Return Air</t>
  </si>
  <si>
    <t>4RA</t>
  </si>
  <si>
    <t>4 Return Air 1 Open Air</t>
  </si>
  <si>
    <t>4RA1OA</t>
  </si>
  <si>
    <t>4 Return Air 1 Open Air Type 2</t>
  </si>
  <si>
    <t>4RA1OA2</t>
  </si>
  <si>
    <t>4 Supply Air</t>
  </si>
  <si>
    <t>4SA</t>
  </si>
  <si>
    <t>23</t>
  </si>
  <si>
    <t>4 Supply Air 1 Open Air</t>
  </si>
  <si>
    <t>4SA1OA</t>
  </si>
  <si>
    <t>24</t>
  </si>
  <si>
    <t xml:space="preserve">Rectangular </t>
  </si>
  <si>
    <t>C Flanged</t>
  </si>
  <si>
    <t>CFL</t>
  </si>
  <si>
    <t>28</t>
  </si>
  <si>
    <t xml:space="preserve">Elbow </t>
  </si>
  <si>
    <t>TDC Flanged</t>
  </si>
  <si>
    <t>TDC</t>
  </si>
  <si>
    <t>V Flanged</t>
  </si>
  <si>
    <t>VFL</t>
  </si>
  <si>
    <t>27</t>
  </si>
  <si>
    <t>4D</t>
  </si>
  <si>
    <t>26</t>
  </si>
  <si>
    <t>Elbow Square</t>
  </si>
  <si>
    <t>ELS</t>
  </si>
  <si>
    <t>Offset</t>
  </si>
  <si>
    <t>Take Off</t>
  </si>
  <si>
    <t>TAO</t>
  </si>
  <si>
    <t>29</t>
  </si>
  <si>
    <t>Rectangular to Round</t>
  </si>
  <si>
    <t>R2O</t>
  </si>
  <si>
    <t>31</t>
  </si>
  <si>
    <t>Rectangular to Rectangular</t>
  </si>
  <si>
    <t>R2R</t>
  </si>
  <si>
    <t>Beveled</t>
  </si>
  <si>
    <t>30</t>
  </si>
  <si>
    <t>Length</t>
  </si>
  <si>
    <t>LEG</t>
  </si>
  <si>
    <t>Nest Family</t>
  </si>
  <si>
    <t>NFM</t>
  </si>
  <si>
    <t>25</t>
  </si>
  <si>
    <t>32</t>
  </si>
  <si>
    <t>33</t>
  </si>
  <si>
    <t>Chiller</t>
  </si>
  <si>
    <t>CHI</t>
  </si>
  <si>
    <t>250 ton</t>
  </si>
  <si>
    <t>250T</t>
  </si>
  <si>
    <t>350 ton</t>
  </si>
  <si>
    <t>350T</t>
  </si>
  <si>
    <t>6-20 ton</t>
  </si>
  <si>
    <t>6_20T</t>
  </si>
  <si>
    <t>600 ton</t>
  </si>
  <si>
    <t>600T</t>
  </si>
  <si>
    <t xml:space="preserve">Fan </t>
  </si>
  <si>
    <t>FAN</t>
  </si>
  <si>
    <t xml:space="preserve">Axial </t>
  </si>
  <si>
    <t>AXI</t>
  </si>
  <si>
    <t>Centrifugal</t>
  </si>
  <si>
    <t>Type 3</t>
  </si>
  <si>
    <t>Exhaust Fan</t>
  </si>
  <si>
    <t>EAF</t>
  </si>
  <si>
    <t>Inline</t>
  </si>
  <si>
    <t>INL</t>
  </si>
  <si>
    <t>MUB</t>
  </si>
  <si>
    <t>Fan Coil Unit</t>
  </si>
  <si>
    <t>FCU</t>
  </si>
  <si>
    <t>Climaveneta</t>
  </si>
  <si>
    <t>CLI</t>
  </si>
  <si>
    <t>Ceiling Mounted Carrier</t>
  </si>
  <si>
    <t>CMC</t>
  </si>
  <si>
    <t>Ceiling Mounted Trane</t>
  </si>
  <si>
    <t>CMT</t>
  </si>
  <si>
    <t>Gas</t>
  </si>
  <si>
    <t>GAS</t>
  </si>
  <si>
    <t>Ceiling Suspended Trane</t>
  </si>
  <si>
    <t>CST</t>
  </si>
  <si>
    <t>Daikin</t>
  </si>
  <si>
    <t>DAI</t>
  </si>
  <si>
    <t>Balancing Valve</t>
  </si>
  <si>
    <t>DN15-50</t>
  </si>
  <si>
    <t>Flexible Pipe</t>
  </si>
  <si>
    <t>FLP</t>
  </si>
  <si>
    <t>KVS</t>
  </si>
  <si>
    <t>Motor Valve</t>
  </si>
  <si>
    <t>MTV</t>
  </si>
  <si>
    <t>Pipe Fitting</t>
  </si>
  <si>
    <t>uPVC</t>
  </si>
  <si>
    <t>SOK</t>
  </si>
  <si>
    <t>M_AIT_EAG_1REC_FAC_17</t>
  </si>
  <si>
    <t>M_AIT_EAG_1ROC_HOZ_01</t>
  </si>
  <si>
    <t>M_AIT_EAG_1ROC_VER_02</t>
  </si>
  <si>
    <t>M_AIT_PAG_1REC_FAC_03</t>
  </si>
  <si>
    <t>M_AIT_RAG_1ROC_HOZ_05</t>
  </si>
  <si>
    <t>M_AIT_RAG_1ROC_VER_04</t>
  </si>
  <si>
    <t>M_AIT_RAG_2ROC_1H1V_06</t>
  </si>
  <si>
    <t>M_AIT_RAG_2ROC_1R1O_08</t>
  </si>
  <si>
    <t>M_AIT_RAG_2ROC_2RV_09</t>
  </si>
  <si>
    <t>M_AIT_RAG_2ROC_VER_07</t>
  </si>
  <si>
    <t>M_AIT_RASL_3ROC_VER_10</t>
  </si>
  <si>
    <t>M_AIT_SAD_1ROC_HOZ_11</t>
  </si>
  <si>
    <t>M_AIT_SAD_1ROC_VER_12</t>
  </si>
  <si>
    <t>M_AIT_SAG_1ROC_HOZ_13</t>
  </si>
  <si>
    <t>M_AIT_SAG_1ROC_VER_14</t>
  </si>
  <si>
    <t>M_AIT_SAG_2ROC_VER_15</t>
  </si>
  <si>
    <t>M_AIT_SASL_3ROC_VER_16</t>
  </si>
  <si>
    <t>M_DUA_DUP_FID_REC_01</t>
  </si>
  <si>
    <t>M_DUA_DUP_MOD_REC_02</t>
  </si>
  <si>
    <t>M_DUA_DUP_VCD_REC_03</t>
  </si>
  <si>
    <t>M_DUA_DUP_VCD_ROD_04</t>
  </si>
  <si>
    <t>M_DUA_FLE_REC_05</t>
  </si>
  <si>
    <t>M_DUA_SIL_REC_1RA_06</t>
  </si>
  <si>
    <t>M_DUA_SIL_REC_1RA1OA_07</t>
  </si>
  <si>
    <t>M_DUA_SIL_REC_1SA_08</t>
  </si>
  <si>
    <t>M_DUA_SIL_REC_1SA1OP_09</t>
  </si>
  <si>
    <t>M_DUA_SIL_REC_2RA_10</t>
  </si>
  <si>
    <t>M_DUA_SIL_REC_2RA_2_11</t>
  </si>
  <si>
    <t>M_DUA_SIL_REC_2RA1OA_12</t>
  </si>
  <si>
    <t>M_DUA_SIL_REC_2RA1OA2_13</t>
  </si>
  <si>
    <t>M_DUA_SIL_REC_2SA_14</t>
  </si>
  <si>
    <t>M_DUA_SIL_REC_2SA1OA_15</t>
  </si>
  <si>
    <t>M_DUA_SIL_REC_3RA_16</t>
  </si>
  <si>
    <t>M_DUA_SIL_REC_3RA1OA_17</t>
  </si>
  <si>
    <t>M_DUA_SIL_REC_3SA_18</t>
  </si>
  <si>
    <t>M_DUA_SIL_REC_3SA1OA_19</t>
  </si>
  <si>
    <t>M_DUA_SIL_REC_4RA_20</t>
  </si>
  <si>
    <t>M_DUA_SIL_REC_4RA1OA_21</t>
  </si>
  <si>
    <t>M_DUA_SIL_REC_4RA1OA2_22</t>
  </si>
  <si>
    <t>M_DUA_SIL_REC_4SA_23</t>
  </si>
  <si>
    <t>M_DUA_SIL_REC_4SA1OA_24</t>
  </si>
  <si>
    <t>M_DUF_CAE_REC_CFL_12</t>
  </si>
  <si>
    <t>M_DUF_CAE_ROD_28</t>
  </si>
  <si>
    <t>M_DUF_ELB_REC_01</t>
  </si>
  <si>
    <t>M_DUF_ELB_REC_CFL_09</t>
  </si>
  <si>
    <t>M_DUF_ELB_REC_TDC_16</t>
  </si>
  <si>
    <t>M_DUF_ELB_REC_VFL_21</t>
  </si>
  <si>
    <t>M_DUF_ELB_ROD_27</t>
  </si>
  <si>
    <t>M_DUF_ELB_ROD_4D_26</t>
  </si>
  <si>
    <t>M_DUF_ELS_REC_07</t>
  </si>
  <si>
    <t>M_DUF_OFF_REC_08</t>
  </si>
  <si>
    <t>M_DUF_TAO_ROD_29</t>
  </si>
  <si>
    <t>M_DUF_TAP_R2O_31</t>
  </si>
  <si>
    <t>M_DUF_TAP_R2R_CFL_10</t>
  </si>
  <si>
    <t>M_DUF_TAP_R2R_TDC_17</t>
  </si>
  <si>
    <t>M_DUF_TAP_R2R_VFL_22</t>
  </si>
  <si>
    <t>M_DUF_TAP_REC_BEV_03</t>
  </si>
  <si>
    <t>M_DUF_TEE_REC_04</t>
  </si>
  <si>
    <t>M_DUF_TEE_ROD_30</t>
  </si>
  <si>
    <t>M_DUF_TRA_R2O_CFL_13</t>
  </si>
  <si>
    <t>M_DUF_TRA_R2O_TDC_18</t>
  </si>
  <si>
    <t>M_DUF_TRA_R2O_VFL_23</t>
  </si>
  <si>
    <t>M_DUF_TRA_R2R_CFL_11</t>
  </si>
  <si>
    <t>M_DUF_TRA_R2R_TDC_19</t>
  </si>
  <si>
    <t>M_DUF_TRA_R2R_VFL_24</t>
  </si>
  <si>
    <t>M_DUF_TRA_REC_REC_05</t>
  </si>
  <si>
    <t>M_DUF_TRA_ROD_LEG_31</t>
  </si>
  <si>
    <t>M_DUF_UNI_REC_06</t>
  </si>
  <si>
    <t>M_DUF_UNI_REC_CFL_15</t>
  </si>
  <si>
    <t>M_DUF_UNI_REC_NFM_14</t>
  </si>
  <si>
    <t>M_DUF_UNI_REC_TDC_20</t>
  </si>
  <si>
    <t>M_DUF_UNI_REC_VFL_25</t>
  </si>
  <si>
    <t>M_DUF_UNI_ROD_CFL_32</t>
  </si>
  <si>
    <t>M_DUF_UNI_ROD_VFL_33</t>
  </si>
  <si>
    <t>M_MEQ_CHI_250T_19</t>
  </si>
  <si>
    <t>M_MEQ_CHI_350T_20</t>
  </si>
  <si>
    <t>M_MEQ_CHI_6_20T_21</t>
  </si>
  <si>
    <t>M_MEQ_CHI_600T_18</t>
  </si>
  <si>
    <t>M_MEQ_FAN_AXI_12</t>
  </si>
  <si>
    <t>M_MEQ_FAN_CEN_1_15</t>
  </si>
  <si>
    <t>M_MEQ_FAN_CEN_2_16</t>
  </si>
  <si>
    <t>M_MEQ_FAN_CEN_3_17</t>
  </si>
  <si>
    <t>M_MEQ_FAN_EAF_11</t>
  </si>
  <si>
    <t>M_MEQ_FAN_EAF_WMO_13</t>
  </si>
  <si>
    <t>M_MEQ_FAN_INL_14</t>
  </si>
  <si>
    <t>M_MEQ_FAN_MUB_10</t>
  </si>
  <si>
    <t>M_MEQ_FCU_CLI_08</t>
  </si>
  <si>
    <t>M_MEQ_FCU_CMC_05</t>
  </si>
  <si>
    <t>M_MEQ_FCU_CMT_GAS_06</t>
  </si>
  <si>
    <t>M_MEQ_FCU_CST_GAS_07</t>
  </si>
  <si>
    <t>M_MEQ_FCU_DAI_09</t>
  </si>
  <si>
    <t>M_PIA_BAL_THR_DN15-50_01</t>
  </si>
  <si>
    <t>M_PIA_FLP_STE_04</t>
  </si>
  <si>
    <t>M_PIA_GAV_KVS_02</t>
  </si>
  <si>
    <t>M_PIA_MTV_03</t>
  </si>
  <si>
    <t>M_PIA_YST_05</t>
  </si>
  <si>
    <t>M_PIF_CAE_uPVC_02</t>
  </si>
  <si>
    <t>M_PIF_ELB_uPVC_01</t>
  </si>
  <si>
    <t>M_PIF_RED_uPVC_03</t>
  </si>
  <si>
    <t>M_PIF_SOK_uPVC_04</t>
  </si>
  <si>
    <t>M_PIF_TEE_uPVC_05</t>
  </si>
  <si>
    <t>Centrifuger</t>
  </si>
  <si>
    <t>Bended Tee</t>
  </si>
  <si>
    <t>BET</t>
  </si>
  <si>
    <t>Barrel Union</t>
  </si>
  <si>
    <t>PPR</t>
  </si>
  <si>
    <t>Flanged</t>
  </si>
  <si>
    <t xml:space="preserve">Female Brass Elbow </t>
  </si>
  <si>
    <t>FBE</t>
  </si>
  <si>
    <t>Female Brass Threaded Socket</t>
  </si>
  <si>
    <t>FBTS</t>
  </si>
  <si>
    <t>Female Brass 90 Wye</t>
  </si>
  <si>
    <t>FBW</t>
  </si>
  <si>
    <t>Female Elbow Brass</t>
  </si>
  <si>
    <t xml:space="preserve">Female Elbow </t>
  </si>
  <si>
    <t>FEL</t>
  </si>
  <si>
    <t>Female Threaded Socket</t>
  </si>
  <si>
    <t>FTS</t>
  </si>
  <si>
    <t>Male Elbow</t>
  </si>
  <si>
    <t>MEB</t>
  </si>
  <si>
    <t>Male Threaded Socket</t>
  </si>
  <si>
    <t>MTS</t>
  </si>
  <si>
    <t>Reducer Bush</t>
  </si>
  <si>
    <t>REB</t>
  </si>
  <si>
    <t>36</t>
  </si>
  <si>
    <t>Si-phon</t>
  </si>
  <si>
    <t>SIP</t>
  </si>
  <si>
    <t>34</t>
  </si>
  <si>
    <t>35</t>
  </si>
  <si>
    <t>PLX</t>
  </si>
  <si>
    <t>Bath Tub</t>
  </si>
  <si>
    <t>0.3m3</t>
  </si>
  <si>
    <t>0.5m3</t>
  </si>
  <si>
    <t>Floor Drain</t>
  </si>
  <si>
    <t>FLD</t>
  </si>
  <si>
    <t>Retangular</t>
  </si>
  <si>
    <t>50l</t>
  </si>
  <si>
    <t>Shower</t>
  </si>
  <si>
    <t>Toilet Paper</t>
  </si>
  <si>
    <t>TIP</t>
  </si>
  <si>
    <t xml:space="preserve">Tower Rail </t>
  </si>
  <si>
    <t>Urinal</t>
  </si>
  <si>
    <t>URI</t>
  </si>
  <si>
    <t>Wash Machine</t>
  </si>
  <si>
    <t>WAM</t>
  </si>
  <si>
    <t>With Spray</t>
  </si>
  <si>
    <t>WSP</t>
  </si>
  <si>
    <t>Supports</t>
  </si>
  <si>
    <t>Pipe Hanger</t>
  </si>
  <si>
    <t>PIH</t>
  </si>
  <si>
    <t>37</t>
  </si>
  <si>
    <t>U bolt</t>
  </si>
  <si>
    <t>UBO</t>
  </si>
  <si>
    <t>38</t>
  </si>
  <si>
    <t>U Hanger</t>
  </si>
  <si>
    <t>UHA</t>
  </si>
  <si>
    <t>40</t>
  </si>
  <si>
    <t>41</t>
  </si>
  <si>
    <t>42</t>
  </si>
  <si>
    <t xml:space="preserve">U Support Multi </t>
  </si>
  <si>
    <t>USM</t>
  </si>
  <si>
    <t>39</t>
  </si>
  <si>
    <t>P_MEQ_PUM_CEN_1_01</t>
  </si>
  <si>
    <t>P_MEQ_PUM_CEN_2_02</t>
  </si>
  <si>
    <t>P_MEQ_PUM_EBA_04</t>
  </si>
  <si>
    <t>P_MEQ_PUM_EBA_VER_03</t>
  </si>
  <si>
    <t>P_MEQ_PUM_VER_05</t>
  </si>
  <si>
    <t>P_PIA_FLC_B50_03</t>
  </si>
  <si>
    <t>P_PIA_FLC_O50_04</t>
  </si>
  <si>
    <t>P_PIA_GVA_B50_05</t>
  </si>
  <si>
    <t>P_PIA_GVA_O50_06</t>
  </si>
  <si>
    <t>P_PIA_PRG_07</t>
  </si>
  <si>
    <t>P_PIA_PRV_B50_08</t>
  </si>
  <si>
    <t>P_PIA_PRV_O50_09</t>
  </si>
  <si>
    <t>P_PIA_SCV_B50_11</t>
  </si>
  <si>
    <t>P_PIA_SCV_O50_12</t>
  </si>
  <si>
    <t>P_PIA_SFV_10</t>
  </si>
  <si>
    <t>P_PIA_WMT_DN25_13</t>
  </si>
  <si>
    <t>P_PIA_YST_B50_14</t>
  </si>
  <si>
    <t>P_PIA_YST_O50_15</t>
  </si>
  <si>
    <t>P_PIF_BET_uPVC_01</t>
  </si>
  <si>
    <t>P_PIF_BRA_PPR_18</t>
  </si>
  <si>
    <t>P_PIF_CAE_PPR_20</t>
  </si>
  <si>
    <t>P_PIF_CAE_STE_FLG_25</t>
  </si>
  <si>
    <t>P_PIF_CAE_STE_THR_28</t>
  </si>
  <si>
    <t>P_PIF_CAE_uPVC_1_02</t>
  </si>
  <si>
    <t>P_PIF_CAE_uPVC_2_03</t>
  </si>
  <si>
    <t>P_PIF_CAE_uPVC_3_04</t>
  </si>
  <si>
    <t>P_PIF_COP_STE_WEL_32</t>
  </si>
  <si>
    <t>P_PIF_ELB_PPR_19</t>
  </si>
  <si>
    <t>P_PIF_ELB_STE_THR_29</t>
  </si>
  <si>
    <t>P_PIF_ELB_STE_WEL_33</t>
  </si>
  <si>
    <t>P_PIF_ELB_uPVC_05</t>
  </si>
  <si>
    <t>P_PIF_FBE_uPVC_07</t>
  </si>
  <si>
    <t>P_PIF_FBTS_uPVC_08</t>
  </si>
  <si>
    <t>P_PIF_FBW_uPVC_06</t>
  </si>
  <si>
    <t>P_PIF_FEB_uPVC_09</t>
  </si>
  <si>
    <t>P_PIF_FEL_PPR_21</t>
  </si>
  <si>
    <t>P_PIF_FLG_STE_DOB_27</t>
  </si>
  <si>
    <t>P_PIF_FLG_STE_SIG_26</t>
  </si>
  <si>
    <t>P_PIF_FTS_uPVC_10</t>
  </si>
  <si>
    <t>P_PIF_MEB_uPVC_11</t>
  </si>
  <si>
    <t>P_PIF_MTS_uPVC_13</t>
  </si>
  <si>
    <t>P_PIF_REB_uPVC_12</t>
  </si>
  <si>
    <t>P_PIF_RED_PPR_24</t>
  </si>
  <si>
    <t>P_PIF_RED_STE_THR_31</t>
  </si>
  <si>
    <t>P_PIF_RED_STE_WEL_36</t>
  </si>
  <si>
    <t>P_PIF_RED_uPVC_14</t>
  </si>
  <si>
    <t>P_PIF_SIP_uPVC_15</t>
  </si>
  <si>
    <t>P_PIF_SOK_PPR_22</t>
  </si>
  <si>
    <t>P_PIF_SOK_uPVC_16</t>
  </si>
  <si>
    <t>P_PIF_SPU_STE_WEL_34</t>
  </si>
  <si>
    <t>P_PIF_TEE_PPR_23</t>
  </si>
  <si>
    <t>P_PIF_TEE_STE_THR_30</t>
  </si>
  <si>
    <t>P_PIF_TEE_STE_WEL_35</t>
  </si>
  <si>
    <t>P_PIF_TEE_uPVC_17</t>
  </si>
  <si>
    <t>P_PLX_BAT_0.3m3_08</t>
  </si>
  <si>
    <t>P_PLX_BAT_0.5m3_09</t>
  </si>
  <si>
    <t>P_PLX_FLD_REC_01</t>
  </si>
  <si>
    <t>P_PLX_HWA_50l_10</t>
  </si>
  <si>
    <t>P_PLX_LAV_02</t>
  </si>
  <si>
    <t>P_PLX_SHO_03</t>
  </si>
  <si>
    <t>P_PLX_TIP_06</t>
  </si>
  <si>
    <t>P_PLX_TOR_07</t>
  </si>
  <si>
    <t>P_PLX_URI_05</t>
  </si>
  <si>
    <t>P_PLX_WAM_11</t>
  </si>
  <si>
    <t>P_PLX_WC_WSP_04</t>
  </si>
  <si>
    <t>P_SUP_PIH_37</t>
  </si>
  <si>
    <t>P_SUP_UBO_38</t>
  </si>
  <si>
    <t>P_SUP_UHA_1_40</t>
  </si>
  <si>
    <t>P_SUP_UHA_2_41</t>
  </si>
  <si>
    <t>P_SUP_UHA_3_42</t>
  </si>
  <si>
    <t>P_SUP_USM_39</t>
  </si>
  <si>
    <t>P_PIA_BFV_WHT_01</t>
  </si>
  <si>
    <t>G:\Shared drives\02.Collabo\01.Project Level\0000.Potential Projects\BIM 4D-5D\01. WIP\2D-3D\03. MEP\05. Families\P\Supports_done</t>
  </si>
  <si>
    <t>P_SUP_USM_39.rfa</t>
  </si>
  <si>
    <t>M_DUF_CAE_ROD_28.rfa</t>
  </si>
  <si>
    <t>M_DUF_CEA_ROD_28.rfa</t>
  </si>
  <si>
    <t>Ví trí dấu "." thứ :</t>
  </si>
  <si>
    <t>gdgdfg.dh.dfh.dfh</t>
  </si>
  <si>
    <t>dfhdf.sgdh.dhd.fh.dfh</t>
  </si>
  <si>
    <t>mot.hai.ba.bon</t>
  </si>
  <si>
    <t>mothai.ba.bon</t>
  </si>
  <si>
    <t>=LEN(B7)-LEN(SUBSTITUTE(B7,".",""))</t>
  </si>
  <si>
    <t>số lần xuất hiện"."</t>
  </si>
  <si>
    <t>=vitri(".",B6,2)</t>
  </si>
  <si>
    <t>vị trí string của dấu "." thứ 2</t>
  </si>
  <si>
    <t>Sheet1</t>
  </si>
  <si>
    <t>E:\Shared drives\02.Collabo\01.Project Level\0000.Potential Projects\BIM 4D-5D\01. WIP\2D-3D\03. MEP\05. Families\P\Plumbing Fixtures_done</t>
  </si>
  <si>
    <t>M_DUF_CAE_REC_02</t>
  </si>
  <si>
    <t>A_DOO_DOU_INO_11.rfa</t>
  </si>
  <si>
    <t>S_DOO_DOU_INO_11.rfa</t>
  </si>
  <si>
    <t>E:\Shared drives\02.Collabo\03.T&amp;T Staff\61. Khoa Van TRAN\BIM 5D\5D Workflow\5D Database\Test_3D\MEPF\Plumnbing</t>
  </si>
  <si>
    <t>S_WIN_SKL_ALU_11.xls</t>
  </si>
  <si>
    <t>S_FOU_TGL_PCA_11.xls</t>
  </si>
  <si>
    <t>E:\Shared drives\02.Collabo\01.Project Level\0000.Potential Projects\BIM 4D-5D\01. WIP\2D-3D\03. MEP\05. Families\F\Sprinker_done</t>
  </si>
  <si>
    <t>E_CAF_LAD_DOR_03</t>
  </si>
  <si>
    <t>d</t>
  </si>
  <si>
    <t>r</t>
  </si>
  <si>
    <t>g</t>
  </si>
  <si>
    <t>h</t>
  </si>
  <si>
    <t>b</t>
  </si>
  <si>
    <t>f</t>
  </si>
  <si>
    <t>fh</t>
  </si>
  <si>
    <t>df</t>
  </si>
  <si>
    <t>dfh</t>
  </si>
  <si>
    <t>hd</t>
  </si>
  <si>
    <t>fb</t>
  </si>
  <si>
    <t>vfd</t>
  </si>
  <si>
    <t>fd</t>
  </si>
  <si>
    <t>fdv</t>
  </si>
  <si>
    <t>fv</t>
  </si>
  <si>
    <t>A_CAS_CAB_4WI_03</t>
  </si>
  <si>
    <t>S1W</t>
  </si>
  <si>
    <t>Bracket</t>
  </si>
  <si>
    <t>Glass  Frame</t>
  </si>
  <si>
    <t>GLF</t>
  </si>
  <si>
    <t>Glass no Frame</t>
  </si>
  <si>
    <t>GNF</t>
  </si>
  <si>
    <t>Single 1wings</t>
  </si>
  <si>
    <t>4Wings Full</t>
  </si>
  <si>
    <t>4WF</t>
  </si>
  <si>
    <t>Mirror</t>
  </si>
  <si>
    <t>MIR</t>
  </si>
  <si>
    <t>L Street</t>
  </si>
  <si>
    <t>LST</t>
  </si>
  <si>
    <t>HOR</t>
  </si>
  <si>
    <t>A_BAL_PAN_GLF_04</t>
  </si>
  <si>
    <t>A_BAL_PAN_GNF_02</t>
  </si>
  <si>
    <t>A_CAS_CAB_S1W_01</t>
  </si>
  <si>
    <t>A_DOO_SLI_4WF_06</t>
  </si>
  <si>
    <t>A_FUR_MIR_VER_13</t>
  </si>
  <si>
    <t>A_HAR_DOO_DOM_04</t>
  </si>
  <si>
    <t>A_LIG_EXT_LST_03</t>
  </si>
  <si>
    <t>A_WIN_DOU_HOR_17</t>
  </si>
  <si>
    <t>A_WIN_DOU_VER_03</t>
  </si>
  <si>
    <t>A_WIN_TRI_HOR_04</t>
  </si>
  <si>
    <t>A_WIN_TRI_VER_05</t>
  </si>
  <si>
    <t>Elevator</t>
  </si>
  <si>
    <t>Sweep</t>
  </si>
  <si>
    <t>A_DOO_EVT_SWE_18</t>
  </si>
  <si>
    <t>EVT</t>
  </si>
  <si>
    <t>SWE</t>
  </si>
  <si>
    <t>A_DOO_PUL_SIN_14</t>
  </si>
  <si>
    <t>Fireproof+Rolling</t>
  </si>
  <si>
    <t>A_DOO_F&amp;R_SIN_20</t>
  </si>
  <si>
    <t>F&amp;R</t>
  </si>
  <si>
    <t>A_DOO_SLI_RCE_17</t>
  </si>
  <si>
    <t>A_DOO_SLI_SIN_04</t>
  </si>
  <si>
    <t>wood</t>
  </si>
  <si>
    <t>News</t>
  </si>
  <si>
    <t>A_DOO_WOO_NEW_21</t>
  </si>
  <si>
    <t>A_DOO_WOO_SIN_16</t>
  </si>
  <si>
    <t>Double For Wall 70</t>
  </si>
  <si>
    <t>DW70</t>
  </si>
  <si>
    <t>A_DOO_SLI_DW70_22</t>
  </si>
  <si>
    <t>With Wall</t>
  </si>
  <si>
    <t>A_DOO_EVT_WIW_29</t>
  </si>
  <si>
    <t>WIW</t>
  </si>
  <si>
    <t>A_DOO_PUL_DW70_30</t>
  </si>
  <si>
    <t>A_DOO_PUL_DOU_32</t>
  </si>
  <si>
    <t>A_DOO_PUL_SIN_33</t>
  </si>
  <si>
    <t>A_PRO_0_REC_15</t>
  </si>
  <si>
    <t>A_WIN_FIX_SIN_20.rfa</t>
  </si>
  <si>
    <t>Casment</t>
  </si>
  <si>
    <t>A_WIN_CAS_CEN_21</t>
  </si>
  <si>
    <t>A_WIN_CAS_TRI_19</t>
  </si>
  <si>
    <t>Fix</t>
  </si>
  <si>
    <t>A_WIN_FIX_TRI_20</t>
  </si>
  <si>
    <t>A_WIN_FIX_TRI_20.rfa</t>
  </si>
  <si>
    <t>A_WIN_FIX_SIN_22</t>
  </si>
  <si>
    <t>C</t>
  </si>
  <si>
    <t>C Type</t>
  </si>
  <si>
    <t>A_PRO_C_0_16</t>
  </si>
  <si>
    <t>G:\Shared drives\02.Collabo\01.Project Level\0000.Potential Projects\BIM 4D-5D\01. WIP\2D-3D\01. Architecture\05. Families\Windows</t>
  </si>
  <si>
    <t>A_WIN_FIX_SIN_24</t>
  </si>
  <si>
    <t>G:\Shared drives\T&amp;T Staffs\61. Khoa Van TRAN\BIM 5D\5D Workflow\5D Database\5D Database management\Test Folder\ARCHITECTURE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</si>
</sst>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_&quot;"/>
    <numFmt numFmtId="165" formatCode="&quot;(&quot;#&quot;)&quot;"/>
    <numFmt numFmtId="166" formatCode="\-#"/>
    <numFmt numFmtId="167" formatCode="0_ ;\-0\ "/>
    <numFmt numFmtId="168" formatCode="[$-F800]dddd\,\ mmmm\ dd\,\ yyyy"/>
    <numFmt numFmtId="169" formatCode="&quot;A&quot;####"/>
    <numFmt numFmtId="170" formatCode="&quot;E&quot;####"/>
    <numFmt numFmtId="171" formatCode="&quot;F&quot;####"/>
    <numFmt numFmtId="172" formatCode="&quot;M&quot;####"/>
    <numFmt numFmtId="173" formatCode="&quot;P&quot;####"/>
    <numFmt numFmtId="174" formatCode="&quot;S&quot;####"/>
  </numFmts>
  <fonts count="3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1">
    <xf numFmtId="0" fontId="0" fillId="0" borderId="0" xfId="0"/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164" fontId="0" fillId="0" borderId="4" xfId="0" applyNumberFormat="1" applyBorder="1" applyAlignment="1">
      <alignment horizontal="center" vertical="top"/>
    </xf>
    <xf numFmtId="0" fontId="0" fillId="0" borderId="0" xfId="0" applyNumberFormat="1" applyFill="1" applyBorder="1" applyAlignment="1">
      <alignment horizontal="centerContinuous" vertical="top"/>
    </xf>
    <xf numFmtId="49" fontId="0" fillId="0" borderId="0" xfId="0" applyNumberFormat="1" applyFill="1" applyBorder="1" applyAlignment="1">
      <alignment horizontal="center" vertical="top"/>
    </xf>
    <xf numFmtId="4" fontId="0" fillId="0" borderId="0" xfId="0" applyNumberFormat="1" applyFill="1" applyBorder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Border="1" applyAlignment="1">
      <alignment horizontal="center" vertical="center"/>
    </xf>
    <xf numFmtId="0" fontId="5" fillId="2" borderId="0" xfId="0" applyNumberFormat="1" applyFont="1" applyFill="1" applyBorder="1" applyAlignment="1">
      <alignment horizontal="centerContinuous" vertical="center"/>
    </xf>
    <xf numFmtId="0" fontId="0" fillId="2" borderId="0" xfId="0" applyNumberFormat="1" applyFill="1" applyBorder="1" applyAlignment="1">
      <alignment horizontal="centerContinuous" vertical="center"/>
    </xf>
    <xf numFmtId="0" fontId="3" fillId="2" borderId="0" xfId="0" applyNumberFormat="1" applyFont="1" applyFill="1" applyBorder="1" applyAlignment="1">
      <alignment horizontal="centerContinuous" vertical="top"/>
    </xf>
    <xf numFmtId="0" fontId="8" fillId="2" borderId="0" xfId="0" applyNumberFormat="1" applyFont="1" applyFill="1" applyBorder="1" applyAlignment="1">
      <alignment horizontal="centerContinuous" vertical="center"/>
    </xf>
    <xf numFmtId="0" fontId="0" fillId="2" borderId="0" xfId="0" applyNumberFormat="1" applyFill="1" applyBorder="1" applyAlignment="1">
      <alignment horizontal="centerContinuous" vertical="top"/>
    </xf>
    <xf numFmtId="0" fontId="6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top"/>
    </xf>
    <xf numFmtId="0" fontId="2" fillId="0" borderId="0" xfId="0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8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horizontal="left" vertical="top"/>
    </xf>
    <xf numFmtId="0" fontId="0" fillId="0" borderId="0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top"/>
    </xf>
    <xf numFmtId="0" fontId="2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left" vertical="center"/>
      <protection locked="0"/>
    </xf>
    <xf numFmtId="164" fontId="0" fillId="0" borderId="4" xfId="0" applyNumberFormat="1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left" vertical="top"/>
      <protection locked="0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165" fontId="0" fillId="0" borderId="0" xfId="0" applyNumberFormat="1" applyFont="1" applyFill="1" applyBorder="1" applyAlignment="1">
      <alignment horizontal="center" vertical="top"/>
    </xf>
    <xf numFmtId="0" fontId="0" fillId="0" borderId="0" xfId="0" applyFont="1" applyFill="1" applyBorder="1" applyAlignment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 applyFill="1" applyBorder="1" applyAlignment="1" applyProtection="1">
      <alignment horizontal="center" vertical="top"/>
      <protection locked="0"/>
    </xf>
    <xf numFmtId="165" fontId="4" fillId="0" borderId="0" xfId="0" applyNumberFormat="1" applyFont="1" applyFill="1" applyBorder="1" applyAlignment="1" applyProtection="1">
      <alignment horizontal="center" vertical="top"/>
      <protection locked="0"/>
    </xf>
    <xf numFmtId="165" fontId="0" fillId="0" borderId="0" xfId="0" applyNumberFormat="1" applyFont="1" applyFill="1" applyBorder="1" applyAlignment="1" applyProtection="1">
      <alignment horizontal="center" vertical="top"/>
      <protection locked="0"/>
    </xf>
    <xf numFmtId="0" fontId="7" fillId="0" borderId="7" xfId="0" applyFont="1" applyFill="1" applyBorder="1" applyAlignment="1" applyProtection="1">
      <alignment horizontal="center" vertical="top"/>
      <protection locked="0"/>
    </xf>
    <xf numFmtId="0" fontId="7" fillId="0" borderId="0" xfId="0" applyFont="1" applyFill="1" applyBorder="1" applyAlignment="1" applyProtection="1">
      <alignment horizontal="center" vertical="top"/>
      <protection locked="0"/>
    </xf>
    <xf numFmtId="2" fontId="7" fillId="0" borderId="9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8" fillId="0" borderId="1" xfId="0" applyFont="1" applyFill="1" applyBorder="1" applyAlignment="1" applyProtection="1">
      <alignment horizontal="center" vertical="top"/>
      <protection locked="0"/>
    </xf>
    <xf numFmtId="0" fontId="8" fillId="0" borderId="8" xfId="0" applyFont="1" applyFill="1" applyBorder="1" applyAlignment="1" applyProtection="1">
      <alignment horizontal="center" vertical="top"/>
      <protection locked="0"/>
    </xf>
    <xf numFmtId="164" fontId="8" fillId="0" borderId="1" xfId="0" applyNumberFormat="1" applyFont="1" applyFill="1" applyBorder="1" applyAlignment="1" applyProtection="1">
      <alignment horizontal="right" vertical="top"/>
      <protection locked="0"/>
    </xf>
    <xf numFmtId="164" fontId="8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ont="1" applyFill="1" applyBorder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165" fontId="9" fillId="0" borderId="0" xfId="0" applyNumberFormat="1" applyFont="1" applyFill="1" applyBorder="1" applyAlignment="1" applyProtection="1">
      <alignment horizontal="center" vertical="top"/>
      <protection locked="0"/>
    </xf>
    <xf numFmtId="0" fontId="10" fillId="0" borderId="0" xfId="0" applyFont="1" applyFill="1" applyBorder="1" applyAlignment="1" applyProtection="1">
      <alignment horizontal="center" vertical="top"/>
      <protection locked="0"/>
    </xf>
    <xf numFmtId="0" fontId="11" fillId="0" borderId="4" xfId="0" applyFont="1" applyBorder="1" applyAlignment="1" applyProtection="1">
      <alignment horizontal="left" vertical="center"/>
      <protection locked="0"/>
    </xf>
    <xf numFmtId="0" fontId="11" fillId="0" borderId="4" xfId="0" applyFont="1" applyFill="1" applyBorder="1" applyAlignment="1" applyProtection="1">
      <alignment horizontal="left" vertical="center"/>
      <protection locked="0"/>
    </xf>
    <xf numFmtId="0" fontId="11" fillId="0" borderId="4" xfId="0" applyFont="1" applyBorder="1" applyAlignment="1" applyProtection="1">
      <alignment horizontal="left" vertical="top"/>
      <protection locked="0"/>
    </xf>
    <xf numFmtId="0" fontId="11" fillId="0" borderId="2" xfId="0" applyFont="1" applyBorder="1" applyAlignment="1" applyProtection="1">
      <alignment horizontal="left" vertical="center"/>
      <protection locked="0"/>
    </xf>
    <xf numFmtId="165" fontId="8" fillId="0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2" fillId="0" borderId="6" xfId="0" applyFont="1" applyBorder="1" applyAlignment="1">
      <alignment vertical="center"/>
    </xf>
    <xf numFmtId="165" fontId="12" fillId="0" borderId="0" xfId="0" applyNumberFormat="1" applyFont="1" applyFill="1" applyBorder="1" applyAlignment="1">
      <alignment horizontal="center" vertical="top"/>
    </xf>
    <xf numFmtId="0" fontId="12" fillId="0" borderId="0" xfId="0" applyFont="1" applyFill="1" applyBorder="1" applyAlignment="1">
      <alignment horizontal="center" vertical="top"/>
    </xf>
    <xf numFmtId="0" fontId="0" fillId="0" borderId="4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center" vertical="top"/>
    </xf>
    <xf numFmtId="0" fontId="2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2" fillId="0" borderId="4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2" fillId="0" borderId="4" xfId="0" applyFont="1" applyFill="1" applyBorder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top"/>
    </xf>
    <xf numFmtId="0" fontId="0" fillId="0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vertical="top"/>
    </xf>
    <xf numFmtId="0" fontId="8" fillId="0" borderId="0" xfId="0" applyFont="1" applyFill="1" applyBorder="1" applyAlignment="1">
      <alignment horizontal="left" vertical="top"/>
    </xf>
    <xf numFmtId="166" fontId="0" fillId="0" borderId="2" xfId="0" applyNumberFormat="1" applyFont="1" applyFill="1" applyBorder="1" applyAlignment="1">
      <alignment horizontal="left" vertical="top"/>
    </xf>
    <xf numFmtId="0" fontId="8" fillId="0" borderId="2" xfId="0" applyFont="1" applyFill="1" applyBorder="1" applyAlignment="1" applyProtection="1">
      <alignment horizontal="left" vertical="center"/>
      <protection locked="0"/>
    </xf>
    <xf numFmtId="166" fontId="0" fillId="0" borderId="4" xfId="0" applyNumberFormat="1" applyFont="1" applyFill="1" applyBorder="1" applyAlignment="1">
      <alignment horizontal="left" vertical="top"/>
    </xf>
    <xf numFmtId="0" fontId="8" fillId="0" borderId="4" xfId="0" applyFont="1" applyFill="1" applyBorder="1" applyAlignment="1" applyProtection="1">
      <alignment horizontal="left" vertical="center"/>
      <protection locked="0"/>
    </xf>
    <xf numFmtId="0" fontId="8" fillId="0" borderId="4" xfId="0" applyFont="1" applyFill="1" applyBorder="1" applyAlignment="1" applyProtection="1">
      <alignment horizontal="left" vertical="top"/>
      <protection locked="0"/>
    </xf>
    <xf numFmtId="0" fontId="8" fillId="0" borderId="4" xfId="0" applyFont="1" applyFill="1" applyBorder="1" applyAlignment="1">
      <alignment horizontal="left" vertical="top"/>
    </xf>
    <xf numFmtId="0" fontId="0" fillId="0" borderId="0" xfId="0" applyBorder="1" applyAlignment="1">
      <alignment vertical="top"/>
    </xf>
    <xf numFmtId="0" fontId="2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2" fontId="8" fillId="0" borderId="1" xfId="0" applyNumberFormat="1" applyFont="1" applyFill="1" applyBorder="1" applyAlignment="1" applyProtection="1">
      <alignment horizontal="center" vertical="top"/>
      <protection locked="0"/>
    </xf>
    <xf numFmtId="0" fontId="8" fillId="0" borderId="1" xfId="0" applyFont="1" applyBorder="1" applyAlignment="1">
      <alignment horizontal="left" vertical="top"/>
    </xf>
    <xf numFmtId="0" fontId="2" fillId="0" borderId="6" xfId="0" applyFont="1" applyBorder="1" applyAlignment="1">
      <alignment horizontal="center" vertical="top"/>
    </xf>
    <xf numFmtId="0" fontId="2" fillId="0" borderId="0" xfId="0" applyFont="1" applyFill="1" applyBorder="1" applyAlignment="1">
      <alignment vertical="center"/>
    </xf>
    <xf numFmtId="0" fontId="4" fillId="0" borderId="0" xfId="0" applyFont="1" applyBorder="1" applyAlignment="1">
      <alignment vertical="top"/>
    </xf>
    <xf numFmtId="0" fontId="2" fillId="0" borderId="0" xfId="0" applyFont="1" applyBorder="1" applyAlignment="1">
      <alignment vertical="center"/>
    </xf>
    <xf numFmtId="165" fontId="0" fillId="0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center"/>
    </xf>
    <xf numFmtId="165" fontId="13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center" vertical="top"/>
      <protection locked="0"/>
    </xf>
    <xf numFmtId="0" fontId="13" fillId="0" borderId="3" xfId="0" applyFont="1" applyFill="1" applyBorder="1" applyAlignment="1" applyProtection="1">
      <alignment horizontal="center" vertical="top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 vertical="center"/>
      <protection locked="0"/>
    </xf>
    <xf numFmtId="1" fontId="0" fillId="0" borderId="4" xfId="0" applyNumberFormat="1" applyBorder="1" applyAlignment="1" applyProtection="1">
      <alignment horizontal="center" vertical="center"/>
      <protection locked="0"/>
    </xf>
    <xf numFmtId="1" fontId="0" fillId="0" borderId="4" xfId="0" applyNumberFormat="1" applyFill="1" applyBorder="1" applyAlignment="1" applyProtection="1">
      <alignment horizontal="center" vertical="center"/>
      <protection locked="0"/>
    </xf>
    <xf numFmtId="1" fontId="0" fillId="0" borderId="4" xfId="0" applyNumberFormat="1" applyBorder="1" applyAlignment="1" applyProtection="1">
      <alignment horizontal="center" vertical="top"/>
      <protection locked="0"/>
    </xf>
    <xf numFmtId="49" fontId="0" fillId="0" borderId="4" xfId="0" applyNumberFormat="1" applyBorder="1" applyAlignment="1" applyProtection="1">
      <alignment horizontal="center" vertical="top"/>
      <protection locked="0"/>
    </xf>
    <xf numFmtId="2" fontId="7" fillId="0" borderId="7" xfId="0" applyNumberFormat="1" applyFont="1" applyFill="1" applyBorder="1" applyAlignment="1" applyProtection="1">
      <alignment horizontal="center" vertical="top" wrapText="1"/>
      <protection locked="0"/>
    </xf>
    <xf numFmtId="2" fontId="8" fillId="0" borderId="2" xfId="0" applyNumberFormat="1" applyFont="1" applyFill="1" applyBorder="1" applyAlignment="1" applyProtection="1">
      <alignment horizontal="center" vertical="top"/>
      <protection locked="0"/>
    </xf>
    <xf numFmtId="165" fontId="0" fillId="0" borderId="0" xfId="0" applyNumberFormat="1" applyFont="1" applyFill="1" applyBorder="1" applyAlignment="1">
      <alignment horizontal="left" vertical="top"/>
    </xf>
    <xf numFmtId="0" fontId="0" fillId="0" borderId="0" xfId="0" applyFill="1" applyBorder="1" applyAlignment="1">
      <alignment vertical="top"/>
    </xf>
    <xf numFmtId="2" fontId="2" fillId="0" borderId="0" xfId="0" applyNumberFormat="1" applyFont="1" applyFill="1" applyBorder="1" applyAlignment="1">
      <alignment vertical="center"/>
    </xf>
    <xf numFmtId="1" fontId="0" fillId="0" borderId="0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 applyFont="1" applyFill="1" applyBorder="1" applyAlignment="1">
      <alignment horizontal="center" vertical="top"/>
    </xf>
    <xf numFmtId="0" fontId="0" fillId="0" borderId="4" xfId="0" applyBorder="1"/>
    <xf numFmtId="165" fontId="0" fillId="0" borderId="0" xfId="0" applyNumberFormat="1" applyFill="1" applyBorder="1" applyAlignment="1" applyProtection="1">
      <alignment horizontal="left" vertical="top"/>
      <protection locked="0"/>
    </xf>
    <xf numFmtId="164" fontId="0" fillId="0" borderId="4" xfId="0" applyNumberFormat="1" applyFont="1" applyFill="1" applyBorder="1" applyAlignment="1">
      <alignment horizontal="left" vertical="top"/>
    </xf>
    <xf numFmtId="165" fontId="4" fillId="0" borderId="0" xfId="0" applyNumberFormat="1" applyFont="1" applyFill="1" applyBorder="1" applyAlignment="1" applyProtection="1">
      <alignment horizontal="left" vertical="top"/>
      <protection locked="0"/>
    </xf>
    <xf numFmtId="165" fontId="9" fillId="0" borderId="0" xfId="0" applyNumberFormat="1" applyFont="1" applyFill="1" applyBorder="1" applyAlignment="1" applyProtection="1">
      <alignment horizontal="left" vertical="top"/>
      <protection locked="0"/>
    </xf>
    <xf numFmtId="165" fontId="0" fillId="0" borderId="0" xfId="0" applyNumberFormat="1" applyFont="1" applyFill="1" applyBorder="1" applyAlignment="1" applyProtection="1">
      <alignment horizontal="left" vertical="top"/>
      <protection locked="0"/>
    </xf>
    <xf numFmtId="0" fontId="3" fillId="0" borderId="0" xfId="0" applyFont="1" applyFill="1" applyBorder="1" applyAlignment="1">
      <alignment horizontal="left" vertical="top"/>
    </xf>
    <xf numFmtId="0" fontId="2" fillId="0" borderId="6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left" vertical="top"/>
    </xf>
    <xf numFmtId="164" fontId="8" fillId="0" borderId="1" xfId="0" applyNumberFormat="1" applyFont="1" applyFill="1" applyBorder="1" applyAlignment="1">
      <alignment horizontal="left" vertical="top"/>
    </xf>
    <xf numFmtId="165" fontId="8" fillId="0" borderId="0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49" fontId="8" fillId="0" borderId="1" xfId="0" applyNumberFormat="1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center"/>
    </xf>
    <xf numFmtId="49" fontId="0" fillId="0" borderId="2" xfId="0" applyNumberFormat="1" applyFont="1" applyFill="1" applyBorder="1" applyAlignment="1">
      <alignment horizontal="left" vertical="top"/>
    </xf>
    <xf numFmtId="1" fontId="0" fillId="0" borderId="2" xfId="0" applyNumberFormat="1" applyFill="1" applyBorder="1" applyAlignment="1" applyProtection="1">
      <alignment horizontal="left" vertical="center"/>
      <protection locked="0"/>
    </xf>
    <xf numFmtId="0" fontId="2" fillId="0" borderId="4" xfId="0" applyFont="1" applyFill="1" applyBorder="1" applyAlignment="1">
      <alignment horizontal="left" vertical="center"/>
    </xf>
    <xf numFmtId="49" fontId="0" fillId="0" borderId="4" xfId="0" applyNumberFormat="1" applyFont="1" applyFill="1" applyBorder="1" applyAlignment="1">
      <alignment horizontal="left" vertical="top"/>
    </xf>
    <xf numFmtId="1" fontId="0" fillId="0" borderId="4" xfId="0" applyNumberFormat="1" applyFill="1" applyBorder="1" applyAlignment="1" applyProtection="1">
      <alignment horizontal="left" vertical="center"/>
      <protection locked="0"/>
    </xf>
    <xf numFmtId="0" fontId="2" fillId="0" borderId="4" xfId="0" applyFont="1" applyFill="1" applyBorder="1" applyAlignment="1">
      <alignment horizontal="left" vertical="top"/>
    </xf>
    <xf numFmtId="0" fontId="0" fillId="0" borderId="2" xfId="0" applyFont="1" applyFill="1" applyBorder="1" applyAlignment="1">
      <alignment horizontal="left" vertical="center"/>
    </xf>
    <xf numFmtId="49" fontId="8" fillId="0" borderId="4" xfId="0" applyNumberFormat="1" applyFont="1" applyFill="1" applyBorder="1" applyAlignment="1">
      <alignment horizontal="left" vertical="top" wrapText="1"/>
    </xf>
    <xf numFmtId="1" fontId="0" fillId="0" borderId="4" xfId="0" applyNumberFormat="1" applyFont="1" applyFill="1" applyBorder="1" applyAlignment="1" applyProtection="1">
      <alignment horizontal="left" vertical="center"/>
      <protection locked="0"/>
    </xf>
    <xf numFmtId="3" fontId="0" fillId="0" borderId="0" xfId="0" applyNumberFormat="1" applyFill="1" applyBorder="1" applyAlignment="1">
      <alignment horizontal="center" vertical="top"/>
    </xf>
    <xf numFmtId="3" fontId="8" fillId="0" borderId="1" xfId="0" applyNumberFormat="1" applyFont="1" applyFill="1" applyBorder="1" applyAlignment="1">
      <alignment horizontal="left" vertical="top"/>
    </xf>
    <xf numFmtId="3" fontId="0" fillId="0" borderId="4" xfId="0" applyNumberFormat="1" applyBorder="1" applyAlignment="1">
      <alignment horizontal="center" vertical="top"/>
    </xf>
    <xf numFmtId="164" fontId="0" fillId="0" borderId="0" xfId="0" applyNumberFormat="1" applyFill="1" applyBorder="1" applyAlignment="1">
      <alignment horizontal="left" vertical="top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164" fontId="8" fillId="0" borderId="1" xfId="0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horizontal="left" vertical="top" wrapText="1"/>
    </xf>
    <xf numFmtId="164" fontId="0" fillId="0" borderId="4" xfId="0" applyNumberFormat="1" applyBorder="1" applyAlignment="1">
      <alignment horizontal="left" vertical="top"/>
    </xf>
    <xf numFmtId="49" fontId="0" fillId="0" borderId="4" xfId="0" applyNumberFormat="1" applyBorder="1" applyAlignment="1">
      <alignment horizontal="left" vertical="top"/>
    </xf>
    <xf numFmtId="0" fontId="2" fillId="0" borderId="0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top"/>
    </xf>
    <xf numFmtId="164" fontId="0" fillId="0" borderId="0" xfId="0" applyNumberForma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1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top"/>
    </xf>
    <xf numFmtId="164" fontId="12" fillId="0" borderId="0" xfId="0" applyNumberFormat="1" applyFont="1" applyFill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7" fillId="0" borderId="0" xfId="0" applyFont="1" applyFill="1" applyBorder="1" applyAlignment="1">
      <alignment vertical="top"/>
    </xf>
    <xf numFmtId="165" fontId="12" fillId="0" borderId="0" xfId="0" applyNumberFormat="1" applyFont="1" applyFill="1" applyBorder="1" applyAlignment="1">
      <alignment horizontal="left" vertical="top"/>
    </xf>
    <xf numFmtId="49" fontId="12" fillId="0" borderId="0" xfId="0" applyNumberFormat="1" applyFont="1" applyFill="1" applyBorder="1" applyAlignment="1">
      <alignment horizontal="left" vertical="top"/>
    </xf>
    <xf numFmtId="0" fontId="18" fillId="0" borderId="0" xfId="0" applyFont="1" applyBorder="1" applyAlignment="1">
      <alignment vertical="top"/>
    </xf>
    <xf numFmtId="0" fontId="12" fillId="0" borderId="0" xfId="0" applyFont="1" applyBorder="1" applyAlignment="1">
      <alignment horizontal="center" vertical="top"/>
    </xf>
    <xf numFmtId="49" fontId="12" fillId="0" borderId="0" xfId="0" applyNumberFormat="1" applyFont="1" applyBorder="1" applyAlignment="1">
      <alignment horizontal="left" vertical="top" wrapText="1"/>
    </xf>
    <xf numFmtId="0" fontId="15" fillId="0" borderId="6" xfId="0" applyFont="1" applyBorder="1" applyAlignment="1">
      <alignment horizontal="center" vertical="top"/>
    </xf>
    <xf numFmtId="0" fontId="17" fillId="0" borderId="1" xfId="0" applyFont="1" applyBorder="1" applyAlignment="1">
      <alignment vertical="top"/>
    </xf>
    <xf numFmtId="49" fontId="17" fillId="0" borderId="1" xfId="0" applyNumberFormat="1" applyFont="1" applyFill="1" applyBorder="1" applyAlignment="1">
      <alignment horizontal="left" vertical="top" wrapText="1"/>
    </xf>
    <xf numFmtId="0" fontId="17" fillId="0" borderId="0" xfId="0" applyFont="1" applyBorder="1" applyAlignment="1">
      <alignment horizontal="center" vertical="top"/>
    </xf>
    <xf numFmtId="49" fontId="17" fillId="0" borderId="1" xfId="0" applyNumberFormat="1" applyFont="1" applyBorder="1" applyAlignment="1">
      <alignment horizontal="left" vertical="top" wrapText="1"/>
    </xf>
    <xf numFmtId="0" fontId="15" fillId="0" borderId="6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2" fillId="0" borderId="4" xfId="0" applyFont="1" applyBorder="1" applyAlignment="1">
      <alignment vertical="top"/>
    </xf>
    <xf numFmtId="164" fontId="12" fillId="0" borderId="4" xfId="0" applyNumberFormat="1" applyFont="1" applyBorder="1" applyAlignment="1">
      <alignment vertical="top"/>
    </xf>
    <xf numFmtId="0" fontId="17" fillId="0" borderId="4" xfId="0" applyFont="1" applyBorder="1" applyAlignment="1">
      <alignment vertical="top"/>
    </xf>
    <xf numFmtId="1" fontId="12" fillId="0" borderId="2" xfId="0" applyNumberFormat="1" applyFont="1" applyFill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center" vertical="top"/>
    </xf>
    <xf numFmtId="49" fontId="12" fillId="0" borderId="4" xfId="0" applyNumberFormat="1" applyFont="1" applyBorder="1" applyAlignment="1">
      <alignment horizontal="left" vertical="top"/>
    </xf>
    <xf numFmtId="1" fontId="12" fillId="0" borderId="4" xfId="0" applyNumberFormat="1" applyFont="1" applyFill="1" applyBorder="1" applyAlignment="1" applyProtection="1">
      <alignment horizontal="left" vertical="center"/>
      <protection locked="0"/>
    </xf>
    <xf numFmtId="0" fontId="17" fillId="0" borderId="4" xfId="0" applyFont="1" applyFill="1" applyBorder="1" applyAlignment="1" applyProtection="1">
      <alignment vertical="top"/>
      <protection locked="0"/>
    </xf>
    <xf numFmtId="0" fontId="15" fillId="0" borderId="0" xfId="0" applyFont="1" applyBorder="1" applyAlignment="1">
      <alignment horizontal="center" vertical="center"/>
    </xf>
    <xf numFmtId="49" fontId="17" fillId="0" borderId="4" xfId="0" applyNumberFormat="1" applyFont="1" applyFill="1" applyBorder="1" applyAlignment="1">
      <alignment horizontal="left" vertical="top" wrapText="1"/>
    </xf>
    <xf numFmtId="49" fontId="12" fillId="0" borderId="4" xfId="0" applyNumberFormat="1" applyFont="1" applyFill="1" applyBorder="1" applyAlignment="1">
      <alignment horizontal="left" vertical="top"/>
    </xf>
    <xf numFmtId="0" fontId="0" fillId="0" borderId="0" xfId="0" applyNumberFormat="1" applyFont="1" applyFill="1" applyBorder="1" applyAlignment="1">
      <alignment horizontal="centerContinuous" vertical="top"/>
    </xf>
    <xf numFmtId="0" fontId="0" fillId="0" borderId="0" xfId="0" applyNumberFormat="1" applyFont="1" applyFill="1" applyBorder="1" applyAlignment="1">
      <alignment horizontal="centerContinuous" vertical="center"/>
    </xf>
    <xf numFmtId="0" fontId="0" fillId="0" borderId="0" xfId="0" applyFont="1" applyFill="1"/>
    <xf numFmtId="0" fontId="6" fillId="0" borderId="0" xfId="0" applyFont="1" applyBorder="1" applyAlignment="1">
      <alignment horizontal="center" vertical="top" wrapText="1"/>
    </xf>
    <xf numFmtId="0" fontId="0" fillId="0" borderId="2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3" borderId="0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7" fillId="4" borderId="0" xfId="0" applyFont="1" applyFill="1" applyBorder="1" applyAlignment="1">
      <alignment horizontal="center" vertical="top" wrapText="1"/>
    </xf>
    <xf numFmtId="0" fontId="8" fillId="0" borderId="4" xfId="0" applyFont="1" applyBorder="1" applyAlignment="1">
      <alignment horizontal="left" vertical="top"/>
    </xf>
    <xf numFmtId="1" fontId="0" fillId="0" borderId="2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Border="1" applyAlignment="1">
      <alignment horizontal="center" vertical="top"/>
    </xf>
    <xf numFmtId="165" fontId="20" fillId="0" borderId="0" xfId="0" applyNumberFormat="1" applyFont="1" applyFill="1" applyBorder="1" applyAlignment="1">
      <alignment horizontal="center" vertical="top"/>
    </xf>
    <xf numFmtId="164" fontId="21" fillId="0" borderId="0" xfId="0" applyNumberFormat="1" applyFont="1" applyFill="1" applyBorder="1" applyAlignment="1">
      <alignment horizontal="center" vertical="top"/>
    </xf>
    <xf numFmtId="49" fontId="21" fillId="0" borderId="0" xfId="0" applyNumberFormat="1" applyFont="1" applyFill="1" applyBorder="1" applyAlignment="1">
      <alignment horizontal="center" vertical="top" wrapText="1"/>
    </xf>
    <xf numFmtId="0" fontId="20" fillId="0" borderId="0" xfId="0" applyFont="1" applyFill="1" applyBorder="1" applyAlignment="1">
      <alignment horizontal="center" vertical="top"/>
    </xf>
    <xf numFmtId="0" fontId="21" fillId="0" borderId="0" xfId="0" applyFont="1" applyFill="1" applyBorder="1" applyAlignment="1" applyProtection="1">
      <alignment horizontal="center" vertical="top"/>
      <protection locked="0"/>
    </xf>
    <xf numFmtId="0" fontId="20" fillId="0" borderId="0" xfId="0" applyFont="1" applyFill="1" applyBorder="1" applyAlignment="1">
      <alignment horizontal="right" vertical="top"/>
    </xf>
    <xf numFmtId="49" fontId="19" fillId="0" borderId="0" xfId="0" applyNumberFormat="1" applyFont="1" applyFill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Fill="1" applyBorder="1" applyAlignment="1" applyProtection="1">
      <alignment horizontal="left" vertical="top"/>
      <protection locked="0"/>
    </xf>
    <xf numFmtId="164" fontId="19" fillId="0" borderId="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Fill="1" applyBorder="1" applyAlignment="1">
      <alignment horizontal="center" vertical="center"/>
    </xf>
    <xf numFmtId="0" fontId="20" fillId="0" borderId="0" xfId="0" quotePrefix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top"/>
    </xf>
    <xf numFmtId="0" fontId="20" fillId="0" borderId="0" xfId="0" applyFont="1" applyBorder="1" applyAlignment="1">
      <alignment horizontal="center" vertical="top"/>
    </xf>
    <xf numFmtId="2" fontId="21" fillId="0" borderId="0" xfId="0" applyNumberFormat="1" applyFont="1" applyFill="1" applyBorder="1" applyAlignment="1" applyProtection="1">
      <alignment horizontal="center" vertical="top" wrapText="1"/>
      <protection locked="0"/>
    </xf>
    <xf numFmtId="0" fontId="20" fillId="0" borderId="0" xfId="0" applyFont="1" applyFill="1" applyBorder="1" applyAlignment="1">
      <alignment horizontal="right"/>
    </xf>
    <xf numFmtId="0" fontId="20" fillId="0" borderId="0" xfId="0" applyFont="1" applyFill="1" applyBorder="1" applyAlignment="1">
      <alignment horizontal="right" vertical="center"/>
    </xf>
    <xf numFmtId="165" fontId="20" fillId="0" borderId="0" xfId="0" applyNumberFormat="1" applyFont="1" applyFill="1" applyBorder="1" applyAlignment="1">
      <alignment horizontal="left" vertical="top"/>
    </xf>
    <xf numFmtId="0" fontId="19" fillId="0" borderId="0" xfId="0" applyFont="1" applyFill="1" applyBorder="1" applyAlignment="1">
      <alignment horizontal="center" vertical="top"/>
    </xf>
    <xf numFmtId="0" fontId="20" fillId="0" borderId="0" xfId="0" applyFont="1" applyFill="1" applyBorder="1" applyAlignment="1">
      <alignment horizontal="left" vertical="top"/>
    </xf>
    <xf numFmtId="0" fontId="20" fillId="0" borderId="0" xfId="0" applyFont="1" applyFill="1" applyBorder="1" applyAlignment="1">
      <alignment vertical="top"/>
    </xf>
    <xf numFmtId="0" fontId="22" fillId="0" borderId="0" xfId="0" applyFont="1" applyFill="1" applyBorder="1" applyAlignment="1">
      <alignment horizontal="left" vertical="center"/>
    </xf>
    <xf numFmtId="164" fontId="20" fillId="0" borderId="0" xfId="0" applyNumberFormat="1" applyFont="1" applyFill="1" applyBorder="1" applyAlignment="1">
      <alignment horizontal="left" vertical="top"/>
    </xf>
    <xf numFmtId="0" fontId="19" fillId="0" borderId="0" xfId="0" applyFont="1" applyFill="1" applyBorder="1" applyAlignment="1">
      <alignment horizontal="left" vertical="top"/>
    </xf>
    <xf numFmtId="49" fontId="20" fillId="0" borderId="0" xfId="0" applyNumberFormat="1" applyFont="1" applyFill="1" applyBorder="1" applyAlignment="1">
      <alignment horizontal="left" vertical="top"/>
    </xf>
    <xf numFmtId="165" fontId="20" fillId="0" borderId="0" xfId="0" applyNumberFormat="1" applyFont="1" applyFill="1" applyBorder="1" applyAlignment="1" applyProtection="1">
      <alignment horizontal="center" vertical="top"/>
      <protection locked="0"/>
    </xf>
    <xf numFmtId="164" fontId="19" fillId="0" borderId="0" xfId="0" applyNumberFormat="1" applyFont="1" applyFill="1" applyBorder="1" applyAlignment="1">
      <alignment horizontal="left" vertical="top"/>
    </xf>
    <xf numFmtId="49" fontId="19" fillId="0" borderId="0" xfId="0" applyNumberFormat="1" applyFont="1" applyFill="1" applyBorder="1" applyAlignment="1">
      <alignment horizontal="left" vertical="top" wrapText="1"/>
    </xf>
    <xf numFmtId="1" fontId="20" fillId="0" borderId="0" xfId="0" applyNumberFormat="1" applyFont="1" applyFill="1" applyBorder="1" applyAlignment="1" applyProtection="1">
      <alignment horizontal="left" vertical="center"/>
      <protection locked="0"/>
    </xf>
    <xf numFmtId="165" fontId="20" fillId="0" borderId="0" xfId="0" applyNumberFormat="1" applyFont="1" applyFill="1" applyBorder="1" applyAlignment="1" applyProtection="1">
      <alignment horizontal="center" vertical="center"/>
      <protection locked="0"/>
    </xf>
    <xf numFmtId="165" fontId="24" fillId="0" borderId="0" xfId="0" applyNumberFormat="1" applyFont="1" applyFill="1" applyBorder="1" applyAlignment="1" applyProtection="1">
      <alignment horizontal="center" vertical="top"/>
      <protection locked="0"/>
    </xf>
    <xf numFmtId="164" fontId="20" fillId="0" borderId="0" xfId="0" applyNumberFormat="1" applyFont="1" applyFill="1" applyBorder="1" applyAlignment="1">
      <alignment horizontal="center" vertical="top"/>
    </xf>
    <xf numFmtId="0" fontId="23" fillId="0" borderId="0" xfId="0" applyFont="1" applyFill="1" applyBorder="1" applyAlignment="1">
      <alignment horizontal="center" vertical="top"/>
    </xf>
    <xf numFmtId="49" fontId="20" fillId="0" borderId="0" xfId="0" applyNumberFormat="1" applyFont="1" applyFill="1" applyBorder="1" applyAlignment="1">
      <alignment horizontal="center" vertical="top"/>
    </xf>
    <xf numFmtId="0" fontId="20" fillId="0" borderId="0" xfId="0" applyFont="1" applyBorder="1" applyAlignment="1">
      <alignment horizontal="left" vertical="top"/>
    </xf>
    <xf numFmtId="164" fontId="20" fillId="0" borderId="0" xfId="0" applyNumberFormat="1" applyFont="1" applyBorder="1" applyAlignment="1">
      <alignment horizontal="center" vertical="top"/>
    </xf>
    <xf numFmtId="0" fontId="25" fillId="0" borderId="0" xfId="0" applyFont="1" applyFill="1" applyBorder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49" fontId="25" fillId="0" borderId="0" xfId="0" applyNumberFormat="1" applyFont="1" applyFill="1" applyBorder="1" applyAlignment="1">
      <alignment horizontal="left" vertical="top"/>
    </xf>
    <xf numFmtId="0" fontId="26" fillId="0" borderId="0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164" fontId="25" fillId="0" borderId="0" xfId="0" applyNumberFormat="1" applyFont="1" applyFill="1" applyBorder="1" applyAlignment="1">
      <alignment horizontal="left" vertical="top"/>
    </xf>
    <xf numFmtId="0" fontId="25" fillId="0" borderId="0" xfId="0" applyFont="1" applyBorder="1" applyAlignment="1">
      <alignment horizontal="left" vertical="top"/>
    </xf>
    <xf numFmtId="0" fontId="15" fillId="0" borderId="6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top"/>
    </xf>
    <xf numFmtId="0" fontId="0" fillId="0" borderId="0" xfId="0" applyFont="1" applyAlignment="1">
      <alignment horizontal="center" vertical="top"/>
    </xf>
    <xf numFmtId="0" fontId="0" fillId="0" borderId="0" xfId="0" applyFont="1" applyBorder="1" applyAlignment="1">
      <alignment horizontal="center" vertical="center"/>
    </xf>
    <xf numFmtId="1" fontId="20" fillId="0" borderId="0" xfId="0" applyNumberFormat="1" applyFont="1" applyBorder="1" applyAlignment="1" applyProtection="1">
      <alignment horizontal="center" vertical="center"/>
      <protection locked="0"/>
    </xf>
    <xf numFmtId="1" fontId="20" fillId="0" borderId="0" xfId="0" applyNumberFormat="1" applyFont="1" applyBorder="1" applyAlignment="1" applyProtection="1">
      <alignment horizontal="center" vertical="top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165" fontId="20" fillId="0" borderId="0" xfId="0" applyNumberFormat="1" applyFont="1" applyFill="1" applyBorder="1" applyAlignment="1">
      <alignment horizontal="left" vertical="center"/>
    </xf>
    <xf numFmtId="165" fontId="20" fillId="0" borderId="0" xfId="0" applyNumberFormat="1" applyFont="1" applyFill="1" applyBorder="1" applyAlignment="1">
      <alignment vertical="top"/>
    </xf>
    <xf numFmtId="165" fontId="19" fillId="0" borderId="0" xfId="0" applyNumberFormat="1" applyFont="1" applyFill="1" applyBorder="1" applyAlignment="1">
      <alignment horizontal="center" vertical="top"/>
    </xf>
    <xf numFmtId="11" fontId="20" fillId="0" borderId="0" xfId="0" applyNumberFormat="1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19" fillId="0" borderId="0" xfId="0" applyFont="1" applyBorder="1" applyAlignment="1">
      <alignment horizontal="left" vertical="center"/>
    </xf>
    <xf numFmtId="0" fontId="19" fillId="0" borderId="0" xfId="0" applyFont="1" applyBorder="1" applyAlignment="1">
      <alignment horizontal="left" vertical="top"/>
    </xf>
    <xf numFmtId="11" fontId="20" fillId="0" borderId="0" xfId="0" applyNumberFormat="1" applyFont="1" applyFill="1" applyBorder="1" applyAlignment="1">
      <alignment horizontal="left" vertical="center"/>
    </xf>
    <xf numFmtId="11" fontId="20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/>
    <xf numFmtId="164" fontId="0" fillId="0" borderId="0" xfId="0" applyNumberFormat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/>
    </xf>
    <xf numFmtId="0" fontId="28" fillId="0" borderId="0" xfId="0" applyFont="1" applyFill="1" applyBorder="1" applyAlignment="1">
      <alignment horizontal="center" vertical="top"/>
    </xf>
    <xf numFmtId="0" fontId="28" fillId="0" borderId="0" xfId="0" applyFont="1" applyBorder="1" applyAlignment="1">
      <alignment horizontal="center" vertical="top"/>
    </xf>
    <xf numFmtId="0" fontId="29" fillId="0" borderId="0" xfId="0" applyFont="1" applyBorder="1" applyAlignment="1">
      <alignment horizontal="center" vertical="top"/>
    </xf>
    <xf numFmtId="0" fontId="28" fillId="0" borderId="0" xfId="0" applyFont="1" applyAlignment="1">
      <alignment horizontal="center" vertical="top"/>
    </xf>
    <xf numFmtId="0" fontId="8" fillId="0" borderId="1" xfId="0" applyFont="1" applyFill="1" applyBorder="1" applyAlignment="1" applyProtection="1">
      <alignment horizontal="left" vertical="top"/>
      <protection locked="0"/>
    </xf>
    <xf numFmtId="0" fontId="8" fillId="0" borderId="8" xfId="0" applyFont="1" applyFill="1" applyBorder="1" applyAlignment="1" applyProtection="1">
      <alignment horizontal="left" vertical="top"/>
      <protection locked="0"/>
    </xf>
    <xf numFmtId="3" fontId="0" fillId="0" borderId="0" xfId="0" applyNumberFormat="1" applyFont="1" applyFill="1" applyBorder="1" applyAlignment="1">
      <alignment horizontal="center" vertical="top"/>
    </xf>
    <xf numFmtId="164" fontId="19" fillId="0" borderId="0" xfId="0" applyNumberFormat="1" applyFont="1" applyBorder="1" applyAlignment="1">
      <alignment horizontal="left" vertic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>
      <alignment horizontal="center" vertical="top"/>
    </xf>
    <xf numFmtId="164" fontId="8" fillId="0" borderId="0" xfId="0" applyNumberFormat="1" applyFont="1" applyBorder="1" applyAlignment="1">
      <alignment horizontal="center" vertical="top"/>
    </xf>
    <xf numFmtId="1" fontId="8" fillId="0" borderId="0" xfId="0" applyNumberFormat="1" applyFont="1" applyBorder="1" applyAlignment="1">
      <alignment horizontal="center" vertical="top"/>
    </xf>
    <xf numFmtId="0" fontId="4" fillId="0" borderId="0" xfId="0" applyFont="1" applyFill="1" applyBorder="1" applyAlignment="1">
      <alignment horizontal="center" vertical="top"/>
    </xf>
    <xf numFmtId="166" fontId="0" fillId="0" borderId="0" xfId="0" applyNumberFormat="1" applyFont="1" applyFill="1" applyBorder="1" applyAlignment="1">
      <alignment horizontal="center" vertical="top"/>
    </xf>
    <xf numFmtId="167" fontId="0" fillId="0" borderId="0" xfId="0" applyNumberFormat="1" applyFont="1" applyFill="1" applyBorder="1" applyAlignment="1">
      <alignment horizontal="center" vertical="top"/>
    </xf>
    <xf numFmtId="0" fontId="0" fillId="0" borderId="0" xfId="0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164" fontId="8" fillId="0" borderId="0" xfId="0" applyNumberFormat="1" applyFont="1" applyBorder="1" applyAlignment="1">
      <alignment vertical="top"/>
    </xf>
    <xf numFmtId="164" fontId="0" fillId="0" borderId="0" xfId="0" applyNumberFormat="1" applyBorder="1" applyAlignment="1">
      <alignment vertical="top"/>
    </xf>
    <xf numFmtId="0" fontId="19" fillId="0" borderId="0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left" vertical="top"/>
      <protection locked="0"/>
    </xf>
    <xf numFmtId="0" fontId="22" fillId="0" borderId="0" xfId="0" applyFont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165" fontId="8" fillId="0" borderId="0" xfId="0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165" fontId="8" fillId="0" borderId="5" xfId="0" applyNumberFormat="1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top"/>
      <protection locked="0"/>
    </xf>
    <xf numFmtId="0" fontId="8" fillId="0" borderId="3" xfId="0" applyFont="1" applyBorder="1" applyAlignment="1" applyProtection="1">
      <alignment horizontal="center" vertical="top"/>
      <protection locked="0"/>
    </xf>
    <xf numFmtId="0" fontId="0" fillId="0" borderId="0" xfId="0" applyNumberFormat="1" applyFont="1" applyFill="1" applyAlignment="1">
      <alignment horizontal="left" vertical="top"/>
    </xf>
    <xf numFmtId="0" fontId="0" fillId="0" borderId="0" xfId="0" applyNumberFormat="1" applyFont="1" applyFill="1" applyBorder="1" applyAlignment="1">
      <alignment horizontal="left" vertical="top"/>
    </xf>
    <xf numFmtId="0" fontId="0" fillId="0" borderId="0" xfId="0" applyNumberFormat="1" applyFont="1" applyBorder="1" applyAlignment="1">
      <alignment horizontal="left" vertical="center"/>
    </xf>
    <xf numFmtId="0" fontId="0" fillId="0" borderId="0" xfId="0" applyNumberFormat="1" applyFont="1" applyAlignment="1">
      <alignment horizontal="left" vertical="top"/>
    </xf>
    <xf numFmtId="0" fontId="20" fillId="0" borderId="0" xfId="0" applyFont="1" applyBorder="1" applyAlignment="1">
      <alignment horizontal="right"/>
    </xf>
    <xf numFmtId="0" fontId="20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top"/>
    </xf>
    <xf numFmtId="3" fontId="20" fillId="0" borderId="0" xfId="0" applyNumberFormat="1" applyFont="1" applyFill="1" applyBorder="1" applyAlignment="1">
      <alignment horizontal="center" vertical="top"/>
    </xf>
    <xf numFmtId="3" fontId="19" fillId="0" borderId="0" xfId="0" applyNumberFormat="1" applyFont="1" applyFill="1" applyBorder="1" applyAlignment="1">
      <alignment horizontal="center" vertical="top"/>
    </xf>
    <xf numFmtId="0" fontId="23" fillId="0" borderId="0" xfId="0" applyFont="1" applyFill="1" applyBorder="1" applyAlignment="1">
      <alignment horizontal="left" vertical="top"/>
    </xf>
    <xf numFmtId="0" fontId="22" fillId="0" borderId="0" xfId="0" applyFont="1" applyBorder="1" applyAlignment="1">
      <alignment horizontal="left" vertical="top"/>
    </xf>
    <xf numFmtId="164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164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/>
    </xf>
    <xf numFmtId="168" fontId="0" fillId="2" borderId="0" xfId="0" applyNumberFormat="1" applyFill="1"/>
    <xf numFmtId="0" fontId="20" fillId="0" borderId="0" xfId="0" applyFont="1" applyBorder="1" applyAlignment="1" applyProtection="1">
      <alignment horizontal="left" vertical="center"/>
      <protection locked="0"/>
    </xf>
    <xf numFmtId="0" fontId="19" fillId="0" borderId="0" xfId="0" applyFont="1" applyBorder="1" applyAlignment="1" applyProtection="1">
      <alignment horizontal="left" vertical="center"/>
      <protection locked="0"/>
    </xf>
    <xf numFmtId="3" fontId="20" fillId="0" borderId="0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11" fontId="20" fillId="0" borderId="0" xfId="0" applyNumberFormat="1" applyFont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top"/>
    </xf>
    <xf numFmtId="166" fontId="20" fillId="0" borderId="0" xfId="0" applyNumberFormat="1" applyFont="1" applyFill="1" applyBorder="1" applyAlignment="1">
      <alignment horizontal="left" vertical="top"/>
    </xf>
    <xf numFmtId="1" fontId="20" fillId="0" borderId="0" xfId="0" applyNumberFormat="1" applyFont="1" applyFill="1" applyBorder="1" applyAlignment="1">
      <alignment horizontal="left" vertical="center"/>
    </xf>
    <xf numFmtId="0" fontId="22" fillId="0" borderId="0" xfId="0" applyFont="1" applyFill="1" applyBorder="1" applyAlignment="1">
      <alignment vertical="center"/>
    </xf>
    <xf numFmtId="164" fontId="20" fillId="0" borderId="0" xfId="0" applyNumberFormat="1" applyFont="1" applyFill="1" applyBorder="1" applyAlignment="1">
      <alignment vertical="top"/>
    </xf>
    <xf numFmtId="0" fontId="23" fillId="0" borderId="0" xfId="0" applyFont="1" applyFill="1" applyBorder="1" applyAlignment="1">
      <alignment vertical="top"/>
    </xf>
    <xf numFmtId="0" fontId="19" fillId="0" borderId="0" xfId="0" applyFont="1" applyFill="1" applyBorder="1" applyAlignment="1">
      <alignment vertical="top"/>
    </xf>
    <xf numFmtId="49" fontId="20" fillId="0" borderId="0" xfId="0" applyNumberFormat="1" applyFont="1" applyFill="1" applyBorder="1" applyAlignment="1">
      <alignment vertical="top"/>
    </xf>
    <xf numFmtId="0" fontId="24" fillId="0" borderId="0" xfId="0" applyFont="1" applyBorder="1" applyAlignment="1">
      <alignment vertical="top"/>
    </xf>
    <xf numFmtId="0" fontId="20" fillId="0" borderId="0" xfId="0" applyFont="1" applyBorder="1" applyAlignment="1">
      <alignment vertical="top"/>
    </xf>
    <xf numFmtId="0" fontId="19" fillId="0" borderId="0" xfId="0" applyFont="1" applyBorder="1" applyAlignment="1">
      <alignment vertical="top"/>
    </xf>
    <xf numFmtId="49" fontId="20" fillId="0" borderId="0" xfId="0" applyNumberFormat="1" applyFont="1" applyBorder="1" applyAlignment="1">
      <alignment vertical="top" wrapText="1"/>
    </xf>
    <xf numFmtId="0" fontId="19" fillId="0" borderId="0" xfId="0" applyFont="1" applyBorder="1" applyAlignment="1">
      <alignment horizontal="center" vertical="top"/>
    </xf>
    <xf numFmtId="0" fontId="22" fillId="0" borderId="0" xfId="0" applyFont="1" applyBorder="1" applyAlignment="1">
      <alignment vertical="top"/>
    </xf>
    <xf numFmtId="164" fontId="19" fillId="0" borderId="0" xfId="0" applyNumberFormat="1" applyFont="1" applyBorder="1" applyAlignment="1">
      <alignment vertical="top"/>
    </xf>
    <xf numFmtId="49" fontId="19" fillId="0" borderId="0" xfId="0" applyNumberFormat="1" applyFont="1" applyBorder="1" applyAlignment="1">
      <alignment vertical="top" wrapText="1"/>
    </xf>
    <xf numFmtId="49" fontId="19" fillId="0" borderId="0" xfId="0" applyNumberFormat="1" applyFont="1" applyFill="1" applyBorder="1" applyAlignment="1">
      <alignment vertical="top" wrapText="1"/>
    </xf>
    <xf numFmtId="0" fontId="22" fillId="0" borderId="0" xfId="0" applyFont="1" applyBorder="1" applyAlignment="1">
      <alignment vertical="center"/>
    </xf>
    <xf numFmtId="164" fontId="20" fillId="0" borderId="0" xfId="0" applyNumberFormat="1" applyFont="1" applyBorder="1" applyAlignment="1">
      <alignment vertical="top"/>
    </xf>
    <xf numFmtId="49" fontId="20" fillId="0" borderId="0" xfId="0" applyNumberFormat="1" applyFont="1" applyBorder="1" applyAlignment="1">
      <alignment vertical="top"/>
    </xf>
    <xf numFmtId="0" fontId="0" fillId="0" borderId="0" xfId="0" quotePrefix="1"/>
    <xf numFmtId="168" fontId="0" fillId="0" borderId="0" xfId="0" applyNumberFormat="1" applyFill="1"/>
    <xf numFmtId="0" fontId="8" fillId="5" borderId="11" xfId="0" applyFont="1" applyFill="1" applyBorder="1"/>
    <xf numFmtId="0" fontId="0" fillId="5" borderId="11" xfId="0" applyFill="1" applyBorder="1"/>
    <xf numFmtId="0" fontId="21" fillId="0" borderId="0" xfId="0" applyFont="1" applyFill="1" applyBorder="1" applyAlignment="1">
      <alignment horizontal="center" vertical="top"/>
    </xf>
    <xf numFmtId="0" fontId="21" fillId="0" borderId="0" xfId="0" applyFont="1" applyBorder="1" applyAlignment="1" applyProtection="1">
      <alignment horizontal="center" vertical="top"/>
      <protection locked="0"/>
    </xf>
    <xf numFmtId="2" fontId="19" fillId="0" borderId="0" xfId="0" applyNumberFormat="1" applyFont="1" applyFill="1" applyBorder="1" applyAlignment="1" applyProtection="1">
      <alignment horizontal="center" vertical="top"/>
      <protection locked="0"/>
    </xf>
    <xf numFmtId="0" fontId="19" fillId="0" borderId="0" xfId="0" applyFont="1" applyBorder="1" applyAlignment="1">
      <alignment horizontal="center" vertical="center"/>
    </xf>
    <xf numFmtId="164" fontId="20" fillId="0" borderId="0" xfId="0" applyNumberFormat="1" applyFont="1" applyBorder="1" applyAlignment="1">
      <alignment horizontal="center" vertical="center"/>
    </xf>
    <xf numFmtId="3" fontId="19" fillId="0" borderId="0" xfId="0" applyNumberFormat="1" applyFont="1" applyBorder="1" applyAlignment="1">
      <alignment horizontal="left" vertical="center"/>
    </xf>
    <xf numFmtId="1" fontId="20" fillId="0" borderId="0" xfId="0" applyNumberFormat="1" applyFont="1" applyBorder="1" applyAlignment="1">
      <alignment horizontal="center" vertical="center"/>
    </xf>
    <xf numFmtId="49" fontId="20" fillId="0" borderId="0" xfId="0" applyNumberFormat="1" applyFont="1" applyBorder="1" applyAlignment="1" applyProtection="1">
      <alignment horizontal="center" vertical="top"/>
      <protection locked="0"/>
    </xf>
    <xf numFmtId="0" fontId="0" fillId="0" borderId="0" xfId="0" applyFont="1" applyFill="1" applyBorder="1"/>
    <xf numFmtId="168" fontId="0" fillId="0" borderId="0" xfId="0" applyNumberFormat="1" applyFont="1" applyFill="1" applyBorder="1"/>
    <xf numFmtId="0" fontId="7" fillId="0" borderId="7" xfId="0" applyFont="1" applyFill="1" applyBorder="1" applyAlignment="1" applyProtection="1">
      <alignment horizontal="left" vertical="top"/>
      <protection locked="0"/>
    </xf>
    <xf numFmtId="0" fontId="8" fillId="0" borderId="4" xfId="0" applyFont="1" applyBorder="1" applyAlignment="1" applyProtection="1">
      <alignment horizontal="left" vertical="center"/>
      <protection locked="0"/>
    </xf>
    <xf numFmtId="0" fontId="8" fillId="0" borderId="12" xfId="0" applyFont="1" applyFill="1" applyBorder="1" applyAlignment="1" applyProtection="1">
      <alignment horizontal="left" vertical="top"/>
      <protection locked="0"/>
    </xf>
    <xf numFmtId="0" fontId="0" fillId="0" borderId="5" xfId="0" applyBorder="1" applyAlignment="1" applyProtection="1">
      <alignment horizontal="left" vertical="top"/>
      <protection locked="0"/>
    </xf>
    <xf numFmtId="165" fontId="19" fillId="0" borderId="0" xfId="0" applyNumberFormat="1" applyFont="1" applyFill="1" applyBorder="1" applyAlignment="1" applyProtection="1">
      <alignment horizontal="center" vertical="center"/>
      <protection locked="0"/>
    </xf>
    <xf numFmtId="165" fontId="19" fillId="0" borderId="0" xfId="0" applyNumberFormat="1" applyFont="1" applyFill="1" applyBorder="1" applyAlignment="1" applyProtection="1">
      <alignment horizontal="left" vertical="center"/>
      <protection locked="0"/>
    </xf>
    <xf numFmtId="0" fontId="21" fillId="4" borderId="0" xfId="0" applyFont="1" applyFill="1" applyBorder="1" applyAlignment="1">
      <alignment horizontal="center" vertical="top" wrapText="1"/>
    </xf>
    <xf numFmtId="0" fontId="21" fillId="0" borderId="0" xfId="0" applyFont="1" applyFill="1" applyBorder="1" applyAlignment="1" applyProtection="1">
      <alignment horizontal="left" vertical="top"/>
      <protection locked="0"/>
    </xf>
    <xf numFmtId="49" fontId="8" fillId="0" borderId="10" xfId="0" applyNumberFormat="1" applyFon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/>
    </xf>
    <xf numFmtId="0" fontId="24" fillId="0" borderId="0" xfId="0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169" fontId="0" fillId="0" borderId="5" xfId="0" applyNumberFormat="1" applyBorder="1" applyAlignment="1" applyProtection="1">
      <alignment horizontal="left" vertical="center"/>
      <protection locked="0"/>
    </xf>
    <xf numFmtId="169" fontId="0" fillId="0" borderId="5" xfId="0" applyNumberFormat="1" applyBorder="1" applyAlignment="1" applyProtection="1">
      <alignment horizontal="left" vertical="top"/>
      <protection locked="0"/>
    </xf>
    <xf numFmtId="169" fontId="20" fillId="0" borderId="0" xfId="0" applyNumberFormat="1" applyFont="1" applyBorder="1" applyAlignment="1" applyProtection="1">
      <alignment horizontal="left" vertical="top"/>
      <protection locked="0"/>
    </xf>
    <xf numFmtId="169" fontId="20" fillId="0" borderId="0" xfId="0" applyNumberFormat="1" applyFont="1" applyBorder="1" applyAlignment="1" applyProtection="1">
      <alignment horizontal="left" vertical="center"/>
      <protection locked="0"/>
    </xf>
    <xf numFmtId="170" fontId="0" fillId="0" borderId="5" xfId="0" applyNumberFormat="1" applyBorder="1" applyAlignment="1">
      <alignment horizontal="left" vertical="top"/>
    </xf>
    <xf numFmtId="170" fontId="20" fillId="0" borderId="0" xfId="0" applyNumberFormat="1" applyFont="1" applyBorder="1" applyAlignment="1">
      <alignment horizontal="left" vertical="top"/>
    </xf>
    <xf numFmtId="171" fontId="0" fillId="0" borderId="5" xfId="0" applyNumberFormat="1" applyBorder="1" applyAlignment="1">
      <alignment horizontal="left" vertical="top"/>
    </xf>
    <xf numFmtId="171" fontId="20" fillId="0" borderId="0" xfId="0" applyNumberFormat="1" applyFont="1" applyBorder="1" applyAlignment="1" applyProtection="1">
      <alignment horizontal="left" vertical="top"/>
      <protection locked="0"/>
    </xf>
    <xf numFmtId="172" fontId="0" fillId="0" borderId="5" xfId="0" applyNumberFormat="1" applyBorder="1" applyAlignment="1">
      <alignment horizontal="left" vertical="top"/>
    </xf>
    <xf numFmtId="172" fontId="20" fillId="0" borderId="0" xfId="0" applyNumberFormat="1" applyFont="1" applyBorder="1" applyAlignment="1" applyProtection="1">
      <alignment horizontal="left" vertical="top"/>
      <protection locked="0"/>
    </xf>
    <xf numFmtId="172" fontId="20" fillId="0" borderId="0" xfId="0" applyNumberFormat="1" applyFont="1" applyBorder="1" applyAlignment="1">
      <alignment horizontal="left" vertical="top"/>
    </xf>
    <xf numFmtId="173" fontId="0" fillId="0" borderId="5" xfId="0" applyNumberFormat="1" applyBorder="1" applyAlignment="1">
      <alignment horizontal="left" vertical="top"/>
    </xf>
    <xf numFmtId="173" fontId="20" fillId="0" borderId="0" xfId="0" applyNumberFormat="1" applyFont="1" applyBorder="1" applyAlignment="1" applyProtection="1">
      <alignment horizontal="left" vertical="top"/>
      <protection locked="0"/>
    </xf>
    <xf numFmtId="173" fontId="20" fillId="0" borderId="0" xfId="0" applyNumberFormat="1" applyFont="1" applyBorder="1" applyAlignment="1">
      <alignment horizontal="left" vertical="top"/>
    </xf>
    <xf numFmtId="174" fontId="0" fillId="0" borderId="5" xfId="0" applyNumberFormat="1" applyBorder="1" applyAlignment="1" applyProtection="1">
      <alignment horizontal="left" vertical="center"/>
      <protection locked="0"/>
    </xf>
    <xf numFmtId="174" fontId="0" fillId="0" borderId="5" xfId="0" applyNumberFormat="1" applyBorder="1" applyAlignment="1" applyProtection="1">
      <alignment horizontal="left" vertical="top"/>
      <protection locked="0"/>
    </xf>
    <xf numFmtId="174" fontId="20" fillId="0" borderId="0" xfId="0" applyNumberFormat="1" applyFont="1" applyBorder="1" applyAlignment="1" applyProtection="1">
      <alignment horizontal="left" vertical="center"/>
      <protection locked="0"/>
    </xf>
    <xf numFmtId="174" fontId="20" fillId="0" borderId="0" xfId="0" applyNumberFormat="1" applyFont="1" applyBorder="1" applyAlignment="1" applyProtection="1">
      <alignment horizontal="left" vertical="top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 vertical="top"/>
      <protection locked="0"/>
    </xf>
  </cellXfs>
  <cellStyles count="1">
    <cellStyle name="Normal" xfId="0" builtinId="0"/>
  </cellStyles>
  <dxfs count="203"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37</xdr:col>
      <xdr:colOff>923925</xdr:colOff>
      <xdr:row>1</xdr:row>
      <xdr:rowOff>28575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4434125" y="238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28575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44691300" y="238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37</xdr:col>
      <xdr:colOff>923925</xdr:colOff>
      <xdr:row>1</xdr:row>
      <xdr:rowOff>28575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44434125" y="238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1"/>
  <dimension ref="A1:J200"/>
  <sheetViews>
    <sheetView workbookViewId="0">
      <pane ySplit="3" topLeftCell="A16" activePane="bottomLeft" state="frozen"/>
      <selection activeCell="I29" sqref="I29"/>
      <selection pane="bottomLeft" activeCell="H4" sqref="H4:I132"/>
    </sheetView>
  </sheetViews>
  <sheetFormatPr defaultColWidth="9.140625" defaultRowHeight="15.75" x14ac:dyDescent="0.25"/>
  <cols>
    <col min="1" max="1" width="7.7109375" style="20" customWidth="1"/>
    <col min="2" max="2" width="23.42578125" style="21" customWidth="1"/>
    <col min="3" max="3" width="20" style="22" customWidth="1"/>
    <col min="4" max="4" width="8.42578125" style="23" customWidth="1"/>
    <col min="5" max="5" width="25.42578125" style="22" customWidth="1"/>
    <col min="6" max="6" width="21" style="22" customWidth="1"/>
    <col min="7" max="7" width="7.42578125" style="23" customWidth="1"/>
    <col min="8" max="8" width="25.5703125" style="22" customWidth="1"/>
    <col min="9" max="9" width="25.7109375" customWidth="1"/>
    <col min="10" max="10" width="19.7109375" style="5" customWidth="1"/>
    <col min="11" max="16384" width="9.140625" style="58"/>
  </cols>
  <sheetData>
    <row r="1" spans="1:10" s="47" customFormat="1" ht="16.5" customHeight="1" x14ac:dyDescent="0.25">
      <c r="A1" s="195">
        <v>1</v>
      </c>
      <c r="B1" s="195">
        <v>2</v>
      </c>
      <c r="C1" s="194">
        <v>3</v>
      </c>
      <c r="D1" s="195">
        <v>4</v>
      </c>
      <c r="E1" s="194">
        <v>5</v>
      </c>
      <c r="F1" s="194">
        <v>6</v>
      </c>
      <c r="G1" s="195">
        <v>7</v>
      </c>
      <c r="H1" s="194">
        <v>8</v>
      </c>
      <c r="I1" s="196">
        <v>9</v>
      </c>
      <c r="J1" s="194"/>
    </row>
    <row r="2" spans="1:10" s="199" customFormat="1" ht="15" customHeight="1" x14ac:dyDescent="0.25">
      <c r="A2" s="197"/>
      <c r="B2" s="201" t="s">
        <v>2</v>
      </c>
      <c r="C2" s="201" t="str">
        <f>IFERROR(VLOOKUP(B2,B4:C1002,2,FALSE),"")</f>
        <v>DOO</v>
      </c>
      <c r="D2" s="200">
        <f>IFERROR(VLOOKUP(C2,C4:D1002,2,FALSE),"")</f>
        <v>0</v>
      </c>
      <c r="E2" s="201" t="s">
        <v>43</v>
      </c>
      <c r="F2" s="201" t="str">
        <f>IFERROR(VLOOKUP(E2,E4:F1002,2,FALSE),"")</f>
        <v>PUL</v>
      </c>
      <c r="G2" s="200"/>
      <c r="H2" s="201" t="str">
        <f>IFERROR(VLOOKUP(G2,G4:H1002,2,FALSE),"")</f>
        <v/>
      </c>
      <c r="I2" s="201" t="str">
        <f>VLOOKUP(H2,H4:I500,2,FALSE)</f>
        <v>-</v>
      </c>
      <c r="J2" s="198" t="s">
        <v>185</v>
      </c>
    </row>
    <row r="3" spans="1:10" s="63" customFormat="1" ht="15" customHeight="1" x14ac:dyDescent="0.25">
      <c r="A3" s="16"/>
      <c r="B3" s="17" t="s">
        <v>7</v>
      </c>
      <c r="C3" s="19" t="s">
        <v>252</v>
      </c>
      <c r="D3" s="18"/>
      <c r="E3" s="17" t="s">
        <v>246</v>
      </c>
      <c r="F3" s="19" t="s">
        <v>250</v>
      </c>
      <c r="G3" s="18"/>
      <c r="H3" s="17" t="s">
        <v>248</v>
      </c>
      <c r="I3" s="19" t="s">
        <v>251</v>
      </c>
      <c r="J3" s="8" t="s">
        <v>184</v>
      </c>
    </row>
    <row r="4" spans="1:10" s="10" customFormat="1" ht="15" customHeight="1" x14ac:dyDescent="0.25">
      <c r="A4" s="20"/>
      <c r="B4" s="268" t="s">
        <v>118</v>
      </c>
      <c r="C4" s="270" t="s">
        <v>5</v>
      </c>
      <c r="D4" s="23"/>
      <c r="E4" s="22" t="s">
        <v>5</v>
      </c>
      <c r="F4" s="22" t="s">
        <v>5</v>
      </c>
      <c r="G4" s="23"/>
      <c r="H4" s="22" t="str">
        <f>IFERROR(VLOOKUP(G4,G6:H1004,2,FALSE),"")</f>
        <v/>
      </c>
      <c r="I4" s="72" t="s">
        <v>5</v>
      </c>
      <c r="J4" s="5"/>
    </row>
    <row r="5" spans="1:10" s="10" customFormat="1" x14ac:dyDescent="0.25">
      <c r="A5" s="20"/>
      <c r="B5" s="269" t="s">
        <v>118</v>
      </c>
      <c r="C5" s="271" t="s">
        <v>5</v>
      </c>
      <c r="D5" s="23"/>
      <c r="E5" t="s">
        <v>5</v>
      </c>
      <c r="F5" t="s">
        <v>5</v>
      </c>
      <c r="G5" s="23"/>
      <c r="H5" s="22" t="s">
        <v>5</v>
      </c>
      <c r="I5" s="72" t="s">
        <v>5</v>
      </c>
      <c r="J5" s="5"/>
    </row>
    <row r="6" spans="1:10" s="10" customFormat="1" x14ac:dyDescent="0.25">
      <c r="A6" s="20"/>
      <c r="B6" s="268" t="s">
        <v>621</v>
      </c>
      <c r="C6" s="270" t="s">
        <v>5</v>
      </c>
      <c r="D6" s="23"/>
      <c r="E6" t="s">
        <v>638</v>
      </c>
      <c r="F6" t="s">
        <v>639</v>
      </c>
      <c r="G6" s="23"/>
      <c r="H6" t="s">
        <v>1522</v>
      </c>
      <c r="I6" t="s">
        <v>640</v>
      </c>
      <c r="J6" s="6"/>
    </row>
    <row r="7" spans="1:10" s="10" customFormat="1" ht="15.75" customHeight="1" x14ac:dyDescent="0.25">
      <c r="A7" s="20"/>
      <c r="B7" t="s">
        <v>1</v>
      </c>
      <c r="C7" t="s">
        <v>5</v>
      </c>
      <c r="D7" s="23"/>
      <c r="E7" t="s">
        <v>641</v>
      </c>
      <c r="F7" t="s">
        <v>642</v>
      </c>
      <c r="G7" s="23"/>
      <c r="H7" t="s">
        <v>1523</v>
      </c>
      <c r="I7" t="s">
        <v>1524</v>
      </c>
      <c r="J7" s="6"/>
    </row>
    <row r="8" spans="1:10" s="10" customFormat="1" ht="15.75" customHeight="1" x14ac:dyDescent="0.25">
      <c r="A8" s="20"/>
      <c r="B8" t="s">
        <v>618</v>
      </c>
      <c r="C8" t="s">
        <v>5</v>
      </c>
      <c r="D8" s="23"/>
      <c r="E8" t="s">
        <v>223</v>
      </c>
      <c r="F8" t="s">
        <v>224</v>
      </c>
      <c r="G8" s="23"/>
      <c r="H8" t="s">
        <v>1525</v>
      </c>
      <c r="I8" t="s">
        <v>1526</v>
      </c>
      <c r="J8" s="6"/>
    </row>
    <row r="9" spans="1:10" s="10" customFormat="1" ht="15.75" customHeight="1" x14ac:dyDescent="0.25">
      <c r="A9" s="20"/>
      <c r="B9" t="s">
        <v>213</v>
      </c>
      <c r="C9" t="s">
        <v>5</v>
      </c>
      <c r="D9" s="23"/>
      <c r="E9" t="s">
        <v>649</v>
      </c>
      <c r="F9" t="s">
        <v>220</v>
      </c>
      <c r="G9" s="23"/>
      <c r="H9" t="s">
        <v>59</v>
      </c>
      <c r="I9" t="s">
        <v>183</v>
      </c>
      <c r="J9" s="6"/>
    </row>
    <row r="10" spans="1:10" s="10" customFormat="1" ht="15" customHeight="1" x14ac:dyDescent="0.25">
      <c r="A10" s="20"/>
      <c r="B10" t="s">
        <v>630</v>
      </c>
      <c r="C10" t="s">
        <v>5</v>
      </c>
      <c r="D10" s="23"/>
      <c r="E10" t="s">
        <v>652</v>
      </c>
      <c r="F10" t="s">
        <v>653</v>
      </c>
      <c r="G10" s="23"/>
      <c r="H10" t="s">
        <v>643</v>
      </c>
      <c r="I10" t="s">
        <v>644</v>
      </c>
      <c r="J10" s="5"/>
    </row>
    <row r="11" spans="1:10" s="10" customFormat="1" ht="15" customHeight="1" x14ac:dyDescent="0.25">
      <c r="A11" s="20"/>
      <c r="B11" t="s">
        <v>12</v>
      </c>
      <c r="C11" t="s">
        <v>5</v>
      </c>
      <c r="D11" s="23"/>
      <c r="E11" t="s">
        <v>19</v>
      </c>
      <c r="F11" t="s">
        <v>20</v>
      </c>
      <c r="G11" s="23"/>
      <c r="H11" t="s">
        <v>645</v>
      </c>
      <c r="I11" t="s">
        <v>646</v>
      </c>
      <c r="J11" s="5"/>
    </row>
    <row r="12" spans="1:10" s="10" customFormat="1" ht="15" customHeight="1" x14ac:dyDescent="0.25">
      <c r="A12" s="20"/>
      <c r="B12" t="s">
        <v>54</v>
      </c>
      <c r="C12" t="s">
        <v>5</v>
      </c>
      <c r="D12" s="23"/>
      <c r="E12" t="s">
        <v>21</v>
      </c>
      <c r="F12" t="s">
        <v>22</v>
      </c>
      <c r="G12" s="23"/>
      <c r="H12" t="s">
        <v>667</v>
      </c>
      <c r="I12" t="s">
        <v>668</v>
      </c>
      <c r="J12" s="5"/>
    </row>
    <row r="13" spans="1:10" s="10" customFormat="1" ht="15" customHeight="1" x14ac:dyDescent="0.25">
      <c r="A13" s="20"/>
      <c r="B13" t="s">
        <v>620</v>
      </c>
      <c r="C13" t="s">
        <v>5</v>
      </c>
      <c r="D13" s="23"/>
      <c r="E13" t="s">
        <v>49</v>
      </c>
      <c r="F13" t="s">
        <v>51</v>
      </c>
      <c r="G13" s="23"/>
      <c r="H13" t="s">
        <v>49</v>
      </c>
      <c r="I13" t="s">
        <v>51</v>
      </c>
      <c r="J13" s="5"/>
    </row>
    <row r="14" spans="1:10" s="10" customFormat="1" ht="15" customHeight="1" x14ac:dyDescent="0.25">
      <c r="A14" s="20"/>
      <c r="B14" t="s">
        <v>616</v>
      </c>
      <c r="C14" t="s">
        <v>5</v>
      </c>
      <c r="D14" s="23"/>
      <c r="E14" t="s">
        <v>506</v>
      </c>
      <c r="F14" t="s">
        <v>507</v>
      </c>
      <c r="G14" s="23"/>
      <c r="H14" t="s">
        <v>1527</v>
      </c>
      <c r="I14" t="s">
        <v>1521</v>
      </c>
      <c r="J14" s="5"/>
    </row>
    <row r="15" spans="1:10" s="10" customFormat="1" ht="15" customHeight="1" x14ac:dyDescent="0.25">
      <c r="A15" s="20"/>
      <c r="B15" t="s">
        <v>814</v>
      </c>
      <c r="C15" t="s">
        <v>5</v>
      </c>
      <c r="D15" s="23"/>
      <c r="E15" t="s">
        <v>657</v>
      </c>
      <c r="F15" t="s">
        <v>658</v>
      </c>
      <c r="G15" s="23"/>
      <c r="H15" t="s">
        <v>506</v>
      </c>
      <c r="I15" t="s">
        <v>507</v>
      </c>
      <c r="J15" s="5"/>
    </row>
    <row r="16" spans="1:10" s="10" customFormat="1" ht="15" customHeight="1" x14ac:dyDescent="0.25">
      <c r="A16" s="20"/>
      <c r="B16" t="s">
        <v>16</v>
      </c>
      <c r="C16" t="s">
        <v>5</v>
      </c>
      <c r="D16" s="23"/>
      <c r="E16" t="s">
        <v>218</v>
      </c>
      <c r="F16" t="s">
        <v>660</v>
      </c>
      <c r="G16" s="23"/>
      <c r="H16" t="s">
        <v>650</v>
      </c>
      <c r="I16" t="s">
        <v>651</v>
      </c>
      <c r="J16" s="5"/>
    </row>
    <row r="17" spans="1:10" s="10" customFormat="1" ht="15" customHeight="1" x14ac:dyDescent="0.25">
      <c r="A17" s="20"/>
      <c r="B17" t="s">
        <v>215</v>
      </c>
      <c r="C17" t="s">
        <v>5</v>
      </c>
      <c r="D17" s="23"/>
      <c r="E17" t="s">
        <v>1546</v>
      </c>
      <c r="F17" t="s">
        <v>1549</v>
      </c>
      <c r="G17" s="23"/>
      <c r="H17" t="s">
        <v>654</v>
      </c>
      <c r="I17" t="s">
        <v>114</v>
      </c>
      <c r="J17" s="5"/>
    </row>
    <row r="18" spans="1:10" s="10" customFormat="1" ht="15" customHeight="1" x14ac:dyDescent="0.25">
      <c r="A18" s="20"/>
      <c r="B18" t="s">
        <v>635</v>
      </c>
      <c r="C18" t="s">
        <v>5</v>
      </c>
      <c r="D18" s="23"/>
      <c r="E18" t="s">
        <v>1552</v>
      </c>
      <c r="F18" t="s">
        <v>1554</v>
      </c>
      <c r="G18" s="23"/>
      <c r="H18" t="s">
        <v>30</v>
      </c>
      <c r="I18" t="s">
        <v>31</v>
      </c>
      <c r="J18" s="5"/>
    </row>
    <row r="19" spans="1:10" s="10" customFormat="1" ht="15" customHeight="1" x14ac:dyDescent="0.25">
      <c r="A19" s="20"/>
      <c r="B19" t="s">
        <v>55</v>
      </c>
      <c r="C19" t="s">
        <v>5</v>
      </c>
      <c r="D19" s="23"/>
      <c r="E19" t="s">
        <v>665</v>
      </c>
      <c r="F19" t="s">
        <v>666</v>
      </c>
      <c r="G19" s="23"/>
      <c r="H19" t="s">
        <v>52</v>
      </c>
      <c r="I19" t="s">
        <v>53</v>
      </c>
      <c r="J19" s="5"/>
    </row>
    <row r="20" spans="1:10" s="10" customFormat="1" ht="15" customHeight="1" x14ac:dyDescent="0.25">
      <c r="A20" s="20"/>
      <c r="B20" t="s">
        <v>214</v>
      </c>
      <c r="C20" t="s">
        <v>637</v>
      </c>
      <c r="D20" s="23"/>
      <c r="E20" t="s">
        <v>52</v>
      </c>
      <c r="F20" t="s">
        <v>53</v>
      </c>
      <c r="G20" s="23"/>
      <c r="H20" t="s">
        <v>239</v>
      </c>
      <c r="I20" t="s">
        <v>659</v>
      </c>
      <c r="J20" s="5"/>
    </row>
    <row r="21" spans="1:10" s="10" customFormat="1" ht="15" customHeight="1" x14ac:dyDescent="0.25">
      <c r="A21" s="20"/>
      <c r="B21" t="s">
        <v>647</v>
      </c>
      <c r="C21" t="s">
        <v>648</v>
      </c>
      <c r="D21" s="23"/>
      <c r="E21" t="s">
        <v>43</v>
      </c>
      <c r="F21" t="s">
        <v>44</v>
      </c>
      <c r="G21" s="23"/>
      <c r="H21" t="s">
        <v>661</v>
      </c>
      <c r="I21" t="s">
        <v>662</v>
      </c>
      <c r="J21" s="5"/>
    </row>
    <row r="22" spans="1:10" s="10" customFormat="1" ht="15.75" customHeight="1" x14ac:dyDescent="0.25">
      <c r="A22" s="20"/>
      <c r="B22" t="s">
        <v>10</v>
      </c>
      <c r="C22" t="s">
        <v>111</v>
      </c>
      <c r="D22" s="23"/>
      <c r="E22" t="s">
        <v>48</v>
      </c>
      <c r="F22" t="s">
        <v>50</v>
      </c>
      <c r="G22" s="23"/>
      <c r="H22" t="s">
        <v>663</v>
      </c>
      <c r="I22" t="s">
        <v>664</v>
      </c>
      <c r="J22" s="5"/>
    </row>
    <row r="23" spans="1:10" s="10" customFormat="1" ht="15" customHeight="1" x14ac:dyDescent="0.25">
      <c r="A23" s="20"/>
      <c r="B23" t="s">
        <v>655</v>
      </c>
      <c r="C23" t="s">
        <v>656</v>
      </c>
      <c r="D23" s="23"/>
      <c r="E23" t="s">
        <v>1557</v>
      </c>
      <c r="F23" t="s">
        <v>31</v>
      </c>
      <c r="G23" s="23"/>
      <c r="H23" t="s">
        <v>1547</v>
      </c>
      <c r="I23" t="s">
        <v>1550</v>
      </c>
      <c r="J23" s="5"/>
    </row>
    <row r="24" spans="1:10" s="10" customFormat="1" ht="15.75" customHeight="1" x14ac:dyDescent="0.25">
      <c r="A24" s="20"/>
      <c r="B24" t="s">
        <v>2</v>
      </c>
      <c r="C24" t="s">
        <v>34</v>
      </c>
      <c r="D24" s="23"/>
      <c r="E24" t="s">
        <v>219</v>
      </c>
      <c r="F24" t="s">
        <v>220</v>
      </c>
      <c r="G24" s="23"/>
      <c r="H24" t="s">
        <v>1564</v>
      </c>
      <c r="I24" t="s">
        <v>1566</v>
      </c>
      <c r="J24" s="5"/>
    </row>
    <row r="25" spans="1:10" s="10" customFormat="1" ht="15.75" customHeight="1" x14ac:dyDescent="0.25">
      <c r="A25" s="20"/>
      <c r="B25" t="s">
        <v>57</v>
      </c>
      <c r="C25" t="s">
        <v>121</v>
      </c>
      <c r="D25" s="23"/>
      <c r="E25" t="s">
        <v>1530</v>
      </c>
      <c r="F25" t="s">
        <v>1531</v>
      </c>
      <c r="G25" s="23"/>
      <c r="H25" t="s">
        <v>1527</v>
      </c>
      <c r="I25" t="s">
        <v>507</v>
      </c>
      <c r="J25" s="5"/>
    </row>
    <row r="26" spans="1:10" s="10" customFormat="1" ht="15.75" customHeight="1" x14ac:dyDescent="0.25">
      <c r="A26" s="20"/>
      <c r="B26" t="s">
        <v>680</v>
      </c>
      <c r="C26" t="s">
        <v>681</v>
      </c>
      <c r="D26" s="23"/>
      <c r="E26" t="s">
        <v>673</v>
      </c>
      <c r="F26" t="s">
        <v>232</v>
      </c>
      <c r="G26" s="23"/>
      <c r="H26" t="s">
        <v>1561</v>
      </c>
      <c r="I26" t="s">
        <v>1562</v>
      </c>
      <c r="J26" s="5"/>
    </row>
    <row r="27" spans="1:10" s="10" customFormat="1" ht="15.75" customHeight="1" x14ac:dyDescent="0.25">
      <c r="A27" s="20"/>
      <c r="B27" t="s">
        <v>684</v>
      </c>
      <c r="C27" t="s">
        <v>685</v>
      </c>
      <c r="D27" s="23"/>
      <c r="E27" t="s">
        <v>221</v>
      </c>
      <c r="F27" t="s">
        <v>222</v>
      </c>
      <c r="G27" s="23"/>
      <c r="H27" t="s">
        <v>1528</v>
      </c>
      <c r="I27" t="s">
        <v>1529</v>
      </c>
      <c r="J27" s="5"/>
    </row>
    <row r="28" spans="1:10" s="10" customFormat="1" ht="15.75" customHeight="1" x14ac:dyDescent="0.25">
      <c r="A28" s="20"/>
      <c r="B28" t="s">
        <v>236</v>
      </c>
      <c r="C28" t="s">
        <v>237</v>
      </c>
      <c r="D28" s="23"/>
      <c r="E28" t="s">
        <v>60</v>
      </c>
      <c r="F28" t="s">
        <v>61</v>
      </c>
      <c r="G28" s="23"/>
      <c r="H28" t="s">
        <v>678</v>
      </c>
      <c r="I28" t="s">
        <v>679</v>
      </c>
      <c r="J28" s="5"/>
    </row>
    <row r="29" spans="1:10" s="27" customFormat="1" ht="15.75" customHeight="1" x14ac:dyDescent="0.25">
      <c r="A29" s="20"/>
      <c r="B29" t="s">
        <v>231</v>
      </c>
      <c r="C29" t="s">
        <v>232</v>
      </c>
      <c r="D29" s="23"/>
      <c r="E29" t="s">
        <v>688</v>
      </c>
      <c r="F29" t="s">
        <v>34</v>
      </c>
      <c r="G29" s="23"/>
      <c r="H29" t="s">
        <v>1558</v>
      </c>
      <c r="I29" t="s">
        <v>644</v>
      </c>
      <c r="J29" s="5"/>
    </row>
    <row r="30" spans="1:10" s="10" customFormat="1" ht="15.75" customHeight="1" x14ac:dyDescent="0.25">
      <c r="A30" s="20"/>
      <c r="B30" t="s">
        <v>14</v>
      </c>
      <c r="C30" t="s">
        <v>112</v>
      </c>
      <c r="D30" s="23"/>
      <c r="E30" t="s">
        <v>693</v>
      </c>
      <c r="F30" t="s">
        <v>181</v>
      </c>
      <c r="G30" s="23"/>
      <c r="H30" t="s">
        <v>669</v>
      </c>
      <c r="I30" t="s">
        <v>670</v>
      </c>
      <c r="J30" s="5"/>
    </row>
    <row r="31" spans="1:10" s="10" customFormat="1" ht="15.75" customHeight="1" x14ac:dyDescent="0.25">
      <c r="A31" s="20"/>
      <c r="B31" t="s">
        <v>215</v>
      </c>
      <c r="C31" t="s">
        <v>721</v>
      </c>
      <c r="D31" s="23"/>
      <c r="E31" t="s">
        <v>694</v>
      </c>
      <c r="F31" t="s">
        <v>695</v>
      </c>
      <c r="G31" s="23"/>
      <c r="H31" t="s">
        <v>671</v>
      </c>
      <c r="I31" t="s">
        <v>672</v>
      </c>
      <c r="J31" s="5"/>
    </row>
    <row r="32" spans="1:10" s="10" customFormat="1" ht="15.75" customHeight="1" x14ac:dyDescent="0.25">
      <c r="A32" s="20"/>
      <c r="B32" t="s">
        <v>216</v>
      </c>
      <c r="C32" t="s">
        <v>726</v>
      </c>
      <c r="D32" s="23"/>
      <c r="E32" t="s">
        <v>696</v>
      </c>
      <c r="F32" t="s">
        <v>639</v>
      </c>
      <c r="G32" s="23"/>
      <c r="H32" t="s">
        <v>996</v>
      </c>
      <c r="I32" t="s">
        <v>997</v>
      </c>
      <c r="J32" s="5"/>
    </row>
    <row r="33" spans="1:10" s="10" customFormat="1" ht="15.75" customHeight="1" x14ac:dyDescent="0.25">
      <c r="A33" s="20"/>
      <c r="B33" t="s">
        <v>225</v>
      </c>
      <c r="C33" t="s">
        <v>33</v>
      </c>
      <c r="D33" s="23"/>
      <c r="E33" t="s">
        <v>238</v>
      </c>
      <c r="F33" t="s">
        <v>181</v>
      </c>
      <c r="G33" s="23"/>
      <c r="H33" t="s">
        <v>674</v>
      </c>
      <c r="I33" t="s">
        <v>675</v>
      </c>
      <c r="J33" s="5"/>
    </row>
    <row r="34" spans="1:10" s="10" customFormat="1" ht="15.75" customHeight="1" x14ac:dyDescent="0.25">
      <c r="A34" s="20"/>
      <c r="B34"/>
      <c r="C34"/>
      <c r="D34" s="23"/>
      <c r="E34" t="s">
        <v>243</v>
      </c>
      <c r="F34" t="s">
        <v>244</v>
      </c>
      <c r="G34" s="23"/>
      <c r="H34" t="s">
        <v>676</v>
      </c>
      <c r="I34" t="s">
        <v>677</v>
      </c>
      <c r="J34" s="5"/>
    </row>
    <row r="35" spans="1:10" s="10" customFormat="1" ht="15.75" customHeight="1" x14ac:dyDescent="0.25">
      <c r="A35" s="20"/>
      <c r="B35"/>
      <c r="C35"/>
      <c r="D35" s="23"/>
      <c r="E35">
        <v>0</v>
      </c>
      <c r="F35">
        <v>0</v>
      </c>
      <c r="G35" s="23"/>
      <c r="H35" t="s">
        <v>682</v>
      </c>
      <c r="I35" t="s">
        <v>683</v>
      </c>
      <c r="J35" s="5"/>
    </row>
    <row r="36" spans="1:10" s="10" customFormat="1" ht="15.75" customHeight="1" x14ac:dyDescent="0.25">
      <c r="A36" s="20"/>
      <c r="B36"/>
      <c r="C36"/>
      <c r="D36" s="23"/>
      <c r="E36" t="s">
        <v>1580</v>
      </c>
      <c r="F36" t="s">
        <v>1579</v>
      </c>
      <c r="G36" s="23"/>
      <c r="H36" t="s">
        <v>689</v>
      </c>
      <c r="I36" t="s">
        <v>690</v>
      </c>
      <c r="J36" s="5"/>
    </row>
    <row r="37" spans="1:10" s="10" customFormat="1" ht="15.75" customHeight="1" x14ac:dyDescent="0.25">
      <c r="A37" s="20"/>
      <c r="B37"/>
      <c r="C37"/>
      <c r="D37" s="23"/>
      <c r="E37" t="s">
        <v>700</v>
      </c>
      <c r="F37" t="s">
        <v>701</v>
      </c>
      <c r="G37" s="23"/>
      <c r="H37" t="s">
        <v>686</v>
      </c>
      <c r="I37" t="s">
        <v>687</v>
      </c>
      <c r="J37" s="5"/>
    </row>
    <row r="38" spans="1:10" s="10" customFormat="1" ht="15.75" customHeight="1" x14ac:dyDescent="0.25">
      <c r="A38" s="20"/>
      <c r="B38"/>
      <c r="C38"/>
      <c r="D38" s="23"/>
      <c r="E38" t="s">
        <v>621</v>
      </c>
      <c r="F38" t="s">
        <v>701</v>
      </c>
      <c r="G38" s="23"/>
      <c r="H38" t="s">
        <v>691</v>
      </c>
      <c r="I38" t="s">
        <v>692</v>
      </c>
      <c r="J38" s="5"/>
    </row>
    <row r="39" spans="1:10" s="10" customFormat="1" ht="15.75" customHeight="1" x14ac:dyDescent="0.25">
      <c r="A39" s="20"/>
      <c r="B39"/>
      <c r="C39"/>
      <c r="D39" s="23"/>
      <c r="E39" t="s">
        <v>1</v>
      </c>
      <c r="F39" t="s">
        <v>710</v>
      </c>
      <c r="G39" s="23"/>
      <c r="H39" t="s">
        <v>48</v>
      </c>
      <c r="I39" t="s">
        <v>50</v>
      </c>
      <c r="J39" s="5"/>
    </row>
    <row r="40" spans="1:10" s="10" customFormat="1" ht="15.75" customHeight="1" x14ac:dyDescent="0.25">
      <c r="A40" s="20"/>
      <c r="B40"/>
      <c r="C40"/>
      <c r="D40" s="23"/>
      <c r="E40" t="s">
        <v>713</v>
      </c>
      <c r="F40" t="s">
        <v>714</v>
      </c>
      <c r="G40" s="23"/>
      <c r="H40" t="s">
        <v>43</v>
      </c>
      <c r="I40" t="s">
        <v>44</v>
      </c>
      <c r="J40" s="5"/>
    </row>
    <row r="41" spans="1:10" s="10" customFormat="1" ht="15.75" customHeight="1" x14ac:dyDescent="0.25">
      <c r="A41" s="20"/>
      <c r="B41"/>
      <c r="C41"/>
      <c r="D41" s="23"/>
      <c r="E41" t="s">
        <v>719</v>
      </c>
      <c r="F41" t="s">
        <v>720</v>
      </c>
      <c r="G41" s="23"/>
      <c r="H41" t="s">
        <v>697</v>
      </c>
      <c r="I41" t="s">
        <v>698</v>
      </c>
      <c r="J41" s="5"/>
    </row>
    <row r="42" spans="1:10" s="10" customFormat="1" ht="15" customHeight="1" x14ac:dyDescent="0.25">
      <c r="A42" s="20"/>
      <c r="B42"/>
      <c r="C42"/>
      <c r="D42" s="23"/>
      <c r="E42" t="s">
        <v>96</v>
      </c>
      <c r="F42" t="s">
        <v>97</v>
      </c>
      <c r="G42" s="23"/>
      <c r="H42" t="s">
        <v>242</v>
      </c>
      <c r="I42" t="s">
        <v>37</v>
      </c>
      <c r="J42" s="5"/>
    </row>
    <row r="43" spans="1:10" s="10" customFormat="1" ht="15.75" customHeight="1" x14ac:dyDescent="0.25">
      <c r="A43" s="20"/>
      <c r="B43"/>
      <c r="C43"/>
      <c r="D43" s="23"/>
      <c r="E43" t="s">
        <v>98</v>
      </c>
      <c r="F43" t="s">
        <v>99</v>
      </c>
      <c r="G43" s="23"/>
      <c r="H43" t="s">
        <v>1532</v>
      </c>
      <c r="I43" t="s">
        <v>1533</v>
      </c>
      <c r="J43" s="5"/>
    </row>
    <row r="44" spans="1:10" s="10" customFormat="1" ht="15.75" customHeight="1" x14ac:dyDescent="0.25">
      <c r="A44" s="20"/>
      <c r="B44"/>
      <c r="C44"/>
      <c r="D44" s="23"/>
      <c r="E44" t="s">
        <v>722</v>
      </c>
      <c r="F44" t="s">
        <v>723</v>
      </c>
      <c r="G44" s="23"/>
      <c r="H44" t="s">
        <v>240</v>
      </c>
      <c r="I44" t="s">
        <v>241</v>
      </c>
      <c r="J44" s="5"/>
    </row>
    <row r="45" spans="1:10" s="10" customFormat="1" ht="15.75" customHeight="1" x14ac:dyDescent="0.25">
      <c r="A45" s="20"/>
      <c r="B45"/>
      <c r="C45"/>
      <c r="D45" s="23"/>
      <c r="E45" t="s">
        <v>226</v>
      </c>
      <c r="F45" t="s">
        <v>227</v>
      </c>
      <c r="G45" s="23"/>
      <c r="H45" t="s">
        <v>169</v>
      </c>
      <c r="I45" t="s">
        <v>170</v>
      </c>
      <c r="J45" s="5"/>
    </row>
    <row r="46" spans="1:10" s="10" customFormat="1" ht="15.75" customHeight="1" x14ac:dyDescent="0.25">
      <c r="A46" s="20"/>
      <c r="B46"/>
      <c r="C46"/>
      <c r="D46" s="23"/>
      <c r="E46" t="s">
        <v>731</v>
      </c>
      <c r="F46" t="s">
        <v>732</v>
      </c>
      <c r="G46" s="23"/>
      <c r="H46" t="s">
        <v>699</v>
      </c>
      <c r="I46" t="s">
        <v>245</v>
      </c>
      <c r="J46" s="5"/>
    </row>
    <row r="47" spans="1:10" s="10" customFormat="1" ht="15.75" customHeight="1" x14ac:dyDescent="0.25">
      <c r="A47" s="20"/>
      <c r="B47"/>
      <c r="C47"/>
      <c r="D47" s="23"/>
      <c r="E47" t="s">
        <v>739</v>
      </c>
      <c r="F47" t="s">
        <v>740</v>
      </c>
      <c r="G47" s="23"/>
      <c r="H47" t="s">
        <v>19</v>
      </c>
      <c r="I47" t="s">
        <v>20</v>
      </c>
      <c r="J47" s="5"/>
    </row>
    <row r="48" spans="1:10" s="10" customFormat="1" ht="15.75" customHeight="1" x14ac:dyDescent="0.25">
      <c r="A48" s="20"/>
      <c r="B48"/>
      <c r="C48"/>
      <c r="D48" s="23"/>
      <c r="E48" t="s">
        <v>1572</v>
      </c>
      <c r="F48" t="s">
        <v>648</v>
      </c>
      <c r="G48" s="23"/>
      <c r="H48">
        <v>0</v>
      </c>
      <c r="I48">
        <v>0</v>
      </c>
      <c r="J48" s="5"/>
    </row>
    <row r="49" spans="1:10" s="10" customFormat="1" ht="15.75" customHeight="1" x14ac:dyDescent="0.25">
      <c r="A49" s="20"/>
      <c r="B49"/>
      <c r="C49"/>
      <c r="D49" s="23"/>
      <c r="E49" t="s">
        <v>1575</v>
      </c>
      <c r="F49" t="s">
        <v>228</v>
      </c>
      <c r="G49" s="23"/>
      <c r="H49" t="s">
        <v>702</v>
      </c>
      <c r="I49" t="s">
        <v>703</v>
      </c>
      <c r="J49" s="5"/>
    </row>
    <row r="50" spans="1:10" s="10" customFormat="1" ht="15.75" customHeight="1" x14ac:dyDescent="0.25">
      <c r="A50" s="20"/>
      <c r="B50"/>
      <c r="C50"/>
      <c r="D50" s="23"/>
      <c r="E50" t="s">
        <v>743</v>
      </c>
      <c r="F50" t="s">
        <v>744</v>
      </c>
      <c r="G50" s="23"/>
      <c r="H50" t="s">
        <v>704</v>
      </c>
      <c r="I50" t="s">
        <v>705</v>
      </c>
      <c r="J50" s="5"/>
    </row>
    <row r="51" spans="1:10" s="10" customFormat="1" ht="15.75" customHeight="1" x14ac:dyDescent="0.25">
      <c r="A51" s="20"/>
      <c r="B51"/>
      <c r="C51"/>
      <c r="D51" s="23"/>
      <c r="E51" t="s">
        <v>229</v>
      </c>
      <c r="F51" t="s">
        <v>230</v>
      </c>
      <c r="G51" s="23"/>
      <c r="H51" t="s">
        <v>706</v>
      </c>
      <c r="I51" t="s">
        <v>707</v>
      </c>
      <c r="J51" s="5"/>
    </row>
    <row r="52" spans="1:10" s="10" customFormat="1" ht="15.75" customHeight="1" x14ac:dyDescent="0.25">
      <c r="A52" s="20"/>
      <c r="B52"/>
      <c r="C52"/>
      <c r="D52" s="23"/>
      <c r="E52" s="22" t="s">
        <v>728</v>
      </c>
      <c r="F52" s="22" t="s">
        <v>727</v>
      </c>
      <c r="G52" s="23"/>
      <c r="H52" t="s">
        <v>708</v>
      </c>
      <c r="I52" t="s">
        <v>709</v>
      </c>
      <c r="J52" s="5"/>
    </row>
    <row r="53" spans="1:10" s="10" customFormat="1" ht="15.75" customHeight="1" x14ac:dyDescent="0.25">
      <c r="A53" s="20"/>
      <c r="B53"/>
      <c r="C53"/>
      <c r="D53" s="23"/>
      <c r="E53"/>
      <c r="F53"/>
      <c r="G53" s="23"/>
      <c r="H53" t="s">
        <v>711</v>
      </c>
      <c r="I53" t="s">
        <v>712</v>
      </c>
      <c r="J53" s="5"/>
    </row>
    <row r="54" spans="1:10" s="10" customFormat="1" ht="15.75" customHeight="1" x14ac:dyDescent="0.25">
      <c r="A54" s="20"/>
      <c r="B54"/>
      <c r="C54"/>
      <c r="D54" s="23"/>
      <c r="E54"/>
      <c r="F54"/>
      <c r="G54" s="23"/>
      <c r="H54" t="s">
        <v>715</v>
      </c>
      <c r="I54" t="s">
        <v>716</v>
      </c>
      <c r="J54" s="5"/>
    </row>
    <row r="55" spans="1:10" s="10" customFormat="1" ht="15.75" customHeight="1" x14ac:dyDescent="0.25">
      <c r="A55" s="20"/>
      <c r="B55"/>
      <c r="C55"/>
      <c r="D55" s="23"/>
      <c r="E55"/>
      <c r="F55"/>
      <c r="G55" s="23"/>
      <c r="H55" t="s">
        <v>717</v>
      </c>
      <c r="I55" t="s">
        <v>718</v>
      </c>
      <c r="J55" s="5"/>
    </row>
    <row r="56" spans="1:10" s="10" customFormat="1" ht="15.75" customHeight="1" x14ac:dyDescent="0.25">
      <c r="A56" s="20"/>
      <c r="B56"/>
      <c r="C56"/>
      <c r="D56" s="23"/>
      <c r="E56"/>
      <c r="F56"/>
      <c r="G56" s="23"/>
      <c r="H56" t="s">
        <v>234</v>
      </c>
      <c r="I56" t="s">
        <v>235</v>
      </c>
      <c r="J56" s="5"/>
    </row>
    <row r="57" spans="1:10" s="10" customFormat="1" ht="15.75" customHeight="1" x14ac:dyDescent="0.25">
      <c r="A57" s="20"/>
      <c r="B57"/>
      <c r="C57"/>
      <c r="D57" s="23"/>
      <c r="E57"/>
      <c r="F57"/>
      <c r="G57" s="23"/>
      <c r="H57" t="s">
        <v>100</v>
      </c>
      <c r="I57" t="s">
        <v>93</v>
      </c>
      <c r="J57" s="5"/>
    </row>
    <row r="58" spans="1:10" s="10" customFormat="1" ht="15.75" customHeight="1" x14ac:dyDescent="0.25">
      <c r="A58" s="20"/>
      <c r="B58"/>
      <c r="C58"/>
      <c r="D58" s="23"/>
      <c r="E58"/>
      <c r="F58"/>
      <c r="G58" s="23"/>
      <c r="H58" t="s">
        <v>101</v>
      </c>
      <c r="I58" t="s">
        <v>102</v>
      </c>
      <c r="J58" s="5"/>
    </row>
    <row r="59" spans="1:10" s="10" customFormat="1" ht="15.75" customHeight="1" x14ac:dyDescent="0.25">
      <c r="A59" s="20"/>
      <c r="B59"/>
      <c r="C59"/>
      <c r="D59" s="23"/>
      <c r="E59"/>
      <c r="F59"/>
      <c r="G59" s="23"/>
      <c r="H59" t="s">
        <v>724</v>
      </c>
      <c r="I59" t="s">
        <v>725</v>
      </c>
      <c r="J59" s="5"/>
    </row>
    <row r="60" spans="1:10" s="10" customFormat="1" ht="15.75" customHeight="1" x14ac:dyDescent="0.25">
      <c r="A60" s="20"/>
      <c r="B60"/>
      <c r="C60"/>
      <c r="D60" s="23"/>
      <c r="E60"/>
      <c r="F60"/>
      <c r="G60" s="23"/>
      <c r="H60" t="s">
        <v>729</v>
      </c>
      <c r="I60" t="s">
        <v>730</v>
      </c>
      <c r="J60" s="5"/>
    </row>
    <row r="61" spans="1:10" s="10" customFormat="1" ht="15.75" customHeight="1" x14ac:dyDescent="0.25">
      <c r="A61" s="20"/>
      <c r="B61"/>
      <c r="C61"/>
      <c r="D61" s="23"/>
      <c r="E61"/>
      <c r="F61"/>
      <c r="G61" s="23"/>
      <c r="H61" t="s">
        <v>733</v>
      </c>
      <c r="I61" t="s">
        <v>734</v>
      </c>
      <c r="J61" s="5"/>
    </row>
    <row r="62" spans="1:10" s="10" customFormat="1" ht="15.75" customHeight="1" x14ac:dyDescent="0.25">
      <c r="A62" s="20"/>
      <c r="B62"/>
      <c r="C62"/>
      <c r="D62" s="23"/>
      <c r="E62"/>
      <c r="F62"/>
      <c r="G62" s="23"/>
      <c r="H62" t="s">
        <v>735</v>
      </c>
      <c r="I62" t="s">
        <v>736</v>
      </c>
      <c r="J62" s="5"/>
    </row>
    <row r="63" spans="1:10" s="10" customFormat="1" ht="15.75" customHeight="1" x14ac:dyDescent="0.25">
      <c r="A63" s="20"/>
      <c r="B63"/>
      <c r="C63"/>
      <c r="D63" s="23"/>
      <c r="E63"/>
      <c r="F63"/>
      <c r="G63" s="23"/>
      <c r="H63" t="s">
        <v>737</v>
      </c>
      <c r="I63" t="s">
        <v>738</v>
      </c>
      <c r="J63" s="5"/>
    </row>
    <row r="64" spans="1:10" x14ac:dyDescent="0.25">
      <c r="B64"/>
      <c r="C64"/>
      <c r="E64"/>
      <c r="F64"/>
      <c r="H64" t="s">
        <v>741</v>
      </c>
      <c r="I64" t="s">
        <v>742</v>
      </c>
    </row>
    <row r="65" spans="2:9" x14ac:dyDescent="0.25">
      <c r="B65"/>
      <c r="C65"/>
      <c r="E65"/>
      <c r="F65"/>
      <c r="H65" t="s">
        <v>728</v>
      </c>
      <c r="I65" t="s">
        <v>727</v>
      </c>
    </row>
    <row r="66" spans="2:9" x14ac:dyDescent="0.25">
      <c r="B66"/>
      <c r="C66"/>
      <c r="E66"/>
      <c r="F66"/>
      <c r="H66" t="s">
        <v>1098</v>
      </c>
      <c r="I66" t="s">
        <v>1534</v>
      </c>
    </row>
    <row r="67" spans="2:9" x14ac:dyDescent="0.25">
      <c r="B67"/>
      <c r="C67"/>
      <c r="E67"/>
      <c r="F67"/>
      <c r="H67" t="s">
        <v>745</v>
      </c>
      <c r="I67" t="s">
        <v>113</v>
      </c>
    </row>
    <row r="68" spans="2:9" x14ac:dyDescent="0.25">
      <c r="B68"/>
      <c r="C68"/>
      <c r="E68"/>
      <c r="F68"/>
      <c r="H68" t="s">
        <v>746</v>
      </c>
      <c r="I68" t="s">
        <v>747</v>
      </c>
    </row>
    <row r="69" spans="2:9" x14ac:dyDescent="0.25">
      <c r="B69"/>
      <c r="C69"/>
      <c r="E69"/>
      <c r="F69"/>
      <c r="H69" t="s">
        <v>748</v>
      </c>
      <c r="I69" t="s">
        <v>90</v>
      </c>
    </row>
    <row r="70" spans="2:9" x14ac:dyDescent="0.25">
      <c r="B70"/>
      <c r="C70"/>
      <c r="E70"/>
      <c r="F70"/>
      <c r="H70" t="s">
        <v>21</v>
      </c>
      <c r="I70" t="s">
        <v>22</v>
      </c>
    </row>
    <row r="71" spans="2:9" x14ac:dyDescent="0.25">
      <c r="B71"/>
      <c r="C71"/>
      <c r="E71"/>
      <c r="F71"/>
      <c r="H71" t="s">
        <v>749</v>
      </c>
      <c r="I71" t="s">
        <v>750</v>
      </c>
    </row>
    <row r="72" spans="2:9" x14ac:dyDescent="0.25">
      <c r="B72"/>
      <c r="C72"/>
      <c r="E72"/>
      <c r="F72"/>
      <c r="H72"/>
    </row>
    <row r="73" spans="2:9" x14ac:dyDescent="0.25">
      <c r="B73"/>
      <c r="C73"/>
      <c r="E73"/>
      <c r="F73"/>
      <c r="H73"/>
    </row>
    <row r="74" spans="2:9" x14ac:dyDescent="0.25">
      <c r="B74"/>
      <c r="C74"/>
      <c r="E74"/>
      <c r="F74"/>
      <c r="H74"/>
    </row>
    <row r="75" spans="2:9" x14ac:dyDescent="0.25">
      <c r="B75"/>
      <c r="C75"/>
      <c r="E75"/>
      <c r="F75"/>
      <c r="H75"/>
    </row>
    <row r="76" spans="2:9" x14ac:dyDescent="0.25">
      <c r="B76"/>
      <c r="C76"/>
      <c r="E76"/>
      <c r="F76"/>
      <c r="H76"/>
    </row>
    <row r="77" spans="2:9" x14ac:dyDescent="0.25">
      <c r="B77"/>
      <c r="C77"/>
      <c r="E77"/>
      <c r="F77"/>
      <c r="H77"/>
    </row>
    <row r="78" spans="2:9" x14ac:dyDescent="0.25">
      <c r="B78"/>
      <c r="C78"/>
      <c r="E78"/>
      <c r="F78"/>
      <c r="H78"/>
    </row>
    <row r="79" spans="2:9" x14ac:dyDescent="0.25">
      <c r="B79"/>
      <c r="C79"/>
      <c r="E79"/>
      <c r="F79"/>
      <c r="H79"/>
    </row>
    <row r="80" spans="2:9" x14ac:dyDescent="0.25">
      <c r="B80"/>
      <c r="C80"/>
      <c r="E80"/>
      <c r="F80"/>
      <c r="H80"/>
    </row>
    <row r="81" spans="2:8" x14ac:dyDescent="0.25">
      <c r="B81"/>
      <c r="C81"/>
      <c r="E81"/>
      <c r="F81"/>
      <c r="H81"/>
    </row>
    <row r="82" spans="2:8" x14ac:dyDescent="0.25">
      <c r="B82"/>
      <c r="C82"/>
      <c r="E82"/>
      <c r="F82"/>
      <c r="H82"/>
    </row>
    <row r="83" spans="2:8" x14ac:dyDescent="0.25">
      <c r="B83"/>
      <c r="C83"/>
      <c r="E83"/>
      <c r="F83"/>
      <c r="H83"/>
    </row>
    <row r="84" spans="2:8" x14ac:dyDescent="0.25">
      <c r="B84"/>
      <c r="C84"/>
      <c r="E84"/>
      <c r="F84"/>
      <c r="H84"/>
    </row>
    <row r="85" spans="2:8" x14ac:dyDescent="0.25">
      <c r="B85"/>
      <c r="C85"/>
      <c r="E85"/>
      <c r="F85"/>
      <c r="H85"/>
    </row>
    <row r="86" spans="2:8" x14ac:dyDescent="0.25">
      <c r="B86"/>
      <c r="C86"/>
      <c r="E86"/>
      <c r="F86"/>
      <c r="H86"/>
    </row>
    <row r="87" spans="2:8" x14ac:dyDescent="0.25">
      <c r="B87"/>
      <c r="C87"/>
      <c r="E87"/>
      <c r="F87"/>
      <c r="H87"/>
    </row>
    <row r="88" spans="2:8" x14ac:dyDescent="0.25">
      <c r="B88"/>
      <c r="C88"/>
      <c r="E88"/>
      <c r="F88"/>
      <c r="H88"/>
    </row>
    <row r="89" spans="2:8" x14ac:dyDescent="0.25">
      <c r="B89"/>
      <c r="C89"/>
      <c r="E89"/>
      <c r="F89"/>
      <c r="H89"/>
    </row>
    <row r="90" spans="2:8" x14ac:dyDescent="0.25">
      <c r="B90"/>
      <c r="C90"/>
      <c r="E90"/>
      <c r="F90"/>
      <c r="H90"/>
    </row>
    <row r="91" spans="2:8" x14ac:dyDescent="0.25">
      <c r="B91"/>
      <c r="C91"/>
      <c r="E91"/>
      <c r="F91"/>
      <c r="H91"/>
    </row>
    <row r="92" spans="2:8" x14ac:dyDescent="0.25">
      <c r="B92"/>
      <c r="C92"/>
      <c r="E92"/>
      <c r="F92"/>
      <c r="H92"/>
    </row>
    <row r="93" spans="2:8" x14ac:dyDescent="0.25">
      <c r="B93"/>
      <c r="C93"/>
      <c r="E93"/>
      <c r="F93"/>
      <c r="H93"/>
    </row>
    <row r="94" spans="2:8" x14ac:dyDescent="0.25">
      <c r="B94"/>
      <c r="C94"/>
      <c r="E94"/>
      <c r="F94"/>
      <c r="H94"/>
    </row>
    <row r="95" spans="2:8" x14ac:dyDescent="0.25">
      <c r="B95"/>
      <c r="C95"/>
      <c r="E95"/>
      <c r="F95"/>
      <c r="H95"/>
    </row>
    <row r="96" spans="2:8" x14ac:dyDescent="0.25">
      <c r="B96"/>
      <c r="C96"/>
      <c r="E96"/>
      <c r="F96"/>
      <c r="H96"/>
    </row>
    <row r="97" spans="2:8" x14ac:dyDescent="0.25">
      <c r="B97"/>
      <c r="C97"/>
      <c r="E97"/>
      <c r="F97"/>
      <c r="H97"/>
    </row>
    <row r="98" spans="2:8" x14ac:dyDescent="0.25">
      <c r="B98"/>
      <c r="C98"/>
      <c r="E98"/>
      <c r="F98"/>
      <c r="H98"/>
    </row>
    <row r="99" spans="2:8" x14ac:dyDescent="0.25">
      <c r="B99"/>
      <c r="C99"/>
      <c r="E99"/>
      <c r="F99"/>
      <c r="H99"/>
    </row>
    <row r="100" spans="2:8" x14ac:dyDescent="0.25">
      <c r="B100"/>
      <c r="C100"/>
      <c r="E100"/>
      <c r="F100"/>
      <c r="H100"/>
    </row>
    <row r="101" spans="2:8" x14ac:dyDescent="0.25">
      <c r="B101"/>
      <c r="C101"/>
      <c r="E101"/>
      <c r="F101"/>
      <c r="H101"/>
    </row>
    <row r="102" spans="2:8" x14ac:dyDescent="0.25">
      <c r="B102"/>
      <c r="C102"/>
      <c r="E102"/>
      <c r="F102"/>
      <c r="H102"/>
    </row>
    <row r="103" spans="2:8" x14ac:dyDescent="0.25">
      <c r="B103"/>
      <c r="C103"/>
      <c r="E103"/>
      <c r="F103"/>
      <c r="H103"/>
    </row>
    <row r="104" spans="2:8" x14ac:dyDescent="0.25">
      <c r="B104"/>
      <c r="C104"/>
      <c r="E104"/>
      <c r="F104"/>
      <c r="H104"/>
    </row>
    <row r="105" spans="2:8" x14ac:dyDescent="0.25">
      <c r="B105"/>
      <c r="C105"/>
      <c r="E105"/>
      <c r="F105"/>
      <c r="H105"/>
    </row>
    <row r="106" spans="2:8" x14ac:dyDescent="0.25">
      <c r="B106"/>
      <c r="C106"/>
      <c r="E106"/>
      <c r="F106"/>
      <c r="H106"/>
    </row>
    <row r="107" spans="2:8" x14ac:dyDescent="0.25">
      <c r="B107"/>
      <c r="C107"/>
      <c r="E107"/>
      <c r="F107"/>
      <c r="H107"/>
    </row>
    <row r="108" spans="2:8" x14ac:dyDescent="0.25">
      <c r="B108"/>
      <c r="C108"/>
      <c r="E108"/>
      <c r="F108"/>
      <c r="H108"/>
    </row>
    <row r="109" spans="2:8" x14ac:dyDescent="0.25">
      <c r="B109"/>
      <c r="C109"/>
      <c r="E109"/>
      <c r="F109"/>
      <c r="H109"/>
    </row>
    <row r="110" spans="2:8" x14ac:dyDescent="0.25">
      <c r="B110"/>
      <c r="C110"/>
      <c r="E110"/>
      <c r="F110"/>
      <c r="H110"/>
    </row>
    <row r="111" spans="2:8" x14ac:dyDescent="0.25">
      <c r="B111"/>
      <c r="C111"/>
      <c r="E111"/>
      <c r="F111"/>
      <c r="H111"/>
    </row>
    <row r="112" spans="2:8" x14ac:dyDescent="0.25">
      <c r="B112"/>
      <c r="C112"/>
      <c r="E112"/>
      <c r="F112"/>
      <c r="H112"/>
    </row>
    <row r="113" spans="2:8" x14ac:dyDescent="0.25">
      <c r="B113"/>
      <c r="C113"/>
      <c r="E113"/>
      <c r="F113"/>
      <c r="H113"/>
    </row>
    <row r="114" spans="2:8" x14ac:dyDescent="0.25">
      <c r="B114"/>
      <c r="C114"/>
      <c r="E114"/>
      <c r="F114"/>
      <c r="H114"/>
    </row>
    <row r="115" spans="2:8" x14ac:dyDescent="0.25">
      <c r="B115"/>
      <c r="C115"/>
      <c r="E115"/>
      <c r="F115"/>
      <c r="H115"/>
    </row>
    <row r="116" spans="2:8" x14ac:dyDescent="0.25">
      <c r="B116"/>
      <c r="C116"/>
      <c r="E116"/>
      <c r="F116"/>
      <c r="H116"/>
    </row>
    <row r="117" spans="2:8" x14ac:dyDescent="0.25">
      <c r="B117"/>
      <c r="C117"/>
      <c r="E117"/>
      <c r="F117"/>
      <c r="H117"/>
    </row>
    <row r="118" spans="2:8" x14ac:dyDescent="0.25">
      <c r="B118"/>
      <c r="C118"/>
      <c r="E118"/>
      <c r="F118"/>
      <c r="H118"/>
    </row>
    <row r="119" spans="2:8" x14ac:dyDescent="0.25">
      <c r="B119"/>
      <c r="C119"/>
      <c r="E119"/>
      <c r="F119"/>
      <c r="H119"/>
    </row>
    <row r="120" spans="2:8" x14ac:dyDescent="0.25">
      <c r="B120"/>
      <c r="C120"/>
      <c r="E120"/>
      <c r="F120"/>
      <c r="H120"/>
    </row>
    <row r="121" spans="2:8" x14ac:dyDescent="0.25">
      <c r="B121"/>
      <c r="C121"/>
      <c r="E121"/>
      <c r="F121"/>
      <c r="H121"/>
    </row>
    <row r="122" spans="2:8" x14ac:dyDescent="0.25">
      <c r="B122"/>
      <c r="C122"/>
      <c r="E122"/>
      <c r="F122"/>
      <c r="H122"/>
    </row>
    <row r="123" spans="2:8" x14ac:dyDescent="0.25">
      <c r="B123"/>
      <c r="C123"/>
      <c r="E123"/>
      <c r="F123"/>
      <c r="H123"/>
    </row>
    <row r="124" spans="2:8" x14ac:dyDescent="0.25">
      <c r="B124"/>
      <c r="C124"/>
      <c r="E124"/>
      <c r="F124"/>
      <c r="H124"/>
    </row>
    <row r="125" spans="2:8" x14ac:dyDescent="0.25">
      <c r="B125"/>
      <c r="C125"/>
      <c r="E125"/>
      <c r="F125"/>
      <c r="H125"/>
    </row>
    <row r="126" spans="2:8" x14ac:dyDescent="0.25">
      <c r="B126"/>
      <c r="C126"/>
      <c r="E126"/>
      <c r="F126"/>
      <c r="H126"/>
    </row>
    <row r="127" spans="2:8" x14ac:dyDescent="0.25">
      <c r="B127"/>
      <c r="C127"/>
      <c r="E127"/>
      <c r="F127"/>
      <c r="H127"/>
    </row>
    <row r="128" spans="2:8" x14ac:dyDescent="0.25">
      <c r="B128"/>
      <c r="C128"/>
      <c r="E128"/>
      <c r="F128"/>
      <c r="H128"/>
    </row>
    <row r="129" spans="2:9" x14ac:dyDescent="0.25">
      <c r="B129"/>
      <c r="C129"/>
      <c r="E129"/>
      <c r="F129"/>
      <c r="H129"/>
    </row>
    <row r="130" spans="2:9" x14ac:dyDescent="0.25">
      <c r="B130"/>
      <c r="C130"/>
      <c r="E130"/>
      <c r="F130"/>
      <c r="H130"/>
    </row>
    <row r="131" spans="2:9" x14ac:dyDescent="0.25">
      <c r="B131"/>
      <c r="C131"/>
      <c r="E131"/>
      <c r="F131"/>
      <c r="H131"/>
    </row>
    <row r="132" spans="2:9" x14ac:dyDescent="0.25">
      <c r="B132" s="22" t="s">
        <v>225</v>
      </c>
      <c r="C132" s="22" t="s">
        <v>33</v>
      </c>
      <c r="E132" s="22" t="s">
        <v>728</v>
      </c>
      <c r="F132" s="22" t="s">
        <v>727</v>
      </c>
      <c r="H132" s="22" t="s">
        <v>996</v>
      </c>
      <c r="I132" t="s">
        <v>997</v>
      </c>
    </row>
    <row r="133" spans="2:9" x14ac:dyDescent="0.25">
      <c r="B133" s="22"/>
    </row>
    <row r="134" spans="2:9" x14ac:dyDescent="0.25">
      <c r="B134" s="22"/>
    </row>
    <row r="135" spans="2:9" x14ac:dyDescent="0.25">
      <c r="B135" s="22"/>
    </row>
    <row r="136" spans="2:9" x14ac:dyDescent="0.25">
      <c r="B136" s="22"/>
    </row>
    <row r="137" spans="2:9" x14ac:dyDescent="0.25">
      <c r="B137" s="22"/>
    </row>
    <row r="138" spans="2:9" x14ac:dyDescent="0.25">
      <c r="B138" s="22"/>
    </row>
    <row r="139" spans="2:9" x14ac:dyDescent="0.25">
      <c r="B139" s="22"/>
    </row>
    <row r="140" spans="2:9" x14ac:dyDescent="0.25">
      <c r="B140" s="22"/>
    </row>
    <row r="141" spans="2:9" x14ac:dyDescent="0.25">
      <c r="B141" s="22"/>
    </row>
    <row r="142" spans="2:9" x14ac:dyDescent="0.25">
      <c r="B142" s="22"/>
    </row>
    <row r="143" spans="2:9" x14ac:dyDescent="0.25">
      <c r="B143" s="22"/>
    </row>
    <row r="144" spans="2:9" x14ac:dyDescent="0.25">
      <c r="B144" s="22"/>
    </row>
    <row r="145" spans="2:2" x14ac:dyDescent="0.25">
      <c r="B145" s="22"/>
    </row>
    <row r="146" spans="2:2" x14ac:dyDescent="0.25">
      <c r="B146" s="22"/>
    </row>
    <row r="147" spans="2:2" x14ac:dyDescent="0.25">
      <c r="B147" s="22"/>
    </row>
    <row r="148" spans="2:2" x14ac:dyDescent="0.25">
      <c r="B148" s="22"/>
    </row>
    <row r="149" spans="2:2" x14ac:dyDescent="0.25">
      <c r="B149" s="22"/>
    </row>
    <row r="150" spans="2:2" x14ac:dyDescent="0.25">
      <c r="B150" s="22"/>
    </row>
    <row r="151" spans="2:2" x14ac:dyDescent="0.25">
      <c r="B151" s="22"/>
    </row>
    <row r="152" spans="2:2" x14ac:dyDescent="0.25">
      <c r="B152" s="22"/>
    </row>
    <row r="153" spans="2:2" x14ac:dyDescent="0.25">
      <c r="B153" s="22"/>
    </row>
    <row r="154" spans="2:2" x14ac:dyDescent="0.25">
      <c r="B154" s="22"/>
    </row>
    <row r="155" spans="2:2" x14ac:dyDescent="0.25">
      <c r="B155" s="22"/>
    </row>
    <row r="156" spans="2:2" x14ac:dyDescent="0.25">
      <c r="B156" s="22"/>
    </row>
    <row r="157" spans="2:2" x14ac:dyDescent="0.25">
      <c r="B157" s="22"/>
    </row>
    <row r="158" spans="2:2" x14ac:dyDescent="0.25">
      <c r="B158" s="22"/>
    </row>
    <row r="159" spans="2:2" x14ac:dyDescent="0.25">
      <c r="B159" s="22"/>
    </row>
    <row r="160" spans="2:2" x14ac:dyDescent="0.25">
      <c r="B160" s="22"/>
    </row>
    <row r="161" spans="2:2" x14ac:dyDescent="0.25">
      <c r="B161" s="22"/>
    </row>
    <row r="162" spans="2:2" x14ac:dyDescent="0.25">
      <c r="B162" s="22"/>
    </row>
    <row r="163" spans="2:2" x14ac:dyDescent="0.25">
      <c r="B163" s="22"/>
    </row>
    <row r="164" spans="2:2" x14ac:dyDescent="0.25">
      <c r="B164" s="22"/>
    </row>
    <row r="165" spans="2:2" x14ac:dyDescent="0.25">
      <c r="B165" s="22"/>
    </row>
    <row r="166" spans="2:2" x14ac:dyDescent="0.25">
      <c r="B166" s="22"/>
    </row>
    <row r="167" spans="2:2" x14ac:dyDescent="0.25">
      <c r="B167" s="22"/>
    </row>
    <row r="168" spans="2:2" x14ac:dyDescent="0.25">
      <c r="B168" s="22"/>
    </row>
    <row r="169" spans="2:2" x14ac:dyDescent="0.25">
      <c r="B169" s="22"/>
    </row>
    <row r="170" spans="2:2" x14ac:dyDescent="0.25">
      <c r="B170" s="22"/>
    </row>
    <row r="171" spans="2:2" x14ac:dyDescent="0.25">
      <c r="B171" s="22"/>
    </row>
    <row r="172" spans="2:2" x14ac:dyDescent="0.25">
      <c r="B172" s="22"/>
    </row>
    <row r="173" spans="2:2" x14ac:dyDescent="0.25">
      <c r="B173" s="22"/>
    </row>
    <row r="174" spans="2:2" x14ac:dyDescent="0.25">
      <c r="B174" s="22"/>
    </row>
    <row r="175" spans="2:2" x14ac:dyDescent="0.25">
      <c r="B175" s="22"/>
    </row>
    <row r="176" spans="2:2" x14ac:dyDescent="0.25">
      <c r="B176" s="22"/>
    </row>
    <row r="177" spans="2:2" x14ac:dyDescent="0.25">
      <c r="B177" s="22"/>
    </row>
    <row r="178" spans="2:2" x14ac:dyDescent="0.25">
      <c r="B178" s="22"/>
    </row>
    <row r="179" spans="2:2" x14ac:dyDescent="0.25">
      <c r="B179" s="22"/>
    </row>
    <row r="180" spans="2:2" x14ac:dyDescent="0.25">
      <c r="B180" s="22"/>
    </row>
    <row r="181" spans="2:2" x14ac:dyDescent="0.25">
      <c r="B181" s="22"/>
    </row>
    <row r="182" spans="2:2" x14ac:dyDescent="0.25">
      <c r="B182" s="22"/>
    </row>
    <row r="183" spans="2:2" x14ac:dyDescent="0.25">
      <c r="B183" s="22"/>
    </row>
    <row r="184" spans="2:2" x14ac:dyDescent="0.25">
      <c r="B184" s="22"/>
    </row>
    <row r="185" spans="2:2" x14ac:dyDescent="0.25">
      <c r="B185" s="22"/>
    </row>
    <row r="186" spans="2:2" x14ac:dyDescent="0.25">
      <c r="B186" s="22"/>
    </row>
    <row r="187" spans="2:2" x14ac:dyDescent="0.25">
      <c r="B187" s="22"/>
    </row>
    <row r="188" spans="2:2" x14ac:dyDescent="0.25">
      <c r="B188" s="22"/>
    </row>
    <row r="189" spans="2:2" x14ac:dyDescent="0.25">
      <c r="B189" s="22"/>
    </row>
    <row r="190" spans="2:2" x14ac:dyDescent="0.25">
      <c r="B190" s="22"/>
    </row>
    <row r="191" spans="2:2" x14ac:dyDescent="0.25">
      <c r="B191" s="22"/>
    </row>
    <row r="192" spans="2:2" x14ac:dyDescent="0.25">
      <c r="B192" s="22"/>
    </row>
    <row r="193" spans="2:2" x14ac:dyDescent="0.25">
      <c r="B193" s="22"/>
    </row>
    <row r="194" spans="2:2" x14ac:dyDescent="0.25">
      <c r="B194" s="22"/>
    </row>
    <row r="195" spans="2:2" x14ac:dyDescent="0.25">
      <c r="B195" s="22"/>
    </row>
    <row r="196" spans="2:2" x14ac:dyDescent="0.25">
      <c r="B196" s="22"/>
    </row>
    <row r="197" spans="2:2" x14ac:dyDescent="0.25">
      <c r="B197" s="22"/>
    </row>
    <row r="198" spans="2:2" x14ac:dyDescent="0.25">
      <c r="B198" s="22"/>
    </row>
    <row r="199" spans="2:2" x14ac:dyDescent="0.25">
      <c r="B199" s="22"/>
    </row>
    <row r="200" spans="2:2" x14ac:dyDescent="0.25">
      <c r="B200" s="22"/>
    </row>
  </sheetData>
  <conditionalFormatting sqref="J2:J3">
    <cfRule type="expression" dxfId="202" priority="10">
      <formula>MOD(ROW(),2)&gt;0</formula>
    </cfRule>
  </conditionalFormatting>
  <conditionalFormatting sqref="H19:H24">
    <cfRule type="expression" dxfId="201" priority="11">
      <formula>MOD(ROW(),2)&gt;0</formula>
    </cfRule>
  </conditionalFormatting>
  <conditionalFormatting sqref="B4:C25">
    <cfRule type="expression" dxfId="200" priority="8">
      <formula>MOD(ROW(),2)&gt;0</formula>
    </cfRule>
  </conditionalFormatting>
  <conditionalFormatting sqref="B20:C20">
    <cfRule type="expression" dxfId="199" priority="6">
      <formula>MOD(ROW(),2)&gt;0</formula>
    </cfRule>
  </conditionalFormatting>
  <conditionalFormatting sqref="B21:C21">
    <cfRule type="expression" dxfId="198" priority="3">
      <formula>MOD(ROW(),2)&gt;0</formula>
    </cfRule>
  </conditionalFormatting>
  <conditionalFormatting sqref="B21:C21">
    <cfRule type="expression" dxfId="197" priority="2">
      <formula>MOD(ROW(),2)&gt;0</formula>
    </cfRule>
  </conditionalFormatting>
  <conditionalFormatting sqref="B22:C22">
    <cfRule type="expression" dxfId="196" priority="1">
      <formula>MOD(ROW(),2)&gt;0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"/>
  <dimension ref="A1:BP2000"/>
  <sheetViews>
    <sheetView tabSelected="1" workbookViewId="0">
      <pane ySplit="3" topLeftCell="A4" activePane="bottomLeft" state="frozen"/>
      <selection pane="bottomLeft" activeCell="K4" sqref="K4:K2000"/>
    </sheetView>
  </sheetViews>
  <sheetFormatPr defaultColWidth="9.140625" defaultRowHeight="15" x14ac:dyDescent="0.25"/>
  <cols>
    <col min="1" max="1" width="3.85546875" style="113" customWidth="1"/>
    <col min="2" max="2" width="17.42578125" style="35" customWidth="1"/>
    <col min="3" max="3" width="29.5703125" style="44" customWidth="1"/>
    <col min="4" max="4" width="16.5703125" style="44" customWidth="1"/>
    <col min="5" max="5" width="24.5703125" style="44" customWidth="1"/>
    <col min="6" max="6" width="18.5703125" style="44" customWidth="1"/>
    <col min="7" max="7" width="21" style="44" customWidth="1"/>
    <col min="8" max="8" width="18.5703125" style="44" customWidth="1"/>
    <col min="9" max="9" width="33.140625" style="360" customWidth="1"/>
    <col min="10" max="10" width="7.85546875" style="44" customWidth="1"/>
    <col min="11" max="11" width="7.85546875" style="362" customWidth="1"/>
    <col min="12" max="12" width="16" style="219" customWidth="1"/>
    <col min="13" max="13" width="37.85546875" style="219" customWidth="1"/>
    <col min="14" max="14" width="16.7109375" style="219" customWidth="1"/>
    <col min="15" max="15" width="19" style="210" customWidth="1"/>
    <col min="16" max="16" width="17.42578125" style="295" customWidth="1"/>
    <col min="17" max="17" width="29.5703125" style="296" customWidth="1"/>
    <col min="18" max="18" width="16.5703125" style="296" customWidth="1"/>
    <col min="19" max="19" width="24.5703125" style="296" customWidth="1"/>
    <col min="20" max="20" width="18.5703125" style="296" customWidth="1"/>
    <col min="21" max="21" width="21" style="296" customWidth="1"/>
    <col min="22" max="22" width="18.5703125" style="296" customWidth="1"/>
    <col min="23" max="23" width="33.140625" style="321" customWidth="1"/>
    <col min="24" max="25" width="7.85546875" style="296" customWidth="1"/>
    <col min="26" max="26" width="6.85546875" style="212" customWidth="1"/>
    <col min="27" max="27" width="13.85546875" style="56" customWidth="1"/>
    <col min="28" max="28" width="7.28515625" style="56" customWidth="1"/>
    <col min="29" max="29" width="13.7109375" style="35" customWidth="1"/>
    <col min="30" max="30" width="29.5703125" style="44" customWidth="1"/>
    <col min="31" max="31" width="17.42578125" style="45" customWidth="1"/>
    <col min="32" max="32" width="30.28515625" style="44" customWidth="1"/>
    <col min="33" max="33" width="18.7109375" style="46" customWidth="1"/>
    <col min="34" max="34" width="29" style="44" customWidth="1"/>
    <col min="35" max="35" width="27.42578125" style="46" customWidth="1"/>
    <col min="36" max="36" width="29.5703125" style="69" customWidth="1"/>
    <col min="37" max="37" width="8" style="118" customWidth="1"/>
    <col min="38" max="38" width="6.85546875" style="118" customWidth="1"/>
    <col min="39" max="39" width="5" style="253" customWidth="1"/>
    <col min="40" max="40" width="19.7109375" style="220" customWidth="1"/>
    <col min="41" max="41" width="43.140625" style="241" customWidth="1"/>
    <col min="42" max="42" width="9.140625" style="220"/>
    <col min="43" max="43" width="25.7109375" style="220" customWidth="1"/>
    <col min="44" max="44" width="9.140625" style="220"/>
    <col min="45" max="45" width="24.140625" style="241" customWidth="1"/>
    <col min="46" max="46" width="9.140625" style="220"/>
    <col min="47" max="53" width="9.140625" style="253"/>
    <col min="54" max="54" width="37.42578125" style="307" customWidth="1"/>
    <col min="55" max="58" width="9.140625" style="253"/>
    <col min="59" max="66" width="9.140625" style="57"/>
    <col min="67" max="67" width="16.7109375" style="57" customWidth="1"/>
    <col min="68" max="68" width="20.140625" style="57" customWidth="1"/>
    <col min="69" max="16384" width="9.140625" style="57"/>
  </cols>
  <sheetData>
    <row r="1" spans="1:68" s="47" customFormat="1" ht="15.75" customHeight="1" x14ac:dyDescent="0.25">
      <c r="A1" s="109"/>
      <c r="B1" s="49"/>
      <c r="C1" s="50"/>
      <c r="D1" s="50"/>
      <c r="E1" s="50"/>
      <c r="F1" s="50"/>
      <c r="G1" s="50"/>
      <c r="H1" s="50"/>
      <c r="I1" s="136"/>
      <c r="J1" s="50"/>
      <c r="K1" s="50"/>
      <c r="L1" s="213">
        <f>MAX(Z4:Z1980)</f>
        <v>24</v>
      </c>
      <c r="M1" s="207">
        <v>13</v>
      </c>
      <c r="N1" s="207">
        <v>14</v>
      </c>
      <c r="O1" s="207">
        <v>15</v>
      </c>
      <c r="P1" s="363">
        <v>16</v>
      </c>
      <c r="Q1" s="232">
        <v>17</v>
      </c>
      <c r="R1" s="232">
        <v>18</v>
      </c>
      <c r="S1" s="232">
        <v>19</v>
      </c>
      <c r="T1" s="232">
        <v>20</v>
      </c>
      <c r="U1" s="232">
        <v>21</v>
      </c>
      <c r="V1" s="232">
        <v>22</v>
      </c>
      <c r="W1" s="364">
        <v>23</v>
      </c>
      <c r="X1" s="232">
        <v>24</v>
      </c>
      <c r="Y1" s="232">
        <v>25</v>
      </c>
      <c r="Z1" s="207">
        <v>26</v>
      </c>
      <c r="AA1" s="75"/>
      <c r="AB1" s="75"/>
      <c r="AC1" s="49"/>
      <c r="AD1" s="50"/>
      <c r="AE1" s="50"/>
      <c r="AF1" s="202"/>
      <c r="AG1" s="202"/>
      <c r="AH1" s="202"/>
      <c r="AI1" s="202"/>
      <c r="AJ1" s="50"/>
      <c r="AK1" s="52"/>
      <c r="AL1" s="52"/>
      <c r="AN1" s="207">
        <v>40</v>
      </c>
      <c r="AO1" s="224"/>
      <c r="AP1" s="207">
        <v>42</v>
      </c>
      <c r="AQ1" s="207"/>
      <c r="AR1" s="207">
        <v>44</v>
      </c>
      <c r="AS1" s="258"/>
      <c r="AT1" s="259" t="s">
        <v>1582</v>
      </c>
      <c r="BA1" s="47">
        <f>MATCH("Loadable",B:B,0)-1</f>
        <v>32</v>
      </c>
      <c r="BB1" s="305"/>
      <c r="BN1" s="299"/>
      <c r="BO1" s="47" t="s">
        <v>571</v>
      </c>
      <c r="BP1" s="47" t="s">
        <v>604</v>
      </c>
    </row>
    <row r="2" spans="1:68" s="7" customFormat="1" ht="0.95" customHeight="1" x14ac:dyDescent="0.25">
      <c r="A2" s="110"/>
      <c r="B2" s="53"/>
      <c r="C2" s="203" t="s">
        <v>225</v>
      </c>
      <c r="D2" s="203" t="str">
        <f>IFERROR(VLOOKUP(C2,C4:D1002,2,FALSE),"")</f>
        <v>WIN</v>
      </c>
      <c r="E2" s="203" t="s">
        <v>1575</v>
      </c>
      <c r="F2" s="203" t="str">
        <f>IFERROR(VLOOKUP(E2,E4:F1002,2,FALSE),"")</f>
        <v>FIX</v>
      </c>
      <c r="G2" s="203" t="s">
        <v>1527</v>
      </c>
      <c r="H2" s="203" t="str">
        <f>IFERROR(VLOOKUP(G2,G4:H1002,2,FALSE),"")</f>
        <v>S1W</v>
      </c>
      <c r="I2" s="359"/>
      <c r="J2" s="203"/>
      <c r="K2" s="203"/>
      <c r="L2" s="208">
        <f>COUNTA(X4:X1980)</f>
        <v>22</v>
      </c>
      <c r="M2" s="208" t="s">
        <v>510</v>
      </c>
      <c r="N2" s="209"/>
      <c r="O2" s="210"/>
      <c r="P2" s="211"/>
      <c r="Q2" s="365"/>
      <c r="R2" s="365"/>
      <c r="S2" s="365"/>
      <c r="T2" s="365"/>
      <c r="U2" s="365"/>
      <c r="V2" s="365"/>
      <c r="W2" s="366"/>
      <c r="X2" s="365"/>
      <c r="Y2" s="365"/>
      <c r="Z2" s="212"/>
      <c r="AA2" s="76"/>
      <c r="AB2" s="76"/>
      <c r="AC2" s="53"/>
      <c r="AD2" s="53" t="s">
        <v>225</v>
      </c>
      <c r="AE2" s="53" t="s">
        <v>33</v>
      </c>
      <c r="AF2" s="53" t="s">
        <v>1575</v>
      </c>
      <c r="AG2" s="54" t="s">
        <v>228</v>
      </c>
      <c r="AH2" s="53" t="s">
        <v>1527</v>
      </c>
      <c r="AI2" s="54" t="s">
        <v>1521</v>
      </c>
      <c r="AJ2" s="54"/>
      <c r="AK2" s="119"/>
      <c r="AL2" s="119"/>
      <c r="AM2" s="63"/>
      <c r="AN2" s="225">
        <f>COUNT(AN4:AN980)</f>
        <v>0</v>
      </c>
      <c r="AO2" s="226"/>
      <c r="AP2" s="210"/>
      <c r="AQ2" s="210"/>
      <c r="AR2" s="210"/>
      <c r="AS2" s="226"/>
      <c r="AT2" s="227" t="str">
        <f>AT1&amp;"\"&amp;AQ4</f>
        <v>G:\Shared drives\02.Collabo\01.Project Level\0000.Potential Projects\BIM 4D-5D\01. WIP\2D-3D\01. Architecture\05. Families\Windows\</v>
      </c>
      <c r="AU2" s="63"/>
      <c r="AV2" s="63"/>
      <c r="AW2" s="63"/>
      <c r="AX2" s="63"/>
      <c r="AY2" s="63"/>
      <c r="AZ2" s="63"/>
      <c r="BA2" s="63"/>
      <c r="BB2" s="305"/>
      <c r="BC2" s="63"/>
      <c r="BD2" s="63"/>
      <c r="BE2" s="63"/>
      <c r="BF2" s="63"/>
      <c r="BO2" s="7" t="s">
        <v>604</v>
      </c>
    </row>
    <row r="3" spans="1:68" s="64" customFormat="1" ht="15" customHeight="1" x14ac:dyDescent="0.25">
      <c r="A3" s="111"/>
      <c r="B3" s="276" t="s">
        <v>475</v>
      </c>
      <c r="C3" s="277" t="s">
        <v>7</v>
      </c>
      <c r="D3" s="277" t="s">
        <v>510</v>
      </c>
      <c r="E3" s="277" t="s">
        <v>555</v>
      </c>
      <c r="F3" s="277" t="s">
        <v>495</v>
      </c>
      <c r="G3" s="277" t="s">
        <v>556</v>
      </c>
      <c r="H3" s="277" t="s">
        <v>557</v>
      </c>
      <c r="I3" s="276" t="s">
        <v>9</v>
      </c>
      <c r="J3" s="277" t="s">
        <v>499</v>
      </c>
      <c r="K3" s="361" t="s">
        <v>498</v>
      </c>
      <c r="L3" s="213">
        <f>MAX(K:K)</f>
        <v>175</v>
      </c>
      <c r="M3" s="213" t="s">
        <v>33</v>
      </c>
      <c r="N3" s="213"/>
      <c r="O3" s="210"/>
      <c r="P3" s="215" t="s">
        <v>475</v>
      </c>
      <c r="Q3" s="215" t="s">
        <v>7</v>
      </c>
      <c r="R3" s="215" t="s">
        <v>510</v>
      </c>
      <c r="S3" s="215" t="s">
        <v>555</v>
      </c>
      <c r="T3" s="215" t="s">
        <v>495</v>
      </c>
      <c r="U3" s="215" t="s">
        <v>556</v>
      </c>
      <c r="V3" s="215" t="s">
        <v>557</v>
      </c>
      <c r="W3" s="215" t="s">
        <v>9</v>
      </c>
      <c r="X3" s="215" t="s">
        <v>499</v>
      </c>
      <c r="Y3" s="215" t="s">
        <v>498</v>
      </c>
      <c r="Z3" s="222"/>
      <c r="AA3" s="76"/>
      <c r="AB3" s="76"/>
      <c r="AC3" s="59" t="s">
        <v>475</v>
      </c>
      <c r="AD3" s="60" t="s">
        <v>7</v>
      </c>
      <c r="AE3" s="61" t="s">
        <v>510</v>
      </c>
      <c r="AF3" s="59" t="s">
        <v>555</v>
      </c>
      <c r="AG3" s="62" t="s">
        <v>495</v>
      </c>
      <c r="AH3" s="59" t="s">
        <v>556</v>
      </c>
      <c r="AI3" s="62" t="s">
        <v>557</v>
      </c>
      <c r="AJ3" s="62" t="s">
        <v>9</v>
      </c>
      <c r="AK3" s="99" t="s">
        <v>499</v>
      </c>
      <c r="AL3" s="99" t="s">
        <v>498</v>
      </c>
      <c r="AN3" s="260"/>
      <c r="AO3" s="260"/>
      <c r="AP3" s="260" t="s">
        <v>498</v>
      </c>
      <c r="AQ3" s="225" t="s">
        <v>505</v>
      </c>
      <c r="AR3" s="260" t="s">
        <v>498</v>
      </c>
      <c r="AS3" s="230" t="s">
        <v>504</v>
      </c>
      <c r="AT3" s="227" t="str">
        <f>AT1&amp;"\"&amp;AS4</f>
        <v>G:\Shared drives\02.Collabo\01.Project Level\0000.Potential Projects\BIM 4D-5D\01. WIP\2D-3D\01. Architecture\05. Families\Windows\</v>
      </c>
      <c r="BB3" s="304"/>
      <c r="BO3" s="64" t="s">
        <v>572</v>
      </c>
    </row>
    <row r="4" spans="1:68" s="10" customFormat="1" ht="15" customHeight="1" x14ac:dyDescent="0.25">
      <c r="A4" s="112"/>
      <c r="B4" s="35" t="s">
        <v>185</v>
      </c>
      <c r="C4" s="44" t="s">
        <v>118</v>
      </c>
      <c r="D4" s="44" t="s">
        <v>5</v>
      </c>
      <c r="E4" s="44" t="s">
        <v>5</v>
      </c>
      <c r="F4" s="44" t="s">
        <v>5</v>
      </c>
      <c r="G4" s="44" t="s">
        <v>5</v>
      </c>
      <c r="H4" s="44" t="s">
        <v>5</v>
      </c>
      <c r="I4" s="360" t="s">
        <v>120</v>
      </c>
      <c r="J4" s="44">
        <v>1</v>
      </c>
      <c r="K4" s="372">
        <v>19</v>
      </c>
      <c r="L4" s="214"/>
      <c r="M4" s="262" t="s">
        <v>1583</v>
      </c>
      <c r="N4" s="214"/>
      <c r="O4" s="217"/>
      <c r="P4" s="295" t="s">
        <v>184</v>
      </c>
      <c r="Q4" s="296" t="s">
        <v>225</v>
      </c>
      <c r="R4" s="296" t="s">
        <v>33</v>
      </c>
      <c r="S4" s="296" t="s">
        <v>226</v>
      </c>
      <c r="T4" s="296" t="s">
        <v>227</v>
      </c>
      <c r="U4" s="296" t="s">
        <v>506</v>
      </c>
      <c r="V4" s="296" t="s">
        <v>507</v>
      </c>
      <c r="W4" s="321" t="s">
        <v>801</v>
      </c>
      <c r="X4" s="296">
        <v>2</v>
      </c>
      <c r="Y4" s="373">
        <v>130</v>
      </c>
      <c r="Z4" s="223">
        <f>X4*1</f>
        <v>2</v>
      </c>
      <c r="AC4" s="30" t="s">
        <v>185</v>
      </c>
      <c r="AD4" s="31" t="s">
        <v>118</v>
      </c>
      <c r="AE4" s="32" t="s">
        <v>5</v>
      </c>
      <c r="AF4" s="31" t="s">
        <v>5</v>
      </c>
      <c r="AG4" s="33" t="s">
        <v>5</v>
      </c>
      <c r="AH4" s="31" t="s">
        <v>5</v>
      </c>
      <c r="AI4" s="33" t="s">
        <v>5</v>
      </c>
      <c r="AJ4" s="70" t="s">
        <v>120</v>
      </c>
      <c r="AK4" s="114">
        <v>1</v>
      </c>
      <c r="AL4" s="114">
        <v>19</v>
      </c>
      <c r="AM4" s="254"/>
      <c r="AN4" s="323" t="str">
        <f>IF(AO4="","",AN3+1)</f>
        <v/>
      </c>
      <c r="AO4" s="262"/>
      <c r="AP4" s="210">
        <v>1</v>
      </c>
      <c r="AQ4" s="324"/>
      <c r="AR4" s="210">
        <v>1</v>
      </c>
      <c r="AS4" s="261"/>
      <c r="AT4" s="227" t="str">
        <f>AT1&amp;"\"&amp;AQ5</f>
        <v>G:\Shared drives\02.Collabo\01.Project Level\0000.Potential Projects\BIM 4D-5D\01. WIP\2D-3D\01. Architecture\05. Families\Windows\A_WIN_FIX_SIN_20.rfa</v>
      </c>
      <c r="AU4" s="254"/>
      <c r="AV4" s="254"/>
      <c r="AW4" s="254"/>
      <c r="AX4" s="254"/>
      <c r="AY4" s="254"/>
      <c r="AZ4" s="254"/>
      <c r="BA4" s="254"/>
      <c r="BB4" s="306" t="str">
        <f>IF(AO4="","",LEFT(AO4,SEARCH(".",AO4)-1))</f>
        <v/>
      </c>
      <c r="BC4" s="254"/>
      <c r="BD4" s="254"/>
      <c r="BE4" s="254"/>
      <c r="BF4" s="254"/>
      <c r="BO4" s="10" t="s">
        <v>607</v>
      </c>
    </row>
    <row r="5" spans="1:68" s="10" customFormat="1" x14ac:dyDescent="0.25">
      <c r="A5" s="113"/>
      <c r="B5" s="35" t="s">
        <v>185</v>
      </c>
      <c r="C5" s="44" t="s">
        <v>118</v>
      </c>
      <c r="D5" s="44" t="s">
        <v>5</v>
      </c>
      <c r="E5" s="44" t="s">
        <v>5</v>
      </c>
      <c r="F5" s="44" t="s">
        <v>5</v>
      </c>
      <c r="G5" s="44" t="s">
        <v>5</v>
      </c>
      <c r="H5" s="44" t="s">
        <v>5</v>
      </c>
      <c r="I5" s="360" t="s">
        <v>119</v>
      </c>
      <c r="J5" s="44">
        <v>2</v>
      </c>
      <c r="K5" s="372">
        <v>8</v>
      </c>
      <c r="L5" s="214"/>
      <c r="M5" s="214"/>
      <c r="N5" s="214"/>
      <c r="O5" s="217"/>
      <c r="P5" s="295" t="s">
        <v>184</v>
      </c>
      <c r="Q5" s="296" t="s">
        <v>225</v>
      </c>
      <c r="R5" s="296" t="s">
        <v>33</v>
      </c>
      <c r="S5" s="296" t="s">
        <v>226</v>
      </c>
      <c r="T5" s="296" t="s">
        <v>227</v>
      </c>
      <c r="U5" s="296" t="s">
        <v>729</v>
      </c>
      <c r="V5" s="296" t="s">
        <v>730</v>
      </c>
      <c r="W5" s="321" t="s">
        <v>802</v>
      </c>
      <c r="X5" s="296">
        <v>6</v>
      </c>
      <c r="Y5" s="373">
        <v>133</v>
      </c>
      <c r="Z5" s="222">
        <f>X5*1</f>
        <v>6</v>
      </c>
      <c r="AC5" s="35" t="s">
        <v>185</v>
      </c>
      <c r="AD5" s="36" t="s">
        <v>118</v>
      </c>
      <c r="AE5" s="37" t="s">
        <v>5</v>
      </c>
      <c r="AF5" s="36" t="s">
        <v>5</v>
      </c>
      <c r="AG5" s="38" t="s">
        <v>5</v>
      </c>
      <c r="AH5" s="36" t="s">
        <v>5</v>
      </c>
      <c r="AI5" s="38" t="s">
        <v>5</v>
      </c>
      <c r="AJ5" s="67" t="s">
        <v>119</v>
      </c>
      <c r="AK5" s="115">
        <v>2</v>
      </c>
      <c r="AL5" s="115">
        <v>8</v>
      </c>
      <c r="AM5" s="254"/>
      <c r="AN5" s="323" t="str">
        <f>IF(AO5="","",AN4+1)</f>
        <v/>
      </c>
      <c r="AO5" s="262"/>
      <c r="AP5" s="210"/>
      <c r="AQ5" s="214" t="s">
        <v>1571</v>
      </c>
      <c r="AR5" s="210">
        <v>2</v>
      </c>
      <c r="AS5" s="262" t="s">
        <v>1577</v>
      </c>
      <c r="AT5" s="227" t="str">
        <f>AT1&amp;"\"&amp;AS5</f>
        <v>G:\Shared drives\02.Collabo\01.Project Level\0000.Potential Projects\BIM 4D-5D\01. WIP\2D-3D\01. Architecture\05. Families\Windows\A_WIN_FIX_TRI_20.rfa</v>
      </c>
      <c r="AU5" s="254"/>
      <c r="AV5" s="254"/>
      <c r="AW5" s="254"/>
      <c r="AX5" s="254"/>
      <c r="AY5" s="254"/>
      <c r="AZ5" s="254"/>
      <c r="BA5" s="254"/>
      <c r="BB5" s="306" t="str">
        <f t="shared" ref="BB5:BB68" si="0">IF(AO5="","",LEFT(AO5,SEARCH(".",AO5)-1))</f>
        <v/>
      </c>
      <c r="BC5" s="254"/>
      <c r="BD5" s="254"/>
      <c r="BE5" s="254"/>
      <c r="BF5" s="254"/>
      <c r="BO5" s="10" t="s">
        <v>573</v>
      </c>
    </row>
    <row r="6" spans="1:68" s="10" customFormat="1" x14ac:dyDescent="0.25">
      <c r="A6" s="113"/>
      <c r="B6" s="35" t="s">
        <v>185</v>
      </c>
      <c r="C6" s="44" t="s">
        <v>621</v>
      </c>
      <c r="D6" s="44" t="s">
        <v>5</v>
      </c>
      <c r="E6" s="44" t="s">
        <v>5</v>
      </c>
      <c r="F6" s="44" t="s">
        <v>5</v>
      </c>
      <c r="G6" s="44" t="s">
        <v>5</v>
      </c>
      <c r="H6" s="44" t="s">
        <v>5</v>
      </c>
      <c r="I6" s="360" t="s">
        <v>622</v>
      </c>
      <c r="J6" s="44">
        <v>1</v>
      </c>
      <c r="K6" s="372">
        <v>4</v>
      </c>
      <c r="L6" s="214"/>
      <c r="M6" s="214"/>
      <c r="N6" s="214"/>
      <c r="O6" s="217"/>
      <c r="P6" s="295" t="s">
        <v>184</v>
      </c>
      <c r="Q6" s="296" t="s">
        <v>225</v>
      </c>
      <c r="R6" s="296" t="s">
        <v>33</v>
      </c>
      <c r="S6" s="296" t="s">
        <v>731</v>
      </c>
      <c r="T6" s="296" t="s">
        <v>732</v>
      </c>
      <c r="U6" s="296" t="s">
        <v>733</v>
      </c>
      <c r="V6" s="296" t="s">
        <v>734</v>
      </c>
      <c r="W6" s="321" t="s">
        <v>803</v>
      </c>
      <c r="X6" s="296">
        <v>12</v>
      </c>
      <c r="Y6" s="373">
        <v>72</v>
      </c>
      <c r="Z6" s="222">
        <f t="shared" ref="Z6:Z61" si="1">X6*1</f>
        <v>12</v>
      </c>
      <c r="AC6" s="35" t="s">
        <v>185</v>
      </c>
      <c r="AD6" s="36" t="s">
        <v>621</v>
      </c>
      <c r="AE6" s="37" t="s">
        <v>5</v>
      </c>
      <c r="AF6" s="36" t="s">
        <v>5</v>
      </c>
      <c r="AG6" s="38" t="s">
        <v>5</v>
      </c>
      <c r="AH6" s="36" t="s">
        <v>5</v>
      </c>
      <c r="AI6" s="38" t="s">
        <v>5</v>
      </c>
      <c r="AJ6" s="67" t="s">
        <v>622</v>
      </c>
      <c r="AK6" s="115">
        <v>1</v>
      </c>
      <c r="AL6" s="115">
        <v>4</v>
      </c>
      <c r="AM6" s="254"/>
      <c r="AN6" s="323" t="str">
        <f t="shared" ref="AN6:AN69" si="2">IF(AO6="","",AN5+1)</f>
        <v/>
      </c>
      <c r="AO6" s="262"/>
      <c r="AP6" s="210"/>
      <c r="AQ6" s="214"/>
      <c r="AR6" s="210"/>
      <c r="AS6" s="262"/>
      <c r="AT6" s="214"/>
      <c r="AU6" s="254"/>
      <c r="AV6" s="254"/>
      <c r="AW6" s="254"/>
      <c r="AX6" s="254"/>
      <c r="AY6" s="254"/>
      <c r="AZ6" s="254"/>
      <c r="BA6" s="254"/>
      <c r="BB6" s="306" t="str">
        <f t="shared" si="0"/>
        <v/>
      </c>
      <c r="BC6" s="254"/>
      <c r="BD6" s="254"/>
      <c r="BE6" s="254"/>
      <c r="BF6" s="254"/>
      <c r="BO6" s="10" t="s">
        <v>605</v>
      </c>
    </row>
    <row r="7" spans="1:68" s="10" customFormat="1" ht="15.75" customHeight="1" x14ac:dyDescent="0.25">
      <c r="A7" s="113"/>
      <c r="B7" s="35" t="s">
        <v>185</v>
      </c>
      <c r="C7" s="44" t="s">
        <v>621</v>
      </c>
      <c r="D7" s="44" t="s">
        <v>5</v>
      </c>
      <c r="E7" s="44" t="s">
        <v>5</v>
      </c>
      <c r="F7" s="44" t="s">
        <v>5</v>
      </c>
      <c r="G7" s="44" t="s">
        <v>5</v>
      </c>
      <c r="H7" s="44" t="s">
        <v>5</v>
      </c>
      <c r="I7" s="360" t="s">
        <v>623</v>
      </c>
      <c r="J7" s="44">
        <v>2</v>
      </c>
      <c r="K7" s="372">
        <v>6</v>
      </c>
      <c r="L7" s="215"/>
      <c r="M7" s="215" t="str">
        <f>I3</f>
        <v>Falimy Name</v>
      </c>
      <c r="N7" s="214"/>
      <c r="O7" s="217"/>
      <c r="P7" s="295" t="s">
        <v>184</v>
      </c>
      <c r="Q7" s="296" t="s">
        <v>225</v>
      </c>
      <c r="R7" s="296" t="s">
        <v>33</v>
      </c>
      <c r="S7" s="296" t="s">
        <v>731</v>
      </c>
      <c r="T7" s="296" t="s">
        <v>732</v>
      </c>
      <c r="U7" s="296" t="s">
        <v>735</v>
      </c>
      <c r="V7" s="296" t="s">
        <v>736</v>
      </c>
      <c r="W7" s="321" t="s">
        <v>804</v>
      </c>
      <c r="X7" s="296">
        <v>13</v>
      </c>
      <c r="Y7" s="373">
        <v>70</v>
      </c>
      <c r="Z7" s="222">
        <f t="shared" si="1"/>
        <v>13</v>
      </c>
      <c r="AC7" s="35" t="s">
        <v>185</v>
      </c>
      <c r="AD7" s="36" t="s">
        <v>621</v>
      </c>
      <c r="AE7" s="37" t="s">
        <v>5</v>
      </c>
      <c r="AF7" s="36" t="s">
        <v>5</v>
      </c>
      <c r="AG7" s="38" t="s">
        <v>5</v>
      </c>
      <c r="AH7" s="36" t="s">
        <v>5</v>
      </c>
      <c r="AI7" s="38" t="s">
        <v>5</v>
      </c>
      <c r="AJ7" s="67" t="s">
        <v>623</v>
      </c>
      <c r="AK7" s="115">
        <v>2</v>
      </c>
      <c r="AL7" s="115">
        <v>6</v>
      </c>
      <c r="AM7" s="254"/>
      <c r="AN7" s="323" t="str">
        <f t="shared" si="2"/>
        <v/>
      </c>
      <c r="AO7" s="261"/>
      <c r="AP7" s="210"/>
      <c r="AQ7" s="214"/>
      <c r="AR7" s="210"/>
      <c r="AS7" s="262"/>
      <c r="AT7" s="214"/>
      <c r="AU7" s="254"/>
      <c r="AV7" s="254"/>
      <c r="AW7" s="254"/>
      <c r="AX7" s="254"/>
      <c r="AY7" s="254"/>
      <c r="AZ7" s="254"/>
      <c r="BA7" s="254"/>
      <c r="BB7" s="306" t="str">
        <f t="shared" si="0"/>
        <v/>
      </c>
      <c r="BC7" s="254"/>
      <c r="BD7" s="254"/>
      <c r="BE7" s="254"/>
      <c r="BF7" s="254"/>
      <c r="BO7" s="10" t="s">
        <v>574</v>
      </c>
    </row>
    <row r="8" spans="1:68" s="10" customFormat="1" ht="15.75" customHeight="1" x14ac:dyDescent="0.25">
      <c r="A8" s="113"/>
      <c r="B8" s="35" t="s">
        <v>185</v>
      </c>
      <c r="C8" s="44" t="s">
        <v>621</v>
      </c>
      <c r="D8" s="44" t="s">
        <v>5</v>
      </c>
      <c r="E8" s="44" t="s">
        <v>5</v>
      </c>
      <c r="F8" s="44" t="s">
        <v>5</v>
      </c>
      <c r="G8" s="44" t="s">
        <v>5</v>
      </c>
      <c r="H8" s="44" t="s">
        <v>5</v>
      </c>
      <c r="I8" s="360" t="s">
        <v>624</v>
      </c>
      <c r="J8" s="44">
        <v>3</v>
      </c>
      <c r="K8" s="372">
        <v>17</v>
      </c>
      <c r="L8" s="215"/>
      <c r="M8" s="215" t="str">
        <f>C3</f>
        <v>Categories</v>
      </c>
      <c r="N8" s="214"/>
      <c r="O8" s="217"/>
      <c r="P8" s="295" t="s">
        <v>184</v>
      </c>
      <c r="Q8" s="296" t="s">
        <v>225</v>
      </c>
      <c r="R8" s="296" t="s">
        <v>33</v>
      </c>
      <c r="S8" s="296" t="s">
        <v>731</v>
      </c>
      <c r="T8" s="296" t="s">
        <v>732</v>
      </c>
      <c r="U8" s="296" t="s">
        <v>737</v>
      </c>
      <c r="V8" s="296" t="s">
        <v>738</v>
      </c>
      <c r="W8" s="321" t="s">
        <v>805</v>
      </c>
      <c r="X8" s="296">
        <v>14</v>
      </c>
      <c r="Y8" s="373">
        <v>71</v>
      </c>
      <c r="Z8" s="222">
        <f t="shared" si="1"/>
        <v>14</v>
      </c>
      <c r="AC8" s="35" t="s">
        <v>185</v>
      </c>
      <c r="AD8" s="36" t="s">
        <v>621</v>
      </c>
      <c r="AE8" s="37" t="s">
        <v>5</v>
      </c>
      <c r="AF8" s="36" t="s">
        <v>5</v>
      </c>
      <c r="AG8" s="38" t="s">
        <v>5</v>
      </c>
      <c r="AH8" s="36" t="s">
        <v>5</v>
      </c>
      <c r="AI8" s="38" t="s">
        <v>5</v>
      </c>
      <c r="AJ8" s="67" t="s">
        <v>624</v>
      </c>
      <c r="AK8" s="115">
        <v>3</v>
      </c>
      <c r="AL8" s="115">
        <v>17</v>
      </c>
      <c r="AM8" s="254"/>
      <c r="AN8" s="323" t="str">
        <f t="shared" si="2"/>
        <v/>
      </c>
      <c r="AO8" s="262"/>
      <c r="AP8" s="210"/>
      <c r="AQ8" s="214"/>
      <c r="AR8" s="210"/>
      <c r="AS8" s="262"/>
      <c r="AT8" s="214"/>
      <c r="AU8" s="254"/>
      <c r="AV8" s="254"/>
      <c r="AW8" s="254"/>
      <c r="AX8" s="254"/>
      <c r="AY8" s="254"/>
      <c r="AZ8" s="254"/>
      <c r="BA8" s="254"/>
      <c r="BB8" s="306" t="str">
        <f t="shared" si="0"/>
        <v/>
      </c>
      <c r="BC8" s="254"/>
      <c r="BD8" s="254"/>
      <c r="BE8" s="254"/>
      <c r="BF8" s="254"/>
      <c r="BO8" s="10" t="s">
        <v>606</v>
      </c>
    </row>
    <row r="9" spans="1:68" s="10" customFormat="1" ht="15.75" customHeight="1" x14ac:dyDescent="0.25">
      <c r="A9" s="113"/>
      <c r="B9" s="35" t="s">
        <v>185</v>
      </c>
      <c r="C9" s="44" t="s">
        <v>621</v>
      </c>
      <c r="D9" s="44" t="s">
        <v>5</v>
      </c>
      <c r="E9" s="44" t="s">
        <v>5</v>
      </c>
      <c r="F9" s="44" t="s">
        <v>5</v>
      </c>
      <c r="G9" s="44" t="s">
        <v>5</v>
      </c>
      <c r="H9" s="44" t="s">
        <v>5</v>
      </c>
      <c r="I9" s="360" t="s">
        <v>625</v>
      </c>
      <c r="J9" s="44">
        <v>4</v>
      </c>
      <c r="K9" s="372">
        <v>14</v>
      </c>
      <c r="L9" s="216"/>
      <c r="M9" s="216" t="str">
        <f>E3</f>
        <v>Types</v>
      </c>
      <c r="N9" s="214"/>
      <c r="O9" s="217"/>
      <c r="P9" s="295" t="s">
        <v>184</v>
      </c>
      <c r="Q9" s="296" t="s">
        <v>225</v>
      </c>
      <c r="R9" s="296" t="s">
        <v>33</v>
      </c>
      <c r="S9" s="296" t="s">
        <v>739</v>
      </c>
      <c r="T9" s="296" t="s">
        <v>740</v>
      </c>
      <c r="U9" s="296" t="s">
        <v>733</v>
      </c>
      <c r="V9" s="296" t="s">
        <v>734</v>
      </c>
      <c r="W9" s="321" t="s">
        <v>806</v>
      </c>
      <c r="X9" s="296">
        <v>15</v>
      </c>
      <c r="Y9" s="373">
        <v>126</v>
      </c>
      <c r="Z9" s="222">
        <f t="shared" si="1"/>
        <v>15</v>
      </c>
      <c r="AC9" s="35" t="s">
        <v>185</v>
      </c>
      <c r="AD9" s="36" t="s">
        <v>621</v>
      </c>
      <c r="AE9" s="37" t="s">
        <v>5</v>
      </c>
      <c r="AF9" s="36" t="s">
        <v>5</v>
      </c>
      <c r="AG9" s="38" t="s">
        <v>5</v>
      </c>
      <c r="AH9" s="36" t="s">
        <v>5</v>
      </c>
      <c r="AI9" s="38" t="s">
        <v>5</v>
      </c>
      <c r="AJ9" s="67" t="s">
        <v>625</v>
      </c>
      <c r="AK9" s="115">
        <v>4</v>
      </c>
      <c r="AL9" s="115">
        <v>14</v>
      </c>
      <c r="AM9" s="254"/>
      <c r="AN9" s="323" t="str">
        <f t="shared" si="2"/>
        <v/>
      </c>
      <c r="AO9" s="262"/>
      <c r="AP9" s="210"/>
      <c r="AQ9" s="214"/>
      <c r="AR9" s="210"/>
      <c r="AS9" s="262"/>
      <c r="AT9" s="214"/>
      <c r="AU9" s="254"/>
      <c r="AV9" s="254"/>
      <c r="AW9" s="254"/>
      <c r="AX9" s="254"/>
      <c r="AY9" s="254"/>
      <c r="AZ9" s="254"/>
      <c r="BA9" s="254"/>
      <c r="BB9" s="306" t="str">
        <f t="shared" si="0"/>
        <v/>
      </c>
      <c r="BC9" s="254"/>
      <c r="BD9" s="254"/>
      <c r="BE9" s="254"/>
      <c r="BF9" s="254"/>
      <c r="BO9" s="10" t="s">
        <v>575</v>
      </c>
    </row>
    <row r="10" spans="1:68" s="10" customFormat="1" ht="15" customHeight="1" x14ac:dyDescent="0.25">
      <c r="A10" s="113"/>
      <c r="B10" s="35" t="s">
        <v>185</v>
      </c>
      <c r="C10" s="36" t="s">
        <v>621</v>
      </c>
      <c r="D10" s="36" t="s">
        <v>5</v>
      </c>
      <c r="E10" s="36" t="s">
        <v>5</v>
      </c>
      <c r="F10" s="36" t="s">
        <v>5</v>
      </c>
      <c r="G10" s="36" t="s">
        <v>5</v>
      </c>
      <c r="H10" s="36" t="s">
        <v>5</v>
      </c>
      <c r="I10" s="360" t="s">
        <v>626</v>
      </c>
      <c r="J10" s="36">
        <v>5</v>
      </c>
      <c r="K10" s="371">
        <v>15</v>
      </c>
      <c r="L10" s="264"/>
      <c r="M10" s="264" t="str">
        <f>G3</f>
        <v>SubTypes</v>
      </c>
      <c r="N10" s="214"/>
      <c r="O10" s="217"/>
      <c r="P10" s="295" t="s">
        <v>184</v>
      </c>
      <c r="Q10" s="296" t="s">
        <v>225</v>
      </c>
      <c r="R10" s="296" t="s">
        <v>33</v>
      </c>
      <c r="S10" s="296" t="s">
        <v>739</v>
      </c>
      <c r="T10" s="296" t="s">
        <v>740</v>
      </c>
      <c r="U10" s="296" t="s">
        <v>741</v>
      </c>
      <c r="V10" s="296" t="s">
        <v>742</v>
      </c>
      <c r="W10" s="321" t="s">
        <v>807</v>
      </c>
      <c r="X10" s="296">
        <v>16</v>
      </c>
      <c r="Y10" s="373">
        <v>127</v>
      </c>
      <c r="Z10" s="222">
        <f t="shared" si="1"/>
        <v>16</v>
      </c>
      <c r="AC10" s="35" t="s">
        <v>185</v>
      </c>
      <c r="AD10" s="36" t="s">
        <v>621</v>
      </c>
      <c r="AE10" s="37" t="s">
        <v>5</v>
      </c>
      <c r="AF10" s="36" t="s">
        <v>5</v>
      </c>
      <c r="AG10" s="38" t="s">
        <v>5</v>
      </c>
      <c r="AH10" s="36" t="s">
        <v>5</v>
      </c>
      <c r="AI10" s="38" t="s">
        <v>5</v>
      </c>
      <c r="AJ10" s="67" t="s">
        <v>626</v>
      </c>
      <c r="AK10" s="115">
        <v>5</v>
      </c>
      <c r="AL10" s="115">
        <v>15</v>
      </c>
      <c r="AM10" s="254"/>
      <c r="AN10" s="323" t="str">
        <f t="shared" si="2"/>
        <v/>
      </c>
      <c r="AO10" s="262"/>
      <c r="AP10" s="210"/>
      <c r="AQ10" s="214"/>
      <c r="AR10" s="210"/>
      <c r="AS10" s="262"/>
      <c r="AT10" s="214"/>
      <c r="AU10" s="254"/>
      <c r="AV10" s="254"/>
      <c r="AW10" s="254"/>
      <c r="AX10" s="254"/>
      <c r="AY10" s="254"/>
      <c r="AZ10" s="254"/>
      <c r="BA10" s="254"/>
      <c r="BB10" s="306" t="str">
        <f t="shared" si="0"/>
        <v/>
      </c>
      <c r="BC10" s="254"/>
      <c r="BD10" s="254"/>
      <c r="BE10" s="254"/>
      <c r="BF10" s="254"/>
      <c r="BO10" s="10" t="s">
        <v>608</v>
      </c>
    </row>
    <row r="11" spans="1:68" s="10" customFormat="1" ht="15" customHeight="1" x14ac:dyDescent="0.25">
      <c r="A11" s="113"/>
      <c r="B11" s="35" t="s">
        <v>185</v>
      </c>
      <c r="C11" s="44" t="s">
        <v>621</v>
      </c>
      <c r="D11" s="44" t="s">
        <v>5</v>
      </c>
      <c r="E11" s="44" t="s">
        <v>5</v>
      </c>
      <c r="F11" s="44" t="s">
        <v>5</v>
      </c>
      <c r="G11" s="44" t="s">
        <v>5</v>
      </c>
      <c r="H11" s="44" t="s">
        <v>5</v>
      </c>
      <c r="I11" s="360" t="s">
        <v>627</v>
      </c>
      <c r="J11" s="44">
        <v>6</v>
      </c>
      <c r="K11" s="372">
        <v>145</v>
      </c>
      <c r="L11" s="279"/>
      <c r="M11" s="279" t="str">
        <f>D3</f>
        <v>Abbr Categories</v>
      </c>
      <c r="N11" s="214"/>
      <c r="O11" s="217"/>
      <c r="P11" s="295" t="s">
        <v>184</v>
      </c>
      <c r="Q11" s="296" t="s">
        <v>225</v>
      </c>
      <c r="R11" s="296" t="s">
        <v>33</v>
      </c>
      <c r="S11" s="296" t="s">
        <v>1572</v>
      </c>
      <c r="T11" s="296" t="s">
        <v>648</v>
      </c>
      <c r="U11" s="296" t="s">
        <v>704</v>
      </c>
      <c r="V11" s="296" t="s">
        <v>705</v>
      </c>
      <c r="W11" s="321" t="s">
        <v>1573</v>
      </c>
      <c r="X11" s="296">
        <v>21</v>
      </c>
      <c r="Y11" s="373">
        <v>170</v>
      </c>
      <c r="Z11" s="222">
        <f t="shared" si="1"/>
        <v>21</v>
      </c>
      <c r="AC11" s="35" t="s">
        <v>185</v>
      </c>
      <c r="AD11" s="36" t="s">
        <v>621</v>
      </c>
      <c r="AE11" s="37" t="s">
        <v>5</v>
      </c>
      <c r="AF11" s="36" t="s">
        <v>5</v>
      </c>
      <c r="AG11" s="38" t="s">
        <v>5</v>
      </c>
      <c r="AH11" s="36" t="s">
        <v>5</v>
      </c>
      <c r="AI11" s="38" t="s">
        <v>5</v>
      </c>
      <c r="AJ11" s="67" t="s">
        <v>627</v>
      </c>
      <c r="AK11" s="115">
        <v>6</v>
      </c>
      <c r="AL11" s="115">
        <v>145</v>
      </c>
      <c r="AM11" s="254"/>
      <c r="AN11" s="323" t="str">
        <f t="shared" si="2"/>
        <v/>
      </c>
      <c r="AO11" s="262"/>
      <c r="AP11" s="210"/>
      <c r="AQ11" s="214"/>
      <c r="AR11" s="210"/>
      <c r="AS11" s="262"/>
      <c r="AT11" s="214"/>
      <c r="AU11" s="254"/>
      <c r="AV11" s="254"/>
      <c r="AW11" s="254"/>
      <c r="AX11" s="254"/>
      <c r="AY11" s="254"/>
      <c r="AZ11" s="254"/>
      <c r="BA11" s="254"/>
      <c r="BB11" s="306" t="str">
        <f t="shared" si="0"/>
        <v/>
      </c>
      <c r="BC11" s="254"/>
      <c r="BD11" s="254"/>
      <c r="BE11" s="254"/>
      <c r="BF11" s="254"/>
      <c r="BO11" s="10" t="s">
        <v>576</v>
      </c>
    </row>
    <row r="12" spans="1:68" s="10" customFormat="1" ht="15" customHeight="1" x14ac:dyDescent="0.25">
      <c r="A12" s="113"/>
      <c r="B12" s="35" t="s">
        <v>185</v>
      </c>
      <c r="C12" s="36" t="s">
        <v>1</v>
      </c>
      <c r="D12" s="36" t="s">
        <v>5</v>
      </c>
      <c r="E12" s="36" t="s">
        <v>5</v>
      </c>
      <c r="F12" s="36" t="s">
        <v>5</v>
      </c>
      <c r="G12" s="36" t="s">
        <v>5</v>
      </c>
      <c r="H12" s="36" t="s">
        <v>5</v>
      </c>
      <c r="I12" s="360" t="s">
        <v>1</v>
      </c>
      <c r="J12" s="36">
        <v>1</v>
      </c>
      <c r="K12" s="371">
        <v>13</v>
      </c>
      <c r="L12" s="279"/>
      <c r="M12" s="279" t="str">
        <f>F3</f>
        <v>Abbr Types</v>
      </c>
      <c r="N12" s="214"/>
      <c r="O12" s="217"/>
      <c r="P12" s="295" t="s">
        <v>184</v>
      </c>
      <c r="Q12" s="296" t="s">
        <v>225</v>
      </c>
      <c r="R12" s="296" t="s">
        <v>33</v>
      </c>
      <c r="S12" s="296" t="s">
        <v>1572</v>
      </c>
      <c r="T12" s="296" t="s">
        <v>648</v>
      </c>
      <c r="U12" s="296" t="s">
        <v>728</v>
      </c>
      <c r="V12" s="296" t="s">
        <v>727</v>
      </c>
      <c r="W12" s="321" t="s">
        <v>1574</v>
      </c>
      <c r="X12" s="296">
        <v>19</v>
      </c>
      <c r="Y12" s="373">
        <v>171</v>
      </c>
      <c r="Z12" s="222">
        <f t="shared" si="1"/>
        <v>19</v>
      </c>
      <c r="AC12" s="35" t="s">
        <v>185</v>
      </c>
      <c r="AD12" s="36" t="s">
        <v>1</v>
      </c>
      <c r="AE12" s="37" t="s">
        <v>5</v>
      </c>
      <c r="AF12" s="36" t="s">
        <v>5</v>
      </c>
      <c r="AG12" s="38" t="s">
        <v>5</v>
      </c>
      <c r="AH12" s="36" t="s">
        <v>5</v>
      </c>
      <c r="AI12" s="38" t="s">
        <v>5</v>
      </c>
      <c r="AJ12" s="67" t="s">
        <v>1</v>
      </c>
      <c r="AK12" s="115">
        <v>1</v>
      </c>
      <c r="AL12" s="115">
        <v>13</v>
      </c>
      <c r="AM12" s="254"/>
      <c r="AN12" s="323" t="str">
        <f t="shared" si="2"/>
        <v/>
      </c>
      <c r="AO12" s="261"/>
      <c r="AP12" s="210"/>
      <c r="AQ12" s="214"/>
      <c r="AR12" s="210"/>
      <c r="AS12" s="262"/>
      <c r="AT12" s="214"/>
      <c r="AU12" s="254"/>
      <c r="AV12" s="254"/>
      <c r="AW12" s="254"/>
      <c r="AX12" s="254"/>
      <c r="AY12" s="254"/>
      <c r="AZ12" s="254"/>
      <c r="BA12" s="254"/>
      <c r="BB12" s="306" t="str">
        <f t="shared" si="0"/>
        <v/>
      </c>
      <c r="BC12" s="254"/>
      <c r="BD12" s="254"/>
      <c r="BE12" s="254"/>
      <c r="BF12" s="254"/>
      <c r="BO12" s="10" t="s">
        <v>577</v>
      </c>
    </row>
    <row r="13" spans="1:68" s="10" customFormat="1" ht="15" customHeight="1" x14ac:dyDescent="0.25">
      <c r="A13" s="113"/>
      <c r="B13" s="35" t="s">
        <v>185</v>
      </c>
      <c r="C13" s="44" t="s">
        <v>618</v>
      </c>
      <c r="D13" s="44" t="s">
        <v>5</v>
      </c>
      <c r="E13" s="44" t="s">
        <v>5</v>
      </c>
      <c r="F13" s="44" t="s">
        <v>5</v>
      </c>
      <c r="G13" s="44" t="s">
        <v>5</v>
      </c>
      <c r="H13" s="44" t="s">
        <v>5</v>
      </c>
      <c r="I13" s="360" t="s">
        <v>619</v>
      </c>
      <c r="J13" s="44">
        <v>1</v>
      </c>
      <c r="K13" s="372">
        <v>2</v>
      </c>
      <c r="L13" s="279"/>
      <c r="M13" s="279" t="str">
        <f>H3</f>
        <v>Abbr SubTypes</v>
      </c>
      <c r="N13" s="214"/>
      <c r="O13" s="217"/>
      <c r="P13" s="295" t="s">
        <v>184</v>
      </c>
      <c r="Q13" s="296" t="s">
        <v>225</v>
      </c>
      <c r="R13" s="296" t="s">
        <v>33</v>
      </c>
      <c r="S13" s="296" t="s">
        <v>218</v>
      </c>
      <c r="T13" s="296" t="s">
        <v>660</v>
      </c>
      <c r="U13" s="296" t="s">
        <v>506</v>
      </c>
      <c r="V13" s="296" t="s">
        <v>507</v>
      </c>
      <c r="W13" s="321" t="s">
        <v>808</v>
      </c>
      <c r="X13" s="296">
        <v>1</v>
      </c>
      <c r="Y13" s="373">
        <v>128</v>
      </c>
      <c r="Z13" s="222">
        <f t="shared" si="1"/>
        <v>1</v>
      </c>
      <c r="AC13" s="35" t="s">
        <v>185</v>
      </c>
      <c r="AD13" s="36" t="s">
        <v>618</v>
      </c>
      <c r="AE13" s="37" t="s">
        <v>5</v>
      </c>
      <c r="AF13" s="36" t="s">
        <v>5</v>
      </c>
      <c r="AG13" s="38" t="s">
        <v>5</v>
      </c>
      <c r="AH13" s="36" t="s">
        <v>5</v>
      </c>
      <c r="AI13" s="38" t="s">
        <v>5</v>
      </c>
      <c r="AJ13" s="67" t="s">
        <v>619</v>
      </c>
      <c r="AK13" s="115">
        <v>1</v>
      </c>
      <c r="AL13" s="115">
        <v>2</v>
      </c>
      <c r="AM13" s="254"/>
      <c r="AN13" s="323" t="str">
        <f t="shared" si="2"/>
        <v/>
      </c>
      <c r="AO13" s="262"/>
      <c r="AP13" s="210"/>
      <c r="AQ13" s="214"/>
      <c r="AR13" s="210"/>
      <c r="AS13" s="262"/>
      <c r="AT13" s="214"/>
      <c r="AU13" s="254"/>
      <c r="AV13" s="254"/>
      <c r="AW13" s="254"/>
      <c r="AX13" s="254"/>
      <c r="AY13" s="254"/>
      <c r="AZ13" s="254"/>
      <c r="BA13" s="254"/>
      <c r="BB13" s="306" t="str">
        <f t="shared" si="0"/>
        <v/>
      </c>
      <c r="BC13" s="254"/>
      <c r="BD13" s="254"/>
      <c r="BE13" s="254"/>
      <c r="BF13" s="254"/>
    </row>
    <row r="14" spans="1:68" s="10" customFormat="1" ht="15" customHeight="1" x14ac:dyDescent="0.25">
      <c r="A14" s="113"/>
      <c r="B14" s="35" t="s">
        <v>185</v>
      </c>
      <c r="C14" s="36" t="s">
        <v>213</v>
      </c>
      <c r="D14" s="36" t="s">
        <v>5</v>
      </c>
      <c r="E14" s="36" t="s">
        <v>5</v>
      </c>
      <c r="F14" s="36" t="s">
        <v>5</v>
      </c>
      <c r="G14" s="36" t="s">
        <v>5</v>
      </c>
      <c r="H14" s="36" t="s">
        <v>5</v>
      </c>
      <c r="I14" s="360" t="s">
        <v>636</v>
      </c>
      <c r="J14" s="36">
        <v>1</v>
      </c>
      <c r="K14" s="371">
        <v>140</v>
      </c>
      <c r="L14" s="322"/>
      <c r="M14" s="322"/>
      <c r="N14" s="214"/>
      <c r="O14" s="217"/>
      <c r="P14" s="295" t="s">
        <v>184</v>
      </c>
      <c r="Q14" s="296" t="s">
        <v>225</v>
      </c>
      <c r="R14" s="296" t="s">
        <v>33</v>
      </c>
      <c r="S14" s="296" t="s">
        <v>49</v>
      </c>
      <c r="T14" s="296" t="s">
        <v>51</v>
      </c>
      <c r="U14" s="296" t="s">
        <v>1098</v>
      </c>
      <c r="V14" s="296" t="s">
        <v>1534</v>
      </c>
      <c r="W14" s="321" t="s">
        <v>1542</v>
      </c>
      <c r="X14" s="296">
        <v>17</v>
      </c>
      <c r="Y14" s="373">
        <v>129</v>
      </c>
      <c r="Z14" s="222">
        <f t="shared" si="1"/>
        <v>17</v>
      </c>
      <c r="AC14" s="35" t="s">
        <v>185</v>
      </c>
      <c r="AD14" s="36" t="s">
        <v>213</v>
      </c>
      <c r="AE14" s="37" t="s">
        <v>5</v>
      </c>
      <c r="AF14" s="36" t="s">
        <v>5</v>
      </c>
      <c r="AG14" s="38" t="s">
        <v>5</v>
      </c>
      <c r="AH14" s="36" t="s">
        <v>5</v>
      </c>
      <c r="AI14" s="38" t="s">
        <v>5</v>
      </c>
      <c r="AJ14" s="67" t="s">
        <v>636</v>
      </c>
      <c r="AK14" s="115">
        <v>1</v>
      </c>
      <c r="AL14" s="115">
        <v>140</v>
      </c>
      <c r="AM14" s="254"/>
      <c r="AN14" s="323" t="str">
        <f t="shared" si="2"/>
        <v/>
      </c>
      <c r="AO14" s="262"/>
      <c r="AP14" s="210"/>
      <c r="AQ14" s="214"/>
      <c r="AR14" s="210"/>
      <c r="AS14" s="262"/>
      <c r="AT14" s="214"/>
      <c r="AU14" s="254"/>
      <c r="AV14" s="254"/>
      <c r="AW14" s="254"/>
      <c r="AX14" s="254"/>
      <c r="AY14" s="254"/>
      <c r="AZ14" s="254"/>
      <c r="BA14" s="254"/>
      <c r="BB14" s="306" t="str">
        <f t="shared" si="0"/>
        <v/>
      </c>
      <c r="BC14" s="254"/>
      <c r="BD14" s="254"/>
      <c r="BE14" s="254"/>
      <c r="BF14" s="254"/>
    </row>
    <row r="15" spans="1:68" s="10" customFormat="1" ht="15" customHeight="1" x14ac:dyDescent="0.25">
      <c r="A15" s="113"/>
      <c r="B15" s="35" t="s">
        <v>185</v>
      </c>
      <c r="C15" s="44" t="s">
        <v>630</v>
      </c>
      <c r="D15" s="44" t="s">
        <v>5</v>
      </c>
      <c r="E15" s="44" t="s">
        <v>5</v>
      </c>
      <c r="F15" s="44" t="s">
        <v>5</v>
      </c>
      <c r="G15" s="44" t="s">
        <v>5</v>
      </c>
      <c r="H15" s="44" t="s">
        <v>5</v>
      </c>
      <c r="I15" s="360" t="s">
        <v>631</v>
      </c>
      <c r="J15" s="44">
        <v>1</v>
      </c>
      <c r="K15" s="372">
        <v>148</v>
      </c>
      <c r="L15" s="214"/>
      <c r="M15" s="214"/>
      <c r="N15" s="214"/>
      <c r="O15" s="217"/>
      <c r="P15" s="295" t="s">
        <v>184</v>
      </c>
      <c r="Q15" s="296" t="s">
        <v>225</v>
      </c>
      <c r="R15" s="296" t="s">
        <v>33</v>
      </c>
      <c r="S15" s="296" t="s">
        <v>49</v>
      </c>
      <c r="T15" s="296" t="s">
        <v>51</v>
      </c>
      <c r="U15" s="296" t="s">
        <v>996</v>
      </c>
      <c r="V15" s="296" t="s">
        <v>997</v>
      </c>
      <c r="W15" s="321" t="s">
        <v>1543</v>
      </c>
      <c r="X15" s="296">
        <v>3</v>
      </c>
      <c r="Y15" s="373">
        <v>69</v>
      </c>
      <c r="Z15" s="222">
        <f t="shared" si="1"/>
        <v>3</v>
      </c>
      <c r="AC15" s="35" t="s">
        <v>185</v>
      </c>
      <c r="AD15" s="36" t="s">
        <v>630</v>
      </c>
      <c r="AE15" s="37" t="s">
        <v>5</v>
      </c>
      <c r="AF15" s="36" t="s">
        <v>5</v>
      </c>
      <c r="AG15" s="38" t="s">
        <v>5</v>
      </c>
      <c r="AH15" s="36" t="s">
        <v>5</v>
      </c>
      <c r="AI15" s="38" t="s">
        <v>5</v>
      </c>
      <c r="AJ15" s="67" t="s">
        <v>631</v>
      </c>
      <c r="AK15" s="115">
        <v>1</v>
      </c>
      <c r="AL15" s="115">
        <v>148</v>
      </c>
      <c r="AM15" s="254"/>
      <c r="AN15" s="323" t="str">
        <f t="shared" si="2"/>
        <v/>
      </c>
      <c r="AO15" s="262"/>
      <c r="AP15" s="210"/>
      <c r="AQ15" s="214"/>
      <c r="AR15" s="210" t="s">
        <v>503</v>
      </c>
      <c r="AS15" s="262"/>
      <c r="AT15" s="214"/>
      <c r="AU15" s="254"/>
      <c r="AV15" s="254"/>
      <c r="AW15" s="254"/>
      <c r="AX15" s="254"/>
      <c r="AY15" s="254"/>
      <c r="AZ15" s="254"/>
      <c r="BA15" s="254"/>
      <c r="BB15" s="306" t="str">
        <f t="shared" si="0"/>
        <v/>
      </c>
      <c r="BC15" s="254"/>
      <c r="BD15" s="254"/>
      <c r="BE15" s="254"/>
      <c r="BF15" s="254"/>
    </row>
    <row r="16" spans="1:68" s="10" customFormat="1" ht="15" customHeight="1" x14ac:dyDescent="0.25">
      <c r="A16" s="113"/>
      <c r="B16" s="35" t="s">
        <v>185</v>
      </c>
      <c r="C16" s="36" t="s">
        <v>630</v>
      </c>
      <c r="D16" s="36" t="s">
        <v>5</v>
      </c>
      <c r="E16" s="36" t="s">
        <v>5</v>
      </c>
      <c r="F16" s="36" t="s">
        <v>5</v>
      </c>
      <c r="G16" s="36" t="s">
        <v>5</v>
      </c>
      <c r="H16" s="36" t="s">
        <v>5</v>
      </c>
      <c r="I16" s="360" t="s">
        <v>632</v>
      </c>
      <c r="J16" s="36">
        <v>2</v>
      </c>
      <c r="K16" s="371">
        <v>11</v>
      </c>
      <c r="L16" s="214"/>
      <c r="M16" s="214"/>
      <c r="N16" s="214"/>
      <c r="O16" s="217"/>
      <c r="P16" s="295" t="s">
        <v>184</v>
      </c>
      <c r="Q16" s="296" t="s">
        <v>225</v>
      </c>
      <c r="R16" s="296" t="s">
        <v>33</v>
      </c>
      <c r="S16" s="296" t="s">
        <v>1575</v>
      </c>
      <c r="T16" s="296" t="s">
        <v>228</v>
      </c>
      <c r="U16" s="296" t="s">
        <v>1527</v>
      </c>
      <c r="V16" s="296" t="s">
        <v>507</v>
      </c>
      <c r="W16" s="321" t="s">
        <v>1578</v>
      </c>
      <c r="X16" s="296">
        <v>22</v>
      </c>
      <c r="Y16" s="373">
        <v>173</v>
      </c>
      <c r="Z16" s="222">
        <f t="shared" si="1"/>
        <v>22</v>
      </c>
      <c r="AC16" s="35" t="s">
        <v>185</v>
      </c>
      <c r="AD16" s="36" t="s">
        <v>630</v>
      </c>
      <c r="AE16" s="37" t="s">
        <v>5</v>
      </c>
      <c r="AF16" s="36" t="s">
        <v>5</v>
      </c>
      <c r="AG16" s="38" t="s">
        <v>5</v>
      </c>
      <c r="AH16" s="36" t="s">
        <v>5</v>
      </c>
      <c r="AI16" s="38" t="s">
        <v>5</v>
      </c>
      <c r="AJ16" s="67" t="s">
        <v>632</v>
      </c>
      <c r="AK16" s="115">
        <v>2</v>
      </c>
      <c r="AL16" s="115">
        <v>11</v>
      </c>
      <c r="AM16" s="254"/>
      <c r="AN16" s="323" t="str">
        <f t="shared" si="2"/>
        <v/>
      </c>
      <c r="AO16" s="262"/>
      <c r="AP16" s="210"/>
      <c r="AQ16" s="214"/>
      <c r="AR16" s="210" t="s">
        <v>503</v>
      </c>
      <c r="AS16" s="262"/>
      <c r="AT16" s="214"/>
      <c r="AU16" s="254"/>
      <c r="AV16" s="254"/>
      <c r="AW16" s="254"/>
      <c r="AX16" s="254"/>
      <c r="AY16" s="254"/>
      <c r="AZ16" s="254"/>
      <c r="BA16" s="254"/>
      <c r="BB16" s="306" t="str">
        <f t="shared" si="0"/>
        <v/>
      </c>
      <c r="BC16" s="254"/>
      <c r="BD16" s="254"/>
      <c r="BE16" s="254"/>
      <c r="BF16" s="254"/>
    </row>
    <row r="17" spans="1:58" s="10" customFormat="1" ht="15" customHeight="1" x14ac:dyDescent="0.25">
      <c r="A17" s="113"/>
      <c r="B17" s="35" t="s">
        <v>185</v>
      </c>
      <c r="C17" s="36" t="s">
        <v>12</v>
      </c>
      <c r="D17" s="36" t="s">
        <v>5</v>
      </c>
      <c r="E17" s="36" t="s">
        <v>5</v>
      </c>
      <c r="F17" s="36" t="s">
        <v>5</v>
      </c>
      <c r="G17" s="36" t="s">
        <v>5</v>
      </c>
      <c r="H17" s="36" t="s">
        <v>5</v>
      </c>
      <c r="I17" s="360" t="s">
        <v>12</v>
      </c>
      <c r="J17" s="36">
        <v>1</v>
      </c>
      <c r="K17" s="371">
        <v>7</v>
      </c>
      <c r="L17" s="214"/>
      <c r="M17" s="214"/>
      <c r="N17" s="214"/>
      <c r="O17" s="217"/>
      <c r="P17" s="295" t="s">
        <v>184</v>
      </c>
      <c r="Q17" s="296" t="s">
        <v>225</v>
      </c>
      <c r="R17" s="296" t="s">
        <v>33</v>
      </c>
      <c r="S17" s="296" t="s">
        <v>1575</v>
      </c>
      <c r="T17" s="296" t="s">
        <v>228</v>
      </c>
      <c r="U17" s="296" t="s">
        <v>1527</v>
      </c>
      <c r="V17" s="296" t="s">
        <v>507</v>
      </c>
      <c r="W17" s="321" t="s">
        <v>1583</v>
      </c>
      <c r="X17" s="296">
        <v>24</v>
      </c>
      <c r="Y17" s="373">
        <v>175</v>
      </c>
      <c r="Z17" s="222">
        <f t="shared" si="1"/>
        <v>24</v>
      </c>
      <c r="AC17" s="35" t="s">
        <v>185</v>
      </c>
      <c r="AD17" s="36" t="s">
        <v>12</v>
      </c>
      <c r="AE17" s="37" t="s">
        <v>5</v>
      </c>
      <c r="AF17" s="36" t="s">
        <v>5</v>
      </c>
      <c r="AG17" s="38" t="s">
        <v>5</v>
      </c>
      <c r="AH17" s="36" t="s">
        <v>5</v>
      </c>
      <c r="AI17" s="38" t="s">
        <v>5</v>
      </c>
      <c r="AJ17" s="67" t="s">
        <v>12</v>
      </c>
      <c r="AK17" s="115">
        <v>1</v>
      </c>
      <c r="AL17" s="115">
        <v>7</v>
      </c>
      <c r="AM17" s="254"/>
      <c r="AN17" s="323" t="str">
        <f t="shared" si="2"/>
        <v/>
      </c>
      <c r="AO17" s="262"/>
      <c r="AP17" s="210"/>
      <c r="AQ17" s="214"/>
      <c r="AR17" s="210" t="s">
        <v>503</v>
      </c>
      <c r="AS17" s="262"/>
      <c r="AT17" s="214"/>
      <c r="AU17" s="254"/>
      <c r="AV17" s="254"/>
      <c r="AW17" s="254"/>
      <c r="AX17" s="254"/>
      <c r="AY17" s="254"/>
      <c r="AZ17" s="254"/>
      <c r="BA17" s="254"/>
      <c r="BB17" s="306" t="str">
        <f t="shared" si="0"/>
        <v/>
      </c>
      <c r="BC17" s="254"/>
      <c r="BD17" s="254"/>
      <c r="BE17" s="254"/>
      <c r="BF17" s="254"/>
    </row>
    <row r="18" spans="1:58" s="10" customFormat="1" ht="15" customHeight="1" x14ac:dyDescent="0.25">
      <c r="A18" s="113"/>
      <c r="B18" s="35" t="s">
        <v>185</v>
      </c>
      <c r="C18" s="36" t="s">
        <v>54</v>
      </c>
      <c r="D18" s="36" t="s">
        <v>5</v>
      </c>
      <c r="E18" s="36" t="s">
        <v>5</v>
      </c>
      <c r="F18" s="36" t="s">
        <v>5</v>
      </c>
      <c r="G18" s="36" t="s">
        <v>5</v>
      </c>
      <c r="H18" s="36" t="s">
        <v>5</v>
      </c>
      <c r="I18" s="360" t="s">
        <v>54</v>
      </c>
      <c r="J18" s="36">
        <v>1</v>
      </c>
      <c r="K18" s="371">
        <v>139</v>
      </c>
      <c r="L18" s="214"/>
      <c r="M18" s="214"/>
      <c r="N18" s="214"/>
      <c r="O18" s="217"/>
      <c r="P18" s="295" t="s">
        <v>184</v>
      </c>
      <c r="Q18" s="296" t="s">
        <v>225</v>
      </c>
      <c r="R18" s="296" t="s">
        <v>33</v>
      </c>
      <c r="S18" s="296" t="s">
        <v>1575</v>
      </c>
      <c r="T18" s="296" t="s">
        <v>228</v>
      </c>
      <c r="U18" s="296" t="s">
        <v>728</v>
      </c>
      <c r="V18" s="296" t="s">
        <v>727</v>
      </c>
      <c r="W18" s="321" t="s">
        <v>1576</v>
      </c>
      <c r="X18" s="296">
        <v>20</v>
      </c>
      <c r="Y18" s="373">
        <v>172</v>
      </c>
      <c r="Z18" s="222">
        <f t="shared" si="1"/>
        <v>20</v>
      </c>
      <c r="AC18" s="35" t="s">
        <v>185</v>
      </c>
      <c r="AD18" s="36" t="s">
        <v>54</v>
      </c>
      <c r="AE18" s="37" t="s">
        <v>5</v>
      </c>
      <c r="AF18" s="36" t="s">
        <v>5</v>
      </c>
      <c r="AG18" s="38" t="s">
        <v>5</v>
      </c>
      <c r="AH18" s="36" t="s">
        <v>5</v>
      </c>
      <c r="AI18" s="38" t="s">
        <v>5</v>
      </c>
      <c r="AJ18" s="67" t="s">
        <v>54</v>
      </c>
      <c r="AK18" s="115">
        <v>1</v>
      </c>
      <c r="AL18" s="115">
        <v>139</v>
      </c>
      <c r="AM18" s="254"/>
      <c r="AN18" s="323" t="str">
        <f t="shared" si="2"/>
        <v/>
      </c>
      <c r="AO18" s="262"/>
      <c r="AP18" s="210"/>
      <c r="AQ18" s="214"/>
      <c r="AR18" s="210" t="s">
        <v>503</v>
      </c>
      <c r="AS18" s="262"/>
      <c r="AT18" s="214"/>
      <c r="AU18" s="254"/>
      <c r="AV18" s="254"/>
      <c r="AW18" s="254"/>
      <c r="AX18" s="254"/>
      <c r="AY18" s="254"/>
      <c r="AZ18" s="254"/>
      <c r="BA18" s="254"/>
      <c r="BB18" s="306" t="str">
        <f t="shared" si="0"/>
        <v/>
      </c>
      <c r="BC18" s="254"/>
      <c r="BD18" s="254"/>
      <c r="BE18" s="254"/>
      <c r="BF18" s="254"/>
    </row>
    <row r="19" spans="1:58" s="10" customFormat="1" ht="15" customHeight="1" x14ac:dyDescent="0.25">
      <c r="A19" s="113"/>
      <c r="B19" s="35" t="s">
        <v>185</v>
      </c>
      <c r="C19" s="36" t="s">
        <v>620</v>
      </c>
      <c r="D19" s="36" t="s">
        <v>5</v>
      </c>
      <c r="E19" s="36" t="s">
        <v>5</v>
      </c>
      <c r="F19" s="36" t="s">
        <v>5</v>
      </c>
      <c r="G19" s="36" t="s">
        <v>5</v>
      </c>
      <c r="H19" s="36" t="s">
        <v>5</v>
      </c>
      <c r="I19" s="360" t="s">
        <v>620</v>
      </c>
      <c r="J19" s="36">
        <v>1</v>
      </c>
      <c r="K19" s="371">
        <v>12</v>
      </c>
      <c r="L19" s="214"/>
      <c r="M19" s="214"/>
      <c r="N19" s="214"/>
      <c r="O19" s="217"/>
      <c r="P19" s="295" t="s">
        <v>184</v>
      </c>
      <c r="Q19" s="296" t="s">
        <v>225</v>
      </c>
      <c r="R19" s="296" t="s">
        <v>33</v>
      </c>
      <c r="S19" s="296" t="s">
        <v>743</v>
      </c>
      <c r="T19" s="296" t="s">
        <v>744</v>
      </c>
      <c r="U19" s="296" t="s">
        <v>745</v>
      </c>
      <c r="V19" s="296" t="s">
        <v>113</v>
      </c>
      <c r="W19" s="321" t="s">
        <v>809</v>
      </c>
      <c r="X19" s="296">
        <v>7</v>
      </c>
      <c r="Y19" s="373">
        <v>149</v>
      </c>
      <c r="Z19" s="222">
        <f t="shared" si="1"/>
        <v>7</v>
      </c>
      <c r="AC19" s="35" t="s">
        <v>185</v>
      </c>
      <c r="AD19" s="36" t="s">
        <v>620</v>
      </c>
      <c r="AE19" s="37" t="s">
        <v>5</v>
      </c>
      <c r="AF19" s="36" t="s">
        <v>5</v>
      </c>
      <c r="AG19" s="38" t="s">
        <v>5</v>
      </c>
      <c r="AH19" s="36" t="s">
        <v>5</v>
      </c>
      <c r="AI19" s="38" t="s">
        <v>5</v>
      </c>
      <c r="AJ19" s="67" t="s">
        <v>620</v>
      </c>
      <c r="AK19" s="115">
        <v>1</v>
      </c>
      <c r="AL19" s="115">
        <v>12</v>
      </c>
      <c r="AM19" s="254"/>
      <c r="AN19" s="323" t="str">
        <f t="shared" si="2"/>
        <v/>
      </c>
      <c r="AO19" s="262"/>
      <c r="AP19" s="210"/>
      <c r="AQ19" s="214"/>
      <c r="AR19" s="210" t="s">
        <v>503</v>
      </c>
      <c r="AS19" s="262"/>
      <c r="AT19" s="214"/>
      <c r="AU19" s="254"/>
      <c r="AV19" s="254"/>
      <c r="AW19" s="254"/>
      <c r="AX19" s="254"/>
      <c r="AY19" s="254"/>
      <c r="AZ19" s="254"/>
      <c r="BA19" s="254"/>
      <c r="BB19" s="306" t="str">
        <f t="shared" si="0"/>
        <v/>
      </c>
      <c r="BC19" s="254"/>
      <c r="BD19" s="254"/>
      <c r="BE19" s="254"/>
      <c r="BF19" s="254"/>
    </row>
    <row r="20" spans="1:58" s="10" customFormat="1" ht="15.75" customHeight="1" x14ac:dyDescent="0.25">
      <c r="A20" s="113"/>
      <c r="B20" s="35" t="s">
        <v>185</v>
      </c>
      <c r="C20" s="36" t="s">
        <v>616</v>
      </c>
      <c r="D20" s="36" t="s">
        <v>5</v>
      </c>
      <c r="E20" s="36" t="s">
        <v>5</v>
      </c>
      <c r="F20" s="36" t="s">
        <v>5</v>
      </c>
      <c r="G20" s="36" t="s">
        <v>5</v>
      </c>
      <c r="H20" s="36" t="s">
        <v>5</v>
      </c>
      <c r="I20" s="360" t="s">
        <v>122</v>
      </c>
      <c r="J20" s="36">
        <v>1</v>
      </c>
      <c r="K20" s="371">
        <v>18</v>
      </c>
      <c r="L20" s="214"/>
      <c r="M20" s="214"/>
      <c r="N20" s="214"/>
      <c r="O20" s="217"/>
      <c r="P20" s="295" t="s">
        <v>184</v>
      </c>
      <c r="Q20" s="296" t="s">
        <v>225</v>
      </c>
      <c r="R20" s="296" t="s">
        <v>33</v>
      </c>
      <c r="S20" s="296" t="s">
        <v>229</v>
      </c>
      <c r="T20" s="296" t="s">
        <v>230</v>
      </c>
      <c r="U20" s="296" t="s">
        <v>746</v>
      </c>
      <c r="V20" s="296" t="s">
        <v>747</v>
      </c>
      <c r="W20" s="321" t="s">
        <v>810</v>
      </c>
      <c r="X20" s="296">
        <v>8</v>
      </c>
      <c r="Y20" s="373">
        <v>150</v>
      </c>
      <c r="Z20" s="222">
        <f t="shared" si="1"/>
        <v>8</v>
      </c>
      <c r="AC20" s="35" t="s">
        <v>185</v>
      </c>
      <c r="AD20" s="36" t="s">
        <v>616</v>
      </c>
      <c r="AE20" s="37" t="s">
        <v>5</v>
      </c>
      <c r="AF20" s="36" t="s">
        <v>5</v>
      </c>
      <c r="AG20" s="38" t="s">
        <v>5</v>
      </c>
      <c r="AH20" s="36" t="s">
        <v>5</v>
      </c>
      <c r="AI20" s="38" t="s">
        <v>5</v>
      </c>
      <c r="AJ20" s="67" t="s">
        <v>122</v>
      </c>
      <c r="AK20" s="115">
        <v>1</v>
      </c>
      <c r="AL20" s="115">
        <v>18</v>
      </c>
      <c r="AM20" s="254"/>
      <c r="AN20" s="323" t="str">
        <f t="shared" si="2"/>
        <v/>
      </c>
      <c r="AO20" s="262"/>
      <c r="AP20" s="210"/>
      <c r="AQ20" s="214"/>
      <c r="AR20" s="210" t="s">
        <v>503</v>
      </c>
      <c r="AS20" s="262"/>
      <c r="AT20" s="214"/>
      <c r="AU20" s="254"/>
      <c r="AV20" s="254"/>
      <c r="AW20" s="254"/>
      <c r="AX20" s="254"/>
      <c r="AY20" s="254"/>
      <c r="AZ20" s="254"/>
      <c r="BA20" s="254"/>
      <c r="BB20" s="306" t="str">
        <f t="shared" si="0"/>
        <v/>
      </c>
      <c r="BC20" s="254"/>
      <c r="BD20" s="254"/>
      <c r="BE20" s="254"/>
      <c r="BF20" s="254"/>
    </row>
    <row r="21" spans="1:58" s="10" customFormat="1" ht="15" customHeight="1" x14ac:dyDescent="0.25">
      <c r="A21" s="113"/>
      <c r="B21" s="35" t="s">
        <v>185</v>
      </c>
      <c r="C21" s="44" t="s">
        <v>616</v>
      </c>
      <c r="D21" s="44" t="s">
        <v>5</v>
      </c>
      <c r="E21" s="44" t="s">
        <v>5</v>
      </c>
      <c r="F21" s="44" t="s">
        <v>5</v>
      </c>
      <c r="G21" s="44" t="s">
        <v>5</v>
      </c>
      <c r="H21" s="44" t="s">
        <v>5</v>
      </c>
      <c r="I21" s="360" t="s">
        <v>617</v>
      </c>
      <c r="J21" s="44">
        <v>2</v>
      </c>
      <c r="K21" s="372">
        <v>1</v>
      </c>
      <c r="L21" s="214"/>
      <c r="M21" s="214"/>
      <c r="N21" s="214"/>
      <c r="O21" s="217"/>
      <c r="P21" s="295" t="s">
        <v>184</v>
      </c>
      <c r="Q21" s="296" t="s">
        <v>225</v>
      </c>
      <c r="R21" s="296" t="s">
        <v>33</v>
      </c>
      <c r="S21" s="296" t="s">
        <v>229</v>
      </c>
      <c r="T21" s="296" t="s">
        <v>230</v>
      </c>
      <c r="U21" s="296" t="s">
        <v>748</v>
      </c>
      <c r="V21" s="296" t="s">
        <v>90</v>
      </c>
      <c r="W21" s="321" t="s">
        <v>811</v>
      </c>
      <c r="X21" s="296">
        <v>9</v>
      </c>
      <c r="Y21" s="373">
        <v>151</v>
      </c>
      <c r="Z21" s="222">
        <f t="shared" si="1"/>
        <v>9</v>
      </c>
      <c r="AC21" s="35" t="s">
        <v>185</v>
      </c>
      <c r="AD21" s="36" t="s">
        <v>616</v>
      </c>
      <c r="AE21" s="37" t="s">
        <v>5</v>
      </c>
      <c r="AF21" s="36" t="s">
        <v>5</v>
      </c>
      <c r="AG21" s="38" t="s">
        <v>5</v>
      </c>
      <c r="AH21" s="36" t="s">
        <v>5</v>
      </c>
      <c r="AI21" s="38" t="s">
        <v>5</v>
      </c>
      <c r="AJ21" s="67" t="s">
        <v>617</v>
      </c>
      <c r="AK21" s="115">
        <v>2</v>
      </c>
      <c r="AL21" s="115">
        <v>1</v>
      </c>
      <c r="AM21" s="254"/>
      <c r="AN21" s="323" t="str">
        <f t="shared" si="2"/>
        <v/>
      </c>
      <c r="AO21" s="261"/>
      <c r="AP21" s="210"/>
      <c r="AQ21" s="214"/>
      <c r="AR21" s="210" t="s">
        <v>503</v>
      </c>
      <c r="AS21" s="262"/>
      <c r="AT21" s="214"/>
      <c r="AU21" s="254"/>
      <c r="AV21" s="254"/>
      <c r="AW21" s="254"/>
      <c r="AX21" s="254"/>
      <c r="AY21" s="254"/>
      <c r="AZ21" s="254"/>
      <c r="BA21" s="254"/>
      <c r="BB21" s="306" t="str">
        <f t="shared" si="0"/>
        <v/>
      </c>
      <c r="BC21" s="254"/>
      <c r="BD21" s="254"/>
      <c r="BE21" s="254"/>
      <c r="BF21" s="254"/>
    </row>
    <row r="22" spans="1:58" s="10" customFormat="1" ht="15" customHeight="1" x14ac:dyDescent="0.25">
      <c r="A22" s="113"/>
      <c r="B22" s="35" t="s">
        <v>185</v>
      </c>
      <c r="C22" s="44" t="s">
        <v>814</v>
      </c>
      <c r="D22" s="44" t="s">
        <v>5</v>
      </c>
      <c r="E22" s="44" t="s">
        <v>5</v>
      </c>
      <c r="F22" s="44" t="s">
        <v>5</v>
      </c>
      <c r="G22" s="44" t="s">
        <v>5</v>
      </c>
      <c r="H22" s="44" t="s">
        <v>5</v>
      </c>
      <c r="I22" s="360" t="s">
        <v>628</v>
      </c>
      <c r="J22" s="44">
        <v>1</v>
      </c>
      <c r="K22" s="372">
        <v>146</v>
      </c>
      <c r="L22" s="214"/>
      <c r="M22" s="214"/>
      <c r="N22" s="214"/>
      <c r="O22" s="217"/>
      <c r="P22" s="295" t="s">
        <v>184</v>
      </c>
      <c r="Q22" s="296" t="s">
        <v>225</v>
      </c>
      <c r="R22" s="296" t="s">
        <v>33</v>
      </c>
      <c r="S22" s="296" t="s">
        <v>229</v>
      </c>
      <c r="T22" s="296" t="s">
        <v>230</v>
      </c>
      <c r="U22" s="296" t="s">
        <v>21</v>
      </c>
      <c r="V22" s="296" t="s">
        <v>22</v>
      </c>
      <c r="W22" s="321" t="s">
        <v>812</v>
      </c>
      <c r="X22" s="296">
        <v>10</v>
      </c>
      <c r="Y22" s="373">
        <v>152</v>
      </c>
      <c r="Z22" s="222">
        <f t="shared" si="1"/>
        <v>10</v>
      </c>
      <c r="AC22" s="35" t="s">
        <v>185</v>
      </c>
      <c r="AD22" s="36" t="s">
        <v>814</v>
      </c>
      <c r="AE22" s="37" t="s">
        <v>5</v>
      </c>
      <c r="AF22" s="36" t="s">
        <v>5</v>
      </c>
      <c r="AG22" s="38" t="s">
        <v>5</v>
      </c>
      <c r="AH22" s="36" t="s">
        <v>5</v>
      </c>
      <c r="AI22" s="38" t="s">
        <v>5</v>
      </c>
      <c r="AJ22" s="67" t="s">
        <v>628</v>
      </c>
      <c r="AK22" s="115">
        <v>1</v>
      </c>
      <c r="AL22" s="115">
        <v>146</v>
      </c>
      <c r="AM22" s="254"/>
      <c r="AN22" s="323" t="str">
        <f t="shared" si="2"/>
        <v/>
      </c>
      <c r="AO22" s="261"/>
      <c r="AP22" s="210"/>
      <c r="AQ22" s="214"/>
      <c r="AR22" s="210" t="s">
        <v>503</v>
      </c>
      <c r="AS22" s="262"/>
      <c r="AT22" s="214"/>
      <c r="AU22" s="254"/>
      <c r="AV22" s="254"/>
      <c r="AW22" s="254"/>
      <c r="AX22" s="254"/>
      <c r="AY22" s="254"/>
      <c r="AZ22" s="254"/>
      <c r="BA22" s="254"/>
      <c r="BB22" s="306" t="str">
        <f t="shared" si="0"/>
        <v/>
      </c>
      <c r="BC22" s="254"/>
      <c r="BD22" s="254"/>
      <c r="BE22" s="254"/>
      <c r="BF22" s="254"/>
    </row>
    <row r="23" spans="1:58" s="10" customFormat="1" ht="15" customHeight="1" x14ac:dyDescent="0.25">
      <c r="A23" s="113"/>
      <c r="B23" s="35" t="s">
        <v>185</v>
      </c>
      <c r="C23" s="44" t="s">
        <v>814</v>
      </c>
      <c r="D23" s="44" t="s">
        <v>5</v>
      </c>
      <c r="E23" s="44" t="s">
        <v>5</v>
      </c>
      <c r="F23" s="44" t="s">
        <v>5</v>
      </c>
      <c r="G23" s="44" t="s">
        <v>5</v>
      </c>
      <c r="H23" s="44" t="s">
        <v>5</v>
      </c>
      <c r="I23" s="360" t="s">
        <v>629</v>
      </c>
      <c r="J23" s="44">
        <v>2</v>
      </c>
      <c r="K23" s="372">
        <v>147</v>
      </c>
      <c r="L23" s="214"/>
      <c r="M23" s="214"/>
      <c r="N23" s="214"/>
      <c r="O23" s="217"/>
      <c r="P23" s="295" t="s">
        <v>184</v>
      </c>
      <c r="Q23" s="296" t="s">
        <v>225</v>
      </c>
      <c r="R23" s="296" t="s">
        <v>33</v>
      </c>
      <c r="S23" s="296" t="s">
        <v>229</v>
      </c>
      <c r="T23" s="296" t="s">
        <v>230</v>
      </c>
      <c r="U23" s="296" t="s">
        <v>749</v>
      </c>
      <c r="V23" s="296" t="s">
        <v>750</v>
      </c>
      <c r="W23" s="321" t="s">
        <v>813</v>
      </c>
      <c r="X23" s="296">
        <v>11</v>
      </c>
      <c r="Y23" s="373">
        <v>153</v>
      </c>
      <c r="Z23" s="222">
        <f t="shared" si="1"/>
        <v>11</v>
      </c>
      <c r="AC23" s="35" t="s">
        <v>185</v>
      </c>
      <c r="AD23" s="36" t="s">
        <v>814</v>
      </c>
      <c r="AE23" s="37" t="s">
        <v>5</v>
      </c>
      <c r="AF23" s="36" t="s">
        <v>5</v>
      </c>
      <c r="AG23" s="38" t="s">
        <v>5</v>
      </c>
      <c r="AH23" s="36" t="s">
        <v>5</v>
      </c>
      <c r="AI23" s="38" t="s">
        <v>5</v>
      </c>
      <c r="AJ23" s="67" t="s">
        <v>629</v>
      </c>
      <c r="AK23" s="115">
        <v>2</v>
      </c>
      <c r="AL23" s="115">
        <v>147</v>
      </c>
      <c r="AM23" s="254"/>
      <c r="AN23" s="323" t="str">
        <f t="shared" si="2"/>
        <v/>
      </c>
      <c r="AO23" s="262"/>
      <c r="AP23" s="210"/>
      <c r="AQ23" s="214"/>
      <c r="AR23" s="210" t="s">
        <v>503</v>
      </c>
      <c r="AS23" s="262"/>
      <c r="AT23" s="214"/>
      <c r="AU23" s="254"/>
      <c r="AV23" s="254"/>
      <c r="AW23" s="254"/>
      <c r="AX23" s="254"/>
      <c r="AY23" s="254"/>
      <c r="AZ23" s="254"/>
      <c r="BA23" s="254"/>
      <c r="BB23" s="306" t="str">
        <f t="shared" si="0"/>
        <v/>
      </c>
      <c r="BC23" s="254"/>
      <c r="BD23" s="254"/>
      <c r="BE23" s="254"/>
      <c r="BF23" s="254"/>
    </row>
    <row r="24" spans="1:58" s="10" customFormat="1" ht="15" customHeight="1" x14ac:dyDescent="0.25">
      <c r="A24" s="113"/>
      <c r="B24" s="35" t="s">
        <v>185</v>
      </c>
      <c r="C24" s="36" t="s">
        <v>16</v>
      </c>
      <c r="D24" s="36" t="s">
        <v>5</v>
      </c>
      <c r="E24" s="36" t="s">
        <v>5</v>
      </c>
      <c r="F24" s="36" t="s">
        <v>5</v>
      </c>
      <c r="G24" s="36" t="s">
        <v>5</v>
      </c>
      <c r="H24" s="36" t="s">
        <v>5</v>
      </c>
      <c r="I24" s="360" t="s">
        <v>210</v>
      </c>
      <c r="J24" s="36">
        <v>1</v>
      </c>
      <c r="K24" s="371">
        <v>3</v>
      </c>
      <c r="L24" s="214"/>
      <c r="M24" s="214"/>
      <c r="N24" s="214"/>
      <c r="O24" s="217"/>
      <c r="P24" s="295" t="s">
        <v>184</v>
      </c>
      <c r="Q24" s="296" t="s">
        <v>225</v>
      </c>
      <c r="R24" s="296" t="s">
        <v>33</v>
      </c>
      <c r="S24" s="296" t="s">
        <v>728</v>
      </c>
      <c r="T24" s="296" t="s">
        <v>727</v>
      </c>
      <c r="U24" s="296" t="s">
        <v>1098</v>
      </c>
      <c r="V24" s="296" t="s">
        <v>1534</v>
      </c>
      <c r="W24" s="321" t="s">
        <v>1544</v>
      </c>
      <c r="X24" s="296">
        <v>4</v>
      </c>
      <c r="Y24" s="373">
        <v>131</v>
      </c>
      <c r="Z24" s="222">
        <f t="shared" si="1"/>
        <v>4</v>
      </c>
      <c r="AC24" s="35" t="s">
        <v>185</v>
      </c>
      <c r="AD24" s="36" t="s">
        <v>16</v>
      </c>
      <c r="AE24" s="37" t="s">
        <v>5</v>
      </c>
      <c r="AF24" s="36" t="s">
        <v>5</v>
      </c>
      <c r="AG24" s="38" t="s">
        <v>5</v>
      </c>
      <c r="AH24" s="36" t="s">
        <v>5</v>
      </c>
      <c r="AI24" s="38" t="s">
        <v>5</v>
      </c>
      <c r="AJ24" s="67" t="s">
        <v>210</v>
      </c>
      <c r="AK24" s="115">
        <v>1</v>
      </c>
      <c r="AL24" s="115">
        <v>3</v>
      </c>
      <c r="AM24" s="254"/>
      <c r="AN24" s="323" t="str">
        <f t="shared" si="2"/>
        <v/>
      </c>
      <c r="AO24" s="261"/>
      <c r="AP24" s="210"/>
      <c r="AQ24" s="214"/>
      <c r="AR24" s="210" t="s">
        <v>503</v>
      </c>
      <c r="AS24" s="262"/>
      <c r="AT24" s="214"/>
      <c r="AU24" s="254"/>
      <c r="AV24" s="254"/>
      <c r="AW24" s="254"/>
      <c r="AX24" s="254"/>
      <c r="AY24" s="254"/>
      <c r="AZ24" s="254"/>
      <c r="BA24" s="254"/>
      <c r="BB24" s="306" t="str">
        <f t="shared" si="0"/>
        <v/>
      </c>
      <c r="BC24" s="254"/>
      <c r="BD24" s="254"/>
      <c r="BE24" s="254"/>
      <c r="BF24" s="254"/>
    </row>
    <row r="25" spans="1:58" s="10" customFormat="1" ht="15" customHeight="1" x14ac:dyDescent="0.25">
      <c r="A25" s="113"/>
      <c r="B25" s="35" t="s">
        <v>185</v>
      </c>
      <c r="C25" s="44" t="s">
        <v>16</v>
      </c>
      <c r="D25" s="44" t="s">
        <v>5</v>
      </c>
      <c r="E25" s="44" t="s">
        <v>5</v>
      </c>
      <c r="F25" s="44" t="s">
        <v>5</v>
      </c>
      <c r="G25" s="44" t="s">
        <v>5</v>
      </c>
      <c r="H25" s="44" t="s">
        <v>5</v>
      </c>
      <c r="I25" s="360" t="s">
        <v>211</v>
      </c>
      <c r="J25" s="44">
        <v>2</v>
      </c>
      <c r="K25" s="372">
        <v>10</v>
      </c>
      <c r="L25" s="214"/>
      <c r="M25" s="214"/>
      <c r="N25" s="214"/>
      <c r="O25" s="217"/>
      <c r="P25" s="295" t="s">
        <v>184</v>
      </c>
      <c r="Q25" s="296" t="s">
        <v>225</v>
      </c>
      <c r="R25" s="296" t="s">
        <v>33</v>
      </c>
      <c r="S25" s="296" t="s">
        <v>728</v>
      </c>
      <c r="T25" s="296" t="s">
        <v>727</v>
      </c>
      <c r="U25" s="296" t="s">
        <v>996</v>
      </c>
      <c r="V25" s="296" t="s">
        <v>997</v>
      </c>
      <c r="W25" s="321" t="s">
        <v>1545</v>
      </c>
      <c r="X25" s="296">
        <v>5</v>
      </c>
      <c r="Y25" s="373">
        <v>132</v>
      </c>
      <c r="Z25" s="222">
        <f t="shared" si="1"/>
        <v>5</v>
      </c>
      <c r="AC25" s="35" t="s">
        <v>185</v>
      </c>
      <c r="AD25" s="36" t="s">
        <v>16</v>
      </c>
      <c r="AE25" s="37" t="s">
        <v>5</v>
      </c>
      <c r="AF25" s="36" t="s">
        <v>5</v>
      </c>
      <c r="AG25" s="38" t="s">
        <v>5</v>
      </c>
      <c r="AH25" s="36" t="s">
        <v>5</v>
      </c>
      <c r="AI25" s="38" t="s">
        <v>5</v>
      </c>
      <c r="AJ25" s="67" t="s">
        <v>211</v>
      </c>
      <c r="AK25" s="115">
        <v>2</v>
      </c>
      <c r="AL25" s="115">
        <v>10</v>
      </c>
      <c r="AM25" s="254"/>
      <c r="AN25" s="323" t="str">
        <f t="shared" si="2"/>
        <v/>
      </c>
      <c r="AO25" s="262"/>
      <c r="AP25" s="210"/>
      <c r="AQ25" s="214"/>
      <c r="AR25" s="210" t="s">
        <v>503</v>
      </c>
      <c r="AS25" s="262"/>
      <c r="AT25" s="214"/>
      <c r="AU25" s="254"/>
      <c r="AV25" s="254"/>
      <c r="AW25" s="254"/>
      <c r="AX25" s="254"/>
      <c r="AY25" s="254"/>
      <c r="AZ25" s="254"/>
      <c r="BA25" s="254"/>
      <c r="BB25" s="306" t="str">
        <f t="shared" si="0"/>
        <v/>
      </c>
      <c r="BC25" s="254"/>
      <c r="BD25" s="254"/>
      <c r="BE25" s="254"/>
      <c r="BF25" s="254"/>
    </row>
    <row r="26" spans="1:58" s="10" customFormat="1" ht="15" customHeight="1" x14ac:dyDescent="0.25">
      <c r="A26" s="113"/>
      <c r="B26" s="35" t="s">
        <v>185</v>
      </c>
      <c r="C26" s="44" t="s">
        <v>16</v>
      </c>
      <c r="D26" s="44" t="s">
        <v>5</v>
      </c>
      <c r="E26" s="44" t="s">
        <v>5</v>
      </c>
      <c r="F26" s="44" t="s">
        <v>5</v>
      </c>
      <c r="G26" s="44" t="s">
        <v>5</v>
      </c>
      <c r="H26" s="44" t="s">
        <v>5</v>
      </c>
      <c r="I26" s="360" t="s">
        <v>212</v>
      </c>
      <c r="J26" s="44">
        <v>3</v>
      </c>
      <c r="K26" s="372">
        <v>9</v>
      </c>
      <c r="L26" s="214"/>
      <c r="M26" s="214"/>
      <c r="N26" s="214"/>
      <c r="O26" s="217"/>
      <c r="P26" s="295"/>
      <c r="Q26" s="296"/>
      <c r="R26" s="296"/>
      <c r="S26" s="296"/>
      <c r="T26" s="296"/>
      <c r="U26" s="296"/>
      <c r="V26" s="296"/>
      <c r="W26" s="321"/>
      <c r="X26" s="296"/>
      <c r="Y26" s="373"/>
      <c r="Z26" s="222">
        <f t="shared" si="1"/>
        <v>0</v>
      </c>
      <c r="AC26" s="35" t="s">
        <v>185</v>
      </c>
      <c r="AD26" s="36" t="s">
        <v>16</v>
      </c>
      <c r="AE26" s="37" t="s">
        <v>5</v>
      </c>
      <c r="AF26" s="36" t="s">
        <v>5</v>
      </c>
      <c r="AG26" s="38" t="s">
        <v>5</v>
      </c>
      <c r="AH26" s="36" t="s">
        <v>5</v>
      </c>
      <c r="AI26" s="38" t="s">
        <v>5</v>
      </c>
      <c r="AJ26" s="67" t="s">
        <v>212</v>
      </c>
      <c r="AK26" s="115">
        <v>3</v>
      </c>
      <c r="AL26" s="115">
        <v>9</v>
      </c>
      <c r="AM26" s="254"/>
      <c r="AN26" s="323" t="str">
        <f t="shared" si="2"/>
        <v/>
      </c>
      <c r="AO26" s="262"/>
      <c r="AP26" s="210"/>
      <c r="AQ26" s="214"/>
      <c r="AR26" s="210" t="s">
        <v>503</v>
      </c>
      <c r="AS26" s="262"/>
      <c r="AT26" s="214"/>
      <c r="AU26" s="254"/>
      <c r="AV26" s="254"/>
      <c r="AW26" s="254"/>
      <c r="AX26" s="254"/>
      <c r="AY26" s="254"/>
      <c r="AZ26" s="254"/>
      <c r="BA26" s="254"/>
      <c r="BB26" s="306" t="str">
        <f t="shared" si="0"/>
        <v/>
      </c>
      <c r="BC26" s="254"/>
      <c r="BD26" s="254"/>
      <c r="BE26" s="254"/>
      <c r="BF26" s="254"/>
    </row>
    <row r="27" spans="1:58" s="10" customFormat="1" ht="15" customHeight="1" x14ac:dyDescent="0.25">
      <c r="A27" s="113"/>
      <c r="B27" s="35" t="s">
        <v>185</v>
      </c>
      <c r="C27" s="44" t="s">
        <v>215</v>
      </c>
      <c r="D27" s="44" t="s">
        <v>5</v>
      </c>
      <c r="E27" s="44" t="s">
        <v>5</v>
      </c>
      <c r="F27" s="44" t="s">
        <v>5</v>
      </c>
      <c r="G27" s="44" t="s">
        <v>5</v>
      </c>
      <c r="H27" s="44" t="s">
        <v>5</v>
      </c>
      <c r="I27" s="360" t="s">
        <v>634</v>
      </c>
      <c r="J27" s="44">
        <v>2</v>
      </c>
      <c r="K27" s="372">
        <v>137</v>
      </c>
      <c r="L27" s="214"/>
      <c r="M27" s="214"/>
      <c r="N27" s="214"/>
      <c r="O27" s="217"/>
      <c r="P27" s="295"/>
      <c r="Q27" s="296"/>
      <c r="R27" s="296"/>
      <c r="S27" s="296"/>
      <c r="T27" s="296"/>
      <c r="U27" s="296"/>
      <c r="V27" s="296"/>
      <c r="W27" s="321"/>
      <c r="X27" s="296"/>
      <c r="Y27" s="373"/>
      <c r="Z27" s="222">
        <f t="shared" si="1"/>
        <v>0</v>
      </c>
      <c r="AC27" s="35" t="s">
        <v>185</v>
      </c>
      <c r="AD27" s="36" t="s">
        <v>215</v>
      </c>
      <c r="AE27" s="37" t="s">
        <v>5</v>
      </c>
      <c r="AF27" s="36" t="s">
        <v>5</v>
      </c>
      <c r="AG27" s="38" t="s">
        <v>5</v>
      </c>
      <c r="AH27" s="36" t="s">
        <v>5</v>
      </c>
      <c r="AI27" s="38" t="s">
        <v>5</v>
      </c>
      <c r="AJ27" s="67" t="s">
        <v>634</v>
      </c>
      <c r="AK27" s="115">
        <v>2</v>
      </c>
      <c r="AL27" s="115">
        <v>137</v>
      </c>
      <c r="AM27" s="254"/>
      <c r="AN27" s="323" t="str">
        <f t="shared" si="2"/>
        <v/>
      </c>
      <c r="AO27" s="262"/>
      <c r="AP27" s="210"/>
      <c r="AQ27" s="214"/>
      <c r="AR27" s="210" t="s">
        <v>503</v>
      </c>
      <c r="AS27" s="262"/>
      <c r="AT27" s="214"/>
      <c r="AU27" s="254"/>
      <c r="AV27" s="254"/>
      <c r="AW27" s="254"/>
      <c r="AX27" s="254"/>
      <c r="AY27" s="254"/>
      <c r="AZ27" s="254"/>
      <c r="BA27" s="254"/>
      <c r="BB27" s="306" t="str">
        <f t="shared" si="0"/>
        <v/>
      </c>
      <c r="BC27" s="254"/>
      <c r="BD27" s="254"/>
      <c r="BE27" s="254"/>
      <c r="BF27" s="254"/>
    </row>
    <row r="28" spans="1:58" s="10" customFormat="1" ht="15.75" customHeight="1" x14ac:dyDescent="0.25">
      <c r="A28" s="113"/>
      <c r="B28" s="35" t="s">
        <v>185</v>
      </c>
      <c r="C28" s="44" t="s">
        <v>215</v>
      </c>
      <c r="D28" s="44" t="s">
        <v>5</v>
      </c>
      <c r="E28" s="44" t="s">
        <v>5</v>
      </c>
      <c r="F28" s="44" t="s">
        <v>5</v>
      </c>
      <c r="G28" s="44" t="s">
        <v>5</v>
      </c>
      <c r="H28" s="44" t="s">
        <v>5</v>
      </c>
      <c r="I28" s="360" t="s">
        <v>633</v>
      </c>
      <c r="J28" s="44">
        <v>1</v>
      </c>
      <c r="K28" s="372">
        <v>136</v>
      </c>
      <c r="L28" s="214"/>
      <c r="M28" s="214"/>
      <c r="N28" s="214"/>
      <c r="O28" s="217"/>
      <c r="P28" s="295"/>
      <c r="Q28" s="296"/>
      <c r="R28" s="296"/>
      <c r="S28" s="296"/>
      <c r="T28" s="296"/>
      <c r="U28" s="296"/>
      <c r="V28" s="296"/>
      <c r="W28" s="321"/>
      <c r="X28" s="296"/>
      <c r="Y28" s="373"/>
      <c r="Z28" s="222">
        <f t="shared" si="1"/>
        <v>0</v>
      </c>
      <c r="AC28" s="35" t="s">
        <v>185</v>
      </c>
      <c r="AD28" s="36" t="s">
        <v>215</v>
      </c>
      <c r="AE28" s="37" t="s">
        <v>5</v>
      </c>
      <c r="AF28" s="36" t="s">
        <v>5</v>
      </c>
      <c r="AG28" s="38" t="s">
        <v>5</v>
      </c>
      <c r="AH28" s="36" t="s">
        <v>5</v>
      </c>
      <c r="AI28" s="38" t="s">
        <v>5</v>
      </c>
      <c r="AJ28" s="67" t="s">
        <v>633</v>
      </c>
      <c r="AK28" s="115">
        <v>1</v>
      </c>
      <c r="AL28" s="115">
        <v>136</v>
      </c>
      <c r="AM28" s="254"/>
      <c r="AN28" s="323" t="str">
        <f t="shared" si="2"/>
        <v/>
      </c>
      <c r="AO28" s="262"/>
      <c r="AP28" s="210"/>
      <c r="AQ28" s="214"/>
      <c r="AR28" s="210" t="s">
        <v>503</v>
      </c>
      <c r="AS28" s="262"/>
      <c r="AT28" s="214"/>
      <c r="AU28" s="254"/>
      <c r="AV28" s="254"/>
      <c r="AW28" s="254"/>
      <c r="AX28" s="254"/>
      <c r="AY28" s="254"/>
      <c r="AZ28" s="254"/>
      <c r="BA28" s="254"/>
      <c r="BB28" s="306" t="str">
        <f t="shared" si="0"/>
        <v/>
      </c>
      <c r="BC28" s="254"/>
      <c r="BD28" s="254"/>
      <c r="BE28" s="254"/>
      <c r="BF28" s="254"/>
    </row>
    <row r="29" spans="1:58" s="10" customFormat="1" ht="15" customHeight="1" x14ac:dyDescent="0.25">
      <c r="A29" s="113"/>
      <c r="B29" s="35" t="s">
        <v>185</v>
      </c>
      <c r="C29" s="36" t="s">
        <v>635</v>
      </c>
      <c r="D29" s="36" t="s">
        <v>5</v>
      </c>
      <c r="E29" s="36" t="s">
        <v>5</v>
      </c>
      <c r="F29" s="36" t="s">
        <v>5</v>
      </c>
      <c r="G29" s="36" t="s">
        <v>5</v>
      </c>
      <c r="H29" s="36" t="s">
        <v>5</v>
      </c>
      <c r="I29" s="360" t="s">
        <v>56</v>
      </c>
      <c r="J29" s="36">
        <v>1</v>
      </c>
      <c r="K29" s="371">
        <v>138</v>
      </c>
      <c r="L29" s="214"/>
      <c r="M29" s="214"/>
      <c r="N29" s="214"/>
      <c r="O29" s="217"/>
      <c r="P29" s="295"/>
      <c r="Q29" s="320"/>
      <c r="R29" s="320"/>
      <c r="S29" s="320"/>
      <c r="T29" s="320"/>
      <c r="U29" s="320"/>
      <c r="V29" s="320"/>
      <c r="W29" s="321"/>
      <c r="X29" s="320"/>
      <c r="Y29" s="374"/>
      <c r="Z29" s="222">
        <f t="shared" si="1"/>
        <v>0</v>
      </c>
      <c r="AC29" s="35" t="s">
        <v>185</v>
      </c>
      <c r="AD29" s="36" t="s">
        <v>635</v>
      </c>
      <c r="AE29" s="37" t="s">
        <v>5</v>
      </c>
      <c r="AF29" s="36" t="s">
        <v>5</v>
      </c>
      <c r="AG29" s="38" t="s">
        <v>5</v>
      </c>
      <c r="AH29" s="36" t="s">
        <v>5</v>
      </c>
      <c r="AI29" s="38" t="s">
        <v>5</v>
      </c>
      <c r="AJ29" s="67" t="s">
        <v>56</v>
      </c>
      <c r="AK29" s="115">
        <v>1</v>
      </c>
      <c r="AL29" s="115">
        <v>138</v>
      </c>
      <c r="AM29" s="254"/>
      <c r="AN29" s="323" t="str">
        <f t="shared" si="2"/>
        <v/>
      </c>
      <c r="AO29" s="262"/>
      <c r="AP29" s="210"/>
      <c r="AQ29" s="214"/>
      <c r="AR29" s="210" t="s">
        <v>503</v>
      </c>
      <c r="AS29" s="262"/>
      <c r="AT29" s="214"/>
      <c r="AU29" s="254"/>
      <c r="AV29" s="254"/>
      <c r="AW29" s="254"/>
      <c r="AX29" s="254"/>
      <c r="AY29" s="254"/>
      <c r="AZ29" s="254"/>
      <c r="BA29" s="254"/>
      <c r="BB29" s="306" t="str">
        <f t="shared" si="0"/>
        <v/>
      </c>
      <c r="BC29" s="254"/>
      <c r="BD29" s="254"/>
      <c r="BE29" s="254"/>
      <c r="BF29" s="254"/>
    </row>
    <row r="30" spans="1:58" s="10" customFormat="1" ht="15.75" customHeight="1" x14ac:dyDescent="0.25">
      <c r="A30" s="113"/>
      <c r="B30" s="35" t="s">
        <v>185</v>
      </c>
      <c r="C30" s="44" t="s">
        <v>55</v>
      </c>
      <c r="D30" s="44" t="s">
        <v>5</v>
      </c>
      <c r="E30" s="44" t="s">
        <v>5</v>
      </c>
      <c r="F30" s="44" t="s">
        <v>5</v>
      </c>
      <c r="G30" s="44" t="s">
        <v>5</v>
      </c>
      <c r="H30" s="44" t="s">
        <v>5</v>
      </c>
      <c r="I30" s="360" t="s">
        <v>42</v>
      </c>
      <c r="J30" s="44">
        <v>1</v>
      </c>
      <c r="K30" s="372">
        <v>20</v>
      </c>
      <c r="L30" s="214"/>
      <c r="M30" s="214"/>
      <c r="N30" s="214"/>
      <c r="O30" s="217"/>
      <c r="P30" s="295"/>
      <c r="Q30" s="296"/>
      <c r="R30" s="296"/>
      <c r="S30" s="296"/>
      <c r="T30" s="296"/>
      <c r="U30" s="296"/>
      <c r="V30" s="296"/>
      <c r="W30" s="321"/>
      <c r="X30" s="296"/>
      <c r="Y30" s="373"/>
      <c r="Z30" s="222">
        <f t="shared" si="1"/>
        <v>0</v>
      </c>
      <c r="AC30" s="35" t="s">
        <v>185</v>
      </c>
      <c r="AD30" s="36" t="s">
        <v>55</v>
      </c>
      <c r="AE30" s="37" t="s">
        <v>5</v>
      </c>
      <c r="AF30" s="36" t="s">
        <v>5</v>
      </c>
      <c r="AG30" s="38" t="s">
        <v>5</v>
      </c>
      <c r="AH30" s="36" t="s">
        <v>5</v>
      </c>
      <c r="AI30" s="38" t="s">
        <v>5</v>
      </c>
      <c r="AJ30" s="67" t="s">
        <v>42</v>
      </c>
      <c r="AK30" s="115">
        <v>1</v>
      </c>
      <c r="AL30" s="115">
        <v>20</v>
      </c>
      <c r="AM30" s="254"/>
      <c r="AN30" s="323" t="str">
        <f t="shared" si="2"/>
        <v/>
      </c>
      <c r="AO30" s="263"/>
      <c r="AP30" s="210"/>
      <c r="AQ30" s="214"/>
      <c r="AR30" s="210" t="s">
        <v>503</v>
      </c>
      <c r="AS30" s="262"/>
      <c r="AT30" s="214"/>
      <c r="AU30" s="254"/>
      <c r="AV30" s="254"/>
      <c r="AW30" s="254"/>
      <c r="AX30" s="254"/>
      <c r="AY30" s="254"/>
      <c r="AZ30" s="254"/>
      <c r="BA30" s="254"/>
      <c r="BB30" s="306" t="str">
        <f t="shared" si="0"/>
        <v/>
      </c>
      <c r="BC30" s="254"/>
      <c r="BD30" s="254"/>
      <c r="BE30" s="254"/>
      <c r="BF30" s="254"/>
    </row>
    <row r="31" spans="1:58" s="10" customFormat="1" ht="15.75" customHeight="1" x14ac:dyDescent="0.25">
      <c r="A31" s="113"/>
      <c r="B31" s="35" t="s">
        <v>185</v>
      </c>
      <c r="C31" s="36" t="s">
        <v>55</v>
      </c>
      <c r="D31" s="36" t="s">
        <v>5</v>
      </c>
      <c r="E31" s="36" t="s">
        <v>5</v>
      </c>
      <c r="F31" s="36" t="s">
        <v>5</v>
      </c>
      <c r="G31" s="36" t="s">
        <v>5</v>
      </c>
      <c r="H31" s="36" t="s">
        <v>5</v>
      </c>
      <c r="I31" s="360" t="s">
        <v>218</v>
      </c>
      <c r="J31" s="36">
        <v>2</v>
      </c>
      <c r="K31" s="371">
        <v>5</v>
      </c>
      <c r="L31" s="214"/>
      <c r="M31" s="214"/>
      <c r="N31" s="214"/>
      <c r="O31" s="217"/>
      <c r="P31" s="295"/>
      <c r="Q31" s="320"/>
      <c r="R31" s="320"/>
      <c r="S31" s="320"/>
      <c r="T31" s="320"/>
      <c r="U31" s="320"/>
      <c r="V31" s="320"/>
      <c r="W31" s="321"/>
      <c r="X31" s="320"/>
      <c r="Y31" s="374"/>
      <c r="Z31" s="222">
        <f t="shared" si="1"/>
        <v>0</v>
      </c>
      <c r="AC31" s="35" t="s">
        <v>185</v>
      </c>
      <c r="AD31" s="36" t="s">
        <v>55</v>
      </c>
      <c r="AE31" s="37" t="s">
        <v>5</v>
      </c>
      <c r="AF31" s="36" t="s">
        <v>5</v>
      </c>
      <c r="AG31" s="38" t="s">
        <v>5</v>
      </c>
      <c r="AH31" s="36" t="s">
        <v>5</v>
      </c>
      <c r="AI31" s="38" t="s">
        <v>5</v>
      </c>
      <c r="AJ31" s="67" t="s">
        <v>218</v>
      </c>
      <c r="AK31" s="115">
        <v>2</v>
      </c>
      <c r="AL31" s="115">
        <v>5</v>
      </c>
      <c r="AM31" s="254"/>
      <c r="AN31" s="323" t="str">
        <f t="shared" si="2"/>
        <v/>
      </c>
      <c r="AO31" s="262"/>
      <c r="AP31" s="210"/>
      <c r="AQ31" s="214"/>
      <c r="AR31" s="210" t="s">
        <v>503</v>
      </c>
      <c r="AS31" s="262"/>
      <c r="AT31" s="214"/>
      <c r="AU31" s="254"/>
      <c r="AV31" s="254"/>
      <c r="AW31" s="254"/>
      <c r="AX31" s="254"/>
      <c r="AY31" s="254"/>
      <c r="AZ31" s="254"/>
      <c r="BA31" s="254"/>
      <c r="BB31" s="306" t="str">
        <f t="shared" si="0"/>
        <v/>
      </c>
      <c r="BC31" s="254"/>
      <c r="BD31" s="254"/>
      <c r="BE31" s="254"/>
      <c r="BF31" s="254"/>
    </row>
    <row r="32" spans="1:58" s="10" customFormat="1" ht="15.75" customHeight="1" x14ac:dyDescent="0.25">
      <c r="A32" s="113"/>
      <c r="B32" s="35" t="s">
        <v>185</v>
      </c>
      <c r="C32" s="44" t="s">
        <v>55</v>
      </c>
      <c r="D32" s="44" t="s">
        <v>5</v>
      </c>
      <c r="E32" s="44" t="s">
        <v>5</v>
      </c>
      <c r="F32" s="44" t="s">
        <v>5</v>
      </c>
      <c r="G32" s="44" t="s">
        <v>5</v>
      </c>
      <c r="H32" s="44" t="s">
        <v>5</v>
      </c>
      <c r="I32" s="360" t="s">
        <v>217</v>
      </c>
      <c r="J32" s="44">
        <v>3</v>
      </c>
      <c r="K32" s="372">
        <v>16</v>
      </c>
      <c r="L32" s="214"/>
      <c r="M32" s="214"/>
      <c r="N32" s="214"/>
      <c r="O32" s="217"/>
      <c r="P32" s="295"/>
      <c r="Q32" s="296"/>
      <c r="R32" s="296"/>
      <c r="S32" s="296"/>
      <c r="T32" s="296"/>
      <c r="U32" s="296"/>
      <c r="V32" s="296"/>
      <c r="W32" s="321"/>
      <c r="X32" s="296"/>
      <c r="Y32" s="373"/>
      <c r="Z32" s="222">
        <f t="shared" si="1"/>
        <v>0</v>
      </c>
      <c r="AC32" s="35" t="s">
        <v>185</v>
      </c>
      <c r="AD32" s="36" t="s">
        <v>55</v>
      </c>
      <c r="AE32" s="37" t="s">
        <v>5</v>
      </c>
      <c r="AF32" s="36" t="s">
        <v>5</v>
      </c>
      <c r="AG32" s="38" t="s">
        <v>5</v>
      </c>
      <c r="AH32" s="36" t="s">
        <v>5</v>
      </c>
      <c r="AI32" s="38" t="s">
        <v>5</v>
      </c>
      <c r="AJ32" s="67" t="s">
        <v>217</v>
      </c>
      <c r="AK32" s="115">
        <v>3</v>
      </c>
      <c r="AL32" s="115">
        <v>16</v>
      </c>
      <c r="AM32" s="254"/>
      <c r="AN32" s="323" t="str">
        <f t="shared" si="2"/>
        <v/>
      </c>
      <c r="AO32" s="261"/>
      <c r="AP32" s="210"/>
      <c r="AQ32" s="214"/>
      <c r="AR32" s="210" t="s">
        <v>503</v>
      </c>
      <c r="AS32" s="262"/>
      <c r="AT32" s="214"/>
      <c r="AU32" s="254"/>
      <c r="AV32" s="254"/>
      <c r="AW32" s="254"/>
      <c r="AX32" s="254"/>
      <c r="AY32" s="254"/>
      <c r="AZ32" s="254"/>
      <c r="BA32" s="254"/>
      <c r="BB32" s="306" t="str">
        <f t="shared" si="0"/>
        <v/>
      </c>
      <c r="BC32" s="254"/>
      <c r="BD32" s="254"/>
      <c r="BE32" s="254"/>
      <c r="BF32" s="254"/>
    </row>
    <row r="33" spans="1:58" s="10" customFormat="1" ht="15.75" customHeight="1" x14ac:dyDescent="0.25">
      <c r="A33" s="113"/>
      <c r="B33" s="35" t="s">
        <v>184</v>
      </c>
      <c r="C33" s="44" t="s">
        <v>214</v>
      </c>
      <c r="D33" s="44" t="s">
        <v>637</v>
      </c>
      <c r="E33" s="44" t="s">
        <v>638</v>
      </c>
      <c r="F33" s="44" t="s">
        <v>639</v>
      </c>
      <c r="G33" s="44" t="s">
        <v>1522</v>
      </c>
      <c r="H33" s="44" t="s">
        <v>640</v>
      </c>
      <c r="I33" s="360" t="str">
        <f t="shared" ref="I33:I64" si="3">IF(OR(H33="-",H33=""),CONCATENATE("A","_",D33,"_",F33,"_",TEXT(J33,"00")),CONCATENATE("A","_",D33,"_",F33,"_",H33,"_",TEXT(J33,"00")))</f>
        <v>A_BAL_PAN_BRA_01</v>
      </c>
      <c r="J33" s="44">
        <v>1</v>
      </c>
      <c r="K33" s="372">
        <v>156</v>
      </c>
      <c r="L33" s="214"/>
      <c r="M33" s="214"/>
      <c r="N33" s="214"/>
      <c r="O33" s="217"/>
      <c r="P33" s="295"/>
      <c r="Q33" s="296"/>
      <c r="R33" s="296"/>
      <c r="S33" s="296"/>
      <c r="T33" s="296"/>
      <c r="U33" s="296"/>
      <c r="V33" s="296"/>
      <c r="W33" s="321"/>
      <c r="X33" s="296"/>
      <c r="Y33" s="373"/>
      <c r="Z33" s="222">
        <f t="shared" si="1"/>
        <v>0</v>
      </c>
      <c r="AC33" s="35" t="s">
        <v>184</v>
      </c>
      <c r="AD33" s="36" t="s">
        <v>214</v>
      </c>
      <c r="AE33" s="37" t="s">
        <v>637</v>
      </c>
      <c r="AF33" s="36" t="s">
        <v>638</v>
      </c>
      <c r="AG33" s="38" t="s">
        <v>639</v>
      </c>
      <c r="AH33" s="36" t="s">
        <v>1522</v>
      </c>
      <c r="AI33" s="38" t="s">
        <v>640</v>
      </c>
      <c r="AJ33" s="67" t="s">
        <v>751</v>
      </c>
      <c r="AK33" s="115">
        <v>1</v>
      </c>
      <c r="AL33" s="115">
        <v>156</v>
      </c>
      <c r="AM33" s="254"/>
      <c r="AN33" s="323" t="str">
        <f t="shared" si="2"/>
        <v/>
      </c>
      <c r="AO33" s="262"/>
      <c r="AP33" s="210"/>
      <c r="AQ33" s="214"/>
      <c r="AR33" s="210" t="s">
        <v>503</v>
      </c>
      <c r="AS33" s="262"/>
      <c r="AT33" s="214"/>
      <c r="AU33" s="254"/>
      <c r="AV33" s="254"/>
      <c r="AW33" s="254"/>
      <c r="AX33" s="254"/>
      <c r="AY33" s="254"/>
      <c r="AZ33" s="254"/>
      <c r="BA33" s="254"/>
      <c r="BB33" s="306" t="str">
        <f t="shared" si="0"/>
        <v/>
      </c>
      <c r="BC33" s="254"/>
      <c r="BD33" s="254"/>
      <c r="BE33" s="254"/>
      <c r="BF33" s="254"/>
    </row>
    <row r="34" spans="1:58" s="10" customFormat="1" ht="15.75" customHeight="1" x14ac:dyDescent="0.25">
      <c r="A34" s="113"/>
      <c r="B34" s="35" t="s">
        <v>184</v>
      </c>
      <c r="C34" s="44" t="s">
        <v>214</v>
      </c>
      <c r="D34" s="44" t="s">
        <v>637</v>
      </c>
      <c r="E34" s="44" t="s">
        <v>638</v>
      </c>
      <c r="F34" s="44" t="s">
        <v>639</v>
      </c>
      <c r="G34" s="44" t="s">
        <v>1523</v>
      </c>
      <c r="H34" s="44" t="s">
        <v>1524</v>
      </c>
      <c r="I34" s="360" t="str">
        <f t="shared" si="3"/>
        <v>A_BAL_PAN_GLF_04</v>
      </c>
      <c r="J34" s="44">
        <v>4</v>
      </c>
      <c r="K34" s="372">
        <v>95</v>
      </c>
      <c r="L34" s="214"/>
      <c r="M34" s="214"/>
      <c r="N34" s="214"/>
      <c r="O34" s="217"/>
      <c r="P34" s="295"/>
      <c r="Q34" s="296"/>
      <c r="R34" s="296"/>
      <c r="S34" s="296"/>
      <c r="T34" s="296"/>
      <c r="U34" s="296"/>
      <c r="V34" s="296"/>
      <c r="W34" s="321"/>
      <c r="X34" s="296"/>
      <c r="Y34" s="373"/>
      <c r="Z34" s="222">
        <f t="shared" si="1"/>
        <v>0</v>
      </c>
      <c r="AC34" s="35" t="s">
        <v>184</v>
      </c>
      <c r="AD34" s="36" t="s">
        <v>214</v>
      </c>
      <c r="AE34" s="37" t="s">
        <v>637</v>
      </c>
      <c r="AF34" s="36" t="s">
        <v>638</v>
      </c>
      <c r="AG34" s="38" t="s">
        <v>639</v>
      </c>
      <c r="AH34" s="36" t="s">
        <v>1523</v>
      </c>
      <c r="AI34" s="38" t="s">
        <v>1524</v>
      </c>
      <c r="AJ34" s="67" t="s">
        <v>1535</v>
      </c>
      <c r="AK34" s="115">
        <v>4</v>
      </c>
      <c r="AL34" s="115">
        <v>95</v>
      </c>
      <c r="AM34" s="254"/>
      <c r="AN34" s="323" t="str">
        <f t="shared" si="2"/>
        <v/>
      </c>
      <c r="AO34" s="262"/>
      <c r="AP34" s="210"/>
      <c r="AQ34" s="214"/>
      <c r="AR34" s="210" t="s">
        <v>503</v>
      </c>
      <c r="AS34" s="262"/>
      <c r="AT34" s="214"/>
      <c r="AU34" s="254"/>
      <c r="AV34" s="254"/>
      <c r="AW34" s="254"/>
      <c r="AX34" s="254"/>
      <c r="AY34" s="254"/>
      <c r="AZ34" s="254"/>
      <c r="BA34" s="254"/>
      <c r="BB34" s="306" t="str">
        <f t="shared" si="0"/>
        <v/>
      </c>
      <c r="BC34" s="254"/>
      <c r="BD34" s="254"/>
      <c r="BE34" s="254"/>
      <c r="BF34" s="254"/>
    </row>
    <row r="35" spans="1:58" s="27" customFormat="1" ht="15.75" customHeight="1" x14ac:dyDescent="0.25">
      <c r="A35" s="113"/>
      <c r="B35" s="35" t="s">
        <v>184</v>
      </c>
      <c r="C35" s="44" t="s">
        <v>214</v>
      </c>
      <c r="D35" s="44" t="s">
        <v>637</v>
      </c>
      <c r="E35" s="44" t="s">
        <v>638</v>
      </c>
      <c r="F35" s="44" t="s">
        <v>639</v>
      </c>
      <c r="G35" s="44" t="s">
        <v>1525</v>
      </c>
      <c r="H35" s="44" t="s">
        <v>1526</v>
      </c>
      <c r="I35" s="360" t="str">
        <f t="shared" si="3"/>
        <v>A_BAL_PAN_GNF_02</v>
      </c>
      <c r="J35" s="44">
        <v>2</v>
      </c>
      <c r="K35" s="372">
        <v>94</v>
      </c>
      <c r="L35" s="217"/>
      <c r="M35" s="217"/>
      <c r="N35" s="217"/>
      <c r="O35" s="217"/>
      <c r="P35" s="295"/>
      <c r="Q35" s="296"/>
      <c r="R35" s="296"/>
      <c r="S35" s="296"/>
      <c r="T35" s="296"/>
      <c r="U35" s="296"/>
      <c r="V35" s="296"/>
      <c r="W35" s="321"/>
      <c r="X35" s="296"/>
      <c r="Y35" s="373"/>
      <c r="Z35" s="222">
        <f t="shared" si="1"/>
        <v>0</v>
      </c>
      <c r="AC35" s="40" t="s">
        <v>184</v>
      </c>
      <c r="AD35" s="41" t="s">
        <v>214</v>
      </c>
      <c r="AE35" s="42" t="s">
        <v>637</v>
      </c>
      <c r="AF35" s="41" t="s">
        <v>638</v>
      </c>
      <c r="AG35" s="43" t="s">
        <v>639</v>
      </c>
      <c r="AH35" s="41" t="s">
        <v>1525</v>
      </c>
      <c r="AI35" s="43" t="s">
        <v>1526</v>
      </c>
      <c r="AJ35" s="68" t="s">
        <v>1536</v>
      </c>
      <c r="AK35" s="116">
        <v>2</v>
      </c>
      <c r="AL35" s="116">
        <v>94</v>
      </c>
      <c r="AM35" s="48"/>
      <c r="AN35" s="323" t="str">
        <f t="shared" si="2"/>
        <v/>
      </c>
      <c r="AO35" s="262"/>
      <c r="AP35" s="210"/>
      <c r="AQ35" s="217"/>
      <c r="AR35" s="210" t="s">
        <v>503</v>
      </c>
      <c r="AS35" s="263"/>
      <c r="AT35" s="217"/>
      <c r="AU35" s="48"/>
      <c r="AV35" s="48"/>
      <c r="AW35" s="48"/>
      <c r="AX35" s="48"/>
      <c r="AY35" s="48"/>
      <c r="AZ35" s="48"/>
      <c r="BA35" s="48"/>
      <c r="BB35" s="306" t="str">
        <f t="shared" si="0"/>
        <v/>
      </c>
      <c r="BC35" s="48"/>
      <c r="BD35" s="48"/>
      <c r="BE35" s="48"/>
      <c r="BF35" s="48"/>
    </row>
    <row r="36" spans="1:58" s="10" customFormat="1" ht="15.75" customHeight="1" x14ac:dyDescent="0.25">
      <c r="A36" s="113"/>
      <c r="B36" s="35" t="s">
        <v>184</v>
      </c>
      <c r="C36" s="44" t="s">
        <v>214</v>
      </c>
      <c r="D36" s="44" t="s">
        <v>637</v>
      </c>
      <c r="E36" s="44" t="s">
        <v>638</v>
      </c>
      <c r="F36" s="44" t="s">
        <v>639</v>
      </c>
      <c r="G36" s="44" t="s">
        <v>59</v>
      </c>
      <c r="H36" s="44" t="s">
        <v>183</v>
      </c>
      <c r="I36" s="360" t="str">
        <f t="shared" si="3"/>
        <v>A_BAL_PAN_INO_03</v>
      </c>
      <c r="J36" s="44">
        <v>3</v>
      </c>
      <c r="K36" s="372">
        <v>96</v>
      </c>
      <c r="L36" s="214"/>
      <c r="M36" s="214"/>
      <c r="N36" s="214"/>
      <c r="O36" s="217"/>
      <c r="P36" s="295"/>
      <c r="Q36" s="296"/>
      <c r="R36" s="296"/>
      <c r="S36" s="296"/>
      <c r="T36" s="296"/>
      <c r="U36" s="296"/>
      <c r="V36" s="296"/>
      <c r="W36" s="321"/>
      <c r="X36" s="296"/>
      <c r="Y36" s="373"/>
      <c r="Z36" s="222">
        <f t="shared" si="1"/>
        <v>0</v>
      </c>
      <c r="AC36" s="35" t="s">
        <v>184</v>
      </c>
      <c r="AD36" s="41" t="s">
        <v>214</v>
      </c>
      <c r="AE36" s="42" t="s">
        <v>637</v>
      </c>
      <c r="AF36" s="41" t="s">
        <v>638</v>
      </c>
      <c r="AG36" s="43" t="s">
        <v>639</v>
      </c>
      <c r="AH36" s="36" t="s">
        <v>59</v>
      </c>
      <c r="AI36" s="38" t="s">
        <v>183</v>
      </c>
      <c r="AJ36" s="67" t="s">
        <v>752</v>
      </c>
      <c r="AK36" s="115">
        <v>3</v>
      </c>
      <c r="AL36" s="115">
        <v>96</v>
      </c>
      <c r="AM36" s="254"/>
      <c r="AN36" s="323" t="str">
        <f t="shared" si="2"/>
        <v/>
      </c>
      <c r="AO36" s="261"/>
      <c r="AP36" s="210"/>
      <c r="AQ36" s="214"/>
      <c r="AR36" s="210" t="s">
        <v>503</v>
      </c>
      <c r="AS36" s="262"/>
      <c r="AT36" s="214"/>
      <c r="AU36" s="254"/>
      <c r="AV36" s="254"/>
      <c r="AW36" s="254"/>
      <c r="AX36" s="254"/>
      <c r="AY36" s="254"/>
      <c r="AZ36" s="254"/>
      <c r="BA36" s="254"/>
      <c r="BB36" s="306" t="str">
        <f t="shared" si="0"/>
        <v/>
      </c>
      <c r="BC36" s="254"/>
      <c r="BD36" s="254"/>
      <c r="BE36" s="254"/>
      <c r="BF36" s="254"/>
    </row>
    <row r="37" spans="1:58" s="10" customFormat="1" ht="15.75" customHeight="1" x14ac:dyDescent="0.25">
      <c r="A37" s="113"/>
      <c r="B37" s="35" t="s">
        <v>184</v>
      </c>
      <c r="C37" s="44" t="s">
        <v>214</v>
      </c>
      <c r="D37" s="44" t="s">
        <v>637</v>
      </c>
      <c r="E37" s="44" t="s">
        <v>641</v>
      </c>
      <c r="F37" s="44" t="s">
        <v>642</v>
      </c>
      <c r="G37" s="44" t="s">
        <v>643</v>
      </c>
      <c r="H37" s="44" t="s">
        <v>644</v>
      </c>
      <c r="I37" s="360" t="str">
        <f t="shared" si="3"/>
        <v>A_BAL_POS_NEW_05</v>
      </c>
      <c r="J37" s="44">
        <v>5</v>
      </c>
      <c r="K37" s="372">
        <v>97</v>
      </c>
      <c r="L37" s="214"/>
      <c r="M37" s="214"/>
      <c r="N37" s="214"/>
      <c r="O37" s="217"/>
      <c r="P37" s="295"/>
      <c r="Q37" s="296"/>
      <c r="R37" s="296"/>
      <c r="S37" s="296"/>
      <c r="T37" s="296"/>
      <c r="U37" s="296"/>
      <c r="V37" s="296"/>
      <c r="W37" s="321"/>
      <c r="X37" s="296"/>
      <c r="Y37" s="373"/>
      <c r="Z37" s="222">
        <f t="shared" si="1"/>
        <v>0</v>
      </c>
      <c r="AC37" s="35" t="s">
        <v>184</v>
      </c>
      <c r="AD37" s="41" t="s">
        <v>214</v>
      </c>
      <c r="AE37" s="42" t="s">
        <v>637</v>
      </c>
      <c r="AF37" s="41" t="s">
        <v>641</v>
      </c>
      <c r="AG37" s="43" t="s">
        <v>642</v>
      </c>
      <c r="AH37" s="36" t="s">
        <v>643</v>
      </c>
      <c r="AI37" s="38" t="s">
        <v>644</v>
      </c>
      <c r="AJ37" s="67" t="s">
        <v>753</v>
      </c>
      <c r="AK37" s="115">
        <v>5</v>
      </c>
      <c r="AL37" s="115">
        <v>97</v>
      </c>
      <c r="AM37" s="254"/>
      <c r="AN37" s="323" t="str">
        <f t="shared" si="2"/>
        <v/>
      </c>
      <c r="AO37" s="262"/>
      <c r="AP37" s="210"/>
      <c r="AQ37" s="214"/>
      <c r="AR37" s="210" t="s">
        <v>503</v>
      </c>
      <c r="AS37" s="262"/>
      <c r="AT37" s="214"/>
      <c r="AU37" s="254"/>
      <c r="AV37" s="254"/>
      <c r="AW37" s="254"/>
      <c r="AX37" s="254"/>
      <c r="AY37" s="254"/>
      <c r="AZ37" s="254"/>
      <c r="BA37" s="254"/>
      <c r="BB37" s="306" t="str">
        <f t="shared" si="0"/>
        <v/>
      </c>
      <c r="BC37" s="254"/>
      <c r="BD37" s="254"/>
      <c r="BE37" s="254"/>
      <c r="BF37" s="254"/>
    </row>
    <row r="38" spans="1:58" s="10" customFormat="1" ht="15.75" customHeight="1" x14ac:dyDescent="0.25">
      <c r="A38" s="113"/>
      <c r="B38" s="35" t="s">
        <v>184</v>
      </c>
      <c r="C38" s="44" t="s">
        <v>214</v>
      </c>
      <c r="D38" s="44" t="s">
        <v>637</v>
      </c>
      <c r="E38" s="44" t="s">
        <v>641</v>
      </c>
      <c r="F38" s="44" t="s">
        <v>642</v>
      </c>
      <c r="G38" s="44" t="s">
        <v>645</v>
      </c>
      <c r="H38" s="44" t="s">
        <v>646</v>
      </c>
      <c r="I38" s="360" t="str">
        <f t="shared" si="3"/>
        <v>A_BAL_POS_S&amp;B_06</v>
      </c>
      <c r="J38" s="44">
        <v>6</v>
      </c>
      <c r="K38" s="372">
        <v>21</v>
      </c>
      <c r="L38" s="214"/>
      <c r="M38" s="214"/>
      <c r="N38" s="214"/>
      <c r="O38" s="217"/>
      <c r="P38" s="295"/>
      <c r="Q38" s="296"/>
      <c r="R38" s="296"/>
      <c r="S38" s="296"/>
      <c r="T38" s="296"/>
      <c r="U38" s="296"/>
      <c r="V38" s="296"/>
      <c r="W38" s="321"/>
      <c r="X38" s="296"/>
      <c r="Y38" s="373"/>
      <c r="Z38" s="222">
        <f t="shared" si="1"/>
        <v>0</v>
      </c>
      <c r="AC38" s="35" t="s">
        <v>184</v>
      </c>
      <c r="AD38" s="41" t="s">
        <v>214</v>
      </c>
      <c r="AE38" s="42" t="s">
        <v>637</v>
      </c>
      <c r="AF38" s="41" t="s">
        <v>641</v>
      </c>
      <c r="AG38" s="43" t="s">
        <v>642</v>
      </c>
      <c r="AH38" s="36" t="s">
        <v>645</v>
      </c>
      <c r="AI38" s="38" t="s">
        <v>646</v>
      </c>
      <c r="AJ38" s="67" t="s">
        <v>754</v>
      </c>
      <c r="AK38" s="115">
        <v>6</v>
      </c>
      <c r="AL38" s="115">
        <v>21</v>
      </c>
      <c r="AM38" s="254"/>
      <c r="AN38" s="323" t="str">
        <f t="shared" si="2"/>
        <v/>
      </c>
      <c r="AO38" s="262"/>
      <c r="AP38" s="210"/>
      <c r="AQ38" s="214"/>
      <c r="AR38" s="210" t="s">
        <v>503</v>
      </c>
      <c r="AS38" s="262"/>
      <c r="AT38" s="214"/>
      <c r="AU38" s="254"/>
      <c r="AV38" s="254"/>
      <c r="AW38" s="254"/>
      <c r="AX38" s="254"/>
      <c r="AY38" s="254"/>
      <c r="AZ38" s="254"/>
      <c r="BA38" s="254"/>
      <c r="BB38" s="306" t="str">
        <f t="shared" si="0"/>
        <v/>
      </c>
      <c r="BC38" s="254"/>
      <c r="BD38" s="254"/>
      <c r="BE38" s="254"/>
      <c r="BF38" s="254"/>
    </row>
    <row r="39" spans="1:58" s="10" customFormat="1" ht="15.75" customHeight="1" x14ac:dyDescent="0.25">
      <c r="A39" s="113"/>
      <c r="B39" s="35" t="s">
        <v>184</v>
      </c>
      <c r="C39" s="44" t="s">
        <v>647</v>
      </c>
      <c r="D39" s="44" t="s">
        <v>648</v>
      </c>
      <c r="E39" s="44" t="s">
        <v>223</v>
      </c>
      <c r="F39" s="44" t="s">
        <v>224</v>
      </c>
      <c r="G39" s="44" t="s">
        <v>667</v>
      </c>
      <c r="H39" s="44" t="s">
        <v>668</v>
      </c>
      <c r="I39" s="360" t="str">
        <f t="shared" si="3"/>
        <v>A_CAS_CAB_4WI_03</v>
      </c>
      <c r="J39" s="44">
        <v>3</v>
      </c>
      <c r="K39" s="372">
        <v>144</v>
      </c>
      <c r="L39" s="214"/>
      <c r="M39" s="214"/>
      <c r="N39" s="214"/>
      <c r="O39" s="217"/>
      <c r="P39" s="295"/>
      <c r="Q39" s="296"/>
      <c r="R39" s="296"/>
      <c r="S39" s="296"/>
      <c r="T39" s="296"/>
      <c r="U39" s="296"/>
      <c r="V39" s="296"/>
      <c r="W39" s="321"/>
      <c r="X39" s="296"/>
      <c r="Y39" s="373"/>
      <c r="Z39" s="222">
        <f t="shared" si="1"/>
        <v>0</v>
      </c>
      <c r="AC39" s="35" t="s">
        <v>184</v>
      </c>
      <c r="AD39" s="41" t="s">
        <v>647</v>
      </c>
      <c r="AE39" s="42" t="s">
        <v>648</v>
      </c>
      <c r="AF39" s="41" t="s">
        <v>223</v>
      </c>
      <c r="AG39" s="43" t="s">
        <v>224</v>
      </c>
      <c r="AH39" s="36" t="s">
        <v>667</v>
      </c>
      <c r="AI39" s="38" t="s">
        <v>668</v>
      </c>
      <c r="AJ39" s="67" t="s">
        <v>1520</v>
      </c>
      <c r="AK39" s="115">
        <v>3</v>
      </c>
      <c r="AL39" s="115">
        <v>144</v>
      </c>
      <c r="AM39" s="254"/>
      <c r="AN39" s="323" t="str">
        <f t="shared" si="2"/>
        <v/>
      </c>
      <c r="AO39" s="262"/>
      <c r="AP39" s="210"/>
      <c r="AQ39" s="214"/>
      <c r="AR39" s="210" t="s">
        <v>503</v>
      </c>
      <c r="AS39" s="262"/>
      <c r="AT39" s="214"/>
      <c r="AU39" s="254"/>
      <c r="AV39" s="254"/>
      <c r="AW39" s="254"/>
      <c r="AX39" s="254"/>
      <c r="AY39" s="254"/>
      <c r="AZ39" s="254"/>
      <c r="BA39" s="254"/>
      <c r="BB39" s="306" t="str">
        <f t="shared" si="0"/>
        <v/>
      </c>
      <c r="BC39" s="254"/>
      <c r="BD39" s="254"/>
      <c r="BE39" s="254"/>
      <c r="BF39" s="254"/>
    </row>
    <row r="40" spans="1:58" s="10" customFormat="1" ht="15.75" customHeight="1" x14ac:dyDescent="0.25">
      <c r="A40" s="113"/>
      <c r="B40" s="35" t="s">
        <v>184</v>
      </c>
      <c r="C40" s="44" t="s">
        <v>647</v>
      </c>
      <c r="D40" s="44" t="s">
        <v>648</v>
      </c>
      <c r="E40" s="44" t="s">
        <v>223</v>
      </c>
      <c r="F40" s="44" t="s">
        <v>224</v>
      </c>
      <c r="G40" s="44" t="s">
        <v>49</v>
      </c>
      <c r="H40" s="44" t="s">
        <v>51</v>
      </c>
      <c r="I40" s="360" t="str">
        <f t="shared" si="3"/>
        <v>A_CAS_CAB_DOU_04</v>
      </c>
      <c r="J40" s="44">
        <v>4</v>
      </c>
      <c r="K40" s="372">
        <v>23</v>
      </c>
      <c r="L40" s="214"/>
      <c r="M40" s="214"/>
      <c r="N40" s="214"/>
      <c r="O40" s="217"/>
      <c r="P40" s="295"/>
      <c r="Q40" s="296"/>
      <c r="R40" s="296"/>
      <c r="S40" s="296"/>
      <c r="T40" s="296"/>
      <c r="U40" s="296"/>
      <c r="V40" s="296"/>
      <c r="W40" s="321"/>
      <c r="X40" s="296"/>
      <c r="Y40" s="373"/>
      <c r="Z40" s="222">
        <f t="shared" si="1"/>
        <v>0</v>
      </c>
      <c r="AC40" s="35" t="s">
        <v>184</v>
      </c>
      <c r="AD40" s="41" t="s">
        <v>647</v>
      </c>
      <c r="AE40" s="42" t="s">
        <v>648</v>
      </c>
      <c r="AF40" s="41" t="s">
        <v>223</v>
      </c>
      <c r="AG40" s="43" t="s">
        <v>224</v>
      </c>
      <c r="AH40" s="36" t="s">
        <v>49</v>
      </c>
      <c r="AI40" s="38" t="s">
        <v>51</v>
      </c>
      <c r="AJ40" s="67" t="s">
        <v>755</v>
      </c>
      <c r="AK40" s="115">
        <v>4</v>
      </c>
      <c r="AL40" s="115">
        <v>23</v>
      </c>
      <c r="AM40" s="254"/>
      <c r="AN40" s="323" t="str">
        <f t="shared" si="2"/>
        <v/>
      </c>
      <c r="AO40" s="262"/>
      <c r="AP40" s="210"/>
      <c r="AQ40" s="214"/>
      <c r="AR40" s="210" t="s">
        <v>503</v>
      </c>
      <c r="AS40" s="262"/>
      <c r="AT40" s="214"/>
      <c r="AU40" s="254"/>
      <c r="AV40" s="254"/>
      <c r="AW40" s="254"/>
      <c r="AX40" s="254"/>
      <c r="AY40" s="254"/>
      <c r="AZ40" s="254"/>
      <c r="BA40" s="254"/>
      <c r="BB40" s="306" t="str">
        <f t="shared" si="0"/>
        <v/>
      </c>
      <c r="BC40" s="254"/>
      <c r="BD40" s="254"/>
      <c r="BE40" s="254"/>
      <c r="BF40" s="254"/>
    </row>
    <row r="41" spans="1:58" s="10" customFormat="1" ht="15.75" customHeight="1" x14ac:dyDescent="0.25">
      <c r="A41" s="113"/>
      <c r="B41" s="35" t="s">
        <v>184</v>
      </c>
      <c r="C41" s="44" t="s">
        <v>647</v>
      </c>
      <c r="D41" s="44" t="s">
        <v>648</v>
      </c>
      <c r="E41" s="44" t="s">
        <v>223</v>
      </c>
      <c r="F41" s="44" t="s">
        <v>224</v>
      </c>
      <c r="G41" s="44" t="s">
        <v>1527</v>
      </c>
      <c r="H41" s="44" t="s">
        <v>1521</v>
      </c>
      <c r="I41" s="360" t="str">
        <f t="shared" si="3"/>
        <v>A_CAS_CAB_S1W_01</v>
      </c>
      <c r="J41" s="44">
        <v>1</v>
      </c>
      <c r="K41" s="372">
        <v>24</v>
      </c>
      <c r="L41" s="214"/>
      <c r="M41" s="214"/>
      <c r="N41" s="214"/>
      <c r="O41" s="217"/>
      <c r="P41" s="295"/>
      <c r="Q41" s="296"/>
      <c r="R41" s="296"/>
      <c r="S41" s="296"/>
      <c r="T41" s="296"/>
      <c r="U41" s="296"/>
      <c r="V41" s="296"/>
      <c r="W41" s="321"/>
      <c r="X41" s="296"/>
      <c r="Y41" s="373"/>
      <c r="Z41" s="222">
        <f t="shared" si="1"/>
        <v>0</v>
      </c>
      <c r="AC41" s="35" t="s">
        <v>184</v>
      </c>
      <c r="AD41" s="41" t="s">
        <v>647</v>
      </c>
      <c r="AE41" s="42" t="s">
        <v>648</v>
      </c>
      <c r="AF41" s="41" t="s">
        <v>223</v>
      </c>
      <c r="AG41" s="43" t="s">
        <v>224</v>
      </c>
      <c r="AH41" s="36" t="s">
        <v>1527</v>
      </c>
      <c r="AI41" s="38" t="s">
        <v>1521</v>
      </c>
      <c r="AJ41" s="67" t="s">
        <v>1537</v>
      </c>
      <c r="AK41" s="115">
        <v>1</v>
      </c>
      <c r="AL41" s="115">
        <v>24</v>
      </c>
      <c r="AM41" s="254"/>
      <c r="AN41" s="323" t="str">
        <f t="shared" si="2"/>
        <v/>
      </c>
      <c r="AO41" s="262"/>
      <c r="AP41" s="210"/>
      <c r="AQ41" s="214"/>
      <c r="AR41" s="210" t="s">
        <v>503</v>
      </c>
      <c r="AS41" s="262"/>
      <c r="AT41" s="214"/>
      <c r="AU41" s="254"/>
      <c r="AV41" s="254"/>
      <c r="AW41" s="254"/>
      <c r="AX41" s="254"/>
      <c r="AY41" s="254"/>
      <c r="AZ41" s="254"/>
      <c r="BA41" s="254"/>
      <c r="BB41" s="306" t="str">
        <f t="shared" si="0"/>
        <v/>
      </c>
      <c r="BC41" s="254"/>
      <c r="BD41" s="254"/>
      <c r="BE41" s="254"/>
      <c r="BF41" s="254"/>
    </row>
    <row r="42" spans="1:58" s="10" customFormat="1" ht="15.75" customHeight="1" x14ac:dyDescent="0.25">
      <c r="A42" s="113"/>
      <c r="B42" s="35" t="s">
        <v>184</v>
      </c>
      <c r="C42" s="44" t="s">
        <v>647</v>
      </c>
      <c r="D42" s="44" t="s">
        <v>648</v>
      </c>
      <c r="E42" s="44" t="s">
        <v>223</v>
      </c>
      <c r="F42" s="44" t="s">
        <v>224</v>
      </c>
      <c r="G42" s="44" t="s">
        <v>506</v>
      </c>
      <c r="H42" s="44" t="s">
        <v>507</v>
      </c>
      <c r="I42" s="360" t="str">
        <f t="shared" si="3"/>
        <v>A_CAS_CAB_SIN_02</v>
      </c>
      <c r="J42" s="44">
        <v>2</v>
      </c>
      <c r="K42" s="372">
        <v>99</v>
      </c>
      <c r="L42" s="214"/>
      <c r="M42" s="214"/>
      <c r="N42" s="214"/>
      <c r="O42" s="217"/>
      <c r="P42" s="295"/>
      <c r="Q42" s="296"/>
      <c r="R42" s="296"/>
      <c r="S42" s="296"/>
      <c r="T42" s="296"/>
      <c r="U42" s="296"/>
      <c r="V42" s="296"/>
      <c r="W42" s="321"/>
      <c r="X42" s="296"/>
      <c r="Y42" s="373"/>
      <c r="Z42" s="222">
        <f t="shared" si="1"/>
        <v>0</v>
      </c>
      <c r="AC42" s="35" t="s">
        <v>184</v>
      </c>
      <c r="AD42" s="41" t="s">
        <v>647</v>
      </c>
      <c r="AE42" s="42" t="s">
        <v>648</v>
      </c>
      <c r="AF42" s="41" t="s">
        <v>223</v>
      </c>
      <c r="AG42" s="43" t="s">
        <v>224</v>
      </c>
      <c r="AH42" s="36" t="s">
        <v>506</v>
      </c>
      <c r="AI42" s="38" t="s">
        <v>507</v>
      </c>
      <c r="AJ42" s="67" t="s">
        <v>756</v>
      </c>
      <c r="AK42" s="115">
        <v>2</v>
      </c>
      <c r="AL42" s="115">
        <v>99</v>
      </c>
      <c r="AM42" s="254"/>
      <c r="AN42" s="323" t="str">
        <f t="shared" si="2"/>
        <v/>
      </c>
      <c r="AO42" s="262"/>
      <c r="AP42" s="210"/>
      <c r="AQ42" s="214"/>
      <c r="AR42" s="210" t="s">
        <v>503</v>
      </c>
      <c r="AS42" s="262"/>
      <c r="AT42" s="214"/>
      <c r="AU42" s="254"/>
      <c r="AV42" s="254"/>
      <c r="AW42" s="254"/>
      <c r="AX42" s="254"/>
      <c r="AY42" s="254"/>
      <c r="AZ42" s="254"/>
      <c r="BA42" s="254"/>
      <c r="BB42" s="306" t="str">
        <f t="shared" si="0"/>
        <v/>
      </c>
      <c r="BC42" s="254"/>
      <c r="BD42" s="254"/>
      <c r="BE42" s="254"/>
      <c r="BF42" s="254"/>
    </row>
    <row r="43" spans="1:58" s="10" customFormat="1" ht="15.75" customHeight="1" x14ac:dyDescent="0.25">
      <c r="A43" s="113"/>
      <c r="B43" s="35" t="s">
        <v>184</v>
      </c>
      <c r="C43" s="44" t="s">
        <v>10</v>
      </c>
      <c r="D43" s="44" t="s">
        <v>111</v>
      </c>
      <c r="E43" s="44" t="s">
        <v>649</v>
      </c>
      <c r="F43" s="44" t="s">
        <v>220</v>
      </c>
      <c r="G43" s="44" t="s">
        <v>650</v>
      </c>
      <c r="H43" s="44" t="s">
        <v>651</v>
      </c>
      <c r="I43" s="360" t="str">
        <f t="shared" si="3"/>
        <v>A_COL_CHA_GYP_01</v>
      </c>
      <c r="J43" s="44">
        <v>1</v>
      </c>
      <c r="K43" s="372">
        <v>98</v>
      </c>
      <c r="L43" s="214"/>
      <c r="M43" s="214"/>
      <c r="N43" s="214"/>
      <c r="O43" s="217"/>
      <c r="P43" s="295"/>
      <c r="Q43" s="296"/>
      <c r="R43" s="296"/>
      <c r="S43" s="296"/>
      <c r="T43" s="296"/>
      <c r="U43" s="296"/>
      <c r="V43" s="296"/>
      <c r="W43" s="321"/>
      <c r="X43" s="296"/>
      <c r="Y43" s="373"/>
      <c r="Z43" s="222">
        <f t="shared" si="1"/>
        <v>0</v>
      </c>
      <c r="AC43" s="35" t="s">
        <v>184</v>
      </c>
      <c r="AD43" s="41" t="s">
        <v>10</v>
      </c>
      <c r="AE43" s="42" t="s">
        <v>111</v>
      </c>
      <c r="AF43" s="41" t="s">
        <v>649</v>
      </c>
      <c r="AG43" s="43" t="s">
        <v>220</v>
      </c>
      <c r="AH43" s="36" t="s">
        <v>650</v>
      </c>
      <c r="AI43" s="38" t="s">
        <v>651</v>
      </c>
      <c r="AJ43" s="67" t="s">
        <v>757</v>
      </c>
      <c r="AK43" s="115">
        <v>1</v>
      </c>
      <c r="AL43" s="115">
        <v>98</v>
      </c>
      <c r="AM43" s="254"/>
      <c r="AN43" s="323" t="str">
        <f t="shared" si="2"/>
        <v/>
      </c>
      <c r="AO43" s="262"/>
      <c r="AP43" s="210"/>
      <c r="AQ43" s="214"/>
      <c r="AR43" s="210" t="s">
        <v>503</v>
      </c>
      <c r="AS43" s="262"/>
      <c r="AT43" s="214"/>
      <c r="AU43" s="254"/>
      <c r="AV43" s="254"/>
      <c r="AW43" s="254"/>
      <c r="AX43" s="254"/>
      <c r="AY43" s="254"/>
      <c r="AZ43" s="254"/>
      <c r="BA43" s="254"/>
      <c r="BB43" s="306" t="str">
        <f t="shared" si="0"/>
        <v/>
      </c>
      <c r="BC43" s="254"/>
      <c r="BD43" s="254"/>
      <c r="BE43" s="254"/>
      <c r="BF43" s="254"/>
    </row>
    <row r="44" spans="1:58" s="10" customFormat="1" ht="15.75" customHeight="1" x14ac:dyDescent="0.25">
      <c r="A44" s="113"/>
      <c r="B44" s="35" t="s">
        <v>184</v>
      </c>
      <c r="C44" s="44" t="s">
        <v>10</v>
      </c>
      <c r="D44" s="44" t="s">
        <v>111</v>
      </c>
      <c r="E44" s="44" t="s">
        <v>652</v>
      </c>
      <c r="F44" s="44" t="s">
        <v>653</v>
      </c>
      <c r="G44" s="44" t="s">
        <v>650</v>
      </c>
      <c r="H44" s="44" t="s">
        <v>651</v>
      </c>
      <c r="I44" s="360" t="str">
        <f t="shared" si="3"/>
        <v>A_COL_CLA_GYP_02</v>
      </c>
      <c r="J44" s="44">
        <v>2</v>
      </c>
      <c r="K44" s="372">
        <v>100</v>
      </c>
      <c r="L44" s="214"/>
      <c r="M44" s="214"/>
      <c r="N44" s="214"/>
      <c r="O44" s="217"/>
      <c r="P44" s="295"/>
      <c r="Q44" s="296"/>
      <c r="R44" s="296"/>
      <c r="S44" s="296"/>
      <c r="T44" s="296"/>
      <c r="U44" s="296"/>
      <c r="V44" s="296"/>
      <c r="W44" s="321"/>
      <c r="X44" s="296"/>
      <c r="Y44" s="373"/>
      <c r="Z44" s="222">
        <f t="shared" si="1"/>
        <v>0</v>
      </c>
      <c r="AC44" s="35" t="s">
        <v>184</v>
      </c>
      <c r="AD44" s="41" t="s">
        <v>10</v>
      </c>
      <c r="AE44" s="42" t="s">
        <v>111</v>
      </c>
      <c r="AF44" s="41" t="s">
        <v>652</v>
      </c>
      <c r="AG44" s="43" t="s">
        <v>653</v>
      </c>
      <c r="AH44" s="36" t="s">
        <v>650</v>
      </c>
      <c r="AI44" s="38" t="s">
        <v>651</v>
      </c>
      <c r="AJ44" s="67" t="s">
        <v>758</v>
      </c>
      <c r="AK44" s="115">
        <v>2</v>
      </c>
      <c r="AL44" s="115">
        <v>100</v>
      </c>
      <c r="AM44" s="254"/>
      <c r="AN44" s="323" t="str">
        <f t="shared" si="2"/>
        <v/>
      </c>
      <c r="AO44" s="262"/>
      <c r="AP44" s="210"/>
      <c r="AQ44" s="214"/>
      <c r="AR44" s="210" t="s">
        <v>503</v>
      </c>
      <c r="AS44" s="262"/>
      <c r="AT44" s="214"/>
      <c r="AU44" s="254"/>
      <c r="AV44" s="254"/>
      <c r="AW44" s="254"/>
      <c r="AX44" s="254"/>
      <c r="AY44" s="254"/>
      <c r="AZ44" s="254"/>
      <c r="BA44" s="254"/>
      <c r="BB44" s="306" t="str">
        <f t="shared" si="0"/>
        <v/>
      </c>
      <c r="BC44" s="254"/>
      <c r="BD44" s="254"/>
      <c r="BE44" s="254"/>
      <c r="BF44" s="254"/>
    </row>
    <row r="45" spans="1:58" s="10" customFormat="1" ht="15.75" customHeight="1" x14ac:dyDescent="0.25">
      <c r="A45" s="113"/>
      <c r="B45" s="35" t="s">
        <v>184</v>
      </c>
      <c r="C45" s="44" t="s">
        <v>10</v>
      </c>
      <c r="D45" s="44" t="s">
        <v>111</v>
      </c>
      <c r="E45" s="44" t="s">
        <v>19</v>
      </c>
      <c r="F45" s="44" t="s">
        <v>20</v>
      </c>
      <c r="G45" s="44" t="s">
        <v>654</v>
      </c>
      <c r="H45" s="44" t="s">
        <v>114</v>
      </c>
      <c r="I45" s="360" t="str">
        <f t="shared" si="3"/>
        <v>A_COL_REC_CON_03</v>
      </c>
      <c r="J45" s="44">
        <v>3</v>
      </c>
      <c r="K45" s="372">
        <v>77</v>
      </c>
      <c r="L45" s="214"/>
      <c r="M45" s="214"/>
      <c r="N45" s="214"/>
      <c r="O45" s="217"/>
      <c r="P45" s="295"/>
      <c r="Q45" s="296"/>
      <c r="R45" s="296"/>
      <c r="S45" s="296"/>
      <c r="T45" s="296"/>
      <c r="U45" s="296"/>
      <c r="V45" s="296"/>
      <c r="W45" s="321"/>
      <c r="X45" s="296"/>
      <c r="Y45" s="373"/>
      <c r="Z45" s="222">
        <f t="shared" si="1"/>
        <v>0</v>
      </c>
      <c r="AC45" s="35" t="s">
        <v>184</v>
      </c>
      <c r="AD45" s="41" t="s">
        <v>10</v>
      </c>
      <c r="AE45" s="42" t="s">
        <v>111</v>
      </c>
      <c r="AF45" s="41" t="s">
        <v>19</v>
      </c>
      <c r="AG45" s="43" t="s">
        <v>20</v>
      </c>
      <c r="AH45" s="36" t="s">
        <v>654</v>
      </c>
      <c r="AI45" s="38" t="s">
        <v>114</v>
      </c>
      <c r="AJ45" s="67" t="s">
        <v>759</v>
      </c>
      <c r="AK45" s="115">
        <v>3</v>
      </c>
      <c r="AL45" s="115">
        <v>77</v>
      </c>
      <c r="AM45" s="254"/>
      <c r="AN45" s="323" t="str">
        <f t="shared" si="2"/>
        <v/>
      </c>
      <c r="AO45" s="262"/>
      <c r="AP45" s="210"/>
      <c r="AQ45" s="214"/>
      <c r="AR45" s="210" t="s">
        <v>503</v>
      </c>
      <c r="AS45" s="262"/>
      <c r="AT45" s="214"/>
      <c r="AU45" s="254"/>
      <c r="AV45" s="254"/>
      <c r="AW45" s="254"/>
      <c r="AX45" s="254"/>
      <c r="AY45" s="254"/>
      <c r="AZ45" s="254"/>
      <c r="BA45" s="254"/>
      <c r="BB45" s="306" t="str">
        <f t="shared" si="0"/>
        <v/>
      </c>
      <c r="BC45" s="254"/>
      <c r="BD45" s="254"/>
      <c r="BE45" s="254"/>
      <c r="BF45" s="254"/>
    </row>
    <row r="46" spans="1:58" s="10" customFormat="1" ht="15.75" customHeight="1" x14ac:dyDescent="0.25">
      <c r="A46" s="113"/>
      <c r="B46" s="35" t="s">
        <v>184</v>
      </c>
      <c r="C46" s="44" t="s">
        <v>10</v>
      </c>
      <c r="D46" s="44" t="s">
        <v>111</v>
      </c>
      <c r="E46" s="44" t="s">
        <v>21</v>
      </c>
      <c r="F46" s="44" t="s">
        <v>22</v>
      </c>
      <c r="G46" s="44" t="s">
        <v>30</v>
      </c>
      <c r="H46" s="44" t="s">
        <v>31</v>
      </c>
      <c r="I46" s="360" t="str">
        <f t="shared" si="3"/>
        <v>A_COL_ROU_WOO_04</v>
      </c>
      <c r="J46" s="44">
        <v>4</v>
      </c>
      <c r="K46" s="372">
        <v>102</v>
      </c>
      <c r="L46" s="214"/>
      <c r="M46" s="214"/>
      <c r="N46" s="214"/>
      <c r="O46" s="217"/>
      <c r="P46" s="295"/>
      <c r="Q46" s="296"/>
      <c r="R46" s="296"/>
      <c r="S46" s="296"/>
      <c r="T46" s="296"/>
      <c r="U46" s="296"/>
      <c r="V46" s="296"/>
      <c r="W46" s="321"/>
      <c r="X46" s="296"/>
      <c r="Y46" s="373"/>
      <c r="Z46" s="222">
        <f t="shared" si="1"/>
        <v>0</v>
      </c>
      <c r="AC46" s="35" t="s">
        <v>184</v>
      </c>
      <c r="AD46" s="41" t="s">
        <v>10</v>
      </c>
      <c r="AE46" s="42" t="s">
        <v>111</v>
      </c>
      <c r="AF46" s="41" t="s">
        <v>21</v>
      </c>
      <c r="AG46" s="43" t="s">
        <v>22</v>
      </c>
      <c r="AH46" s="36" t="s">
        <v>30</v>
      </c>
      <c r="AI46" s="38" t="s">
        <v>31</v>
      </c>
      <c r="AJ46" s="67" t="s">
        <v>760</v>
      </c>
      <c r="AK46" s="115">
        <v>4</v>
      </c>
      <c r="AL46" s="115">
        <v>102</v>
      </c>
      <c r="AM46" s="254"/>
      <c r="AN46" s="323" t="str">
        <f t="shared" si="2"/>
        <v/>
      </c>
      <c r="AO46" s="262"/>
      <c r="AP46" s="210"/>
      <c r="AQ46" s="214"/>
      <c r="AR46" s="210" t="s">
        <v>503</v>
      </c>
      <c r="AS46" s="262"/>
      <c r="AT46" s="214"/>
      <c r="AU46" s="254"/>
      <c r="AV46" s="254"/>
      <c r="AW46" s="254"/>
      <c r="AX46" s="254"/>
      <c r="AY46" s="254"/>
      <c r="AZ46" s="254"/>
      <c r="BA46" s="254"/>
      <c r="BB46" s="306" t="str">
        <f t="shared" si="0"/>
        <v/>
      </c>
      <c r="BC46" s="254"/>
      <c r="BD46" s="254"/>
      <c r="BE46" s="254"/>
      <c r="BF46" s="254"/>
    </row>
    <row r="47" spans="1:58" s="10" customFormat="1" ht="15.75" customHeight="1" x14ac:dyDescent="0.25">
      <c r="A47" s="113"/>
      <c r="B47" s="35" t="s">
        <v>184</v>
      </c>
      <c r="C47" s="44" t="s">
        <v>655</v>
      </c>
      <c r="D47" s="44" t="s">
        <v>656</v>
      </c>
      <c r="E47" s="44" t="s">
        <v>49</v>
      </c>
      <c r="F47" s="44" t="s">
        <v>51</v>
      </c>
      <c r="G47" s="44" t="s">
        <v>52</v>
      </c>
      <c r="H47" s="44" t="s">
        <v>53</v>
      </c>
      <c r="I47" s="360" t="str">
        <f t="shared" si="3"/>
        <v>A_CWP_DOU_GLA_02</v>
      </c>
      <c r="J47" s="44">
        <v>2</v>
      </c>
      <c r="K47" s="372">
        <v>101</v>
      </c>
      <c r="L47" s="214"/>
      <c r="M47" s="214"/>
      <c r="N47" s="214"/>
      <c r="O47" s="217"/>
      <c r="P47" s="295"/>
      <c r="Q47" s="296"/>
      <c r="R47" s="296"/>
      <c r="S47" s="296"/>
      <c r="T47" s="296"/>
      <c r="U47" s="296"/>
      <c r="V47" s="296"/>
      <c r="W47" s="321"/>
      <c r="X47" s="296"/>
      <c r="Y47" s="373"/>
      <c r="Z47" s="222">
        <f t="shared" si="1"/>
        <v>0</v>
      </c>
      <c r="AC47" s="35" t="s">
        <v>184</v>
      </c>
      <c r="AD47" s="36" t="s">
        <v>655</v>
      </c>
      <c r="AE47" s="37" t="s">
        <v>656</v>
      </c>
      <c r="AF47" s="36" t="s">
        <v>49</v>
      </c>
      <c r="AG47" s="38" t="s">
        <v>51</v>
      </c>
      <c r="AH47" s="36" t="s">
        <v>52</v>
      </c>
      <c r="AI47" s="38" t="s">
        <v>53</v>
      </c>
      <c r="AJ47" s="67" t="s">
        <v>761</v>
      </c>
      <c r="AK47" s="115">
        <v>2</v>
      </c>
      <c r="AL47" s="115">
        <v>101</v>
      </c>
      <c r="AM47" s="254"/>
      <c r="AN47" s="323" t="str">
        <f t="shared" si="2"/>
        <v/>
      </c>
      <c r="AO47" s="262"/>
      <c r="AP47" s="210"/>
      <c r="AQ47" s="214"/>
      <c r="AR47" s="210" t="s">
        <v>503</v>
      </c>
      <c r="AS47" s="262"/>
      <c r="AT47" s="214"/>
      <c r="AU47" s="254"/>
      <c r="AV47" s="254"/>
      <c r="AW47" s="254"/>
      <c r="AX47" s="254"/>
      <c r="AY47" s="254"/>
      <c r="AZ47" s="254"/>
      <c r="BA47" s="254"/>
      <c r="BB47" s="306" t="str">
        <f t="shared" si="0"/>
        <v/>
      </c>
      <c r="BC47" s="254"/>
      <c r="BD47" s="254"/>
      <c r="BE47" s="254"/>
      <c r="BF47" s="254"/>
    </row>
    <row r="48" spans="1:58" s="10" customFormat="1" ht="15" customHeight="1" x14ac:dyDescent="0.25">
      <c r="A48" s="113"/>
      <c r="B48" s="35" t="s">
        <v>184</v>
      </c>
      <c r="C48" s="44" t="s">
        <v>655</v>
      </c>
      <c r="D48" s="44" t="s">
        <v>656</v>
      </c>
      <c r="E48" s="44" t="s">
        <v>506</v>
      </c>
      <c r="F48" s="44" t="s">
        <v>507</v>
      </c>
      <c r="G48" s="44" t="s">
        <v>52</v>
      </c>
      <c r="H48" s="44" t="s">
        <v>53</v>
      </c>
      <c r="I48" s="360" t="str">
        <f t="shared" si="3"/>
        <v>A_CWP_SIN_GLA_01</v>
      </c>
      <c r="J48" s="44">
        <v>1</v>
      </c>
      <c r="K48" s="372">
        <v>103</v>
      </c>
      <c r="L48" s="214"/>
      <c r="M48" s="214"/>
      <c r="N48" s="214"/>
      <c r="O48" s="217"/>
      <c r="P48" s="295"/>
      <c r="Q48" s="296"/>
      <c r="R48" s="296"/>
      <c r="S48" s="296"/>
      <c r="T48" s="296"/>
      <c r="U48" s="296"/>
      <c r="V48" s="296"/>
      <c r="W48" s="321"/>
      <c r="X48" s="296"/>
      <c r="Y48" s="373"/>
      <c r="Z48" s="222">
        <f t="shared" si="1"/>
        <v>0</v>
      </c>
      <c r="AC48" s="35" t="s">
        <v>184</v>
      </c>
      <c r="AD48" s="36" t="s">
        <v>655</v>
      </c>
      <c r="AE48" s="37" t="s">
        <v>656</v>
      </c>
      <c r="AF48" s="36" t="s">
        <v>506</v>
      </c>
      <c r="AG48" s="38" t="s">
        <v>507</v>
      </c>
      <c r="AH48" s="36" t="s">
        <v>52</v>
      </c>
      <c r="AI48" s="38" t="s">
        <v>53</v>
      </c>
      <c r="AJ48" s="67" t="s">
        <v>762</v>
      </c>
      <c r="AK48" s="115">
        <v>1</v>
      </c>
      <c r="AL48" s="115">
        <v>103</v>
      </c>
      <c r="AM48" s="254"/>
      <c r="AN48" s="323" t="str">
        <f t="shared" si="2"/>
        <v/>
      </c>
      <c r="AO48" s="262"/>
      <c r="AP48" s="210"/>
      <c r="AQ48" s="214"/>
      <c r="AR48" s="210" t="s">
        <v>503</v>
      </c>
      <c r="AS48" s="262"/>
      <c r="AT48" s="214"/>
      <c r="AU48" s="254"/>
      <c r="AV48" s="254"/>
      <c r="AW48" s="254"/>
      <c r="AX48" s="254"/>
      <c r="AY48" s="254"/>
      <c r="AZ48" s="254"/>
      <c r="BA48" s="254"/>
      <c r="BB48" s="306" t="str">
        <f t="shared" si="0"/>
        <v/>
      </c>
      <c r="BC48" s="254"/>
      <c r="BD48" s="254"/>
      <c r="BE48" s="254"/>
      <c r="BF48" s="254"/>
    </row>
    <row r="49" spans="1:58" s="10" customFormat="1" ht="15.75" customHeight="1" x14ac:dyDescent="0.25">
      <c r="A49" s="113"/>
      <c r="B49" s="35" t="s">
        <v>184</v>
      </c>
      <c r="C49" s="44" t="s">
        <v>655</v>
      </c>
      <c r="D49" s="44" t="s">
        <v>656</v>
      </c>
      <c r="E49" s="44" t="s">
        <v>657</v>
      </c>
      <c r="F49" s="44" t="s">
        <v>658</v>
      </c>
      <c r="G49" s="44" t="s">
        <v>239</v>
      </c>
      <c r="H49" s="44" t="s">
        <v>659</v>
      </c>
      <c r="I49" s="360" t="str">
        <f t="shared" si="3"/>
        <v>A_CWP_SOL_WAL_03</v>
      </c>
      <c r="J49" s="44">
        <v>3</v>
      </c>
      <c r="K49" s="372">
        <v>33</v>
      </c>
      <c r="L49" s="218"/>
      <c r="M49" s="218"/>
      <c r="N49" s="214"/>
      <c r="O49" s="217"/>
      <c r="P49" s="295"/>
      <c r="Q49" s="296"/>
      <c r="R49" s="296"/>
      <c r="S49" s="296"/>
      <c r="T49" s="296"/>
      <c r="U49" s="296"/>
      <c r="V49" s="296"/>
      <c r="W49" s="321"/>
      <c r="X49" s="296"/>
      <c r="Y49" s="373"/>
      <c r="Z49" s="222">
        <f t="shared" si="1"/>
        <v>0</v>
      </c>
      <c r="AC49" s="35" t="s">
        <v>184</v>
      </c>
      <c r="AD49" s="36" t="s">
        <v>655</v>
      </c>
      <c r="AE49" s="37" t="s">
        <v>656</v>
      </c>
      <c r="AF49" s="36" t="s">
        <v>657</v>
      </c>
      <c r="AG49" s="38" t="s">
        <v>658</v>
      </c>
      <c r="AH49" s="36" t="s">
        <v>239</v>
      </c>
      <c r="AI49" s="38" t="s">
        <v>659</v>
      </c>
      <c r="AJ49" s="67" t="s">
        <v>763</v>
      </c>
      <c r="AK49" s="115">
        <v>3</v>
      </c>
      <c r="AL49" s="115">
        <v>33</v>
      </c>
      <c r="AM49" s="254"/>
      <c r="AN49" s="323" t="str">
        <f t="shared" si="2"/>
        <v/>
      </c>
      <c r="AO49" s="262"/>
      <c r="AP49" s="210"/>
      <c r="AQ49" s="214"/>
      <c r="AR49" s="210" t="s">
        <v>503</v>
      </c>
      <c r="AS49" s="262"/>
      <c r="AT49" s="214"/>
      <c r="AU49" s="254"/>
      <c r="AV49" s="254"/>
      <c r="AW49" s="254"/>
      <c r="AX49" s="254"/>
      <c r="AY49" s="254"/>
      <c r="AZ49" s="254"/>
      <c r="BA49" s="254"/>
      <c r="BB49" s="306" t="str">
        <f t="shared" si="0"/>
        <v/>
      </c>
      <c r="BC49" s="254"/>
      <c r="BD49" s="254"/>
      <c r="BE49" s="254"/>
      <c r="BF49" s="254"/>
    </row>
    <row r="50" spans="1:58" s="10" customFormat="1" ht="15.75" customHeight="1" x14ac:dyDescent="0.25">
      <c r="A50" s="113"/>
      <c r="B50" s="35" t="s">
        <v>184</v>
      </c>
      <c r="C50" s="44" t="s">
        <v>2</v>
      </c>
      <c r="D50" s="44" t="s">
        <v>34</v>
      </c>
      <c r="E50" s="44" t="s">
        <v>218</v>
      </c>
      <c r="F50" s="44" t="s">
        <v>660</v>
      </c>
      <c r="G50" s="44" t="s">
        <v>661</v>
      </c>
      <c r="H50" s="44" t="s">
        <v>662</v>
      </c>
      <c r="I50" s="360" t="str">
        <f t="shared" si="3"/>
        <v>A_DOO_CWL_DOS_11</v>
      </c>
      <c r="J50" s="44">
        <v>11</v>
      </c>
      <c r="K50" s="372">
        <v>104</v>
      </c>
      <c r="L50" s="214"/>
      <c r="M50" s="214"/>
      <c r="N50" s="214"/>
      <c r="O50" s="217"/>
      <c r="P50" s="295"/>
      <c r="Q50" s="296"/>
      <c r="R50" s="296"/>
      <c r="S50" s="296"/>
      <c r="T50" s="296"/>
      <c r="U50" s="296"/>
      <c r="V50" s="296"/>
      <c r="W50" s="321"/>
      <c r="X50" s="296"/>
      <c r="Y50" s="373"/>
      <c r="Z50" s="222">
        <f t="shared" si="1"/>
        <v>0</v>
      </c>
      <c r="AC50" s="35" t="s">
        <v>184</v>
      </c>
      <c r="AD50" s="36" t="s">
        <v>2</v>
      </c>
      <c r="AE50" s="37" t="s">
        <v>34</v>
      </c>
      <c r="AF50" s="36" t="s">
        <v>218</v>
      </c>
      <c r="AG50" s="38" t="s">
        <v>660</v>
      </c>
      <c r="AH50" s="36" t="s">
        <v>661</v>
      </c>
      <c r="AI50" s="38" t="s">
        <v>662</v>
      </c>
      <c r="AJ50" s="67" t="s">
        <v>764</v>
      </c>
      <c r="AK50" s="115">
        <v>11</v>
      </c>
      <c r="AL50" s="115">
        <v>104</v>
      </c>
      <c r="AM50" s="254"/>
      <c r="AN50" s="323" t="str">
        <f t="shared" si="2"/>
        <v/>
      </c>
      <c r="AO50" s="262"/>
      <c r="AP50" s="210"/>
      <c r="AQ50" s="214"/>
      <c r="AR50" s="210" t="s">
        <v>503</v>
      </c>
      <c r="AS50" s="262"/>
      <c r="AT50" s="214"/>
      <c r="AU50" s="254"/>
      <c r="AV50" s="254"/>
      <c r="AW50" s="254"/>
      <c r="AX50" s="254"/>
      <c r="AY50" s="254"/>
      <c r="AZ50" s="254"/>
      <c r="BA50" s="254"/>
      <c r="BB50" s="306" t="str">
        <f t="shared" si="0"/>
        <v/>
      </c>
      <c r="BC50" s="254"/>
      <c r="BD50" s="254"/>
      <c r="BE50" s="254"/>
      <c r="BF50" s="254"/>
    </row>
    <row r="51" spans="1:58" s="10" customFormat="1" ht="15.75" customHeight="1" x14ac:dyDescent="0.25">
      <c r="A51" s="113"/>
      <c r="B51" s="35" t="s">
        <v>184</v>
      </c>
      <c r="C51" s="44" t="s">
        <v>2</v>
      </c>
      <c r="D51" s="44" t="s">
        <v>34</v>
      </c>
      <c r="E51" s="44" t="s">
        <v>218</v>
      </c>
      <c r="F51" s="44" t="s">
        <v>660</v>
      </c>
      <c r="G51" s="44" t="s">
        <v>49</v>
      </c>
      <c r="H51" s="44" t="s">
        <v>51</v>
      </c>
      <c r="I51" s="360" t="str">
        <f t="shared" si="3"/>
        <v>A_DOO_CWL_DOU_10</v>
      </c>
      <c r="J51" s="44">
        <v>10</v>
      </c>
      <c r="K51" s="372">
        <v>135</v>
      </c>
      <c r="L51" s="214"/>
      <c r="M51" s="214"/>
      <c r="N51" s="214"/>
      <c r="O51" s="217"/>
      <c r="P51" s="295"/>
      <c r="Q51" s="296"/>
      <c r="R51" s="296"/>
      <c r="S51" s="296"/>
      <c r="T51" s="296"/>
      <c r="U51" s="296"/>
      <c r="V51" s="296"/>
      <c r="W51" s="321"/>
      <c r="X51" s="296"/>
      <c r="Y51" s="373"/>
      <c r="Z51" s="222">
        <f t="shared" si="1"/>
        <v>0</v>
      </c>
      <c r="AC51" s="35" t="s">
        <v>184</v>
      </c>
      <c r="AD51" s="36" t="s">
        <v>2</v>
      </c>
      <c r="AE51" s="37" t="s">
        <v>34</v>
      </c>
      <c r="AF51" s="36" t="s">
        <v>218</v>
      </c>
      <c r="AG51" s="38" t="s">
        <v>660</v>
      </c>
      <c r="AH51" s="36" t="s">
        <v>49</v>
      </c>
      <c r="AI51" s="38" t="s">
        <v>51</v>
      </c>
      <c r="AJ51" s="67" t="s">
        <v>765</v>
      </c>
      <c r="AK51" s="115">
        <v>10</v>
      </c>
      <c r="AL51" s="115">
        <v>135</v>
      </c>
      <c r="AM51" s="254"/>
      <c r="AN51" s="323" t="str">
        <f t="shared" si="2"/>
        <v/>
      </c>
      <c r="AO51" s="262"/>
      <c r="AP51" s="210"/>
      <c r="AQ51" s="214"/>
      <c r="AR51" s="210" t="s">
        <v>503</v>
      </c>
      <c r="AS51" s="262"/>
      <c r="AT51" s="214"/>
      <c r="AU51" s="254"/>
      <c r="AV51" s="254"/>
      <c r="AW51" s="254"/>
      <c r="AX51" s="254"/>
      <c r="AY51" s="254"/>
      <c r="AZ51" s="254"/>
      <c r="BA51" s="254"/>
      <c r="BB51" s="306" t="str">
        <f t="shared" si="0"/>
        <v/>
      </c>
      <c r="BC51" s="254"/>
      <c r="BD51" s="254"/>
      <c r="BE51" s="254"/>
      <c r="BF51" s="254"/>
    </row>
    <row r="52" spans="1:58" s="10" customFormat="1" ht="15.75" customHeight="1" x14ac:dyDescent="0.25">
      <c r="A52" s="113"/>
      <c r="B52" s="35" t="s">
        <v>184</v>
      </c>
      <c r="C52" s="44" t="s">
        <v>2</v>
      </c>
      <c r="D52" s="44" t="s">
        <v>34</v>
      </c>
      <c r="E52" s="44" t="s">
        <v>218</v>
      </c>
      <c r="F52" s="44" t="s">
        <v>660</v>
      </c>
      <c r="G52" s="44" t="s">
        <v>663</v>
      </c>
      <c r="H52" s="44" t="s">
        <v>664</v>
      </c>
      <c r="I52" s="360" t="str">
        <f t="shared" si="3"/>
        <v>A_DOO_CWL_SI3_09</v>
      </c>
      <c r="J52" s="44">
        <v>9</v>
      </c>
      <c r="K52" s="372">
        <v>107</v>
      </c>
      <c r="L52" s="214"/>
      <c r="M52" s="214"/>
      <c r="N52" s="214"/>
      <c r="O52" s="217"/>
      <c r="P52" s="295"/>
      <c r="Q52" s="296"/>
      <c r="R52" s="296"/>
      <c r="S52" s="296"/>
      <c r="T52" s="296"/>
      <c r="U52" s="296"/>
      <c r="V52" s="296"/>
      <c r="W52" s="321"/>
      <c r="X52" s="296"/>
      <c r="Y52" s="373"/>
      <c r="Z52" s="222">
        <f t="shared" si="1"/>
        <v>0</v>
      </c>
      <c r="AC52" s="35" t="s">
        <v>184</v>
      </c>
      <c r="AD52" s="36" t="s">
        <v>2</v>
      </c>
      <c r="AE52" s="37" t="s">
        <v>34</v>
      </c>
      <c r="AF52" s="36" t="s">
        <v>218</v>
      </c>
      <c r="AG52" s="38" t="s">
        <v>660</v>
      </c>
      <c r="AH52" s="36" t="s">
        <v>663</v>
      </c>
      <c r="AI52" s="38" t="s">
        <v>664</v>
      </c>
      <c r="AJ52" s="67" t="s">
        <v>766</v>
      </c>
      <c r="AK52" s="115">
        <v>9</v>
      </c>
      <c r="AL52" s="115">
        <v>107</v>
      </c>
      <c r="AM52" s="254"/>
      <c r="AN52" s="323" t="str">
        <f t="shared" si="2"/>
        <v/>
      </c>
      <c r="AO52" s="262"/>
      <c r="AP52" s="210"/>
      <c r="AQ52" s="214"/>
      <c r="AR52" s="210" t="s">
        <v>503</v>
      </c>
      <c r="AS52" s="262"/>
      <c r="AT52" s="214"/>
      <c r="AU52" s="254"/>
      <c r="AV52" s="254"/>
      <c r="AW52" s="254"/>
      <c r="AX52" s="254"/>
      <c r="AY52" s="254"/>
      <c r="AZ52" s="254"/>
      <c r="BA52" s="254"/>
      <c r="BB52" s="306" t="str">
        <f t="shared" si="0"/>
        <v/>
      </c>
      <c r="BC52" s="254"/>
      <c r="BD52" s="254"/>
      <c r="BE52" s="254"/>
      <c r="BF52" s="254"/>
    </row>
    <row r="53" spans="1:58" s="10" customFormat="1" ht="15.75" customHeight="1" x14ac:dyDescent="0.25">
      <c r="A53" s="113"/>
      <c r="B53" s="35" t="s">
        <v>184</v>
      </c>
      <c r="C53" s="44" t="s">
        <v>2</v>
      </c>
      <c r="D53" s="44" t="s">
        <v>34</v>
      </c>
      <c r="E53" s="44" t="s">
        <v>218</v>
      </c>
      <c r="F53" s="44" t="s">
        <v>660</v>
      </c>
      <c r="G53" s="44" t="s">
        <v>506</v>
      </c>
      <c r="H53" s="44" t="s">
        <v>507</v>
      </c>
      <c r="I53" s="360" t="str">
        <f t="shared" si="3"/>
        <v>A_DOO_CWL_SIN_03</v>
      </c>
      <c r="J53" s="44">
        <v>3</v>
      </c>
      <c r="K53" s="372">
        <v>106</v>
      </c>
      <c r="L53" s="214"/>
      <c r="M53" s="214"/>
      <c r="N53" s="214"/>
      <c r="O53" s="217"/>
      <c r="P53" s="295"/>
      <c r="Q53" s="296"/>
      <c r="R53" s="296"/>
      <c r="S53" s="296"/>
      <c r="T53" s="296"/>
      <c r="U53" s="296"/>
      <c r="V53" s="296"/>
      <c r="W53" s="321"/>
      <c r="X53" s="296"/>
      <c r="Y53" s="373"/>
      <c r="Z53" s="222">
        <f t="shared" si="1"/>
        <v>0</v>
      </c>
      <c r="AC53" s="35" t="s">
        <v>184</v>
      </c>
      <c r="AD53" s="36" t="s">
        <v>2</v>
      </c>
      <c r="AE53" s="37" t="s">
        <v>34</v>
      </c>
      <c r="AF53" s="36" t="s">
        <v>218</v>
      </c>
      <c r="AG53" s="38" t="s">
        <v>660</v>
      </c>
      <c r="AH53" s="36" t="s">
        <v>506</v>
      </c>
      <c r="AI53" s="38" t="s">
        <v>507</v>
      </c>
      <c r="AJ53" s="67" t="s">
        <v>767</v>
      </c>
      <c r="AK53" s="115">
        <v>3</v>
      </c>
      <c r="AL53" s="115">
        <v>106</v>
      </c>
      <c r="AM53" s="254"/>
      <c r="AN53" s="323" t="str">
        <f t="shared" si="2"/>
        <v/>
      </c>
      <c r="AO53" s="262"/>
      <c r="AP53" s="210"/>
      <c r="AQ53" s="214"/>
      <c r="AR53" s="210" t="s">
        <v>503</v>
      </c>
      <c r="AS53" s="262"/>
      <c r="AT53" s="214"/>
      <c r="AU53" s="254"/>
      <c r="AV53" s="254"/>
      <c r="AW53" s="254"/>
      <c r="AX53" s="254"/>
      <c r="AY53" s="254"/>
      <c r="AZ53" s="254"/>
      <c r="BA53" s="254"/>
      <c r="BB53" s="306" t="str">
        <f t="shared" si="0"/>
        <v/>
      </c>
      <c r="BC53" s="254"/>
      <c r="BD53" s="254"/>
      <c r="BE53" s="254"/>
      <c r="BF53" s="254"/>
    </row>
    <row r="54" spans="1:58" s="10" customFormat="1" ht="15.75" customHeight="1" x14ac:dyDescent="0.25">
      <c r="A54" s="113"/>
      <c r="B54" s="35" t="s">
        <v>184</v>
      </c>
      <c r="C54" s="44" t="s">
        <v>2</v>
      </c>
      <c r="D54" s="44" t="s">
        <v>34</v>
      </c>
      <c r="E54" s="44" t="s">
        <v>1546</v>
      </c>
      <c r="F54" s="44" t="s">
        <v>1549</v>
      </c>
      <c r="G54" s="44" t="s">
        <v>1547</v>
      </c>
      <c r="H54" s="44" t="s">
        <v>1550</v>
      </c>
      <c r="I54" s="360" t="str">
        <f t="shared" si="3"/>
        <v>A_DOO_EVT_SWE_18</v>
      </c>
      <c r="J54" s="44">
        <v>18</v>
      </c>
      <c r="K54" s="372">
        <v>158</v>
      </c>
      <c r="L54" s="214"/>
      <c r="M54" s="214"/>
      <c r="N54" s="214"/>
      <c r="O54" s="217"/>
      <c r="P54" s="295"/>
      <c r="Q54" s="296"/>
      <c r="R54" s="296"/>
      <c r="S54" s="296"/>
      <c r="T54" s="296"/>
      <c r="U54" s="296"/>
      <c r="V54" s="296"/>
      <c r="W54" s="321"/>
      <c r="X54" s="296"/>
      <c r="Y54" s="373"/>
      <c r="Z54" s="222">
        <f t="shared" si="1"/>
        <v>0</v>
      </c>
      <c r="AC54" s="35" t="s">
        <v>184</v>
      </c>
      <c r="AD54" s="36" t="s">
        <v>2</v>
      </c>
      <c r="AE54" s="37" t="s">
        <v>34</v>
      </c>
      <c r="AF54" s="36" t="s">
        <v>1546</v>
      </c>
      <c r="AG54" s="38" t="s">
        <v>1549</v>
      </c>
      <c r="AH54" s="36" t="s">
        <v>1547</v>
      </c>
      <c r="AI54" s="38" t="s">
        <v>1550</v>
      </c>
      <c r="AJ54" s="67" t="s">
        <v>1548</v>
      </c>
      <c r="AK54" s="115">
        <v>18</v>
      </c>
      <c r="AL54" s="115">
        <v>158</v>
      </c>
      <c r="AM54" s="254"/>
      <c r="AN54" s="323" t="str">
        <f t="shared" si="2"/>
        <v/>
      </c>
      <c r="AO54" s="262"/>
      <c r="AP54" s="210"/>
      <c r="AQ54" s="214"/>
      <c r="AR54" s="210" t="s">
        <v>503</v>
      </c>
      <c r="AS54" s="262"/>
      <c r="AT54" s="214"/>
      <c r="AU54" s="254"/>
      <c r="AV54" s="254"/>
      <c r="AW54" s="254"/>
      <c r="AX54" s="254"/>
      <c r="AY54" s="254"/>
      <c r="AZ54" s="254"/>
      <c r="BA54" s="254"/>
      <c r="BB54" s="306" t="str">
        <f t="shared" si="0"/>
        <v/>
      </c>
      <c r="BC54" s="254"/>
      <c r="BD54" s="254"/>
      <c r="BE54" s="254"/>
      <c r="BF54" s="254"/>
    </row>
    <row r="55" spans="1:58" s="10" customFormat="1" ht="15.75" customHeight="1" x14ac:dyDescent="0.25">
      <c r="A55" s="113"/>
      <c r="B55" s="35" t="s">
        <v>184</v>
      </c>
      <c r="C55" s="44" t="s">
        <v>2</v>
      </c>
      <c r="D55" s="44" t="s">
        <v>34</v>
      </c>
      <c r="E55" s="44" t="s">
        <v>1546</v>
      </c>
      <c r="F55" s="44" t="s">
        <v>1549</v>
      </c>
      <c r="G55" s="44" t="s">
        <v>1564</v>
      </c>
      <c r="H55" s="44" t="s">
        <v>1566</v>
      </c>
      <c r="I55" s="360" t="str">
        <f t="shared" si="3"/>
        <v>A_DOO_EVT_WIW_29</v>
      </c>
      <c r="J55" s="44">
        <v>29</v>
      </c>
      <c r="K55" s="372">
        <v>165</v>
      </c>
      <c r="L55" s="214"/>
      <c r="M55" s="214"/>
      <c r="N55" s="214"/>
      <c r="O55" s="217"/>
      <c r="P55" s="295"/>
      <c r="Q55" s="296"/>
      <c r="R55" s="296"/>
      <c r="S55" s="296"/>
      <c r="T55" s="296"/>
      <c r="U55" s="296"/>
      <c r="V55" s="296"/>
      <c r="W55" s="321"/>
      <c r="X55" s="296"/>
      <c r="Y55" s="373"/>
      <c r="Z55" s="222">
        <f t="shared" si="1"/>
        <v>0</v>
      </c>
      <c r="AC55" s="35" t="s">
        <v>184</v>
      </c>
      <c r="AD55" s="36" t="s">
        <v>2</v>
      </c>
      <c r="AE55" s="37" t="s">
        <v>34</v>
      </c>
      <c r="AF55" s="36" t="s">
        <v>1546</v>
      </c>
      <c r="AG55" s="38" t="s">
        <v>1549</v>
      </c>
      <c r="AH55" s="36" t="s">
        <v>1564</v>
      </c>
      <c r="AI55" s="38" t="s">
        <v>1566</v>
      </c>
      <c r="AJ55" s="67" t="s">
        <v>1565</v>
      </c>
      <c r="AK55" s="115">
        <v>29</v>
      </c>
      <c r="AL55" s="115">
        <v>165</v>
      </c>
      <c r="AM55" s="254"/>
      <c r="AN55" s="323" t="str">
        <f t="shared" si="2"/>
        <v/>
      </c>
      <c r="AO55" s="262"/>
      <c r="AP55" s="210"/>
      <c r="AQ55" s="214"/>
      <c r="AR55" s="210" t="s">
        <v>503</v>
      </c>
      <c r="AS55" s="262"/>
      <c r="AT55" s="214"/>
      <c r="AU55" s="254"/>
      <c r="AV55" s="254"/>
      <c r="AW55" s="254"/>
      <c r="AX55" s="254"/>
      <c r="AY55" s="254"/>
      <c r="AZ55" s="254"/>
      <c r="BA55" s="254"/>
      <c r="BB55" s="306" t="str">
        <f t="shared" si="0"/>
        <v/>
      </c>
      <c r="BC55" s="254"/>
      <c r="BD55" s="254"/>
      <c r="BE55" s="254"/>
      <c r="BF55" s="254"/>
    </row>
    <row r="56" spans="1:58" s="10" customFormat="1" ht="15.75" customHeight="1" x14ac:dyDescent="0.25">
      <c r="A56" s="113"/>
      <c r="B56" s="35" t="s">
        <v>184</v>
      </c>
      <c r="C56" s="44" t="s">
        <v>2</v>
      </c>
      <c r="D56" s="44" t="s">
        <v>34</v>
      </c>
      <c r="E56" s="44" t="s">
        <v>1552</v>
      </c>
      <c r="F56" s="44" t="s">
        <v>1554</v>
      </c>
      <c r="G56" s="44" t="s">
        <v>1527</v>
      </c>
      <c r="H56" s="44" t="s">
        <v>507</v>
      </c>
      <c r="I56" s="360" t="str">
        <f t="shared" si="3"/>
        <v>A_DOO_F&amp;R_SIN_20</v>
      </c>
      <c r="J56" s="44">
        <v>20</v>
      </c>
      <c r="K56" s="372">
        <v>160</v>
      </c>
      <c r="L56" s="214"/>
      <c r="M56" s="214"/>
      <c r="N56" s="214"/>
      <c r="O56" s="217"/>
      <c r="P56" s="295"/>
      <c r="Q56" s="296"/>
      <c r="R56" s="296"/>
      <c r="S56" s="296"/>
      <c r="T56" s="296"/>
      <c r="U56" s="296"/>
      <c r="V56" s="296"/>
      <c r="W56" s="321"/>
      <c r="X56" s="296"/>
      <c r="Y56" s="373"/>
      <c r="Z56" s="222">
        <f t="shared" si="1"/>
        <v>0</v>
      </c>
      <c r="AC56" s="35" t="s">
        <v>184</v>
      </c>
      <c r="AD56" s="36" t="s">
        <v>2</v>
      </c>
      <c r="AE56" s="37" t="s">
        <v>34</v>
      </c>
      <c r="AF56" s="36" t="s">
        <v>1552</v>
      </c>
      <c r="AG56" s="38" t="s">
        <v>1554</v>
      </c>
      <c r="AH56" s="36" t="s">
        <v>1527</v>
      </c>
      <c r="AI56" s="38" t="s">
        <v>507</v>
      </c>
      <c r="AJ56" s="67" t="s">
        <v>1553</v>
      </c>
      <c r="AK56" s="115">
        <v>20</v>
      </c>
      <c r="AL56" s="115">
        <v>160</v>
      </c>
      <c r="AM56" s="254"/>
      <c r="AN56" s="323" t="str">
        <f t="shared" si="2"/>
        <v/>
      </c>
      <c r="AO56" s="262"/>
      <c r="AP56" s="210"/>
      <c r="AQ56" s="214"/>
      <c r="AR56" s="210" t="s">
        <v>503</v>
      </c>
      <c r="AS56" s="262"/>
      <c r="AT56" s="214"/>
      <c r="AU56" s="254"/>
      <c r="AV56" s="254"/>
      <c r="AW56" s="254"/>
      <c r="AX56" s="254"/>
      <c r="AY56" s="254"/>
      <c r="AZ56" s="254"/>
      <c r="BA56" s="254"/>
      <c r="BB56" s="306" t="str">
        <f t="shared" si="0"/>
        <v/>
      </c>
      <c r="BC56" s="254"/>
      <c r="BD56" s="254"/>
      <c r="BE56" s="254"/>
      <c r="BF56" s="254"/>
    </row>
    <row r="57" spans="1:58" s="10" customFormat="1" ht="15.75" customHeight="1" x14ac:dyDescent="0.25">
      <c r="A57" s="113"/>
      <c r="B57" s="35" t="s">
        <v>184</v>
      </c>
      <c r="C57" s="44" t="s">
        <v>2</v>
      </c>
      <c r="D57" s="44" t="s">
        <v>34</v>
      </c>
      <c r="E57" s="44" t="s">
        <v>665</v>
      </c>
      <c r="F57" s="44" t="s">
        <v>666</v>
      </c>
      <c r="G57" s="44" t="s">
        <v>49</v>
      </c>
      <c r="H57" s="44" t="s">
        <v>51</v>
      </c>
      <c r="I57" s="360" t="str">
        <f t="shared" si="3"/>
        <v>A_DOO_FIR_DOU_01</v>
      </c>
      <c r="J57" s="44">
        <v>1</v>
      </c>
      <c r="K57" s="372">
        <v>110</v>
      </c>
      <c r="L57" s="214"/>
      <c r="M57" s="214"/>
      <c r="N57" s="214"/>
      <c r="O57" s="217"/>
      <c r="P57" s="295"/>
      <c r="Q57" s="296"/>
      <c r="R57" s="296"/>
      <c r="S57" s="296"/>
      <c r="T57" s="296"/>
      <c r="U57" s="296"/>
      <c r="V57" s="296"/>
      <c r="W57" s="321"/>
      <c r="X57" s="296"/>
      <c r="Y57" s="373"/>
      <c r="Z57" s="222">
        <f t="shared" si="1"/>
        <v>0</v>
      </c>
      <c r="AC57" s="35" t="s">
        <v>184</v>
      </c>
      <c r="AD57" s="36" t="s">
        <v>2</v>
      </c>
      <c r="AE57" s="37" t="s">
        <v>34</v>
      </c>
      <c r="AF57" s="36" t="s">
        <v>665</v>
      </c>
      <c r="AG57" s="38" t="s">
        <v>666</v>
      </c>
      <c r="AH57" s="36" t="s">
        <v>49</v>
      </c>
      <c r="AI57" s="38" t="s">
        <v>51</v>
      </c>
      <c r="AJ57" s="67" t="s">
        <v>768</v>
      </c>
      <c r="AK57" s="117">
        <v>1</v>
      </c>
      <c r="AL57" s="117">
        <v>110</v>
      </c>
      <c r="AM57" s="254"/>
      <c r="AN57" s="323" t="str">
        <f t="shared" si="2"/>
        <v/>
      </c>
      <c r="AO57" s="262"/>
      <c r="AP57" s="210"/>
      <c r="AQ57" s="214"/>
      <c r="AR57" s="210" t="s">
        <v>503</v>
      </c>
      <c r="AS57" s="262"/>
      <c r="AT57" s="214"/>
      <c r="AU57" s="254"/>
      <c r="AV57" s="254"/>
      <c r="AW57" s="254"/>
      <c r="AX57" s="254"/>
      <c r="AY57" s="254"/>
      <c r="AZ57" s="254"/>
      <c r="BA57" s="254"/>
      <c r="BB57" s="306" t="str">
        <f t="shared" si="0"/>
        <v/>
      </c>
      <c r="BC57" s="254"/>
      <c r="BD57" s="254"/>
      <c r="BE57" s="254"/>
      <c r="BF57" s="254"/>
    </row>
    <row r="58" spans="1:58" s="10" customFormat="1" ht="15.75" customHeight="1" x14ac:dyDescent="0.25">
      <c r="A58" s="113"/>
      <c r="B58" s="35" t="s">
        <v>184</v>
      </c>
      <c r="C58" s="44" t="s">
        <v>2</v>
      </c>
      <c r="D58" s="44" t="s">
        <v>34</v>
      </c>
      <c r="E58" s="44" t="s">
        <v>665</v>
      </c>
      <c r="F58" s="44" t="s">
        <v>666</v>
      </c>
      <c r="G58" s="44" t="s">
        <v>506</v>
      </c>
      <c r="H58" s="44" t="s">
        <v>507</v>
      </c>
      <c r="I58" s="360" t="str">
        <f t="shared" si="3"/>
        <v>A_DOO_FIR_SIN_02</v>
      </c>
      <c r="J58" s="44">
        <v>2</v>
      </c>
      <c r="K58" s="372">
        <v>108</v>
      </c>
      <c r="L58" s="214"/>
      <c r="M58" s="214"/>
      <c r="N58" s="214"/>
      <c r="O58" s="217"/>
      <c r="P58" s="295"/>
      <c r="Q58" s="296"/>
      <c r="R58" s="296"/>
      <c r="S58" s="296"/>
      <c r="T58" s="296"/>
      <c r="U58" s="296"/>
      <c r="V58" s="296"/>
      <c r="W58" s="321"/>
      <c r="X58" s="296"/>
      <c r="Y58" s="373"/>
      <c r="Z58" s="222">
        <f t="shared" si="1"/>
        <v>0</v>
      </c>
      <c r="AC58" s="35" t="s">
        <v>184</v>
      </c>
      <c r="AD58" s="36" t="s">
        <v>2</v>
      </c>
      <c r="AE58" s="37" t="s">
        <v>34</v>
      </c>
      <c r="AF58" s="36" t="s">
        <v>665</v>
      </c>
      <c r="AG58" s="38" t="s">
        <v>666</v>
      </c>
      <c r="AH58" s="36" t="s">
        <v>506</v>
      </c>
      <c r="AI58" s="38" t="s">
        <v>507</v>
      </c>
      <c r="AJ58" s="67" t="s">
        <v>769</v>
      </c>
      <c r="AK58" s="115">
        <v>2</v>
      </c>
      <c r="AL58" s="115">
        <v>108</v>
      </c>
      <c r="AM58" s="254"/>
      <c r="AN58" s="323" t="str">
        <f t="shared" si="2"/>
        <v/>
      </c>
      <c r="AO58" s="262"/>
      <c r="AP58" s="210"/>
      <c r="AQ58" s="214"/>
      <c r="AR58" s="210" t="s">
        <v>503</v>
      </c>
      <c r="AS58" s="262"/>
      <c r="AT58" s="214"/>
      <c r="AU58" s="254"/>
      <c r="AV58" s="254"/>
      <c r="AW58" s="254"/>
      <c r="AX58" s="254"/>
      <c r="AY58" s="254"/>
      <c r="AZ58" s="254"/>
      <c r="BA58" s="254"/>
      <c r="BB58" s="306" t="str">
        <f t="shared" si="0"/>
        <v/>
      </c>
      <c r="BC58" s="254"/>
      <c r="BD58" s="254"/>
      <c r="BE58" s="254"/>
      <c r="BF58" s="254"/>
    </row>
    <row r="59" spans="1:58" s="10" customFormat="1" ht="15.75" customHeight="1" x14ac:dyDescent="0.25">
      <c r="A59" s="113"/>
      <c r="B59" s="35" t="s">
        <v>184</v>
      </c>
      <c r="C59" s="36" t="s">
        <v>2</v>
      </c>
      <c r="D59" s="36" t="s">
        <v>34</v>
      </c>
      <c r="E59" s="36" t="s">
        <v>52</v>
      </c>
      <c r="F59" s="36" t="s">
        <v>53</v>
      </c>
      <c r="G59" s="36" t="s">
        <v>506</v>
      </c>
      <c r="H59" s="36" t="s">
        <v>507</v>
      </c>
      <c r="I59" s="360" t="str">
        <f t="shared" si="3"/>
        <v>A_DOO_GLA_SIN_13</v>
      </c>
      <c r="J59" s="36">
        <v>13</v>
      </c>
      <c r="K59" s="371">
        <v>109</v>
      </c>
      <c r="L59" s="214"/>
      <c r="M59" s="214"/>
      <c r="N59" s="214"/>
      <c r="O59" s="217"/>
      <c r="P59" s="295"/>
      <c r="Q59" s="320"/>
      <c r="R59" s="320"/>
      <c r="S59" s="320"/>
      <c r="T59" s="320"/>
      <c r="U59" s="320"/>
      <c r="V59" s="320"/>
      <c r="W59" s="321"/>
      <c r="X59" s="320"/>
      <c r="Y59" s="374"/>
      <c r="Z59" s="222">
        <f t="shared" si="1"/>
        <v>0</v>
      </c>
      <c r="AC59" s="35" t="s">
        <v>184</v>
      </c>
      <c r="AD59" s="36" t="s">
        <v>2</v>
      </c>
      <c r="AE59" s="37" t="s">
        <v>34</v>
      </c>
      <c r="AF59" s="36" t="s">
        <v>52</v>
      </c>
      <c r="AG59" s="38" t="s">
        <v>53</v>
      </c>
      <c r="AH59" s="36" t="s">
        <v>506</v>
      </c>
      <c r="AI59" s="38" t="s">
        <v>507</v>
      </c>
      <c r="AJ59" s="67" t="s">
        <v>770</v>
      </c>
      <c r="AK59" s="115">
        <v>13</v>
      </c>
      <c r="AL59" s="115">
        <v>109</v>
      </c>
      <c r="AM59" s="254"/>
      <c r="AN59" s="323" t="str">
        <f t="shared" si="2"/>
        <v/>
      </c>
      <c r="AO59" s="262"/>
      <c r="AP59" s="210"/>
      <c r="AQ59" s="214"/>
      <c r="AR59" s="210" t="s">
        <v>503</v>
      </c>
      <c r="AS59" s="262"/>
      <c r="AT59" s="214"/>
      <c r="AU59" s="254"/>
      <c r="AV59" s="254"/>
      <c r="AW59" s="254"/>
      <c r="AX59" s="254"/>
      <c r="AY59" s="254"/>
      <c r="AZ59" s="254"/>
      <c r="BA59" s="254"/>
      <c r="BB59" s="306" t="str">
        <f t="shared" si="0"/>
        <v/>
      </c>
      <c r="BC59" s="254"/>
      <c r="BD59" s="254"/>
      <c r="BE59" s="254"/>
      <c r="BF59" s="254"/>
    </row>
    <row r="60" spans="1:58" s="10" customFormat="1" ht="15.75" customHeight="1" x14ac:dyDescent="0.25">
      <c r="A60" s="113"/>
      <c r="B60" s="35" t="s">
        <v>184</v>
      </c>
      <c r="C60" s="36" t="s">
        <v>2</v>
      </c>
      <c r="D60" s="36" t="s">
        <v>34</v>
      </c>
      <c r="E60" s="36" t="s">
        <v>43</v>
      </c>
      <c r="F60" s="36" t="s">
        <v>44</v>
      </c>
      <c r="G60" s="36" t="s">
        <v>49</v>
      </c>
      <c r="H60" s="36" t="s">
        <v>51</v>
      </c>
      <c r="I60" s="360" t="str">
        <f t="shared" si="3"/>
        <v>A_DOO_PUL_DOU_05</v>
      </c>
      <c r="J60" s="36">
        <v>5</v>
      </c>
      <c r="K60" s="371">
        <v>40</v>
      </c>
      <c r="L60" s="214"/>
      <c r="M60" s="214"/>
      <c r="N60" s="214"/>
      <c r="O60" s="217"/>
      <c r="P60" s="295"/>
      <c r="Q60" s="320"/>
      <c r="R60" s="320"/>
      <c r="S60" s="320"/>
      <c r="T60" s="320"/>
      <c r="U60" s="320"/>
      <c r="V60" s="320"/>
      <c r="W60" s="321"/>
      <c r="X60" s="320"/>
      <c r="Y60" s="374"/>
      <c r="Z60" s="222">
        <f t="shared" si="1"/>
        <v>0</v>
      </c>
      <c r="AC60" s="35" t="s">
        <v>184</v>
      </c>
      <c r="AD60" s="36" t="s">
        <v>2</v>
      </c>
      <c r="AE60" s="37" t="s">
        <v>34</v>
      </c>
      <c r="AF60" s="36" t="s">
        <v>43</v>
      </c>
      <c r="AG60" s="38" t="s">
        <v>44</v>
      </c>
      <c r="AH60" s="36" t="s">
        <v>49</v>
      </c>
      <c r="AI60" s="38" t="s">
        <v>51</v>
      </c>
      <c r="AJ60" s="67" t="s">
        <v>771</v>
      </c>
      <c r="AK60" s="115">
        <v>5</v>
      </c>
      <c r="AL60" s="115">
        <v>40</v>
      </c>
      <c r="AM60" s="254"/>
      <c r="AN60" s="323" t="str">
        <f t="shared" si="2"/>
        <v/>
      </c>
      <c r="AO60" s="262"/>
      <c r="AP60" s="210"/>
      <c r="AQ60" s="214"/>
      <c r="AR60" s="210" t="s">
        <v>503</v>
      </c>
      <c r="AS60" s="262"/>
      <c r="AT60" s="214"/>
      <c r="AU60" s="254"/>
      <c r="AV60" s="254"/>
      <c r="AW60" s="254"/>
      <c r="AX60" s="254"/>
      <c r="AY60" s="254"/>
      <c r="AZ60" s="254"/>
      <c r="BA60" s="254"/>
      <c r="BB60" s="306" t="str">
        <f t="shared" si="0"/>
        <v/>
      </c>
      <c r="BC60" s="254"/>
      <c r="BD60" s="254"/>
      <c r="BE60" s="254"/>
      <c r="BF60" s="254"/>
    </row>
    <row r="61" spans="1:58" s="10" customFormat="1" ht="15.75" customHeight="1" x14ac:dyDescent="0.25">
      <c r="A61" s="113"/>
      <c r="B61" s="35" t="s">
        <v>184</v>
      </c>
      <c r="C61" s="44" t="s">
        <v>2</v>
      </c>
      <c r="D61" s="44" t="s">
        <v>34</v>
      </c>
      <c r="E61" s="44" t="s">
        <v>43</v>
      </c>
      <c r="F61" s="44" t="s">
        <v>44</v>
      </c>
      <c r="G61" s="44" t="s">
        <v>49</v>
      </c>
      <c r="H61" s="44" t="s">
        <v>51</v>
      </c>
      <c r="I61" s="360" t="str">
        <f t="shared" si="3"/>
        <v>A_DOO_PUL_DOU_32</v>
      </c>
      <c r="J61" s="44">
        <v>32</v>
      </c>
      <c r="K61" s="372">
        <v>167</v>
      </c>
      <c r="L61" s="214"/>
      <c r="M61" s="214"/>
      <c r="N61" s="214"/>
      <c r="O61" s="217"/>
      <c r="P61" s="295"/>
      <c r="Q61" s="296"/>
      <c r="R61" s="296"/>
      <c r="S61" s="296"/>
      <c r="T61" s="296"/>
      <c r="U61" s="296"/>
      <c r="V61" s="296"/>
      <c r="W61" s="321"/>
      <c r="X61" s="296"/>
      <c r="Y61" s="373"/>
      <c r="Z61" s="222">
        <f t="shared" si="1"/>
        <v>0</v>
      </c>
      <c r="AC61" s="35" t="s">
        <v>184</v>
      </c>
      <c r="AD61" s="36" t="s">
        <v>2</v>
      </c>
      <c r="AE61" s="37" t="s">
        <v>34</v>
      </c>
      <c r="AF61" s="36" t="s">
        <v>43</v>
      </c>
      <c r="AG61" s="38" t="s">
        <v>44</v>
      </c>
      <c r="AH61" s="36" t="s">
        <v>49</v>
      </c>
      <c r="AI61" s="38" t="s">
        <v>51</v>
      </c>
      <c r="AJ61" s="67" t="s">
        <v>1568</v>
      </c>
      <c r="AK61" s="115">
        <v>32</v>
      </c>
      <c r="AL61" s="115">
        <v>167</v>
      </c>
      <c r="AM61" s="254"/>
      <c r="AN61" s="323" t="str">
        <f t="shared" si="2"/>
        <v/>
      </c>
      <c r="AO61" s="262"/>
      <c r="AP61" s="210"/>
      <c r="AQ61" s="214"/>
      <c r="AR61" s="210" t="s">
        <v>503</v>
      </c>
      <c r="AS61" s="262"/>
      <c r="AT61" s="214"/>
      <c r="AU61" s="254"/>
      <c r="AV61" s="254"/>
      <c r="AW61" s="254"/>
      <c r="AX61" s="254"/>
      <c r="AY61" s="254"/>
      <c r="AZ61" s="254"/>
      <c r="BA61" s="254"/>
      <c r="BB61" s="306" t="str">
        <f t="shared" si="0"/>
        <v/>
      </c>
      <c r="BC61" s="254"/>
      <c r="BD61" s="254"/>
      <c r="BE61" s="254"/>
      <c r="BF61" s="254"/>
    </row>
    <row r="62" spans="1:58" s="10" customFormat="1" ht="15.75" customHeight="1" x14ac:dyDescent="0.25">
      <c r="A62" s="113"/>
      <c r="B62" s="35" t="s">
        <v>184</v>
      </c>
      <c r="C62" s="44" t="s">
        <v>2</v>
      </c>
      <c r="D62" s="44" t="s">
        <v>34</v>
      </c>
      <c r="E62" s="44" t="s">
        <v>43</v>
      </c>
      <c r="F62" s="44" t="s">
        <v>44</v>
      </c>
      <c r="G62" s="44" t="s">
        <v>1561</v>
      </c>
      <c r="H62" s="44" t="s">
        <v>1562</v>
      </c>
      <c r="I62" s="360" t="str">
        <f t="shared" si="3"/>
        <v>A_DOO_PUL_DW70_30</v>
      </c>
      <c r="J62" s="44">
        <v>30</v>
      </c>
      <c r="K62" s="372">
        <v>166</v>
      </c>
      <c r="L62" s="214"/>
      <c r="M62" s="214"/>
      <c r="N62" s="214"/>
      <c r="O62" s="217"/>
      <c r="P62" s="295"/>
      <c r="Q62" s="296"/>
      <c r="R62" s="296"/>
      <c r="S62" s="296"/>
      <c r="T62" s="296"/>
      <c r="U62" s="296"/>
      <c r="V62" s="296"/>
      <c r="W62" s="321"/>
      <c r="X62" s="296"/>
      <c r="Y62" s="373"/>
      <c r="Z62" s="222">
        <f t="shared" ref="Z62:Z113" si="4">X62*1</f>
        <v>0</v>
      </c>
      <c r="AC62" s="35" t="s">
        <v>184</v>
      </c>
      <c r="AD62" s="36" t="s">
        <v>2</v>
      </c>
      <c r="AE62" s="37" t="s">
        <v>34</v>
      </c>
      <c r="AF62" s="36" t="s">
        <v>43</v>
      </c>
      <c r="AG62" s="38" t="s">
        <v>44</v>
      </c>
      <c r="AH62" s="36" t="s">
        <v>1561</v>
      </c>
      <c r="AI62" s="38" t="s">
        <v>1562</v>
      </c>
      <c r="AJ62" s="67" t="s">
        <v>1567</v>
      </c>
      <c r="AK62" s="115">
        <v>30</v>
      </c>
      <c r="AL62" s="115">
        <v>166</v>
      </c>
      <c r="AM62" s="254"/>
      <c r="AN62" s="323" t="str">
        <f t="shared" si="2"/>
        <v/>
      </c>
      <c r="AO62" s="262"/>
      <c r="AP62" s="210"/>
      <c r="AQ62" s="214"/>
      <c r="AR62" s="210" t="s">
        <v>503</v>
      </c>
      <c r="AS62" s="262"/>
      <c r="AT62" s="214"/>
      <c r="AU62" s="254"/>
      <c r="AV62" s="254"/>
      <c r="AW62" s="254"/>
      <c r="AX62" s="254"/>
      <c r="AY62" s="254"/>
      <c r="AZ62" s="254"/>
      <c r="BA62" s="254"/>
      <c r="BB62" s="306" t="str">
        <f t="shared" si="0"/>
        <v/>
      </c>
      <c r="BC62" s="254"/>
      <c r="BD62" s="254"/>
      <c r="BE62" s="254"/>
      <c r="BF62" s="254"/>
    </row>
    <row r="63" spans="1:58" s="10" customFormat="1" ht="15.75" customHeight="1" x14ac:dyDescent="0.25">
      <c r="A63" s="113"/>
      <c r="B63" s="35" t="s">
        <v>184</v>
      </c>
      <c r="C63" s="36" t="s">
        <v>2</v>
      </c>
      <c r="D63" s="36" t="s">
        <v>34</v>
      </c>
      <c r="E63" s="36" t="s">
        <v>43</v>
      </c>
      <c r="F63" s="36" t="s">
        <v>44</v>
      </c>
      <c r="G63" s="36" t="s">
        <v>1527</v>
      </c>
      <c r="H63" s="36" t="s">
        <v>507</v>
      </c>
      <c r="I63" s="360" t="str">
        <f t="shared" si="3"/>
        <v>A_DOO_PUL_SIN_14</v>
      </c>
      <c r="J63" s="36">
        <v>14</v>
      </c>
      <c r="K63" s="371">
        <v>159</v>
      </c>
      <c r="L63" s="214"/>
      <c r="M63" s="214"/>
      <c r="N63" s="214"/>
      <c r="O63" s="217"/>
      <c r="P63" s="295"/>
      <c r="Q63" s="320"/>
      <c r="R63" s="320"/>
      <c r="S63" s="320"/>
      <c r="T63" s="320"/>
      <c r="U63" s="320"/>
      <c r="V63" s="320"/>
      <c r="W63" s="321"/>
      <c r="X63" s="320"/>
      <c r="Y63" s="374"/>
      <c r="Z63" s="222">
        <f t="shared" si="4"/>
        <v>0</v>
      </c>
      <c r="AC63" s="35" t="s">
        <v>184</v>
      </c>
      <c r="AD63" s="44" t="s">
        <v>2</v>
      </c>
      <c r="AE63" s="45" t="s">
        <v>34</v>
      </c>
      <c r="AF63" s="44" t="s">
        <v>43</v>
      </c>
      <c r="AG63" s="46" t="s">
        <v>44</v>
      </c>
      <c r="AH63" s="44" t="s">
        <v>1527</v>
      </c>
      <c r="AI63" s="46" t="s">
        <v>507</v>
      </c>
      <c r="AJ63" s="69" t="s">
        <v>1551</v>
      </c>
      <c r="AK63" s="115">
        <v>14</v>
      </c>
      <c r="AL63" s="115">
        <v>159</v>
      </c>
      <c r="AM63" s="254"/>
      <c r="AN63" s="323" t="str">
        <f t="shared" si="2"/>
        <v/>
      </c>
      <c r="AO63" s="262"/>
      <c r="AP63" s="210"/>
      <c r="AQ63" s="214"/>
      <c r="AR63" s="210" t="s">
        <v>503</v>
      </c>
      <c r="AS63" s="262"/>
      <c r="AT63" s="214"/>
      <c r="AU63" s="254"/>
      <c r="AV63" s="254"/>
      <c r="AW63" s="254"/>
      <c r="AX63" s="254"/>
      <c r="AY63" s="254"/>
      <c r="AZ63" s="254"/>
      <c r="BA63" s="254"/>
      <c r="BB63" s="306" t="str">
        <f t="shared" si="0"/>
        <v/>
      </c>
      <c r="BC63" s="254"/>
      <c r="BD63" s="254"/>
      <c r="BE63" s="254"/>
      <c r="BF63" s="254"/>
    </row>
    <row r="64" spans="1:58" s="10" customFormat="1" ht="15.75" customHeight="1" x14ac:dyDescent="0.25">
      <c r="A64" s="113"/>
      <c r="B64" s="35" t="s">
        <v>184</v>
      </c>
      <c r="C64" s="44" t="s">
        <v>2</v>
      </c>
      <c r="D64" s="44" t="s">
        <v>34</v>
      </c>
      <c r="E64" s="44" t="s">
        <v>43</v>
      </c>
      <c r="F64" s="44" t="s">
        <v>44</v>
      </c>
      <c r="G64" s="44" t="s">
        <v>1527</v>
      </c>
      <c r="H64" s="44" t="s">
        <v>507</v>
      </c>
      <c r="I64" s="360" t="str">
        <f t="shared" si="3"/>
        <v>A_DOO_PUL_SIN_33</v>
      </c>
      <c r="J64" s="44">
        <v>33</v>
      </c>
      <c r="K64" s="372">
        <v>168</v>
      </c>
      <c r="L64" s="214"/>
      <c r="M64" s="214"/>
      <c r="N64" s="214"/>
      <c r="O64" s="217"/>
      <c r="P64" s="295"/>
      <c r="Q64" s="296"/>
      <c r="R64" s="296"/>
      <c r="S64" s="296"/>
      <c r="T64" s="296"/>
      <c r="U64" s="296"/>
      <c r="V64" s="296"/>
      <c r="W64" s="321"/>
      <c r="X64" s="296"/>
      <c r="Y64" s="373"/>
      <c r="Z64" s="222">
        <f t="shared" si="4"/>
        <v>0</v>
      </c>
      <c r="AC64" s="35" t="s">
        <v>184</v>
      </c>
      <c r="AD64" s="44" t="s">
        <v>2</v>
      </c>
      <c r="AE64" s="45" t="s">
        <v>34</v>
      </c>
      <c r="AF64" s="44" t="s">
        <v>43</v>
      </c>
      <c r="AG64" s="46" t="s">
        <v>44</v>
      </c>
      <c r="AH64" s="44" t="s">
        <v>1527</v>
      </c>
      <c r="AI64" s="46" t="s">
        <v>507</v>
      </c>
      <c r="AJ64" s="69" t="s">
        <v>1569</v>
      </c>
      <c r="AK64" s="115">
        <v>33</v>
      </c>
      <c r="AL64" s="115">
        <v>168</v>
      </c>
      <c r="AM64" s="254"/>
      <c r="AN64" s="323" t="str">
        <f t="shared" si="2"/>
        <v/>
      </c>
      <c r="AO64" s="262"/>
      <c r="AP64" s="210"/>
      <c r="AQ64" s="214"/>
      <c r="AR64" s="210" t="s">
        <v>503</v>
      </c>
      <c r="AS64" s="262"/>
      <c r="AT64" s="214"/>
      <c r="AU64" s="254"/>
      <c r="AV64" s="254"/>
      <c r="AW64" s="254"/>
      <c r="AX64" s="254"/>
      <c r="AY64" s="254"/>
      <c r="AZ64" s="254"/>
      <c r="BA64" s="254"/>
      <c r="BB64" s="306" t="str">
        <f t="shared" si="0"/>
        <v/>
      </c>
      <c r="BC64" s="254"/>
      <c r="BD64" s="254"/>
      <c r="BE64" s="254"/>
      <c r="BF64" s="254"/>
    </row>
    <row r="65" spans="1:58" s="10" customFormat="1" ht="15.75" customHeight="1" x14ac:dyDescent="0.25">
      <c r="A65" s="113"/>
      <c r="B65" s="35" t="s">
        <v>184</v>
      </c>
      <c r="C65" s="36" t="s">
        <v>2</v>
      </c>
      <c r="D65" s="36" t="s">
        <v>34</v>
      </c>
      <c r="E65" s="36" t="s">
        <v>48</v>
      </c>
      <c r="F65" s="36" t="s">
        <v>50</v>
      </c>
      <c r="G65" s="36" t="s">
        <v>1528</v>
      </c>
      <c r="H65" s="36" t="s">
        <v>1529</v>
      </c>
      <c r="I65" s="360" t="str">
        <f t="shared" ref="I65:I96" si="5">IF(OR(H65="-",H65=""),CONCATENATE("A","_",D65,"_",F65,"_",TEXT(J65,"00")),CONCATENATE("A","_",D65,"_",F65,"_",H65,"_",TEXT(J65,"00")))</f>
        <v>A_DOO_SLI_4WF_06</v>
      </c>
      <c r="J65" s="36">
        <v>6</v>
      </c>
      <c r="K65" s="371">
        <v>141</v>
      </c>
      <c r="L65" s="214"/>
      <c r="M65" s="214"/>
      <c r="N65" s="214"/>
      <c r="O65" s="217"/>
      <c r="P65" s="295"/>
      <c r="Q65" s="320"/>
      <c r="R65" s="320"/>
      <c r="S65" s="320"/>
      <c r="T65" s="320"/>
      <c r="U65" s="320"/>
      <c r="V65" s="320"/>
      <c r="W65" s="321"/>
      <c r="X65" s="320"/>
      <c r="Y65" s="374"/>
      <c r="Z65" s="222">
        <f t="shared" si="4"/>
        <v>0</v>
      </c>
      <c r="AC65" s="35" t="s">
        <v>184</v>
      </c>
      <c r="AD65" s="44" t="s">
        <v>2</v>
      </c>
      <c r="AE65" s="45" t="s">
        <v>34</v>
      </c>
      <c r="AF65" s="44" t="s">
        <v>48</v>
      </c>
      <c r="AG65" s="46" t="s">
        <v>50</v>
      </c>
      <c r="AH65" s="44" t="s">
        <v>1528</v>
      </c>
      <c r="AI65" s="46" t="s">
        <v>1529</v>
      </c>
      <c r="AJ65" s="69" t="s">
        <v>1538</v>
      </c>
      <c r="AK65" s="117">
        <v>6</v>
      </c>
      <c r="AL65" s="117">
        <v>141</v>
      </c>
      <c r="AM65" s="254"/>
      <c r="AN65" s="323" t="str">
        <f t="shared" si="2"/>
        <v/>
      </c>
      <c r="AO65" s="262"/>
      <c r="AP65" s="210"/>
      <c r="AQ65" s="214"/>
      <c r="AR65" s="210" t="s">
        <v>503</v>
      </c>
      <c r="AS65" s="262"/>
      <c r="AT65" s="214"/>
      <c r="AU65" s="254"/>
      <c r="AV65" s="254"/>
      <c r="AW65" s="254"/>
      <c r="AX65" s="254"/>
      <c r="AY65" s="254"/>
      <c r="AZ65" s="254"/>
      <c r="BA65" s="254"/>
      <c r="BB65" s="306" t="str">
        <f t="shared" si="0"/>
        <v/>
      </c>
      <c r="BC65" s="254"/>
      <c r="BD65" s="254"/>
      <c r="BE65" s="254"/>
      <c r="BF65" s="254"/>
    </row>
    <row r="66" spans="1:58" s="10" customFormat="1" ht="15.75" customHeight="1" x14ac:dyDescent="0.25">
      <c r="A66" s="113"/>
      <c r="B66" s="35" t="s">
        <v>184</v>
      </c>
      <c r="C66" s="36" t="s">
        <v>2</v>
      </c>
      <c r="D66" s="36" t="s">
        <v>34</v>
      </c>
      <c r="E66" s="36" t="s">
        <v>48</v>
      </c>
      <c r="F66" s="36" t="s">
        <v>50</v>
      </c>
      <c r="G66" s="36" t="s">
        <v>667</v>
      </c>
      <c r="H66" s="36" t="s">
        <v>668</v>
      </c>
      <c r="I66" s="360" t="str">
        <f t="shared" si="5"/>
        <v>A_DOO_SLI_4WI_12</v>
      </c>
      <c r="J66" s="36">
        <v>12</v>
      </c>
      <c r="K66" s="371">
        <v>118</v>
      </c>
      <c r="L66" s="214"/>
      <c r="M66" s="214"/>
      <c r="N66" s="214"/>
      <c r="O66" s="217"/>
      <c r="P66" s="295"/>
      <c r="Q66" s="320"/>
      <c r="R66" s="320"/>
      <c r="S66" s="320"/>
      <c r="T66" s="320"/>
      <c r="U66" s="320"/>
      <c r="V66" s="320"/>
      <c r="W66" s="321"/>
      <c r="X66" s="320"/>
      <c r="Y66" s="374"/>
      <c r="Z66" s="222">
        <f t="shared" si="4"/>
        <v>0</v>
      </c>
      <c r="AC66" s="35" t="s">
        <v>184</v>
      </c>
      <c r="AD66" s="44" t="s">
        <v>2</v>
      </c>
      <c r="AE66" s="45" t="s">
        <v>34</v>
      </c>
      <c r="AF66" s="44" t="s">
        <v>48</v>
      </c>
      <c r="AG66" s="46" t="s">
        <v>50</v>
      </c>
      <c r="AH66" s="44" t="s">
        <v>667</v>
      </c>
      <c r="AI66" s="46" t="s">
        <v>668</v>
      </c>
      <c r="AJ66" s="69" t="s">
        <v>772</v>
      </c>
      <c r="AK66" s="117">
        <v>12</v>
      </c>
      <c r="AL66" s="117">
        <v>118</v>
      </c>
      <c r="AM66" s="254"/>
      <c r="AN66" s="323" t="str">
        <f t="shared" si="2"/>
        <v/>
      </c>
      <c r="AO66" s="262"/>
      <c r="AP66" s="210"/>
      <c r="AQ66" s="214"/>
      <c r="AR66" s="210" t="s">
        <v>503</v>
      </c>
      <c r="AS66" s="262"/>
      <c r="AT66" s="214"/>
      <c r="AU66" s="254"/>
      <c r="AV66" s="254"/>
      <c r="AW66" s="254"/>
      <c r="AX66" s="254"/>
      <c r="AY66" s="254"/>
      <c r="AZ66" s="254"/>
      <c r="BA66" s="254"/>
      <c r="BB66" s="306" t="str">
        <f t="shared" si="0"/>
        <v/>
      </c>
      <c r="BC66" s="254"/>
      <c r="BD66" s="254"/>
      <c r="BE66" s="254"/>
      <c r="BF66" s="254"/>
    </row>
    <row r="67" spans="1:58" s="10" customFormat="1" ht="15.75" customHeight="1" x14ac:dyDescent="0.25">
      <c r="A67" s="113"/>
      <c r="B67" s="35" t="s">
        <v>184</v>
      </c>
      <c r="C67" s="44" t="s">
        <v>2</v>
      </c>
      <c r="D67" s="44" t="s">
        <v>34</v>
      </c>
      <c r="E67" s="44" t="s">
        <v>48</v>
      </c>
      <c r="F67" s="44" t="s">
        <v>50</v>
      </c>
      <c r="G67" s="44" t="s">
        <v>49</v>
      </c>
      <c r="H67" s="44" t="s">
        <v>51</v>
      </c>
      <c r="I67" s="360" t="str">
        <f t="shared" si="5"/>
        <v>A_DOO_SLI_DOU_07</v>
      </c>
      <c r="J67" s="44">
        <v>7</v>
      </c>
      <c r="K67" s="372">
        <v>42</v>
      </c>
      <c r="L67" s="214"/>
      <c r="M67" s="214"/>
      <c r="N67" s="214"/>
      <c r="O67" s="217"/>
      <c r="P67" s="295"/>
      <c r="Q67" s="296"/>
      <c r="R67" s="296"/>
      <c r="S67" s="296"/>
      <c r="T67" s="296"/>
      <c r="U67" s="296"/>
      <c r="V67" s="296"/>
      <c r="W67" s="321"/>
      <c r="X67" s="296"/>
      <c r="Y67" s="373"/>
      <c r="Z67" s="222">
        <f t="shared" si="4"/>
        <v>0</v>
      </c>
      <c r="AC67" s="35" t="s">
        <v>184</v>
      </c>
      <c r="AD67" s="44" t="s">
        <v>2</v>
      </c>
      <c r="AE67" s="45" t="s">
        <v>34</v>
      </c>
      <c r="AF67" s="44" t="s">
        <v>48</v>
      </c>
      <c r="AG67" s="46" t="s">
        <v>50</v>
      </c>
      <c r="AH67" s="44" t="s">
        <v>49</v>
      </c>
      <c r="AI67" s="46" t="s">
        <v>51</v>
      </c>
      <c r="AJ67" s="69" t="s">
        <v>773</v>
      </c>
      <c r="AK67" s="117">
        <v>7</v>
      </c>
      <c r="AL67" s="117">
        <v>42</v>
      </c>
      <c r="AM67" s="254"/>
      <c r="AN67" s="323" t="str">
        <f t="shared" si="2"/>
        <v/>
      </c>
      <c r="AO67" s="262"/>
      <c r="AP67" s="210"/>
      <c r="AQ67" s="214"/>
      <c r="AR67" s="210" t="s">
        <v>503</v>
      </c>
      <c r="AS67" s="262"/>
      <c r="AT67" s="214"/>
      <c r="AU67" s="254"/>
      <c r="AV67" s="254"/>
      <c r="AW67" s="254"/>
      <c r="AX67" s="254"/>
      <c r="AY67" s="254"/>
      <c r="AZ67" s="254"/>
      <c r="BA67" s="254"/>
      <c r="BB67" s="306" t="str">
        <f t="shared" si="0"/>
        <v/>
      </c>
      <c r="BC67" s="254"/>
      <c r="BD67" s="254"/>
      <c r="BE67" s="254"/>
      <c r="BF67" s="254"/>
    </row>
    <row r="68" spans="1:58" s="10" customFormat="1" ht="15.75" customHeight="1" x14ac:dyDescent="0.25">
      <c r="A68" s="113"/>
      <c r="B68" s="35" t="s">
        <v>184</v>
      </c>
      <c r="C68" s="36" t="s">
        <v>2</v>
      </c>
      <c r="D68" s="36" t="s">
        <v>34</v>
      </c>
      <c r="E68" s="36" t="s">
        <v>48</v>
      </c>
      <c r="F68" s="36" t="s">
        <v>50</v>
      </c>
      <c r="G68" s="36" t="s">
        <v>49</v>
      </c>
      <c r="H68" s="36" t="s">
        <v>51</v>
      </c>
      <c r="I68" s="360" t="str">
        <f t="shared" si="5"/>
        <v>A_DOO_SLI_DOU_08</v>
      </c>
      <c r="J68" s="36">
        <v>8</v>
      </c>
      <c r="K68" s="371">
        <v>43</v>
      </c>
      <c r="L68" s="214"/>
      <c r="M68" s="214"/>
      <c r="N68" s="214"/>
      <c r="O68" s="217"/>
      <c r="P68" s="295"/>
      <c r="Q68" s="320"/>
      <c r="R68" s="320"/>
      <c r="S68" s="320"/>
      <c r="T68" s="320"/>
      <c r="U68" s="320"/>
      <c r="V68" s="320"/>
      <c r="W68" s="321"/>
      <c r="X68" s="320"/>
      <c r="Y68" s="374"/>
      <c r="Z68" s="222">
        <f t="shared" si="4"/>
        <v>0</v>
      </c>
      <c r="AC68" s="35" t="s">
        <v>184</v>
      </c>
      <c r="AD68" s="44" t="s">
        <v>2</v>
      </c>
      <c r="AE68" s="45" t="s">
        <v>34</v>
      </c>
      <c r="AF68" s="44" t="s">
        <v>48</v>
      </c>
      <c r="AG68" s="46" t="s">
        <v>50</v>
      </c>
      <c r="AH68" s="44" t="s">
        <v>49</v>
      </c>
      <c r="AI68" s="46" t="s">
        <v>51</v>
      </c>
      <c r="AJ68" s="69" t="s">
        <v>774</v>
      </c>
      <c r="AK68" s="117">
        <v>8</v>
      </c>
      <c r="AL68" s="117">
        <v>43</v>
      </c>
      <c r="AM68" s="254"/>
      <c r="AN68" s="323" t="str">
        <f t="shared" si="2"/>
        <v/>
      </c>
      <c r="AO68" s="262"/>
      <c r="AP68" s="210"/>
      <c r="AQ68" s="214"/>
      <c r="AR68" s="210" t="s">
        <v>503</v>
      </c>
      <c r="AS68" s="262"/>
      <c r="AT68" s="214"/>
      <c r="AU68" s="254"/>
      <c r="AV68" s="254"/>
      <c r="AW68" s="254"/>
      <c r="AX68" s="254"/>
      <c r="AY68" s="254"/>
      <c r="AZ68" s="254"/>
      <c r="BA68" s="254"/>
      <c r="BB68" s="306" t="str">
        <f t="shared" si="0"/>
        <v/>
      </c>
      <c r="BC68" s="254"/>
      <c r="BD68" s="254"/>
      <c r="BE68" s="254"/>
      <c r="BF68" s="254"/>
    </row>
    <row r="69" spans="1:58" s="10" customFormat="1" ht="15.75" customHeight="1" x14ac:dyDescent="0.25">
      <c r="A69" s="113"/>
      <c r="B69" s="35" t="s">
        <v>184</v>
      </c>
      <c r="C69" s="44" t="s">
        <v>2</v>
      </c>
      <c r="D69" s="44" t="s">
        <v>34</v>
      </c>
      <c r="E69" s="44" t="s">
        <v>48</v>
      </c>
      <c r="F69" s="44" t="s">
        <v>50</v>
      </c>
      <c r="G69" s="44" t="s">
        <v>1561</v>
      </c>
      <c r="H69" s="44" t="s">
        <v>1562</v>
      </c>
      <c r="I69" s="360" t="str">
        <f t="shared" si="5"/>
        <v>A_DOO_SLI_DW70_22</v>
      </c>
      <c r="J69" s="44">
        <v>22</v>
      </c>
      <c r="K69" s="372">
        <v>164</v>
      </c>
      <c r="L69" s="214"/>
      <c r="M69" s="214"/>
      <c r="N69" s="214"/>
      <c r="O69" s="217"/>
      <c r="P69" s="295"/>
      <c r="Q69" s="296"/>
      <c r="R69" s="296"/>
      <c r="S69" s="296"/>
      <c r="T69" s="296"/>
      <c r="U69" s="296"/>
      <c r="V69" s="296"/>
      <c r="W69" s="321"/>
      <c r="X69" s="296"/>
      <c r="Y69" s="373"/>
      <c r="Z69" s="222">
        <f t="shared" si="4"/>
        <v>0</v>
      </c>
      <c r="AC69" s="35" t="s">
        <v>184</v>
      </c>
      <c r="AD69" s="44" t="s">
        <v>2</v>
      </c>
      <c r="AE69" s="45" t="s">
        <v>34</v>
      </c>
      <c r="AF69" s="44" t="s">
        <v>48</v>
      </c>
      <c r="AG69" s="46" t="s">
        <v>50</v>
      </c>
      <c r="AH69" s="44" t="s">
        <v>1561</v>
      </c>
      <c r="AI69" s="46" t="s">
        <v>1562</v>
      </c>
      <c r="AJ69" s="69" t="s">
        <v>1563</v>
      </c>
      <c r="AK69" s="117">
        <v>22</v>
      </c>
      <c r="AL69" s="117">
        <v>164</v>
      </c>
      <c r="AM69" s="254"/>
      <c r="AN69" s="323" t="str">
        <f t="shared" si="2"/>
        <v/>
      </c>
      <c r="AO69" s="262"/>
      <c r="AP69" s="210"/>
      <c r="AQ69" s="214"/>
      <c r="AR69" s="210" t="s">
        <v>503</v>
      </c>
      <c r="AS69" s="262"/>
      <c r="AT69" s="214"/>
      <c r="AU69" s="254"/>
      <c r="AV69" s="254"/>
      <c r="AW69" s="254"/>
      <c r="AX69" s="254"/>
      <c r="AY69" s="254"/>
      <c r="AZ69" s="254"/>
      <c r="BA69" s="254"/>
      <c r="BB69" s="306" t="str">
        <f t="shared" ref="BB69:BB132" si="6">IF(AO69="","",LEFT(AO69,SEARCH(".",AO69)-1))</f>
        <v/>
      </c>
      <c r="BC69" s="254"/>
      <c r="BD69" s="254"/>
      <c r="BE69" s="254"/>
      <c r="BF69" s="254"/>
    </row>
    <row r="70" spans="1:58" s="10" customFormat="1" ht="15.75" customHeight="1" x14ac:dyDescent="0.25">
      <c r="A70" s="113"/>
      <c r="B70" s="35" t="s">
        <v>184</v>
      </c>
      <c r="C70" s="44" t="s">
        <v>2</v>
      </c>
      <c r="D70" s="44" t="s">
        <v>34</v>
      </c>
      <c r="E70" s="44" t="s">
        <v>48</v>
      </c>
      <c r="F70" s="44" t="s">
        <v>50</v>
      </c>
      <c r="G70" s="44" t="s">
        <v>678</v>
      </c>
      <c r="H70" s="44" t="s">
        <v>679</v>
      </c>
      <c r="I70" s="360" t="str">
        <f t="shared" si="5"/>
        <v>A_DOO_SLI_RCE_17</v>
      </c>
      <c r="J70" s="44">
        <v>17</v>
      </c>
      <c r="K70" s="372">
        <v>161</v>
      </c>
      <c r="L70" s="214"/>
      <c r="M70" s="214"/>
      <c r="N70" s="214"/>
      <c r="O70" s="217"/>
      <c r="P70" s="295"/>
      <c r="Q70" s="296"/>
      <c r="R70" s="296"/>
      <c r="S70" s="296"/>
      <c r="T70" s="296"/>
      <c r="U70" s="296"/>
      <c r="V70" s="296"/>
      <c r="W70" s="321"/>
      <c r="X70" s="296"/>
      <c r="Y70" s="373"/>
      <c r="Z70" s="222">
        <f t="shared" si="4"/>
        <v>0</v>
      </c>
      <c r="AC70" s="35" t="s">
        <v>184</v>
      </c>
      <c r="AD70" s="44" t="s">
        <v>2</v>
      </c>
      <c r="AE70" s="45" t="s">
        <v>34</v>
      </c>
      <c r="AF70" s="44" t="s">
        <v>48</v>
      </c>
      <c r="AG70" s="46" t="s">
        <v>50</v>
      </c>
      <c r="AH70" s="44" t="s">
        <v>678</v>
      </c>
      <c r="AI70" s="46" t="s">
        <v>679</v>
      </c>
      <c r="AJ70" s="69" t="s">
        <v>1555</v>
      </c>
      <c r="AK70" s="117">
        <v>17</v>
      </c>
      <c r="AL70" s="117">
        <v>161</v>
      </c>
      <c r="AM70" s="254"/>
      <c r="AN70" s="323" t="str">
        <f t="shared" ref="AN70:AN133" si="7">IF(AO70="","",AN69+1)</f>
        <v/>
      </c>
      <c r="AO70" s="262"/>
      <c r="AP70" s="210"/>
      <c r="AQ70" s="214"/>
      <c r="AR70" s="210" t="s">
        <v>503</v>
      </c>
      <c r="AS70" s="262"/>
      <c r="AT70" s="214"/>
      <c r="AU70" s="254"/>
      <c r="AV70" s="254"/>
      <c r="AW70" s="254"/>
      <c r="AX70" s="254"/>
      <c r="AY70" s="254"/>
      <c r="AZ70" s="254"/>
      <c r="BA70" s="254"/>
      <c r="BB70" s="306" t="str">
        <f t="shared" si="6"/>
        <v/>
      </c>
      <c r="BC70" s="254"/>
      <c r="BD70" s="254"/>
      <c r="BE70" s="254"/>
      <c r="BF70" s="254"/>
    </row>
    <row r="71" spans="1:58" s="10" customFormat="1" ht="15.75" customHeight="1" x14ac:dyDescent="0.25">
      <c r="A71" s="113"/>
      <c r="B71" s="35" t="s">
        <v>184</v>
      </c>
      <c r="C71" s="44" t="s">
        <v>2</v>
      </c>
      <c r="D71" s="44" t="s">
        <v>34</v>
      </c>
      <c r="E71" s="44" t="s">
        <v>48</v>
      </c>
      <c r="F71" s="44" t="s">
        <v>50</v>
      </c>
      <c r="G71" s="44" t="s">
        <v>1527</v>
      </c>
      <c r="H71" s="44" t="s">
        <v>507</v>
      </c>
      <c r="I71" s="360" t="str">
        <f t="shared" si="5"/>
        <v>A_DOO_SLI_SIN_04</v>
      </c>
      <c r="J71" s="44">
        <v>4</v>
      </c>
      <c r="K71" s="372">
        <v>157</v>
      </c>
      <c r="L71" s="214"/>
      <c r="M71" s="214"/>
      <c r="N71" s="214"/>
      <c r="O71" s="217"/>
      <c r="P71" s="295"/>
      <c r="Q71" s="296"/>
      <c r="R71" s="296"/>
      <c r="S71" s="296"/>
      <c r="T71" s="296"/>
      <c r="U71" s="296"/>
      <c r="V71" s="296"/>
      <c r="W71" s="321"/>
      <c r="X71" s="296"/>
      <c r="Y71" s="373"/>
      <c r="Z71" s="222">
        <f t="shared" si="4"/>
        <v>0</v>
      </c>
      <c r="AC71" s="35" t="s">
        <v>184</v>
      </c>
      <c r="AD71" s="44" t="s">
        <v>2</v>
      </c>
      <c r="AE71" s="45" t="s">
        <v>34</v>
      </c>
      <c r="AF71" s="44" t="s">
        <v>48</v>
      </c>
      <c r="AG71" s="46" t="s">
        <v>50</v>
      </c>
      <c r="AH71" s="44" t="s">
        <v>1527</v>
      </c>
      <c r="AI71" s="46" t="s">
        <v>507</v>
      </c>
      <c r="AJ71" s="69" t="s">
        <v>1556</v>
      </c>
      <c r="AK71" s="117">
        <v>4</v>
      </c>
      <c r="AL71" s="117">
        <v>157</v>
      </c>
      <c r="AM71" s="254"/>
      <c r="AN71" s="323" t="str">
        <f t="shared" si="7"/>
        <v/>
      </c>
      <c r="AO71" s="262"/>
      <c r="AP71" s="210"/>
      <c r="AQ71" s="214"/>
      <c r="AR71" s="210" t="s">
        <v>503</v>
      </c>
      <c r="AS71" s="262"/>
      <c r="AT71" s="214"/>
      <c r="AU71" s="254"/>
      <c r="AV71" s="254"/>
      <c r="AW71" s="254"/>
      <c r="AX71" s="254"/>
      <c r="AY71" s="254"/>
      <c r="AZ71" s="254"/>
      <c r="BA71" s="254"/>
      <c r="BB71" s="306" t="str">
        <f t="shared" si="6"/>
        <v/>
      </c>
      <c r="BC71" s="254"/>
      <c r="BD71" s="254"/>
      <c r="BE71" s="254"/>
      <c r="BF71" s="254"/>
    </row>
    <row r="72" spans="1:58" s="10" customFormat="1" ht="15.75" customHeight="1" x14ac:dyDescent="0.25">
      <c r="A72" s="113"/>
      <c r="B72" s="35" t="s">
        <v>184</v>
      </c>
      <c r="C72" s="44" t="s">
        <v>2</v>
      </c>
      <c r="D72" s="44" t="s">
        <v>34</v>
      </c>
      <c r="E72" s="44" t="s">
        <v>1557</v>
      </c>
      <c r="F72" s="44" t="s">
        <v>31</v>
      </c>
      <c r="G72" s="44" t="s">
        <v>1558</v>
      </c>
      <c r="H72" s="44" t="s">
        <v>644</v>
      </c>
      <c r="I72" s="360" t="str">
        <f t="shared" si="5"/>
        <v>A_DOO_WOO_NEW_21</v>
      </c>
      <c r="J72" s="44">
        <v>21</v>
      </c>
      <c r="K72" s="372">
        <v>162</v>
      </c>
      <c r="L72" s="214"/>
      <c r="M72" s="214"/>
      <c r="N72" s="214"/>
      <c r="O72" s="217"/>
      <c r="P72" s="295"/>
      <c r="Q72" s="296"/>
      <c r="R72" s="296"/>
      <c r="S72" s="296"/>
      <c r="T72" s="296"/>
      <c r="U72" s="296"/>
      <c r="V72" s="296"/>
      <c r="W72" s="321"/>
      <c r="X72" s="296"/>
      <c r="Y72" s="373"/>
      <c r="Z72" s="222">
        <f t="shared" si="4"/>
        <v>0</v>
      </c>
      <c r="AC72" s="35" t="s">
        <v>184</v>
      </c>
      <c r="AD72" s="44" t="s">
        <v>2</v>
      </c>
      <c r="AE72" s="45" t="s">
        <v>34</v>
      </c>
      <c r="AF72" s="44" t="s">
        <v>1557</v>
      </c>
      <c r="AG72" s="46" t="s">
        <v>31</v>
      </c>
      <c r="AH72" s="44" t="s">
        <v>1558</v>
      </c>
      <c r="AI72" s="46" t="s">
        <v>644</v>
      </c>
      <c r="AJ72" s="69" t="s">
        <v>1559</v>
      </c>
      <c r="AK72" s="117">
        <v>21</v>
      </c>
      <c r="AL72" s="117">
        <v>162</v>
      </c>
      <c r="AM72" s="254"/>
      <c r="AN72" s="323" t="str">
        <f t="shared" si="7"/>
        <v/>
      </c>
      <c r="AO72" s="262"/>
      <c r="AP72" s="210"/>
      <c r="AQ72" s="214"/>
      <c r="AR72" s="210" t="s">
        <v>503</v>
      </c>
      <c r="AS72" s="262"/>
      <c r="AT72" s="214"/>
      <c r="AU72" s="254"/>
      <c r="AV72" s="254"/>
      <c r="AW72" s="254"/>
      <c r="AX72" s="254"/>
      <c r="AY72" s="254"/>
      <c r="AZ72" s="254"/>
      <c r="BA72" s="254"/>
      <c r="BB72" s="306" t="str">
        <f t="shared" si="6"/>
        <v/>
      </c>
      <c r="BC72" s="254"/>
      <c r="BD72" s="254"/>
      <c r="BE72" s="254"/>
      <c r="BF72" s="254"/>
    </row>
    <row r="73" spans="1:58" s="10" customFormat="1" ht="15.75" customHeight="1" x14ac:dyDescent="0.25">
      <c r="A73" s="113"/>
      <c r="B73" s="35" t="s">
        <v>184</v>
      </c>
      <c r="C73" s="44" t="s">
        <v>2</v>
      </c>
      <c r="D73" s="44" t="s">
        <v>34</v>
      </c>
      <c r="E73" s="44" t="s">
        <v>1557</v>
      </c>
      <c r="F73" s="44" t="s">
        <v>31</v>
      </c>
      <c r="G73" s="44" t="s">
        <v>1527</v>
      </c>
      <c r="H73" s="44" t="s">
        <v>507</v>
      </c>
      <c r="I73" s="360" t="str">
        <f t="shared" si="5"/>
        <v>A_DOO_WOO_SIN_16</v>
      </c>
      <c r="J73" s="44">
        <v>16</v>
      </c>
      <c r="K73" s="372">
        <v>163</v>
      </c>
      <c r="L73" s="214"/>
      <c r="M73" s="214"/>
      <c r="N73" s="214"/>
      <c r="O73" s="217"/>
      <c r="P73" s="295"/>
      <c r="Q73" s="296"/>
      <c r="R73" s="296"/>
      <c r="S73" s="296"/>
      <c r="T73" s="296"/>
      <c r="U73" s="296"/>
      <c r="V73" s="296"/>
      <c r="W73" s="321"/>
      <c r="X73" s="296"/>
      <c r="Y73" s="373"/>
      <c r="Z73" s="222">
        <f t="shared" si="4"/>
        <v>0</v>
      </c>
      <c r="AC73" s="35" t="s">
        <v>184</v>
      </c>
      <c r="AD73" s="44" t="s">
        <v>2</v>
      </c>
      <c r="AE73" s="45" t="s">
        <v>34</v>
      </c>
      <c r="AF73" s="44" t="s">
        <v>1557</v>
      </c>
      <c r="AG73" s="46" t="s">
        <v>31</v>
      </c>
      <c r="AH73" s="44" t="s">
        <v>1527</v>
      </c>
      <c r="AI73" s="46" t="s">
        <v>507</v>
      </c>
      <c r="AJ73" s="69" t="s">
        <v>1560</v>
      </c>
      <c r="AK73" s="117">
        <v>16</v>
      </c>
      <c r="AL73" s="117">
        <v>163</v>
      </c>
      <c r="AM73" s="254"/>
      <c r="AN73" s="323" t="str">
        <f t="shared" si="7"/>
        <v/>
      </c>
      <c r="AO73" s="262"/>
      <c r="AP73" s="210"/>
      <c r="AQ73" s="214"/>
      <c r="AR73" s="210" t="s">
        <v>503</v>
      </c>
      <c r="AS73" s="262"/>
      <c r="AT73" s="214"/>
      <c r="AU73" s="254"/>
      <c r="AV73" s="254"/>
      <c r="AW73" s="254"/>
      <c r="AX73" s="254"/>
      <c r="AY73" s="254"/>
      <c r="AZ73" s="254"/>
      <c r="BA73" s="254"/>
      <c r="BB73" s="306" t="str">
        <f t="shared" si="6"/>
        <v/>
      </c>
      <c r="BC73" s="254"/>
      <c r="BD73" s="254"/>
      <c r="BE73" s="254"/>
      <c r="BF73" s="254"/>
    </row>
    <row r="74" spans="1:58" s="10" customFormat="1" ht="15.75" customHeight="1" x14ac:dyDescent="0.25">
      <c r="A74" s="113"/>
      <c r="B74" s="35" t="s">
        <v>184</v>
      </c>
      <c r="C74" s="36" t="s">
        <v>57</v>
      </c>
      <c r="D74" s="36" t="s">
        <v>121</v>
      </c>
      <c r="E74" s="36" t="s">
        <v>223</v>
      </c>
      <c r="F74" s="36" t="s">
        <v>224</v>
      </c>
      <c r="G74" s="36" t="s">
        <v>669</v>
      </c>
      <c r="H74" s="36" t="s">
        <v>670</v>
      </c>
      <c r="I74" s="360" t="str">
        <f t="shared" si="5"/>
        <v>A_FUR_CAB_OFF_02</v>
      </c>
      <c r="J74" s="36">
        <v>2</v>
      </c>
      <c r="K74" s="371">
        <v>45</v>
      </c>
      <c r="L74" s="214"/>
      <c r="M74" s="214"/>
      <c r="N74" s="214"/>
      <c r="O74" s="217"/>
      <c r="P74" s="295"/>
      <c r="Q74" s="320"/>
      <c r="R74" s="320"/>
      <c r="S74" s="320"/>
      <c r="T74" s="320"/>
      <c r="U74" s="320"/>
      <c r="V74" s="320"/>
      <c r="W74" s="321"/>
      <c r="X74" s="320"/>
      <c r="Y74" s="374"/>
      <c r="Z74" s="222">
        <f t="shared" si="4"/>
        <v>0</v>
      </c>
      <c r="AC74" s="35" t="s">
        <v>184</v>
      </c>
      <c r="AD74" s="44" t="s">
        <v>57</v>
      </c>
      <c r="AE74" s="45" t="s">
        <v>121</v>
      </c>
      <c r="AF74" s="44" t="s">
        <v>223</v>
      </c>
      <c r="AG74" s="46" t="s">
        <v>224</v>
      </c>
      <c r="AH74" s="44" t="s">
        <v>669</v>
      </c>
      <c r="AI74" s="46" t="s">
        <v>670</v>
      </c>
      <c r="AJ74" s="69" t="s">
        <v>775</v>
      </c>
      <c r="AK74" s="117">
        <v>2</v>
      </c>
      <c r="AL74" s="117">
        <v>45</v>
      </c>
      <c r="AM74" s="254"/>
      <c r="AN74" s="323" t="str">
        <f t="shared" si="7"/>
        <v/>
      </c>
      <c r="AO74" s="262"/>
      <c r="AP74" s="210"/>
      <c r="AQ74" s="214"/>
      <c r="AR74" s="210" t="s">
        <v>503</v>
      </c>
      <c r="AS74" s="262"/>
      <c r="AT74" s="214"/>
      <c r="AU74" s="254"/>
      <c r="AV74" s="254"/>
      <c r="AW74" s="254"/>
      <c r="AX74" s="254"/>
      <c r="AY74" s="254"/>
      <c r="AZ74" s="254"/>
      <c r="BA74" s="254"/>
      <c r="BB74" s="306" t="str">
        <f t="shared" si="6"/>
        <v/>
      </c>
      <c r="BC74" s="254"/>
      <c r="BD74" s="254"/>
      <c r="BE74" s="254"/>
      <c r="BF74" s="254"/>
    </row>
    <row r="75" spans="1:58" s="10" customFormat="1" ht="15.75" customHeight="1" x14ac:dyDescent="0.25">
      <c r="A75" s="113"/>
      <c r="B75" s="35" t="s">
        <v>184</v>
      </c>
      <c r="C75" s="44" t="s">
        <v>57</v>
      </c>
      <c r="D75" s="44" t="s">
        <v>121</v>
      </c>
      <c r="E75" s="44" t="s">
        <v>223</v>
      </c>
      <c r="F75" s="44" t="s">
        <v>224</v>
      </c>
      <c r="G75" s="44" t="s">
        <v>671</v>
      </c>
      <c r="H75" s="44" t="s">
        <v>672</v>
      </c>
      <c r="I75" s="360" t="str">
        <f t="shared" si="5"/>
        <v>A_FUR_CAB_STA_08</v>
      </c>
      <c r="J75" s="44">
        <v>8</v>
      </c>
      <c r="K75" s="372">
        <v>44</v>
      </c>
      <c r="L75" s="214"/>
      <c r="M75" s="214"/>
      <c r="N75" s="214"/>
      <c r="O75" s="217"/>
      <c r="P75" s="295"/>
      <c r="Q75" s="296"/>
      <c r="R75" s="296"/>
      <c r="S75" s="296"/>
      <c r="T75" s="296"/>
      <c r="U75" s="296"/>
      <c r="V75" s="296"/>
      <c r="W75" s="321"/>
      <c r="X75" s="296"/>
      <c r="Y75" s="373"/>
      <c r="Z75" s="222">
        <f t="shared" si="4"/>
        <v>0</v>
      </c>
      <c r="AC75" s="35" t="s">
        <v>184</v>
      </c>
      <c r="AD75" s="44" t="s">
        <v>57</v>
      </c>
      <c r="AE75" s="45" t="s">
        <v>121</v>
      </c>
      <c r="AF75" s="44" t="s">
        <v>223</v>
      </c>
      <c r="AG75" s="46" t="s">
        <v>224</v>
      </c>
      <c r="AH75" s="44" t="s">
        <v>671</v>
      </c>
      <c r="AI75" s="46" t="s">
        <v>672</v>
      </c>
      <c r="AJ75" s="69" t="s">
        <v>776</v>
      </c>
      <c r="AK75" s="117">
        <v>8</v>
      </c>
      <c r="AL75" s="117">
        <v>44</v>
      </c>
      <c r="AM75" s="254"/>
      <c r="AN75" s="323" t="str">
        <f t="shared" si="7"/>
        <v/>
      </c>
      <c r="AO75" s="262"/>
      <c r="AP75" s="210"/>
      <c r="AQ75" s="214"/>
      <c r="AR75" s="210" t="s">
        <v>503</v>
      </c>
      <c r="AS75" s="262"/>
      <c r="AT75" s="214"/>
      <c r="AU75" s="254"/>
      <c r="AV75" s="254"/>
      <c r="AW75" s="254"/>
      <c r="AX75" s="254"/>
      <c r="AY75" s="254"/>
      <c r="AZ75" s="254"/>
      <c r="BA75" s="254"/>
      <c r="BB75" s="306" t="str">
        <f t="shared" si="6"/>
        <v/>
      </c>
      <c r="BC75" s="254"/>
      <c r="BD75" s="254"/>
      <c r="BE75" s="254"/>
      <c r="BF75" s="254"/>
    </row>
    <row r="76" spans="1:58" s="10" customFormat="1" ht="15.75" customHeight="1" x14ac:dyDescent="0.25">
      <c r="A76" s="113"/>
      <c r="B76" s="35" t="s">
        <v>184</v>
      </c>
      <c r="C76" s="36" t="s">
        <v>57</v>
      </c>
      <c r="D76" s="36" t="s">
        <v>121</v>
      </c>
      <c r="E76" s="36" t="s">
        <v>219</v>
      </c>
      <c r="F76" s="36" t="s">
        <v>220</v>
      </c>
      <c r="G76" s="36" t="s">
        <v>30</v>
      </c>
      <c r="H76" s="36" t="s">
        <v>31</v>
      </c>
      <c r="I76" s="360" t="str">
        <f t="shared" si="5"/>
        <v>A_FUR_CHA_WOO_03</v>
      </c>
      <c r="J76" s="36">
        <v>3</v>
      </c>
      <c r="K76" s="371">
        <v>46</v>
      </c>
      <c r="L76" s="214"/>
      <c r="M76" s="214"/>
      <c r="N76" s="214"/>
      <c r="O76" s="217"/>
      <c r="P76" s="295"/>
      <c r="Q76" s="320"/>
      <c r="R76" s="320"/>
      <c r="S76" s="320"/>
      <c r="T76" s="320"/>
      <c r="U76" s="320"/>
      <c r="V76" s="320"/>
      <c r="W76" s="321"/>
      <c r="X76" s="320"/>
      <c r="Y76" s="374"/>
      <c r="Z76" s="222">
        <f t="shared" si="4"/>
        <v>0</v>
      </c>
      <c r="AC76" s="35" t="s">
        <v>184</v>
      </c>
      <c r="AD76" s="44" t="s">
        <v>57</v>
      </c>
      <c r="AE76" s="45" t="s">
        <v>121</v>
      </c>
      <c r="AF76" s="44" t="s">
        <v>219</v>
      </c>
      <c r="AG76" s="46" t="s">
        <v>220</v>
      </c>
      <c r="AH76" s="44" t="s">
        <v>30</v>
      </c>
      <c r="AI76" s="46" t="s">
        <v>31</v>
      </c>
      <c r="AJ76" s="69" t="s">
        <v>777</v>
      </c>
      <c r="AK76" s="117">
        <v>3</v>
      </c>
      <c r="AL76" s="117">
        <v>46</v>
      </c>
      <c r="AM76" s="254"/>
      <c r="AN76" s="323" t="str">
        <f t="shared" si="7"/>
        <v/>
      </c>
      <c r="AO76" s="262"/>
      <c r="AP76" s="210"/>
      <c r="AQ76" s="214"/>
      <c r="AR76" s="210" t="s">
        <v>503</v>
      </c>
      <c r="AS76" s="262"/>
      <c r="AT76" s="214"/>
      <c r="AU76" s="254"/>
      <c r="AV76" s="254"/>
      <c r="AW76" s="254"/>
      <c r="AX76" s="254"/>
      <c r="AY76" s="254"/>
      <c r="AZ76" s="254"/>
      <c r="BA76" s="254"/>
      <c r="BB76" s="306" t="str">
        <f t="shared" si="6"/>
        <v/>
      </c>
      <c r="BC76" s="254"/>
      <c r="BD76" s="254"/>
      <c r="BE76" s="254"/>
      <c r="BF76" s="254"/>
    </row>
    <row r="77" spans="1:58" s="10" customFormat="1" ht="15.75" customHeight="1" x14ac:dyDescent="0.25">
      <c r="A77" s="113"/>
      <c r="B77" s="35" t="s">
        <v>184</v>
      </c>
      <c r="C77" s="36" t="s">
        <v>57</v>
      </c>
      <c r="D77" s="36" t="s">
        <v>121</v>
      </c>
      <c r="E77" s="36" t="s">
        <v>1530</v>
      </c>
      <c r="F77" s="36" t="s">
        <v>1531</v>
      </c>
      <c r="G77" s="36" t="s">
        <v>996</v>
      </c>
      <c r="H77" s="36" t="s">
        <v>997</v>
      </c>
      <c r="I77" s="360" t="str">
        <f t="shared" si="5"/>
        <v>A_FUR_MIR_VER_13</v>
      </c>
      <c r="J77" s="36">
        <v>13</v>
      </c>
      <c r="K77" s="371">
        <v>154</v>
      </c>
      <c r="L77" s="214"/>
      <c r="M77" s="214"/>
      <c r="N77" s="214"/>
      <c r="O77" s="217"/>
      <c r="P77" s="295"/>
      <c r="Q77" s="320"/>
      <c r="R77" s="320"/>
      <c r="S77" s="320"/>
      <c r="T77" s="320"/>
      <c r="U77" s="320"/>
      <c r="V77" s="320"/>
      <c r="W77" s="321"/>
      <c r="X77" s="320"/>
      <c r="Y77" s="374"/>
      <c r="Z77" s="222"/>
      <c r="AC77" s="35" t="s">
        <v>184</v>
      </c>
      <c r="AD77" s="44" t="s">
        <v>57</v>
      </c>
      <c r="AE77" s="45" t="s">
        <v>121</v>
      </c>
      <c r="AF77" s="44" t="s">
        <v>1530</v>
      </c>
      <c r="AG77" s="46" t="s">
        <v>1531</v>
      </c>
      <c r="AH77" s="44" t="s">
        <v>996</v>
      </c>
      <c r="AI77" s="46" t="s">
        <v>997</v>
      </c>
      <c r="AJ77" s="69" t="s">
        <v>1539</v>
      </c>
      <c r="AK77" s="117">
        <v>13</v>
      </c>
      <c r="AL77" s="117">
        <v>154</v>
      </c>
      <c r="AM77" s="254"/>
      <c r="AN77" s="323" t="str">
        <f t="shared" si="7"/>
        <v/>
      </c>
      <c r="AO77" s="262"/>
      <c r="AP77" s="210"/>
      <c r="AQ77" s="214"/>
      <c r="AR77" s="210"/>
      <c r="AS77" s="262"/>
      <c r="AT77" s="214"/>
      <c r="AU77" s="254"/>
      <c r="AV77" s="254"/>
      <c r="AW77" s="254"/>
      <c r="AX77" s="254"/>
      <c r="AY77" s="254"/>
      <c r="AZ77" s="254"/>
      <c r="BA77" s="254"/>
      <c r="BB77" s="306" t="str">
        <f t="shared" si="6"/>
        <v/>
      </c>
      <c r="BC77" s="254"/>
      <c r="BD77" s="254"/>
      <c r="BE77" s="254"/>
      <c r="BF77" s="254"/>
    </row>
    <row r="78" spans="1:58" s="10" customFormat="1" ht="15.75" customHeight="1" x14ac:dyDescent="0.25">
      <c r="A78" s="113"/>
      <c r="B78" s="35" t="s">
        <v>184</v>
      </c>
      <c r="C78" s="36" t="s">
        <v>57</v>
      </c>
      <c r="D78" s="36" t="s">
        <v>121</v>
      </c>
      <c r="E78" s="36" t="s">
        <v>673</v>
      </c>
      <c r="F78" s="36" t="s">
        <v>232</v>
      </c>
      <c r="G78" s="36" t="s">
        <v>674</v>
      </c>
      <c r="H78" s="36" t="s">
        <v>675</v>
      </c>
      <c r="I78" s="360" t="str">
        <f t="shared" si="5"/>
        <v>A_FUR_PRO_MET_11</v>
      </c>
      <c r="J78" s="36">
        <v>11</v>
      </c>
      <c r="K78" s="371">
        <v>120</v>
      </c>
      <c r="L78" s="214"/>
      <c r="M78" s="214"/>
      <c r="N78" s="214"/>
      <c r="O78" s="217"/>
      <c r="P78" s="295"/>
      <c r="Q78" s="320"/>
      <c r="R78" s="320"/>
      <c r="S78" s="320"/>
      <c r="T78" s="320"/>
      <c r="U78" s="320"/>
      <c r="V78" s="320"/>
      <c r="W78" s="321"/>
      <c r="X78" s="320"/>
      <c r="Y78" s="374"/>
      <c r="Z78" s="222">
        <f t="shared" si="4"/>
        <v>0</v>
      </c>
      <c r="AC78" s="35" t="s">
        <v>184</v>
      </c>
      <c r="AD78" s="44" t="s">
        <v>57</v>
      </c>
      <c r="AE78" s="45" t="s">
        <v>121</v>
      </c>
      <c r="AF78" s="44" t="s">
        <v>673</v>
      </c>
      <c r="AG78" s="46" t="s">
        <v>232</v>
      </c>
      <c r="AH78" s="44" t="s">
        <v>674</v>
      </c>
      <c r="AI78" s="46" t="s">
        <v>675</v>
      </c>
      <c r="AJ78" s="69" t="s">
        <v>778</v>
      </c>
      <c r="AK78" s="117">
        <v>11</v>
      </c>
      <c r="AL78" s="117">
        <v>120</v>
      </c>
      <c r="AM78" s="254"/>
      <c r="AN78" s="323" t="str">
        <f t="shared" si="7"/>
        <v/>
      </c>
      <c r="AO78" s="262"/>
      <c r="AP78" s="210" t="str">
        <f t="shared" ref="AP78:AP113" si="8">IF(AN78="","",AN78)</f>
        <v/>
      </c>
      <c r="AQ78" s="214"/>
      <c r="AR78" s="210" t="s">
        <v>503</v>
      </c>
      <c r="AS78" s="262"/>
      <c r="AT78" s="214"/>
      <c r="AU78" s="254"/>
      <c r="AV78" s="254"/>
      <c r="AW78" s="254"/>
      <c r="AX78" s="254"/>
      <c r="AY78" s="254"/>
      <c r="AZ78" s="254"/>
      <c r="BA78" s="254"/>
      <c r="BB78" s="306" t="str">
        <f t="shared" si="6"/>
        <v/>
      </c>
      <c r="BC78" s="254"/>
      <c r="BD78" s="254"/>
      <c r="BE78" s="254"/>
      <c r="BF78" s="254"/>
    </row>
    <row r="79" spans="1:58" s="10" customFormat="1" ht="15.75" customHeight="1" x14ac:dyDescent="0.25">
      <c r="A79" s="113"/>
      <c r="B79" s="35" t="s">
        <v>184</v>
      </c>
      <c r="C79" s="44" t="s">
        <v>57</v>
      </c>
      <c r="D79" s="44" t="s">
        <v>121</v>
      </c>
      <c r="E79" s="44" t="s">
        <v>221</v>
      </c>
      <c r="F79" s="44" t="s">
        <v>222</v>
      </c>
      <c r="G79" s="44" t="s">
        <v>676</v>
      </c>
      <c r="H79" s="44" t="s">
        <v>677</v>
      </c>
      <c r="I79" s="360" t="str">
        <f t="shared" si="5"/>
        <v>A_FUR_SFA_DIR_06</v>
      </c>
      <c r="J79" s="44">
        <v>6</v>
      </c>
      <c r="K79" s="372">
        <v>122</v>
      </c>
      <c r="L79" s="214"/>
      <c r="M79" s="214"/>
      <c r="N79" s="214"/>
      <c r="O79" s="217"/>
      <c r="P79" s="295"/>
      <c r="Q79" s="296"/>
      <c r="R79" s="296"/>
      <c r="S79" s="296"/>
      <c r="T79" s="296"/>
      <c r="U79" s="296"/>
      <c r="V79" s="296"/>
      <c r="W79" s="321"/>
      <c r="X79" s="296"/>
      <c r="Y79" s="373"/>
      <c r="Z79" s="222">
        <f t="shared" si="4"/>
        <v>0</v>
      </c>
      <c r="AC79" s="35" t="s">
        <v>184</v>
      </c>
      <c r="AD79" s="44" t="s">
        <v>57</v>
      </c>
      <c r="AE79" s="45" t="s">
        <v>121</v>
      </c>
      <c r="AF79" s="44" t="s">
        <v>221</v>
      </c>
      <c r="AG79" s="46" t="s">
        <v>222</v>
      </c>
      <c r="AH79" s="46" t="s">
        <v>676</v>
      </c>
      <c r="AI79" s="46" t="s">
        <v>677</v>
      </c>
      <c r="AJ79" s="69" t="s">
        <v>779</v>
      </c>
      <c r="AK79" s="117">
        <v>6</v>
      </c>
      <c r="AL79" s="117">
        <v>122</v>
      </c>
      <c r="AM79" s="254"/>
      <c r="AN79" s="323" t="str">
        <f t="shared" si="7"/>
        <v/>
      </c>
      <c r="AO79" s="262"/>
      <c r="AP79" s="210" t="str">
        <f t="shared" si="8"/>
        <v/>
      </c>
      <c r="AQ79" s="214"/>
      <c r="AR79" s="210" t="s">
        <v>503</v>
      </c>
      <c r="AS79" s="262"/>
      <c r="AT79" s="214"/>
      <c r="AU79" s="254"/>
      <c r="AV79" s="254"/>
      <c r="AW79" s="254"/>
      <c r="AX79" s="254"/>
      <c r="AY79" s="254"/>
      <c r="AZ79" s="254"/>
      <c r="BA79" s="254"/>
      <c r="BB79" s="306" t="str">
        <f t="shared" si="6"/>
        <v/>
      </c>
      <c r="BC79" s="254"/>
      <c r="BD79" s="254"/>
      <c r="BE79" s="254"/>
      <c r="BF79" s="254"/>
    </row>
    <row r="80" spans="1:58" s="10" customFormat="1" ht="15.75" customHeight="1" x14ac:dyDescent="0.25">
      <c r="A80" s="113"/>
      <c r="B80" s="35" t="s">
        <v>184</v>
      </c>
      <c r="C80" s="44" t="s">
        <v>57</v>
      </c>
      <c r="D80" s="44" t="s">
        <v>121</v>
      </c>
      <c r="E80" s="44" t="s">
        <v>60</v>
      </c>
      <c r="F80" s="44" t="s">
        <v>61</v>
      </c>
      <c r="G80" s="44" t="s">
        <v>676</v>
      </c>
      <c r="H80" s="44" t="s">
        <v>677</v>
      </c>
      <c r="I80" s="360" t="str">
        <f t="shared" si="5"/>
        <v>A_FUR_TAB_DIR_07</v>
      </c>
      <c r="J80" s="44">
        <v>7</v>
      </c>
      <c r="K80" s="372">
        <v>114</v>
      </c>
      <c r="L80" s="214"/>
      <c r="M80" s="214"/>
      <c r="N80" s="214"/>
      <c r="O80" s="217"/>
      <c r="P80" s="295"/>
      <c r="Q80" s="296"/>
      <c r="R80" s="296"/>
      <c r="S80" s="296"/>
      <c r="T80" s="296"/>
      <c r="U80" s="296"/>
      <c r="V80" s="296"/>
      <c r="W80" s="321"/>
      <c r="X80" s="296"/>
      <c r="Y80" s="373"/>
      <c r="Z80" s="222">
        <f t="shared" si="4"/>
        <v>0</v>
      </c>
      <c r="AC80" s="35" t="s">
        <v>184</v>
      </c>
      <c r="AD80" s="44" t="s">
        <v>57</v>
      </c>
      <c r="AE80" s="45" t="s">
        <v>121</v>
      </c>
      <c r="AF80" s="44" t="s">
        <v>60</v>
      </c>
      <c r="AG80" s="46" t="s">
        <v>61</v>
      </c>
      <c r="AH80" s="44" t="s">
        <v>676</v>
      </c>
      <c r="AI80" s="46" t="s">
        <v>677</v>
      </c>
      <c r="AJ80" s="69" t="s">
        <v>780</v>
      </c>
      <c r="AK80" s="117">
        <v>7</v>
      </c>
      <c r="AL80" s="117">
        <v>114</v>
      </c>
      <c r="AM80" s="254"/>
      <c r="AN80" s="323" t="str">
        <f t="shared" si="7"/>
        <v/>
      </c>
      <c r="AO80" s="262"/>
      <c r="AP80" s="210" t="str">
        <f t="shared" si="8"/>
        <v/>
      </c>
      <c r="AQ80" s="214"/>
      <c r="AR80" s="210" t="s">
        <v>503</v>
      </c>
      <c r="AS80" s="262"/>
      <c r="AT80" s="214"/>
      <c r="AU80" s="254"/>
      <c r="AV80" s="254"/>
      <c r="AW80" s="254"/>
      <c r="AX80" s="254"/>
      <c r="AY80" s="254"/>
      <c r="AZ80" s="254"/>
      <c r="BA80" s="254"/>
      <c r="BB80" s="306" t="str">
        <f t="shared" si="6"/>
        <v/>
      </c>
      <c r="BC80" s="254"/>
      <c r="BD80" s="254"/>
      <c r="BE80" s="254"/>
      <c r="BF80" s="254"/>
    </row>
    <row r="81" spans="1:58" s="10" customFormat="1" ht="15.75" customHeight="1" x14ac:dyDescent="0.25">
      <c r="A81" s="113"/>
      <c r="B81" s="35" t="s">
        <v>184</v>
      </c>
      <c r="C81" s="36" t="s">
        <v>57</v>
      </c>
      <c r="D81" s="36" t="s">
        <v>121</v>
      </c>
      <c r="E81" s="36" t="s">
        <v>60</v>
      </c>
      <c r="F81" s="36" t="s">
        <v>61</v>
      </c>
      <c r="G81" s="36" t="s">
        <v>674</v>
      </c>
      <c r="H81" s="36" t="s">
        <v>675</v>
      </c>
      <c r="I81" s="360" t="str">
        <f t="shared" si="5"/>
        <v>A_FUR_TAB_MET_10</v>
      </c>
      <c r="J81" s="36">
        <v>10</v>
      </c>
      <c r="K81" s="371">
        <v>112</v>
      </c>
      <c r="L81" s="214"/>
      <c r="M81" s="214"/>
      <c r="N81" s="214"/>
      <c r="O81" s="217"/>
      <c r="P81" s="295"/>
      <c r="Q81" s="320"/>
      <c r="R81" s="320"/>
      <c r="S81" s="320"/>
      <c r="T81" s="320"/>
      <c r="U81" s="320"/>
      <c r="V81" s="320"/>
      <c r="W81" s="321"/>
      <c r="X81" s="320"/>
      <c r="Y81" s="374"/>
      <c r="Z81" s="222">
        <f t="shared" si="4"/>
        <v>0</v>
      </c>
      <c r="AC81" s="35" t="s">
        <v>184</v>
      </c>
      <c r="AD81" s="44" t="s">
        <v>57</v>
      </c>
      <c r="AE81" s="45" t="s">
        <v>121</v>
      </c>
      <c r="AF81" s="44" t="s">
        <v>60</v>
      </c>
      <c r="AG81" s="46" t="s">
        <v>61</v>
      </c>
      <c r="AH81" s="44" t="s">
        <v>674</v>
      </c>
      <c r="AI81" s="46" t="s">
        <v>675</v>
      </c>
      <c r="AJ81" s="69" t="s">
        <v>781</v>
      </c>
      <c r="AK81" s="117">
        <v>10</v>
      </c>
      <c r="AL81" s="117">
        <v>112</v>
      </c>
      <c r="AM81" s="254"/>
      <c r="AN81" s="323" t="str">
        <f t="shared" si="7"/>
        <v/>
      </c>
      <c r="AO81" s="262"/>
      <c r="AP81" s="210" t="str">
        <f t="shared" si="8"/>
        <v/>
      </c>
      <c r="AQ81" s="214"/>
      <c r="AR81" s="210" t="s">
        <v>503</v>
      </c>
      <c r="AS81" s="262"/>
      <c r="AT81" s="214"/>
      <c r="AU81" s="254"/>
      <c r="AV81" s="254"/>
      <c r="AW81" s="254"/>
      <c r="AX81" s="254"/>
      <c r="AY81" s="254"/>
      <c r="AZ81" s="254"/>
      <c r="BA81" s="254"/>
      <c r="BB81" s="306" t="str">
        <f t="shared" si="6"/>
        <v/>
      </c>
      <c r="BC81" s="254"/>
      <c r="BD81" s="254"/>
      <c r="BE81" s="254"/>
      <c r="BF81" s="254"/>
    </row>
    <row r="82" spans="1:58" s="10" customFormat="1" ht="15.75" customHeight="1" x14ac:dyDescent="0.25">
      <c r="A82" s="113"/>
      <c r="B82" s="35" t="s">
        <v>184</v>
      </c>
      <c r="C82" s="36" t="s">
        <v>57</v>
      </c>
      <c r="D82" s="36" t="s">
        <v>121</v>
      </c>
      <c r="E82" s="36" t="s">
        <v>60</v>
      </c>
      <c r="F82" s="36" t="s">
        <v>61</v>
      </c>
      <c r="G82" s="36" t="s">
        <v>678</v>
      </c>
      <c r="H82" s="36" t="s">
        <v>679</v>
      </c>
      <c r="I82" s="360" t="str">
        <f t="shared" si="5"/>
        <v>A_FUR_TAB_RCE_12</v>
      </c>
      <c r="J82" s="36">
        <v>12</v>
      </c>
      <c r="K82" s="371">
        <v>117</v>
      </c>
      <c r="L82" s="214"/>
      <c r="M82" s="214"/>
      <c r="N82" s="214"/>
      <c r="O82" s="217"/>
      <c r="P82" s="295"/>
      <c r="Q82" s="320"/>
      <c r="R82" s="320"/>
      <c r="S82" s="320"/>
      <c r="T82" s="320"/>
      <c r="U82" s="320"/>
      <c r="V82" s="320"/>
      <c r="W82" s="321"/>
      <c r="X82" s="320"/>
      <c r="Y82" s="374"/>
      <c r="Z82" s="222">
        <f t="shared" si="4"/>
        <v>0</v>
      </c>
      <c r="AC82" s="35" t="s">
        <v>184</v>
      </c>
      <c r="AD82" s="44" t="s">
        <v>57</v>
      </c>
      <c r="AE82" s="45" t="s">
        <v>121</v>
      </c>
      <c r="AF82" s="44" t="s">
        <v>60</v>
      </c>
      <c r="AG82" s="46" t="s">
        <v>61</v>
      </c>
      <c r="AH82" s="44" t="s">
        <v>678</v>
      </c>
      <c r="AI82" s="46" t="s">
        <v>679</v>
      </c>
      <c r="AJ82" s="69" t="s">
        <v>782</v>
      </c>
      <c r="AK82" s="117">
        <v>12</v>
      </c>
      <c r="AL82" s="117">
        <v>117</v>
      </c>
      <c r="AM82" s="254"/>
      <c r="AN82" s="323" t="str">
        <f t="shared" si="7"/>
        <v/>
      </c>
      <c r="AO82" s="262"/>
      <c r="AP82" s="210" t="str">
        <f t="shared" si="8"/>
        <v/>
      </c>
      <c r="AQ82" s="214"/>
      <c r="AR82" s="210" t="s">
        <v>503</v>
      </c>
      <c r="AS82" s="262"/>
      <c r="AT82" s="214"/>
      <c r="AU82" s="254"/>
      <c r="AV82" s="254"/>
      <c r="AW82" s="254"/>
      <c r="AX82" s="254"/>
      <c r="AY82" s="254"/>
      <c r="AZ82" s="254"/>
      <c r="BA82" s="254"/>
      <c r="BB82" s="306" t="str">
        <f t="shared" si="6"/>
        <v/>
      </c>
      <c r="BC82" s="254"/>
      <c r="BD82" s="254"/>
      <c r="BE82" s="254"/>
      <c r="BF82" s="254"/>
    </row>
    <row r="83" spans="1:58" s="10" customFormat="1" ht="15.75" customHeight="1" x14ac:dyDescent="0.25">
      <c r="A83" s="113"/>
      <c r="B83" s="35" t="s">
        <v>184</v>
      </c>
      <c r="C83" s="44" t="s">
        <v>680</v>
      </c>
      <c r="D83" s="44" t="s">
        <v>681</v>
      </c>
      <c r="E83" s="44" t="s">
        <v>223</v>
      </c>
      <c r="F83" s="44" t="s">
        <v>224</v>
      </c>
      <c r="G83" s="44" t="s">
        <v>682</v>
      </c>
      <c r="H83" s="44" t="s">
        <v>683</v>
      </c>
      <c r="I83" s="360" t="str">
        <f t="shared" si="5"/>
        <v>A_FUS_CAB_TVI_01</v>
      </c>
      <c r="J83" s="44">
        <v>1</v>
      </c>
      <c r="K83" s="372">
        <v>113</v>
      </c>
      <c r="L83" s="214"/>
      <c r="M83" s="214"/>
      <c r="N83" s="214"/>
      <c r="O83" s="217"/>
      <c r="P83" s="295"/>
      <c r="Q83" s="296"/>
      <c r="R83" s="296"/>
      <c r="S83" s="296"/>
      <c r="T83" s="296"/>
      <c r="U83" s="296"/>
      <c r="V83" s="296"/>
      <c r="W83" s="321"/>
      <c r="X83" s="296"/>
      <c r="Y83" s="373"/>
      <c r="Z83" s="222">
        <f t="shared" si="4"/>
        <v>0</v>
      </c>
      <c r="AC83" s="35" t="s">
        <v>184</v>
      </c>
      <c r="AD83" s="44" t="s">
        <v>680</v>
      </c>
      <c r="AE83" s="45" t="s">
        <v>681</v>
      </c>
      <c r="AF83" s="44" t="s">
        <v>223</v>
      </c>
      <c r="AG83" s="46" t="s">
        <v>224</v>
      </c>
      <c r="AH83" s="44" t="s">
        <v>682</v>
      </c>
      <c r="AI83" s="46" t="s">
        <v>683</v>
      </c>
      <c r="AJ83" s="69" t="s">
        <v>783</v>
      </c>
      <c r="AK83" s="117">
        <v>1</v>
      </c>
      <c r="AL83" s="117">
        <v>113</v>
      </c>
      <c r="AM83" s="254"/>
      <c r="AN83" s="323" t="str">
        <f t="shared" si="7"/>
        <v/>
      </c>
      <c r="AO83" s="262"/>
      <c r="AP83" s="210" t="str">
        <f t="shared" si="8"/>
        <v/>
      </c>
      <c r="AQ83" s="214"/>
      <c r="AR83" s="210" t="s">
        <v>503</v>
      </c>
      <c r="AS83" s="262"/>
      <c r="AT83" s="214"/>
      <c r="AU83" s="254"/>
      <c r="AV83" s="254"/>
      <c r="AW83" s="254"/>
      <c r="AX83" s="254"/>
      <c r="AY83" s="254"/>
      <c r="AZ83" s="254"/>
      <c r="BA83" s="254"/>
      <c r="BB83" s="306" t="str">
        <f t="shared" si="6"/>
        <v/>
      </c>
      <c r="BC83" s="254"/>
      <c r="BD83" s="254"/>
      <c r="BE83" s="254"/>
      <c r="BF83" s="254"/>
    </row>
    <row r="84" spans="1:58" s="10" customFormat="1" ht="15.75" customHeight="1" x14ac:dyDescent="0.25">
      <c r="A84" s="113"/>
      <c r="B84" s="35" t="s">
        <v>184</v>
      </c>
      <c r="C84" s="44" t="s">
        <v>684</v>
      </c>
      <c r="D84" s="44" t="s">
        <v>685</v>
      </c>
      <c r="E84" s="44" t="s">
        <v>688</v>
      </c>
      <c r="F84" s="44" t="s">
        <v>34</v>
      </c>
      <c r="G84" s="44" t="s">
        <v>689</v>
      </c>
      <c r="H84" s="44" t="s">
        <v>690</v>
      </c>
      <c r="I84" s="360" t="str">
        <f t="shared" si="5"/>
        <v>A_HAR_DOO_BAS_01</v>
      </c>
      <c r="J84" s="44">
        <v>1</v>
      </c>
      <c r="K84" s="372">
        <v>116</v>
      </c>
      <c r="L84" s="214"/>
      <c r="M84" s="214"/>
      <c r="N84" s="214"/>
      <c r="O84" s="217"/>
      <c r="P84" s="295"/>
      <c r="Q84" s="296"/>
      <c r="R84" s="296"/>
      <c r="S84" s="296"/>
      <c r="T84" s="296"/>
      <c r="U84" s="296"/>
      <c r="V84" s="296"/>
      <c r="W84" s="321"/>
      <c r="X84" s="296"/>
      <c r="Y84" s="373"/>
      <c r="Z84" s="222">
        <f t="shared" si="4"/>
        <v>0</v>
      </c>
      <c r="AC84" s="35" t="s">
        <v>184</v>
      </c>
      <c r="AD84" s="44" t="s">
        <v>684</v>
      </c>
      <c r="AE84" s="45" t="s">
        <v>685</v>
      </c>
      <c r="AF84" s="44" t="s">
        <v>688</v>
      </c>
      <c r="AG84" s="46" t="s">
        <v>34</v>
      </c>
      <c r="AH84" s="44" t="s">
        <v>689</v>
      </c>
      <c r="AI84" s="46" t="s">
        <v>690</v>
      </c>
      <c r="AJ84" s="69" t="s">
        <v>784</v>
      </c>
      <c r="AK84" s="117">
        <v>1</v>
      </c>
      <c r="AL84" s="117">
        <v>116</v>
      </c>
      <c r="AM84" s="254"/>
      <c r="AN84" s="323" t="str">
        <f t="shared" si="7"/>
        <v/>
      </c>
      <c r="AO84" s="262"/>
      <c r="AP84" s="210" t="str">
        <f t="shared" si="8"/>
        <v/>
      </c>
      <c r="AQ84" s="214"/>
      <c r="AR84" s="210" t="s">
        <v>503</v>
      </c>
      <c r="AS84" s="262"/>
      <c r="AT84" s="214"/>
      <c r="AU84" s="254"/>
      <c r="AV84" s="254"/>
      <c r="AW84" s="254"/>
      <c r="AX84" s="254"/>
      <c r="AY84" s="254"/>
      <c r="AZ84" s="254"/>
      <c r="BA84" s="254"/>
      <c r="BB84" s="306" t="str">
        <f t="shared" si="6"/>
        <v/>
      </c>
      <c r="BC84" s="254"/>
      <c r="BD84" s="254"/>
      <c r="BE84" s="254"/>
      <c r="BF84" s="254"/>
    </row>
    <row r="85" spans="1:58" s="10" customFormat="1" ht="15.75" customHeight="1" x14ac:dyDescent="0.25">
      <c r="A85" s="113"/>
      <c r="B85" s="35" t="s">
        <v>184</v>
      </c>
      <c r="C85" s="44" t="s">
        <v>684</v>
      </c>
      <c r="D85" s="44" t="s">
        <v>685</v>
      </c>
      <c r="E85" s="44" t="s">
        <v>688</v>
      </c>
      <c r="F85" s="44" t="s">
        <v>34</v>
      </c>
      <c r="G85" s="44" t="s">
        <v>686</v>
      </c>
      <c r="H85" s="44" t="s">
        <v>687</v>
      </c>
      <c r="I85" s="360" t="str">
        <f t="shared" si="5"/>
        <v>A_HAR_DOO_DOM_04</v>
      </c>
      <c r="J85" s="44">
        <v>4</v>
      </c>
      <c r="K85" s="372">
        <v>115</v>
      </c>
      <c r="L85" s="214"/>
      <c r="M85" s="214"/>
      <c r="N85" s="214"/>
      <c r="O85" s="217"/>
      <c r="P85" s="295"/>
      <c r="Q85" s="296"/>
      <c r="R85" s="296"/>
      <c r="S85" s="296"/>
      <c r="T85" s="296"/>
      <c r="U85" s="296"/>
      <c r="V85" s="296"/>
      <c r="W85" s="321"/>
      <c r="X85" s="296"/>
      <c r="Y85" s="373"/>
      <c r="Z85" s="222">
        <f t="shared" si="4"/>
        <v>0</v>
      </c>
      <c r="AC85" s="35" t="s">
        <v>184</v>
      </c>
      <c r="AD85" s="44" t="s">
        <v>684</v>
      </c>
      <c r="AE85" s="45" t="s">
        <v>685</v>
      </c>
      <c r="AF85" s="44" t="s">
        <v>688</v>
      </c>
      <c r="AG85" s="46" t="s">
        <v>34</v>
      </c>
      <c r="AH85" s="44" t="s">
        <v>686</v>
      </c>
      <c r="AI85" s="46" t="s">
        <v>687</v>
      </c>
      <c r="AJ85" s="69" t="s">
        <v>1540</v>
      </c>
      <c r="AK85" s="117">
        <v>4</v>
      </c>
      <c r="AL85" s="117">
        <v>115</v>
      </c>
      <c r="AM85" s="254"/>
      <c r="AN85" s="323" t="str">
        <f t="shared" si="7"/>
        <v/>
      </c>
      <c r="AO85" s="262"/>
      <c r="AP85" s="210" t="str">
        <f t="shared" si="8"/>
        <v/>
      </c>
      <c r="AQ85" s="214"/>
      <c r="AR85" s="210" t="s">
        <v>503</v>
      </c>
      <c r="AS85" s="262"/>
      <c r="AT85" s="214"/>
      <c r="AU85" s="254"/>
      <c r="AV85" s="254"/>
      <c r="AW85" s="254"/>
      <c r="AX85" s="254"/>
      <c r="AY85" s="254"/>
      <c r="AZ85" s="254"/>
      <c r="BA85" s="254"/>
      <c r="BB85" s="306" t="str">
        <f t="shared" si="6"/>
        <v/>
      </c>
      <c r="BC85" s="254"/>
      <c r="BD85" s="254"/>
      <c r="BE85" s="254"/>
      <c r="BF85" s="254"/>
    </row>
    <row r="86" spans="1:58" s="10" customFormat="1" ht="15.75" customHeight="1" x14ac:dyDescent="0.25">
      <c r="A86" s="113"/>
      <c r="B86" s="35" t="s">
        <v>184</v>
      </c>
      <c r="C86" s="44" t="s">
        <v>684</v>
      </c>
      <c r="D86" s="44" t="s">
        <v>685</v>
      </c>
      <c r="E86" s="44" t="s">
        <v>688</v>
      </c>
      <c r="F86" s="44" t="s">
        <v>34</v>
      </c>
      <c r="G86" s="44" t="s">
        <v>691</v>
      </c>
      <c r="H86" s="44" t="s">
        <v>692</v>
      </c>
      <c r="I86" s="360" t="str">
        <f t="shared" si="5"/>
        <v>A_HAR_DOO_ENT_02</v>
      </c>
      <c r="J86" s="44">
        <v>2</v>
      </c>
      <c r="K86" s="372">
        <v>47</v>
      </c>
      <c r="L86" s="214"/>
      <c r="M86" s="214"/>
      <c r="N86" s="214"/>
      <c r="O86" s="217"/>
      <c r="P86" s="295"/>
      <c r="Q86" s="296"/>
      <c r="R86" s="296"/>
      <c r="S86" s="296"/>
      <c r="T86" s="296"/>
      <c r="U86" s="296"/>
      <c r="V86" s="296"/>
      <c r="W86" s="321"/>
      <c r="X86" s="296"/>
      <c r="Y86" s="373"/>
      <c r="Z86" s="222">
        <f t="shared" si="4"/>
        <v>0</v>
      </c>
      <c r="AC86" s="35" t="s">
        <v>184</v>
      </c>
      <c r="AD86" s="44" t="s">
        <v>684</v>
      </c>
      <c r="AE86" s="45" t="s">
        <v>685</v>
      </c>
      <c r="AF86" s="44" t="s">
        <v>688</v>
      </c>
      <c r="AG86" s="46" t="s">
        <v>34</v>
      </c>
      <c r="AH86" s="44" t="s">
        <v>691</v>
      </c>
      <c r="AI86" s="46" t="s">
        <v>692</v>
      </c>
      <c r="AJ86" s="69" t="s">
        <v>785</v>
      </c>
      <c r="AK86" s="117">
        <v>2</v>
      </c>
      <c r="AL86" s="117">
        <v>47</v>
      </c>
      <c r="AM86" s="254"/>
      <c r="AN86" s="323" t="str">
        <f t="shared" si="7"/>
        <v/>
      </c>
      <c r="AO86" s="262"/>
      <c r="AP86" s="210" t="str">
        <f t="shared" si="8"/>
        <v/>
      </c>
      <c r="AQ86" s="214"/>
      <c r="AR86" s="210" t="s">
        <v>503</v>
      </c>
      <c r="AS86" s="262"/>
      <c r="AT86" s="214"/>
      <c r="AU86" s="254"/>
      <c r="AV86" s="254"/>
      <c r="AW86" s="254"/>
      <c r="AX86" s="254"/>
      <c r="AY86" s="254"/>
      <c r="AZ86" s="254"/>
      <c r="BA86" s="254"/>
      <c r="BB86" s="306" t="str">
        <f t="shared" si="6"/>
        <v/>
      </c>
      <c r="BC86" s="254"/>
      <c r="BD86" s="254"/>
      <c r="BE86" s="254"/>
      <c r="BF86" s="254"/>
    </row>
    <row r="87" spans="1:58" s="10" customFormat="1" ht="15.75" customHeight="1" x14ac:dyDescent="0.25">
      <c r="A87" s="113"/>
      <c r="B87" s="35" t="s">
        <v>184</v>
      </c>
      <c r="C87" s="44" t="s">
        <v>684</v>
      </c>
      <c r="D87" s="44" t="s">
        <v>685</v>
      </c>
      <c r="E87" s="44" t="s">
        <v>688</v>
      </c>
      <c r="F87" s="44" t="s">
        <v>34</v>
      </c>
      <c r="G87" s="44" t="s">
        <v>48</v>
      </c>
      <c r="H87" s="44" t="s">
        <v>50</v>
      </c>
      <c r="I87" s="360" t="str">
        <f t="shared" si="5"/>
        <v>A_HAR_DOO_SLI_07</v>
      </c>
      <c r="J87" s="44">
        <v>7</v>
      </c>
      <c r="K87" s="372">
        <v>48</v>
      </c>
      <c r="L87" s="214"/>
      <c r="M87" s="214"/>
      <c r="N87" s="214"/>
      <c r="O87" s="217"/>
      <c r="P87" s="295"/>
      <c r="Q87" s="296"/>
      <c r="R87" s="296"/>
      <c r="S87" s="296"/>
      <c r="T87" s="296"/>
      <c r="U87" s="296"/>
      <c r="V87" s="296"/>
      <c r="W87" s="321"/>
      <c r="X87" s="296"/>
      <c r="Y87" s="373"/>
      <c r="Z87" s="222">
        <f t="shared" si="4"/>
        <v>0</v>
      </c>
      <c r="AC87" s="35" t="s">
        <v>184</v>
      </c>
      <c r="AD87" s="44" t="s">
        <v>684</v>
      </c>
      <c r="AE87" s="45" t="s">
        <v>685</v>
      </c>
      <c r="AF87" s="44" t="s">
        <v>688</v>
      </c>
      <c r="AG87" s="46" t="s">
        <v>34</v>
      </c>
      <c r="AH87" s="44" t="s">
        <v>48</v>
      </c>
      <c r="AI87" s="46" t="s">
        <v>50</v>
      </c>
      <c r="AJ87" s="69" t="s">
        <v>786</v>
      </c>
      <c r="AK87" s="117">
        <v>7</v>
      </c>
      <c r="AL87" s="117">
        <v>48</v>
      </c>
      <c r="AM87" s="254"/>
      <c r="AN87" s="323" t="str">
        <f t="shared" si="7"/>
        <v/>
      </c>
      <c r="AO87" s="262"/>
      <c r="AP87" s="210" t="str">
        <f t="shared" si="8"/>
        <v/>
      </c>
      <c r="AQ87" s="214"/>
      <c r="AR87" s="210" t="s">
        <v>503</v>
      </c>
      <c r="AS87" s="262"/>
      <c r="AT87" s="214"/>
      <c r="AU87" s="254"/>
      <c r="AV87" s="254"/>
      <c r="AW87" s="254"/>
      <c r="AX87" s="254"/>
      <c r="AY87" s="254"/>
      <c r="AZ87" s="254"/>
      <c r="BA87" s="254"/>
      <c r="BB87" s="306" t="str">
        <f t="shared" si="6"/>
        <v/>
      </c>
      <c r="BC87" s="254"/>
      <c r="BD87" s="254"/>
      <c r="BE87" s="254"/>
      <c r="BF87" s="254"/>
    </row>
    <row r="88" spans="1:58" s="10" customFormat="1" ht="15.75" customHeight="1" x14ac:dyDescent="0.25">
      <c r="A88" s="113"/>
      <c r="B88" s="35" t="s">
        <v>184</v>
      </c>
      <c r="C88" s="44" t="s">
        <v>684</v>
      </c>
      <c r="D88" s="44" t="s">
        <v>685</v>
      </c>
      <c r="E88" s="44" t="s">
        <v>693</v>
      </c>
      <c r="F88" s="44" t="s">
        <v>181</v>
      </c>
      <c r="G88" s="44" t="s">
        <v>43</v>
      </c>
      <c r="H88" s="44" t="s">
        <v>44</v>
      </c>
      <c r="I88" s="360" t="str">
        <f t="shared" si="5"/>
        <v>A_HAR_EXT_PUL_03</v>
      </c>
      <c r="J88" s="44">
        <v>3</v>
      </c>
      <c r="K88" s="372">
        <v>49</v>
      </c>
      <c r="L88" s="214"/>
      <c r="M88" s="214"/>
      <c r="N88" s="214"/>
      <c r="O88" s="217"/>
      <c r="P88" s="295"/>
      <c r="Q88" s="296"/>
      <c r="R88" s="296"/>
      <c r="S88" s="296"/>
      <c r="T88" s="296"/>
      <c r="U88" s="296"/>
      <c r="V88" s="296"/>
      <c r="W88" s="321"/>
      <c r="X88" s="296"/>
      <c r="Y88" s="373"/>
      <c r="Z88" s="222">
        <f t="shared" si="4"/>
        <v>0</v>
      </c>
      <c r="AC88" s="35" t="s">
        <v>184</v>
      </c>
      <c r="AD88" s="44" t="s">
        <v>684</v>
      </c>
      <c r="AE88" s="45" t="s">
        <v>685</v>
      </c>
      <c r="AF88" s="44" t="s">
        <v>693</v>
      </c>
      <c r="AG88" s="46" t="s">
        <v>181</v>
      </c>
      <c r="AH88" s="44" t="s">
        <v>43</v>
      </c>
      <c r="AI88" s="46" t="s">
        <v>44</v>
      </c>
      <c r="AJ88" s="69" t="s">
        <v>787</v>
      </c>
      <c r="AK88" s="117">
        <v>3</v>
      </c>
      <c r="AL88" s="117">
        <v>49</v>
      </c>
      <c r="AM88" s="254"/>
      <c r="AN88" s="323" t="str">
        <f t="shared" si="7"/>
        <v/>
      </c>
      <c r="AO88" s="262"/>
      <c r="AP88" s="210" t="str">
        <f t="shared" si="8"/>
        <v/>
      </c>
      <c r="AQ88" s="214"/>
      <c r="AR88" s="210" t="s">
        <v>503</v>
      </c>
      <c r="AS88" s="262"/>
      <c r="AT88" s="214"/>
      <c r="AU88" s="254"/>
      <c r="AV88" s="254"/>
      <c r="AW88" s="254"/>
      <c r="AX88" s="254"/>
      <c r="AY88" s="254"/>
      <c r="AZ88" s="254"/>
      <c r="BA88" s="254"/>
      <c r="BB88" s="306" t="str">
        <f t="shared" si="6"/>
        <v/>
      </c>
      <c r="BC88" s="254"/>
      <c r="BD88" s="254"/>
      <c r="BE88" s="254"/>
      <c r="BF88" s="254"/>
    </row>
    <row r="89" spans="1:58" s="10" customFormat="1" ht="15.75" customHeight="1" x14ac:dyDescent="0.25">
      <c r="A89" s="113"/>
      <c r="B89" s="35" t="s">
        <v>184</v>
      </c>
      <c r="C89" s="44" t="s">
        <v>684</v>
      </c>
      <c r="D89" s="44" t="s">
        <v>685</v>
      </c>
      <c r="E89" s="44" t="s">
        <v>694</v>
      </c>
      <c r="F89" s="44" t="s">
        <v>695</v>
      </c>
      <c r="G89" s="44" t="s">
        <v>5</v>
      </c>
      <c r="H89" s="44" t="s">
        <v>5</v>
      </c>
      <c r="I89" s="360" t="str">
        <f t="shared" si="5"/>
        <v>A_HAR_LEV_05</v>
      </c>
      <c r="J89" s="44">
        <v>5</v>
      </c>
      <c r="K89" s="372">
        <v>50</v>
      </c>
      <c r="L89" s="214"/>
      <c r="M89" s="214"/>
      <c r="N89" s="214"/>
      <c r="O89" s="217"/>
      <c r="P89" s="295"/>
      <c r="Q89" s="296"/>
      <c r="R89" s="296"/>
      <c r="S89" s="296"/>
      <c r="T89" s="296"/>
      <c r="U89" s="296"/>
      <c r="V89" s="296"/>
      <c r="W89" s="321"/>
      <c r="X89" s="296"/>
      <c r="Y89" s="373"/>
      <c r="Z89" s="222">
        <f t="shared" si="4"/>
        <v>0</v>
      </c>
      <c r="AC89" s="35" t="s">
        <v>184</v>
      </c>
      <c r="AD89" s="44" t="s">
        <v>684</v>
      </c>
      <c r="AE89" s="45" t="s">
        <v>685</v>
      </c>
      <c r="AF89" s="44" t="s">
        <v>694</v>
      </c>
      <c r="AG89" s="46" t="s">
        <v>695</v>
      </c>
      <c r="AH89" s="44" t="s">
        <v>5</v>
      </c>
      <c r="AI89" s="46" t="s">
        <v>5</v>
      </c>
      <c r="AJ89" s="69" t="s">
        <v>788</v>
      </c>
      <c r="AK89" s="117">
        <v>5</v>
      </c>
      <c r="AL89" s="117">
        <v>50</v>
      </c>
      <c r="AM89" s="254"/>
      <c r="AN89" s="323" t="str">
        <f t="shared" si="7"/>
        <v/>
      </c>
      <c r="AO89" s="262"/>
      <c r="AP89" s="210" t="str">
        <f t="shared" si="8"/>
        <v/>
      </c>
      <c r="AQ89" s="214"/>
      <c r="AR89" s="210" t="s">
        <v>503</v>
      </c>
      <c r="AS89" s="262"/>
      <c r="AT89" s="214"/>
      <c r="AU89" s="254"/>
      <c r="AV89" s="254"/>
      <c r="AW89" s="254"/>
      <c r="AX89" s="254"/>
      <c r="AY89" s="254"/>
      <c r="AZ89" s="254"/>
      <c r="BA89" s="254"/>
      <c r="BB89" s="306" t="str">
        <f t="shared" si="6"/>
        <v/>
      </c>
      <c r="BC89" s="254"/>
      <c r="BD89" s="254"/>
      <c r="BE89" s="254"/>
      <c r="BF89" s="254"/>
    </row>
    <row r="90" spans="1:58" s="10" customFormat="1" ht="15.75" customHeight="1" x14ac:dyDescent="0.25">
      <c r="A90" s="113"/>
      <c r="B90" s="35" t="s">
        <v>184</v>
      </c>
      <c r="C90" s="44" t="s">
        <v>684</v>
      </c>
      <c r="D90" s="44" t="s">
        <v>685</v>
      </c>
      <c r="E90" s="44" t="s">
        <v>696</v>
      </c>
      <c r="F90" s="44" t="s">
        <v>639</v>
      </c>
      <c r="G90" s="44" t="s">
        <v>697</v>
      </c>
      <c r="H90" s="44" t="s">
        <v>698</v>
      </c>
      <c r="I90" s="360" t="str">
        <f t="shared" si="5"/>
        <v>A_HAR_PAN_BAR_06</v>
      </c>
      <c r="J90" s="44">
        <v>6</v>
      </c>
      <c r="K90" s="372">
        <v>51</v>
      </c>
      <c r="L90" s="214"/>
      <c r="M90" s="214"/>
      <c r="N90" s="214"/>
      <c r="O90" s="217"/>
      <c r="P90" s="295"/>
      <c r="Q90" s="296"/>
      <c r="R90" s="296"/>
      <c r="S90" s="296"/>
      <c r="T90" s="296"/>
      <c r="U90" s="296"/>
      <c r="V90" s="296"/>
      <c r="W90" s="321"/>
      <c r="X90" s="296"/>
      <c r="Y90" s="373"/>
      <c r="Z90" s="222">
        <f t="shared" si="4"/>
        <v>0</v>
      </c>
      <c r="AC90" s="35" t="s">
        <v>184</v>
      </c>
      <c r="AD90" s="44" t="s">
        <v>684</v>
      </c>
      <c r="AE90" s="45" t="s">
        <v>685</v>
      </c>
      <c r="AF90" s="44" t="s">
        <v>696</v>
      </c>
      <c r="AG90" s="46" t="s">
        <v>639</v>
      </c>
      <c r="AH90" s="44" t="s">
        <v>697</v>
      </c>
      <c r="AI90" s="46" t="s">
        <v>698</v>
      </c>
      <c r="AJ90" s="69" t="s">
        <v>789</v>
      </c>
      <c r="AK90" s="117">
        <v>6</v>
      </c>
      <c r="AL90" s="117">
        <v>51</v>
      </c>
      <c r="AM90" s="254"/>
      <c r="AN90" s="323" t="str">
        <f t="shared" si="7"/>
        <v/>
      </c>
      <c r="AO90" s="262"/>
      <c r="AP90" s="210" t="str">
        <f t="shared" si="8"/>
        <v/>
      </c>
      <c r="AQ90" s="214"/>
      <c r="AR90" s="210" t="s">
        <v>503</v>
      </c>
      <c r="AS90" s="262"/>
      <c r="AT90" s="214"/>
      <c r="AU90" s="254"/>
      <c r="AV90" s="254"/>
      <c r="AW90" s="254"/>
      <c r="AX90" s="254"/>
      <c r="AY90" s="254"/>
      <c r="AZ90" s="254"/>
      <c r="BA90" s="254"/>
      <c r="BB90" s="306" t="str">
        <f t="shared" si="6"/>
        <v/>
      </c>
      <c r="BC90" s="254"/>
      <c r="BD90" s="254"/>
      <c r="BE90" s="254"/>
      <c r="BF90" s="254"/>
    </row>
    <row r="91" spans="1:58" s="10" customFormat="1" ht="15.75" customHeight="1" x14ac:dyDescent="0.25">
      <c r="A91" s="113"/>
      <c r="B91" s="35" t="s">
        <v>184</v>
      </c>
      <c r="C91" s="44" t="s">
        <v>236</v>
      </c>
      <c r="D91" s="44" t="s">
        <v>237</v>
      </c>
      <c r="E91" s="44" t="s">
        <v>238</v>
      </c>
      <c r="F91" s="44" t="s">
        <v>181</v>
      </c>
      <c r="G91" s="44" t="s">
        <v>242</v>
      </c>
      <c r="H91" s="44" t="s">
        <v>37</v>
      </c>
      <c r="I91" s="360" t="str">
        <f t="shared" si="5"/>
        <v>A_LIG_EXT_BOL_01</v>
      </c>
      <c r="J91" s="44">
        <v>1</v>
      </c>
      <c r="K91" s="372">
        <v>80</v>
      </c>
      <c r="L91" s="214"/>
      <c r="M91" s="214"/>
      <c r="N91" s="214"/>
      <c r="O91" s="217"/>
      <c r="P91" s="295"/>
      <c r="Q91" s="296"/>
      <c r="R91" s="296"/>
      <c r="S91" s="296"/>
      <c r="T91" s="296"/>
      <c r="U91" s="296"/>
      <c r="V91" s="296"/>
      <c r="W91" s="321"/>
      <c r="X91" s="296"/>
      <c r="Y91" s="373"/>
      <c r="Z91" s="222">
        <f t="shared" si="4"/>
        <v>0</v>
      </c>
      <c r="AC91" s="35" t="s">
        <v>184</v>
      </c>
      <c r="AD91" s="44" t="s">
        <v>236</v>
      </c>
      <c r="AE91" s="45" t="s">
        <v>237</v>
      </c>
      <c r="AF91" s="44" t="s">
        <v>238</v>
      </c>
      <c r="AG91" s="46" t="s">
        <v>181</v>
      </c>
      <c r="AH91" s="44" t="s">
        <v>242</v>
      </c>
      <c r="AI91" s="46" t="s">
        <v>37</v>
      </c>
      <c r="AJ91" s="69" t="s">
        <v>287</v>
      </c>
      <c r="AK91" s="117">
        <v>1</v>
      </c>
      <c r="AL91" s="117">
        <v>80</v>
      </c>
      <c r="AM91" s="254"/>
      <c r="AN91" s="323" t="str">
        <f t="shared" si="7"/>
        <v/>
      </c>
      <c r="AO91" s="262"/>
      <c r="AP91" s="210" t="str">
        <f t="shared" si="8"/>
        <v/>
      </c>
      <c r="AQ91" s="214"/>
      <c r="AR91" s="210" t="s">
        <v>503</v>
      </c>
      <c r="AS91" s="262"/>
      <c r="AT91" s="214"/>
      <c r="AU91" s="254"/>
      <c r="AV91" s="254"/>
      <c r="AW91" s="254"/>
      <c r="AX91" s="254"/>
      <c r="AY91" s="254"/>
      <c r="AZ91" s="254"/>
      <c r="BA91" s="254"/>
      <c r="BB91" s="306" t="str">
        <f t="shared" si="6"/>
        <v/>
      </c>
      <c r="BC91" s="254"/>
      <c r="BD91" s="254"/>
      <c r="BE91" s="254"/>
      <c r="BF91" s="254"/>
    </row>
    <row r="92" spans="1:58" s="10" customFormat="1" ht="15.75" customHeight="1" x14ac:dyDescent="0.25">
      <c r="A92" s="113"/>
      <c r="B92" s="35" t="s">
        <v>184</v>
      </c>
      <c r="C92" s="44" t="s">
        <v>236</v>
      </c>
      <c r="D92" s="44" t="s">
        <v>237</v>
      </c>
      <c r="E92" s="44" t="s">
        <v>238</v>
      </c>
      <c r="F92" s="44" t="s">
        <v>181</v>
      </c>
      <c r="G92" s="44" t="s">
        <v>1532</v>
      </c>
      <c r="H92" s="44" t="s">
        <v>1533</v>
      </c>
      <c r="I92" s="360" t="str">
        <f t="shared" si="5"/>
        <v>A_LIG_EXT_LST_03</v>
      </c>
      <c r="J92" s="44">
        <v>3</v>
      </c>
      <c r="K92" s="372">
        <v>58</v>
      </c>
      <c r="L92" s="214"/>
      <c r="M92" s="214"/>
      <c r="N92" s="214"/>
      <c r="O92" s="217"/>
      <c r="P92" s="295"/>
      <c r="Q92" s="296"/>
      <c r="R92" s="296"/>
      <c r="S92" s="296"/>
      <c r="T92" s="296"/>
      <c r="U92" s="296"/>
      <c r="V92" s="296"/>
      <c r="W92" s="321"/>
      <c r="X92" s="296"/>
      <c r="Y92" s="373"/>
      <c r="Z92" s="222">
        <f t="shared" si="4"/>
        <v>0</v>
      </c>
      <c r="AC92" s="35" t="s">
        <v>184</v>
      </c>
      <c r="AD92" s="44" t="s">
        <v>236</v>
      </c>
      <c r="AE92" s="45" t="s">
        <v>237</v>
      </c>
      <c r="AF92" s="44" t="s">
        <v>238</v>
      </c>
      <c r="AG92" s="46" t="s">
        <v>181</v>
      </c>
      <c r="AH92" s="44" t="s">
        <v>1532</v>
      </c>
      <c r="AI92" s="46" t="s">
        <v>1533</v>
      </c>
      <c r="AJ92" s="69" t="s">
        <v>1541</v>
      </c>
      <c r="AK92" s="117">
        <v>3</v>
      </c>
      <c r="AL92" s="117">
        <v>58</v>
      </c>
      <c r="AM92" s="254"/>
      <c r="AN92" s="323" t="str">
        <f t="shared" si="7"/>
        <v/>
      </c>
      <c r="AO92" s="262"/>
      <c r="AP92" s="210" t="str">
        <f t="shared" si="8"/>
        <v/>
      </c>
      <c r="AQ92" s="214"/>
      <c r="AR92" s="210" t="s">
        <v>503</v>
      </c>
      <c r="AS92" s="262"/>
      <c r="AT92" s="214"/>
      <c r="AU92" s="254"/>
      <c r="AV92" s="254"/>
      <c r="AW92" s="254"/>
      <c r="AX92" s="254"/>
      <c r="AY92" s="254"/>
      <c r="AZ92" s="254"/>
      <c r="BA92" s="254"/>
      <c r="BB92" s="306" t="str">
        <f t="shared" si="6"/>
        <v/>
      </c>
      <c r="BC92" s="254"/>
      <c r="BD92" s="254"/>
      <c r="BE92" s="254"/>
      <c r="BF92" s="254"/>
    </row>
    <row r="93" spans="1:58" s="10" customFormat="1" ht="15.75" customHeight="1" x14ac:dyDescent="0.25">
      <c r="A93" s="113"/>
      <c r="B93" s="35" t="s">
        <v>184</v>
      </c>
      <c r="C93" s="44" t="s">
        <v>236</v>
      </c>
      <c r="D93" s="44" t="s">
        <v>237</v>
      </c>
      <c r="E93" s="44" t="s">
        <v>238</v>
      </c>
      <c r="F93" s="44" t="s">
        <v>181</v>
      </c>
      <c r="G93" s="44" t="s">
        <v>240</v>
      </c>
      <c r="H93" s="44" t="s">
        <v>241</v>
      </c>
      <c r="I93" s="360" t="str">
        <f t="shared" si="5"/>
        <v>A_LIG_EXT_STR_02</v>
      </c>
      <c r="J93" s="44">
        <v>2</v>
      </c>
      <c r="K93" s="372">
        <v>57</v>
      </c>
      <c r="L93" s="214"/>
      <c r="M93" s="214"/>
      <c r="N93" s="214"/>
      <c r="O93" s="217"/>
      <c r="P93" s="295"/>
      <c r="Q93" s="296"/>
      <c r="R93" s="296"/>
      <c r="S93" s="296"/>
      <c r="T93" s="296"/>
      <c r="U93" s="296"/>
      <c r="V93" s="296"/>
      <c r="W93" s="321"/>
      <c r="X93" s="296"/>
      <c r="Y93" s="373"/>
      <c r="Z93" s="222">
        <f t="shared" si="4"/>
        <v>0</v>
      </c>
      <c r="AC93" s="35" t="s">
        <v>184</v>
      </c>
      <c r="AD93" s="44" t="s">
        <v>236</v>
      </c>
      <c r="AE93" s="45" t="s">
        <v>237</v>
      </c>
      <c r="AF93" s="44" t="s">
        <v>238</v>
      </c>
      <c r="AG93" s="46" t="s">
        <v>181</v>
      </c>
      <c r="AH93" s="44" t="s">
        <v>240</v>
      </c>
      <c r="AI93" s="46" t="s">
        <v>241</v>
      </c>
      <c r="AJ93" s="69" t="s">
        <v>288</v>
      </c>
      <c r="AK93" s="117">
        <v>2</v>
      </c>
      <c r="AL93" s="117">
        <v>57</v>
      </c>
      <c r="AM93" s="254"/>
      <c r="AN93" s="323" t="str">
        <f t="shared" si="7"/>
        <v/>
      </c>
      <c r="AO93" s="262"/>
      <c r="AP93" s="210" t="str">
        <f t="shared" si="8"/>
        <v/>
      </c>
      <c r="AQ93" s="214"/>
      <c r="AR93" s="210" t="s">
        <v>503</v>
      </c>
      <c r="AS93" s="262"/>
      <c r="AT93" s="214"/>
      <c r="AU93" s="254"/>
      <c r="AV93" s="254"/>
      <c r="AW93" s="254"/>
      <c r="AX93" s="254"/>
      <c r="AY93" s="254"/>
      <c r="AZ93" s="254"/>
      <c r="BA93" s="254"/>
      <c r="BB93" s="306" t="str">
        <f t="shared" si="6"/>
        <v/>
      </c>
      <c r="BC93" s="254"/>
      <c r="BD93" s="254"/>
      <c r="BE93" s="254"/>
      <c r="BF93" s="254"/>
    </row>
    <row r="94" spans="1:58" s="10" customFormat="1" ht="15.75" customHeight="1" x14ac:dyDescent="0.25">
      <c r="A94" s="113"/>
      <c r="B94" s="35" t="s">
        <v>184</v>
      </c>
      <c r="C94" s="44" t="s">
        <v>236</v>
      </c>
      <c r="D94" s="44" t="s">
        <v>237</v>
      </c>
      <c r="E94" s="44" t="s">
        <v>693</v>
      </c>
      <c r="F94" s="44" t="s">
        <v>181</v>
      </c>
      <c r="G94" s="44" t="s">
        <v>239</v>
      </c>
      <c r="H94" s="44" t="s">
        <v>659</v>
      </c>
      <c r="I94" s="360" t="str">
        <f t="shared" si="5"/>
        <v>A_LIG_EXT_WAL_04</v>
      </c>
      <c r="J94" s="44">
        <v>4</v>
      </c>
      <c r="K94" s="372">
        <v>59</v>
      </c>
      <c r="L94" s="214"/>
      <c r="M94" s="214"/>
      <c r="N94" s="214"/>
      <c r="O94" s="217"/>
      <c r="P94" s="295"/>
      <c r="Q94" s="296"/>
      <c r="R94" s="296"/>
      <c r="S94" s="296"/>
      <c r="T94" s="296"/>
      <c r="U94" s="296"/>
      <c r="V94" s="296"/>
      <c r="W94" s="321"/>
      <c r="X94" s="296"/>
      <c r="Y94" s="373"/>
      <c r="Z94" s="222">
        <f t="shared" si="4"/>
        <v>0</v>
      </c>
      <c r="AC94" s="35" t="s">
        <v>184</v>
      </c>
      <c r="AD94" s="44" t="s">
        <v>236</v>
      </c>
      <c r="AE94" s="45" t="s">
        <v>237</v>
      </c>
      <c r="AF94" s="44" t="s">
        <v>693</v>
      </c>
      <c r="AG94" s="46" t="s">
        <v>181</v>
      </c>
      <c r="AH94" s="44" t="s">
        <v>239</v>
      </c>
      <c r="AI94" s="46" t="s">
        <v>659</v>
      </c>
      <c r="AJ94" s="69" t="s">
        <v>790</v>
      </c>
      <c r="AK94" s="117">
        <v>4</v>
      </c>
      <c r="AL94" s="117">
        <v>59</v>
      </c>
      <c r="AM94" s="254"/>
      <c r="AN94" s="323" t="str">
        <f t="shared" si="7"/>
        <v/>
      </c>
      <c r="AO94" s="262"/>
      <c r="AP94" s="210" t="str">
        <f t="shared" si="8"/>
        <v/>
      </c>
      <c r="AQ94" s="214"/>
      <c r="AR94" s="210" t="s">
        <v>503</v>
      </c>
      <c r="AS94" s="262"/>
      <c r="AT94" s="214"/>
      <c r="AU94" s="254"/>
      <c r="AV94" s="254"/>
      <c r="AW94" s="254"/>
      <c r="AX94" s="254"/>
      <c r="AY94" s="254"/>
      <c r="AZ94" s="254"/>
      <c r="BA94" s="254"/>
      <c r="BB94" s="306" t="str">
        <f t="shared" si="6"/>
        <v/>
      </c>
      <c r="BC94" s="254"/>
      <c r="BD94" s="254"/>
      <c r="BE94" s="254"/>
      <c r="BF94" s="254"/>
    </row>
    <row r="95" spans="1:58" s="10" customFormat="1" ht="15.75" customHeight="1" x14ac:dyDescent="0.25">
      <c r="A95" s="113"/>
      <c r="B95" s="35" t="s">
        <v>184</v>
      </c>
      <c r="C95" s="44" t="s">
        <v>236</v>
      </c>
      <c r="D95" s="44" t="s">
        <v>237</v>
      </c>
      <c r="E95" s="44" t="s">
        <v>243</v>
      </c>
      <c r="F95" s="44" t="s">
        <v>244</v>
      </c>
      <c r="G95" s="44" t="s">
        <v>169</v>
      </c>
      <c r="H95" s="44" t="s">
        <v>170</v>
      </c>
      <c r="I95" s="360" t="str">
        <f t="shared" si="5"/>
        <v>A_LIG_INT_DOW_05</v>
      </c>
      <c r="J95" s="44">
        <v>5</v>
      </c>
      <c r="K95" s="372">
        <v>60</v>
      </c>
      <c r="L95" s="214"/>
      <c r="M95" s="214"/>
      <c r="N95" s="214"/>
      <c r="O95" s="217"/>
      <c r="P95" s="295"/>
      <c r="Q95" s="296"/>
      <c r="R95" s="296"/>
      <c r="S95" s="296"/>
      <c r="T95" s="296"/>
      <c r="U95" s="296"/>
      <c r="V95" s="296"/>
      <c r="W95" s="321"/>
      <c r="X95" s="296"/>
      <c r="Y95" s="373"/>
      <c r="Z95" s="222">
        <f t="shared" si="4"/>
        <v>0</v>
      </c>
      <c r="AC95" s="35" t="s">
        <v>184</v>
      </c>
      <c r="AD95" s="44" t="s">
        <v>236</v>
      </c>
      <c r="AE95" s="45" t="s">
        <v>237</v>
      </c>
      <c r="AF95" s="44" t="s">
        <v>243</v>
      </c>
      <c r="AG95" s="46" t="s">
        <v>244</v>
      </c>
      <c r="AH95" s="44" t="s">
        <v>169</v>
      </c>
      <c r="AI95" s="46" t="s">
        <v>170</v>
      </c>
      <c r="AJ95" s="69" t="s">
        <v>289</v>
      </c>
      <c r="AK95" s="117">
        <v>5</v>
      </c>
      <c r="AL95" s="117">
        <v>60</v>
      </c>
      <c r="AM95" s="254"/>
      <c r="AN95" s="323" t="str">
        <f t="shared" si="7"/>
        <v/>
      </c>
      <c r="AO95" s="262"/>
      <c r="AP95" s="210" t="str">
        <f t="shared" si="8"/>
        <v/>
      </c>
      <c r="AQ95" s="214"/>
      <c r="AR95" s="210" t="s">
        <v>503</v>
      </c>
      <c r="AS95" s="262"/>
      <c r="AT95" s="214"/>
      <c r="AU95" s="254"/>
      <c r="AV95" s="254"/>
      <c r="AW95" s="254"/>
      <c r="AX95" s="254"/>
      <c r="AY95" s="254"/>
      <c r="AZ95" s="254"/>
      <c r="BA95" s="254"/>
      <c r="BB95" s="306" t="str">
        <f t="shared" si="6"/>
        <v/>
      </c>
      <c r="BC95" s="254"/>
      <c r="BD95" s="254"/>
      <c r="BE95" s="254"/>
      <c r="BF95" s="254"/>
    </row>
    <row r="96" spans="1:58" s="10" customFormat="1" ht="15.75" customHeight="1" x14ac:dyDescent="0.25">
      <c r="A96" s="113"/>
      <c r="B96" s="35" t="s">
        <v>184</v>
      </c>
      <c r="C96" s="44" t="s">
        <v>236</v>
      </c>
      <c r="D96" s="44" t="s">
        <v>237</v>
      </c>
      <c r="E96" s="44" t="s">
        <v>243</v>
      </c>
      <c r="F96" s="44" t="s">
        <v>244</v>
      </c>
      <c r="G96" s="44" t="s">
        <v>699</v>
      </c>
      <c r="H96" s="44" t="s">
        <v>245</v>
      </c>
      <c r="I96" s="360" t="str">
        <f t="shared" si="5"/>
        <v>A_LIG_INT_SPL_06</v>
      </c>
      <c r="J96" s="44">
        <v>6</v>
      </c>
      <c r="K96" s="372">
        <v>61</v>
      </c>
      <c r="L96" s="214"/>
      <c r="M96" s="214"/>
      <c r="N96" s="214"/>
      <c r="O96" s="217"/>
      <c r="P96" s="295"/>
      <c r="Q96" s="296"/>
      <c r="R96" s="296"/>
      <c r="S96" s="296"/>
      <c r="T96" s="296"/>
      <c r="U96" s="296"/>
      <c r="V96" s="296"/>
      <c r="W96" s="321"/>
      <c r="X96" s="296"/>
      <c r="Y96" s="373"/>
      <c r="Z96" s="222">
        <f t="shared" si="4"/>
        <v>0</v>
      </c>
      <c r="AC96" s="35" t="s">
        <v>184</v>
      </c>
      <c r="AD96" s="44" t="s">
        <v>236</v>
      </c>
      <c r="AE96" s="45" t="s">
        <v>237</v>
      </c>
      <c r="AF96" s="44" t="s">
        <v>243</v>
      </c>
      <c r="AG96" s="46" t="s">
        <v>244</v>
      </c>
      <c r="AH96" s="44" t="s">
        <v>699</v>
      </c>
      <c r="AI96" s="46" t="s">
        <v>245</v>
      </c>
      <c r="AJ96" s="69" t="s">
        <v>290</v>
      </c>
      <c r="AK96" s="117">
        <v>6</v>
      </c>
      <c r="AL96" s="117">
        <v>61</v>
      </c>
      <c r="AM96" s="254"/>
      <c r="AN96" s="323" t="str">
        <f t="shared" si="7"/>
        <v/>
      </c>
      <c r="AO96" s="262"/>
      <c r="AP96" s="210" t="str">
        <f t="shared" si="8"/>
        <v/>
      </c>
      <c r="AQ96" s="214"/>
      <c r="AR96" s="210" t="s">
        <v>503</v>
      </c>
      <c r="AS96" s="262"/>
      <c r="AT96" s="214"/>
      <c r="AU96" s="254"/>
      <c r="AV96" s="254"/>
      <c r="AW96" s="254"/>
      <c r="AX96" s="254"/>
      <c r="AY96" s="254"/>
      <c r="AZ96" s="254"/>
      <c r="BA96" s="254"/>
      <c r="BB96" s="306" t="str">
        <f t="shared" si="6"/>
        <v/>
      </c>
      <c r="BC96" s="254"/>
      <c r="BD96" s="254"/>
      <c r="BE96" s="254"/>
      <c r="BF96" s="254"/>
    </row>
    <row r="97" spans="1:58" s="10" customFormat="1" ht="15.75" customHeight="1" x14ac:dyDescent="0.25">
      <c r="A97" s="113"/>
      <c r="B97" s="35" t="s">
        <v>184</v>
      </c>
      <c r="C97" s="44" t="s">
        <v>231</v>
      </c>
      <c r="D97" s="44" t="s">
        <v>232</v>
      </c>
      <c r="E97" s="44">
        <v>0</v>
      </c>
      <c r="F97" s="44">
        <v>0</v>
      </c>
      <c r="G97" s="44" t="s">
        <v>19</v>
      </c>
      <c r="H97" s="44" t="s">
        <v>20</v>
      </c>
      <c r="I97" s="360" t="str">
        <f t="shared" ref="I97:I128" si="9">IF(OR(H97="-",H97=""),CONCATENATE("A","_",D97,"_",F97,"_",TEXT(J97,"00")),CONCATENATE("A","_",D97,"_",F97,"_",H97,"_",TEXT(J97,"00")))</f>
        <v>A_PRO_0_REC_15</v>
      </c>
      <c r="J97" s="44">
        <v>15</v>
      </c>
      <c r="K97" s="372">
        <v>169</v>
      </c>
      <c r="L97" s="214"/>
      <c r="M97" s="214"/>
      <c r="N97" s="214"/>
      <c r="O97" s="217"/>
      <c r="P97" s="295"/>
      <c r="Q97" s="296"/>
      <c r="R97" s="296"/>
      <c r="S97" s="296"/>
      <c r="T97" s="296"/>
      <c r="U97" s="296"/>
      <c r="V97" s="296"/>
      <c r="W97" s="321"/>
      <c r="X97" s="296"/>
      <c r="Y97" s="373"/>
      <c r="Z97" s="222">
        <f t="shared" si="4"/>
        <v>0</v>
      </c>
      <c r="AC97" s="35" t="s">
        <v>184</v>
      </c>
      <c r="AD97" s="44" t="s">
        <v>231</v>
      </c>
      <c r="AE97" s="45" t="s">
        <v>232</v>
      </c>
      <c r="AF97" s="44">
        <v>0</v>
      </c>
      <c r="AG97" s="46">
        <v>0</v>
      </c>
      <c r="AH97" s="44" t="s">
        <v>19</v>
      </c>
      <c r="AI97" s="46" t="s">
        <v>20</v>
      </c>
      <c r="AJ97" s="69" t="s">
        <v>1570</v>
      </c>
      <c r="AK97" s="117">
        <v>15</v>
      </c>
      <c r="AL97" s="117">
        <v>169</v>
      </c>
      <c r="AM97" s="254"/>
      <c r="AN97" s="323" t="str">
        <f t="shared" si="7"/>
        <v/>
      </c>
      <c r="AO97" s="262"/>
      <c r="AP97" s="210" t="str">
        <f t="shared" si="8"/>
        <v/>
      </c>
      <c r="AQ97" s="214"/>
      <c r="AR97" s="210" t="s">
        <v>503</v>
      </c>
      <c r="AS97" s="262"/>
      <c r="AT97" s="214"/>
      <c r="AU97" s="254"/>
      <c r="AV97" s="254"/>
      <c r="AW97" s="254"/>
      <c r="AX97" s="254"/>
      <c r="AY97" s="254"/>
      <c r="AZ97" s="254"/>
      <c r="BA97" s="254"/>
      <c r="BB97" s="306" t="str">
        <f t="shared" si="6"/>
        <v/>
      </c>
      <c r="BC97" s="254"/>
      <c r="BD97" s="254"/>
      <c r="BE97" s="254"/>
      <c r="BF97" s="254"/>
    </row>
    <row r="98" spans="1:58" s="10" customFormat="1" ht="15.75" customHeight="1" x14ac:dyDescent="0.25">
      <c r="A98" s="113"/>
      <c r="B98" s="35" t="s">
        <v>184</v>
      </c>
      <c r="C98" s="44" t="s">
        <v>231</v>
      </c>
      <c r="D98" s="44" t="s">
        <v>232</v>
      </c>
      <c r="E98" s="44" t="s">
        <v>1580</v>
      </c>
      <c r="F98" s="44" t="s">
        <v>1579</v>
      </c>
      <c r="G98" s="44">
        <v>0</v>
      </c>
      <c r="H98" s="44">
        <v>0</v>
      </c>
      <c r="I98" s="360" t="str">
        <f t="shared" si="9"/>
        <v>A_PRO_C_0_16</v>
      </c>
      <c r="J98" s="44">
        <v>16</v>
      </c>
      <c r="K98" s="372">
        <v>174</v>
      </c>
      <c r="L98" s="214"/>
      <c r="M98" s="214"/>
      <c r="N98" s="214"/>
      <c r="O98" s="217"/>
      <c r="P98" s="295"/>
      <c r="Q98" s="296"/>
      <c r="R98" s="296"/>
      <c r="S98" s="296"/>
      <c r="T98" s="296"/>
      <c r="U98" s="296"/>
      <c r="V98" s="296"/>
      <c r="W98" s="321"/>
      <c r="X98" s="296"/>
      <c r="Y98" s="373"/>
      <c r="Z98" s="222">
        <f t="shared" si="4"/>
        <v>0</v>
      </c>
      <c r="AC98" s="35" t="s">
        <v>184</v>
      </c>
      <c r="AD98" s="44" t="s">
        <v>231</v>
      </c>
      <c r="AE98" s="45" t="s">
        <v>232</v>
      </c>
      <c r="AF98" s="44" t="s">
        <v>1580</v>
      </c>
      <c r="AG98" s="46" t="s">
        <v>1579</v>
      </c>
      <c r="AH98" s="44">
        <v>0</v>
      </c>
      <c r="AI98" s="46">
        <v>0</v>
      </c>
      <c r="AJ98" s="69" t="s">
        <v>1581</v>
      </c>
      <c r="AK98" s="117">
        <v>16</v>
      </c>
      <c r="AL98" s="117">
        <v>174</v>
      </c>
      <c r="AM98" s="254"/>
      <c r="AN98" s="323" t="str">
        <f t="shared" si="7"/>
        <v/>
      </c>
      <c r="AO98" s="262"/>
      <c r="AP98" s="210" t="str">
        <f t="shared" si="8"/>
        <v/>
      </c>
      <c r="AQ98" s="214"/>
      <c r="AR98" s="210" t="s">
        <v>503</v>
      </c>
      <c r="AS98" s="262"/>
      <c r="AT98" s="214"/>
      <c r="AU98" s="254"/>
      <c r="AV98" s="254"/>
      <c r="AW98" s="254"/>
      <c r="AX98" s="254"/>
      <c r="AY98" s="254"/>
      <c r="AZ98" s="254"/>
      <c r="BA98" s="254"/>
      <c r="BB98" s="306" t="str">
        <f t="shared" si="6"/>
        <v/>
      </c>
      <c r="BC98" s="254"/>
      <c r="BD98" s="254"/>
      <c r="BE98" s="254"/>
      <c r="BF98" s="254"/>
    </row>
    <row r="99" spans="1:58" s="10" customFormat="1" ht="15.75" customHeight="1" x14ac:dyDescent="0.25">
      <c r="A99" s="113"/>
      <c r="B99" s="35" t="s">
        <v>184</v>
      </c>
      <c r="C99" s="44" t="s">
        <v>231</v>
      </c>
      <c r="D99" s="44" t="s">
        <v>232</v>
      </c>
      <c r="E99" s="44" t="s">
        <v>700</v>
      </c>
      <c r="F99" s="44" t="s">
        <v>701</v>
      </c>
      <c r="G99" s="44" t="s">
        <v>702</v>
      </c>
      <c r="H99" s="44" t="s">
        <v>703</v>
      </c>
      <c r="I99" s="360" t="str">
        <f t="shared" si="9"/>
        <v>A_PRO_CWM_BTL_09</v>
      </c>
      <c r="J99" s="44">
        <v>9</v>
      </c>
      <c r="K99" s="372">
        <v>91</v>
      </c>
      <c r="L99" s="214"/>
      <c r="M99" s="214"/>
      <c r="N99" s="214"/>
      <c r="O99" s="217"/>
      <c r="P99" s="295"/>
      <c r="Q99" s="296"/>
      <c r="R99" s="296"/>
      <c r="S99" s="296"/>
      <c r="T99" s="296"/>
      <c r="U99" s="296"/>
      <c r="V99" s="296"/>
      <c r="W99" s="321"/>
      <c r="X99" s="296"/>
      <c r="Y99" s="373"/>
      <c r="Z99" s="222">
        <f t="shared" si="4"/>
        <v>0</v>
      </c>
      <c r="AC99" s="35" t="s">
        <v>184</v>
      </c>
      <c r="AD99" s="44" t="s">
        <v>231</v>
      </c>
      <c r="AE99" s="45" t="s">
        <v>232</v>
      </c>
      <c r="AF99" s="44" t="s">
        <v>700</v>
      </c>
      <c r="AG99" s="46" t="s">
        <v>701</v>
      </c>
      <c r="AH99" s="44" t="s">
        <v>702</v>
      </c>
      <c r="AI99" s="46" t="s">
        <v>703</v>
      </c>
      <c r="AJ99" s="69" t="s">
        <v>791</v>
      </c>
      <c r="AK99" s="117">
        <v>9</v>
      </c>
      <c r="AL99" s="117">
        <v>91</v>
      </c>
      <c r="AM99" s="254"/>
      <c r="AN99" s="323" t="str">
        <f t="shared" si="7"/>
        <v/>
      </c>
      <c r="AO99" s="262"/>
      <c r="AP99" s="210" t="str">
        <f t="shared" si="8"/>
        <v/>
      </c>
      <c r="AQ99" s="214"/>
      <c r="AR99" s="210" t="s">
        <v>503</v>
      </c>
      <c r="AS99" s="262"/>
      <c r="AT99" s="214"/>
      <c r="AU99" s="254"/>
      <c r="AV99" s="254"/>
      <c r="AW99" s="254"/>
      <c r="AX99" s="254"/>
      <c r="AY99" s="254"/>
      <c r="AZ99" s="254"/>
      <c r="BA99" s="254"/>
      <c r="BB99" s="306" t="str">
        <f t="shared" si="6"/>
        <v/>
      </c>
      <c r="BC99" s="254"/>
      <c r="BD99" s="254"/>
      <c r="BE99" s="254"/>
      <c r="BF99" s="254"/>
    </row>
    <row r="100" spans="1:58" s="10" customFormat="1" ht="15.75" customHeight="1" x14ac:dyDescent="0.25">
      <c r="A100" s="113"/>
      <c r="B100" s="35" t="s">
        <v>184</v>
      </c>
      <c r="C100" s="44" t="s">
        <v>231</v>
      </c>
      <c r="D100" s="44" t="s">
        <v>232</v>
      </c>
      <c r="E100" s="44" t="s">
        <v>700</v>
      </c>
      <c r="F100" s="44" t="s">
        <v>701</v>
      </c>
      <c r="G100" s="44" t="s">
        <v>704</v>
      </c>
      <c r="H100" s="44" t="s">
        <v>705</v>
      </c>
      <c r="I100" s="360" t="str">
        <f t="shared" si="9"/>
        <v>A_PRO_CWM_CEN_07</v>
      </c>
      <c r="J100" s="44">
        <v>7</v>
      </c>
      <c r="K100" s="372">
        <v>62</v>
      </c>
      <c r="L100" s="214"/>
      <c r="M100" s="214"/>
      <c r="N100" s="214"/>
      <c r="O100" s="217"/>
      <c r="P100" s="295"/>
      <c r="Q100" s="296"/>
      <c r="R100" s="296"/>
      <c r="S100" s="296"/>
      <c r="T100" s="296"/>
      <c r="U100" s="296"/>
      <c r="V100" s="296"/>
      <c r="W100" s="321"/>
      <c r="X100" s="296"/>
      <c r="Y100" s="373"/>
      <c r="Z100" s="222">
        <f t="shared" si="4"/>
        <v>0</v>
      </c>
      <c r="AC100" s="35" t="s">
        <v>184</v>
      </c>
      <c r="AD100" s="44" t="s">
        <v>231</v>
      </c>
      <c r="AE100" s="45" t="s">
        <v>232</v>
      </c>
      <c r="AF100" s="44" t="s">
        <v>700</v>
      </c>
      <c r="AG100" s="46" t="s">
        <v>701</v>
      </c>
      <c r="AH100" s="44" t="s">
        <v>704</v>
      </c>
      <c r="AI100" s="46" t="s">
        <v>705</v>
      </c>
      <c r="AJ100" s="69" t="s">
        <v>792</v>
      </c>
      <c r="AK100" s="117">
        <v>7</v>
      </c>
      <c r="AL100" s="117">
        <v>62</v>
      </c>
      <c r="AM100" s="254"/>
      <c r="AN100" s="323" t="str">
        <f t="shared" si="7"/>
        <v/>
      </c>
      <c r="AO100" s="262"/>
      <c r="AP100" s="210" t="str">
        <f t="shared" si="8"/>
        <v/>
      </c>
      <c r="AQ100" s="214"/>
      <c r="AR100" s="210" t="s">
        <v>503</v>
      </c>
      <c r="AS100" s="262"/>
      <c r="AT100" s="214"/>
      <c r="AU100" s="254"/>
      <c r="AV100" s="254"/>
      <c r="AW100" s="254"/>
      <c r="AX100" s="254"/>
      <c r="AY100" s="254"/>
      <c r="AZ100" s="254"/>
      <c r="BA100" s="254"/>
      <c r="BB100" s="306" t="str">
        <f t="shared" si="6"/>
        <v/>
      </c>
      <c r="BC100" s="254"/>
      <c r="BD100" s="254"/>
      <c r="BE100" s="254"/>
      <c r="BF100" s="254"/>
    </row>
    <row r="101" spans="1:58" s="10" customFormat="1" ht="15.75" customHeight="1" x14ac:dyDescent="0.25">
      <c r="A101" s="113"/>
      <c r="B101" s="35" t="s">
        <v>184</v>
      </c>
      <c r="C101" s="44" t="s">
        <v>231</v>
      </c>
      <c r="D101" s="44" t="s">
        <v>232</v>
      </c>
      <c r="E101" s="44" t="s">
        <v>621</v>
      </c>
      <c r="F101" s="44" t="s">
        <v>701</v>
      </c>
      <c r="G101" s="44" t="s">
        <v>706</v>
      </c>
      <c r="H101" s="44" t="s">
        <v>707</v>
      </c>
      <c r="I101" s="360" t="str">
        <f t="shared" si="9"/>
        <v>A_PRO_CWM_LOU_13</v>
      </c>
      <c r="J101" s="44">
        <v>13</v>
      </c>
      <c r="K101" s="372">
        <v>125</v>
      </c>
      <c r="L101" s="214"/>
      <c r="M101" s="214"/>
      <c r="N101" s="214"/>
      <c r="O101" s="217"/>
      <c r="P101" s="295"/>
      <c r="Q101" s="296"/>
      <c r="R101" s="296"/>
      <c r="S101" s="296"/>
      <c r="T101" s="296"/>
      <c r="U101" s="296"/>
      <c r="V101" s="296"/>
      <c r="W101" s="321"/>
      <c r="X101" s="296"/>
      <c r="Y101" s="373"/>
      <c r="Z101" s="222">
        <f t="shared" si="4"/>
        <v>0</v>
      </c>
      <c r="AC101" s="35" t="s">
        <v>184</v>
      </c>
      <c r="AD101" s="44" t="s">
        <v>231</v>
      </c>
      <c r="AE101" s="45" t="s">
        <v>232</v>
      </c>
      <c r="AF101" s="44" t="s">
        <v>621</v>
      </c>
      <c r="AG101" s="46" t="s">
        <v>701</v>
      </c>
      <c r="AH101" s="44" t="s">
        <v>706</v>
      </c>
      <c r="AI101" s="46" t="s">
        <v>707</v>
      </c>
      <c r="AJ101" s="69" t="s">
        <v>793</v>
      </c>
      <c r="AK101" s="117">
        <v>13</v>
      </c>
      <c r="AL101" s="117">
        <v>125</v>
      </c>
      <c r="AM101" s="254"/>
      <c r="AN101" s="323" t="str">
        <f t="shared" si="7"/>
        <v/>
      </c>
      <c r="AO101" s="262"/>
      <c r="AP101" s="210" t="str">
        <f t="shared" si="8"/>
        <v/>
      </c>
      <c r="AQ101" s="214"/>
      <c r="AR101" s="210" t="s">
        <v>503</v>
      </c>
      <c r="AS101" s="262"/>
      <c r="AT101" s="214"/>
      <c r="AU101" s="254"/>
      <c r="AV101" s="254"/>
      <c r="AW101" s="254"/>
      <c r="AX101" s="254"/>
      <c r="AY101" s="254"/>
      <c r="AZ101" s="254"/>
      <c r="BA101" s="254"/>
      <c r="BB101" s="306" t="str">
        <f t="shared" si="6"/>
        <v/>
      </c>
      <c r="BC101" s="254"/>
      <c r="BD101" s="254"/>
      <c r="BE101" s="254"/>
      <c r="BF101" s="254"/>
    </row>
    <row r="102" spans="1:58" s="10" customFormat="1" ht="15.75" customHeight="1" x14ac:dyDescent="0.25">
      <c r="A102" s="113"/>
      <c r="B102" s="35" t="s">
        <v>184</v>
      </c>
      <c r="C102" s="44" t="s">
        <v>231</v>
      </c>
      <c r="D102" s="44" t="s">
        <v>232</v>
      </c>
      <c r="E102" s="44" t="s">
        <v>700</v>
      </c>
      <c r="F102" s="44" t="s">
        <v>701</v>
      </c>
      <c r="G102" s="44" t="s">
        <v>708</v>
      </c>
      <c r="H102" s="44" t="s">
        <v>709</v>
      </c>
      <c r="I102" s="360" t="str">
        <f t="shared" si="9"/>
        <v>A_PRO_CWM_TOR_08</v>
      </c>
      <c r="J102" s="44">
        <v>8</v>
      </c>
      <c r="K102" s="372">
        <v>124</v>
      </c>
      <c r="L102" s="214"/>
      <c r="M102" s="214"/>
      <c r="N102" s="214"/>
      <c r="O102" s="217"/>
      <c r="P102" s="295"/>
      <c r="Q102" s="296"/>
      <c r="R102" s="296"/>
      <c r="S102" s="296"/>
      <c r="T102" s="296"/>
      <c r="U102" s="296"/>
      <c r="V102" s="296"/>
      <c r="W102" s="321"/>
      <c r="X102" s="296"/>
      <c r="Y102" s="373"/>
      <c r="Z102" s="222">
        <f t="shared" si="4"/>
        <v>0</v>
      </c>
      <c r="AC102" s="35" t="s">
        <v>184</v>
      </c>
      <c r="AD102" s="44" t="s">
        <v>231</v>
      </c>
      <c r="AE102" s="45" t="s">
        <v>232</v>
      </c>
      <c r="AF102" s="44" t="s">
        <v>700</v>
      </c>
      <c r="AG102" s="46" t="s">
        <v>701</v>
      </c>
      <c r="AH102" s="44" t="s">
        <v>708</v>
      </c>
      <c r="AI102" s="46" t="s">
        <v>709</v>
      </c>
      <c r="AJ102" s="69" t="s">
        <v>794</v>
      </c>
      <c r="AK102" s="117">
        <v>8</v>
      </c>
      <c r="AL102" s="117">
        <v>124</v>
      </c>
      <c r="AM102" s="254"/>
      <c r="AN102" s="323" t="str">
        <f t="shared" si="7"/>
        <v/>
      </c>
      <c r="AO102" s="262"/>
      <c r="AP102" s="210" t="str">
        <f t="shared" si="8"/>
        <v/>
      </c>
      <c r="AQ102" s="214"/>
      <c r="AR102" s="210" t="s">
        <v>503</v>
      </c>
      <c r="AS102" s="262"/>
      <c r="AT102" s="214"/>
      <c r="AU102" s="254"/>
      <c r="AV102" s="254"/>
      <c r="AW102" s="254"/>
      <c r="AX102" s="254"/>
      <c r="AY102" s="254"/>
      <c r="AZ102" s="254"/>
      <c r="BA102" s="254"/>
      <c r="BB102" s="306" t="str">
        <f t="shared" si="6"/>
        <v/>
      </c>
      <c r="BC102" s="254"/>
      <c r="BD102" s="254"/>
      <c r="BE102" s="254"/>
      <c r="BF102" s="254"/>
    </row>
    <row r="103" spans="1:58" s="10" customFormat="1" ht="15.75" customHeight="1" x14ac:dyDescent="0.25">
      <c r="A103" s="113"/>
      <c r="B103" s="35" t="s">
        <v>184</v>
      </c>
      <c r="C103" s="44" t="s">
        <v>231</v>
      </c>
      <c r="D103" s="44" t="s">
        <v>232</v>
      </c>
      <c r="E103" s="44" t="s">
        <v>1</v>
      </c>
      <c r="F103" s="44" t="s">
        <v>710</v>
      </c>
      <c r="G103" s="44" t="s">
        <v>711</v>
      </c>
      <c r="H103" s="44" t="s">
        <v>712</v>
      </c>
      <c r="I103" s="360" t="str">
        <f t="shared" si="9"/>
        <v>A_PRO_FLO_DEC_05</v>
      </c>
      <c r="J103" s="44">
        <v>5</v>
      </c>
      <c r="K103" s="372">
        <v>63</v>
      </c>
      <c r="L103" s="214"/>
      <c r="M103" s="214"/>
      <c r="N103" s="214"/>
      <c r="O103" s="217"/>
      <c r="P103" s="295"/>
      <c r="Q103" s="296"/>
      <c r="R103" s="296"/>
      <c r="S103" s="296"/>
      <c r="T103" s="296"/>
      <c r="U103" s="296"/>
      <c r="V103" s="296"/>
      <c r="W103" s="321"/>
      <c r="X103" s="296"/>
      <c r="Y103" s="373"/>
      <c r="Z103" s="222">
        <f t="shared" si="4"/>
        <v>0</v>
      </c>
      <c r="AC103" s="35" t="s">
        <v>184</v>
      </c>
      <c r="AD103" s="44" t="s">
        <v>231</v>
      </c>
      <c r="AE103" s="45" t="s">
        <v>232</v>
      </c>
      <c r="AF103" s="44" t="s">
        <v>1</v>
      </c>
      <c r="AG103" s="46" t="s">
        <v>710</v>
      </c>
      <c r="AH103" s="44" t="s">
        <v>711</v>
      </c>
      <c r="AI103" s="46" t="s">
        <v>712</v>
      </c>
      <c r="AJ103" s="69" t="s">
        <v>795</v>
      </c>
      <c r="AK103" s="117">
        <v>5</v>
      </c>
      <c r="AL103" s="117">
        <v>63</v>
      </c>
      <c r="AM103" s="254"/>
      <c r="AN103" s="323" t="str">
        <f t="shared" si="7"/>
        <v/>
      </c>
      <c r="AO103" s="262"/>
      <c r="AP103" s="210" t="str">
        <f t="shared" si="8"/>
        <v/>
      </c>
      <c r="AQ103" s="214"/>
      <c r="AR103" s="210" t="s">
        <v>503</v>
      </c>
      <c r="AS103" s="262"/>
      <c r="AT103" s="214"/>
      <c r="AU103" s="254"/>
      <c r="AV103" s="254"/>
      <c r="AW103" s="254"/>
      <c r="AX103" s="254"/>
      <c r="AY103" s="254"/>
      <c r="AZ103" s="254"/>
      <c r="BA103" s="254"/>
      <c r="BB103" s="306" t="str">
        <f t="shared" si="6"/>
        <v/>
      </c>
      <c r="BC103" s="254"/>
      <c r="BD103" s="254"/>
      <c r="BE103" s="254"/>
      <c r="BF103" s="254"/>
    </row>
    <row r="104" spans="1:58" s="10" customFormat="1" ht="15.75" customHeight="1" x14ac:dyDescent="0.25">
      <c r="A104" s="113"/>
      <c r="B104" s="35" t="s">
        <v>184</v>
      </c>
      <c r="C104" s="44" t="s">
        <v>231</v>
      </c>
      <c r="D104" s="44" t="s">
        <v>232</v>
      </c>
      <c r="E104" s="44" t="s">
        <v>713</v>
      </c>
      <c r="F104" s="44" t="s">
        <v>714</v>
      </c>
      <c r="G104" s="44" t="s">
        <v>715</v>
      </c>
      <c r="H104" s="44" t="s">
        <v>716</v>
      </c>
      <c r="I104" s="360" t="str">
        <f t="shared" si="9"/>
        <v>A_PRO_GUT_BEV_12</v>
      </c>
      <c r="J104" s="44">
        <v>12</v>
      </c>
      <c r="K104" s="372">
        <v>64</v>
      </c>
      <c r="L104" s="214"/>
      <c r="M104" s="214"/>
      <c r="N104" s="214"/>
      <c r="O104" s="217"/>
      <c r="P104" s="295"/>
      <c r="Q104" s="296"/>
      <c r="R104" s="296"/>
      <c r="S104" s="296"/>
      <c r="T104" s="296"/>
      <c r="U104" s="296"/>
      <c r="V104" s="296"/>
      <c r="W104" s="321"/>
      <c r="X104" s="296"/>
      <c r="Y104" s="373"/>
      <c r="Z104" s="222">
        <f t="shared" si="4"/>
        <v>0</v>
      </c>
      <c r="AC104" s="35" t="s">
        <v>184</v>
      </c>
      <c r="AD104" s="44" t="s">
        <v>231</v>
      </c>
      <c r="AE104" s="45" t="s">
        <v>232</v>
      </c>
      <c r="AF104" s="44" t="s">
        <v>713</v>
      </c>
      <c r="AG104" s="46" t="s">
        <v>714</v>
      </c>
      <c r="AH104" s="44" t="s">
        <v>715</v>
      </c>
      <c r="AI104" s="46" t="s">
        <v>716</v>
      </c>
      <c r="AJ104" s="69" t="s">
        <v>796</v>
      </c>
      <c r="AK104" s="117">
        <v>12</v>
      </c>
      <c r="AL104" s="117">
        <v>64</v>
      </c>
      <c r="AM104" s="254"/>
      <c r="AN104" s="323" t="str">
        <f t="shared" si="7"/>
        <v/>
      </c>
      <c r="AO104" s="262"/>
      <c r="AP104" s="210" t="str">
        <f t="shared" si="8"/>
        <v/>
      </c>
      <c r="AQ104" s="214"/>
      <c r="AR104" s="210" t="s">
        <v>503</v>
      </c>
      <c r="AS104" s="262"/>
      <c r="AT104" s="214"/>
      <c r="AU104" s="254"/>
      <c r="AV104" s="254"/>
      <c r="AW104" s="254"/>
      <c r="AX104" s="254"/>
      <c r="AY104" s="254"/>
      <c r="AZ104" s="254"/>
      <c r="BA104" s="254"/>
      <c r="BB104" s="306" t="str">
        <f t="shared" si="6"/>
        <v/>
      </c>
      <c r="BC104" s="254"/>
      <c r="BD104" s="254"/>
      <c r="BE104" s="254"/>
      <c r="BF104" s="254"/>
    </row>
    <row r="105" spans="1:58" s="10" customFormat="1" ht="15.75" customHeight="1" x14ac:dyDescent="0.25">
      <c r="A105" s="113"/>
      <c r="B105" s="35" t="s">
        <v>184</v>
      </c>
      <c r="C105" s="44" t="s">
        <v>231</v>
      </c>
      <c r="D105" s="44" t="s">
        <v>232</v>
      </c>
      <c r="E105" s="44" t="s">
        <v>713</v>
      </c>
      <c r="F105" s="44" t="s">
        <v>714</v>
      </c>
      <c r="G105" s="44" t="s">
        <v>717</v>
      </c>
      <c r="H105" s="44" t="s">
        <v>718</v>
      </c>
      <c r="I105" s="360" t="str">
        <f t="shared" si="9"/>
        <v>A_PRO_GUT_COV_11</v>
      </c>
      <c r="J105" s="44">
        <v>11</v>
      </c>
      <c r="K105" s="372">
        <v>143</v>
      </c>
      <c r="L105" s="214"/>
      <c r="M105" s="214"/>
      <c r="N105" s="214"/>
      <c r="O105" s="217"/>
      <c r="P105" s="295"/>
      <c r="Q105" s="296"/>
      <c r="R105" s="296"/>
      <c r="S105" s="296"/>
      <c r="T105" s="296"/>
      <c r="U105" s="296"/>
      <c r="V105" s="296"/>
      <c r="W105" s="321"/>
      <c r="X105" s="296"/>
      <c r="Y105" s="373"/>
      <c r="Z105" s="222">
        <f t="shared" si="4"/>
        <v>0</v>
      </c>
      <c r="AC105" s="35" t="s">
        <v>184</v>
      </c>
      <c r="AD105" s="44" t="s">
        <v>231</v>
      </c>
      <c r="AE105" s="45" t="s">
        <v>232</v>
      </c>
      <c r="AF105" s="44" t="s">
        <v>713</v>
      </c>
      <c r="AG105" s="46" t="s">
        <v>714</v>
      </c>
      <c r="AH105" s="44" t="s">
        <v>717</v>
      </c>
      <c r="AI105" s="46" t="s">
        <v>718</v>
      </c>
      <c r="AJ105" s="69" t="s">
        <v>797</v>
      </c>
      <c r="AK105" s="117">
        <v>11</v>
      </c>
      <c r="AL105" s="117">
        <v>143</v>
      </c>
      <c r="AM105" s="254"/>
      <c r="AN105" s="323" t="str">
        <f t="shared" si="7"/>
        <v/>
      </c>
      <c r="AO105" s="262"/>
      <c r="AP105" s="210" t="str">
        <f t="shared" si="8"/>
        <v/>
      </c>
      <c r="AQ105" s="214"/>
      <c r="AR105" s="210" t="s">
        <v>503</v>
      </c>
      <c r="AS105" s="262"/>
      <c r="AT105" s="214"/>
      <c r="AU105" s="254"/>
      <c r="AV105" s="254"/>
      <c r="AW105" s="254"/>
      <c r="AX105" s="254"/>
      <c r="AY105" s="254"/>
      <c r="AZ105" s="254"/>
      <c r="BA105" s="254"/>
      <c r="BB105" s="306" t="str">
        <f t="shared" si="6"/>
        <v/>
      </c>
      <c r="BC105" s="254"/>
      <c r="BD105" s="254"/>
      <c r="BE105" s="254"/>
      <c r="BF105" s="254"/>
    </row>
    <row r="106" spans="1:58" s="10" customFormat="1" ht="15.75" customHeight="1" x14ac:dyDescent="0.25">
      <c r="A106" s="113"/>
      <c r="B106" s="35" t="s">
        <v>184</v>
      </c>
      <c r="C106" s="44" t="s">
        <v>231</v>
      </c>
      <c r="D106" s="44" t="s">
        <v>232</v>
      </c>
      <c r="E106" s="44" t="s">
        <v>719</v>
      </c>
      <c r="F106" s="44" t="s">
        <v>720</v>
      </c>
      <c r="G106" s="44" t="s">
        <v>234</v>
      </c>
      <c r="H106" s="44" t="s">
        <v>235</v>
      </c>
      <c r="I106" s="360" t="str">
        <f t="shared" si="9"/>
        <v>A_PRO_NOS_RAD_01</v>
      </c>
      <c r="J106" s="44">
        <v>1</v>
      </c>
      <c r="K106" s="372">
        <v>67</v>
      </c>
      <c r="L106" s="214"/>
      <c r="M106" s="214"/>
      <c r="N106" s="214"/>
      <c r="O106" s="217"/>
      <c r="P106" s="295"/>
      <c r="Q106" s="296"/>
      <c r="R106" s="296"/>
      <c r="S106" s="296"/>
      <c r="T106" s="296"/>
      <c r="U106" s="296"/>
      <c r="V106" s="296"/>
      <c r="W106" s="321"/>
      <c r="X106" s="296"/>
      <c r="Y106" s="373"/>
      <c r="Z106" s="222">
        <f t="shared" si="4"/>
        <v>0</v>
      </c>
      <c r="AC106" s="35" t="s">
        <v>184</v>
      </c>
      <c r="AD106" s="44" t="s">
        <v>231</v>
      </c>
      <c r="AE106" s="45" t="s">
        <v>232</v>
      </c>
      <c r="AF106" s="44" t="s">
        <v>719</v>
      </c>
      <c r="AG106" s="46" t="s">
        <v>720</v>
      </c>
      <c r="AH106" s="44" t="s">
        <v>234</v>
      </c>
      <c r="AI106" s="46" t="s">
        <v>235</v>
      </c>
      <c r="AJ106" s="69" t="s">
        <v>798</v>
      </c>
      <c r="AK106" s="117">
        <v>1</v>
      </c>
      <c r="AL106" s="117">
        <v>67</v>
      </c>
      <c r="AM106" s="254"/>
      <c r="AN106" s="323" t="str">
        <f t="shared" si="7"/>
        <v/>
      </c>
      <c r="AO106" s="262"/>
      <c r="AP106" s="210" t="str">
        <f t="shared" si="8"/>
        <v/>
      </c>
      <c r="AQ106" s="214"/>
      <c r="AR106" s="210" t="s">
        <v>503</v>
      </c>
      <c r="AS106" s="262"/>
      <c r="AT106" s="214"/>
      <c r="AU106" s="254"/>
      <c r="AV106" s="254"/>
      <c r="AW106" s="254"/>
      <c r="AX106" s="254"/>
      <c r="AY106" s="254"/>
      <c r="AZ106" s="254"/>
      <c r="BA106" s="254"/>
      <c r="BB106" s="306" t="str">
        <f t="shared" si="6"/>
        <v/>
      </c>
      <c r="BC106" s="254"/>
      <c r="BD106" s="254"/>
      <c r="BE106" s="254"/>
      <c r="BF106" s="254"/>
    </row>
    <row r="107" spans="1:58" s="10" customFormat="1" ht="15.75" customHeight="1" x14ac:dyDescent="0.25">
      <c r="A107" s="113"/>
      <c r="B107" s="35" t="s">
        <v>184</v>
      </c>
      <c r="C107" s="44" t="s">
        <v>14</v>
      </c>
      <c r="D107" s="44" t="s">
        <v>112</v>
      </c>
      <c r="E107" s="44" t="s">
        <v>96</v>
      </c>
      <c r="F107" s="44" t="s">
        <v>97</v>
      </c>
      <c r="G107" s="44" t="s">
        <v>100</v>
      </c>
      <c r="H107" s="44" t="s">
        <v>93</v>
      </c>
      <c r="I107" s="360" t="str">
        <f t="shared" si="9"/>
        <v>A_ROO_CGR_CTI_01</v>
      </c>
      <c r="J107" s="44">
        <v>1</v>
      </c>
      <c r="K107" s="372">
        <v>134</v>
      </c>
      <c r="L107" s="214"/>
      <c r="M107" s="214"/>
      <c r="N107" s="214"/>
      <c r="O107" s="217"/>
      <c r="P107" s="295"/>
      <c r="Q107" s="296"/>
      <c r="R107" s="296"/>
      <c r="S107" s="296"/>
      <c r="T107" s="296"/>
      <c r="U107" s="296"/>
      <c r="V107" s="296"/>
      <c r="W107" s="321"/>
      <c r="X107" s="296"/>
      <c r="Y107" s="373"/>
      <c r="Z107" s="222">
        <f t="shared" si="4"/>
        <v>0</v>
      </c>
      <c r="AC107" s="35" t="s">
        <v>184</v>
      </c>
      <c r="AD107" s="44" t="s">
        <v>14</v>
      </c>
      <c r="AE107" s="45" t="s">
        <v>112</v>
      </c>
      <c r="AF107" s="44" t="s">
        <v>96</v>
      </c>
      <c r="AG107" s="46" t="s">
        <v>97</v>
      </c>
      <c r="AH107" s="44" t="s">
        <v>100</v>
      </c>
      <c r="AI107" s="46" t="s">
        <v>93</v>
      </c>
      <c r="AJ107" s="69" t="s">
        <v>291</v>
      </c>
      <c r="AK107" s="117">
        <v>1</v>
      </c>
      <c r="AL107" s="117">
        <v>134</v>
      </c>
      <c r="AM107" s="254"/>
      <c r="AN107" s="323" t="str">
        <f t="shared" si="7"/>
        <v/>
      </c>
      <c r="AO107" s="262"/>
      <c r="AP107" s="210" t="str">
        <f t="shared" si="8"/>
        <v/>
      </c>
      <c r="AQ107" s="214"/>
      <c r="AR107" s="210" t="s">
        <v>503</v>
      </c>
      <c r="AS107" s="262"/>
      <c r="AT107" s="214"/>
      <c r="AU107" s="254"/>
      <c r="AV107" s="254"/>
      <c r="AW107" s="254"/>
      <c r="AX107" s="254"/>
      <c r="AY107" s="254"/>
      <c r="AZ107" s="254"/>
      <c r="BA107" s="254"/>
      <c r="BB107" s="306" t="str">
        <f t="shared" si="6"/>
        <v/>
      </c>
      <c r="BC107" s="254"/>
      <c r="BD107" s="254"/>
      <c r="BE107" s="254"/>
      <c r="BF107" s="254"/>
    </row>
    <row r="108" spans="1:58" s="10" customFormat="1" ht="15.75" customHeight="1" x14ac:dyDescent="0.25">
      <c r="A108" s="113"/>
      <c r="B108" s="35" t="s">
        <v>184</v>
      </c>
      <c r="C108" s="44" t="s">
        <v>14</v>
      </c>
      <c r="D108" s="44" t="s">
        <v>112</v>
      </c>
      <c r="E108" s="44" t="s">
        <v>98</v>
      </c>
      <c r="F108" s="44" t="s">
        <v>99</v>
      </c>
      <c r="G108" s="44" t="s">
        <v>101</v>
      </c>
      <c r="H108" s="44" t="s">
        <v>102</v>
      </c>
      <c r="I108" s="360" t="str">
        <f t="shared" si="9"/>
        <v>A_ROO_HRO_TOL_02</v>
      </c>
      <c r="J108" s="44">
        <v>2</v>
      </c>
      <c r="K108" s="372">
        <v>66</v>
      </c>
      <c r="L108" s="214"/>
      <c r="M108" s="214"/>
      <c r="N108" s="214"/>
      <c r="O108" s="217"/>
      <c r="P108" s="295"/>
      <c r="Q108" s="296"/>
      <c r="R108" s="296"/>
      <c r="S108" s="296"/>
      <c r="T108" s="296"/>
      <c r="U108" s="296"/>
      <c r="V108" s="296"/>
      <c r="W108" s="321"/>
      <c r="X108" s="296"/>
      <c r="Y108" s="373"/>
      <c r="Z108" s="222">
        <f t="shared" si="4"/>
        <v>0</v>
      </c>
      <c r="AC108" s="35" t="s">
        <v>184</v>
      </c>
      <c r="AD108" s="44" t="s">
        <v>14</v>
      </c>
      <c r="AE108" s="45" t="s">
        <v>112</v>
      </c>
      <c r="AF108" s="44" t="s">
        <v>98</v>
      </c>
      <c r="AG108" s="46" t="s">
        <v>99</v>
      </c>
      <c r="AH108" s="44" t="s">
        <v>101</v>
      </c>
      <c r="AI108" s="46" t="s">
        <v>102</v>
      </c>
      <c r="AJ108" s="69" t="s">
        <v>292</v>
      </c>
      <c r="AK108" s="117">
        <v>2</v>
      </c>
      <c r="AL108" s="117">
        <v>66</v>
      </c>
      <c r="AM108" s="254"/>
      <c r="AN108" s="323" t="str">
        <f t="shared" si="7"/>
        <v/>
      </c>
      <c r="AO108" s="262"/>
      <c r="AP108" s="210" t="str">
        <f t="shared" si="8"/>
        <v/>
      </c>
      <c r="AQ108" s="214"/>
      <c r="AR108" s="210" t="s">
        <v>503</v>
      </c>
      <c r="AS108" s="262"/>
      <c r="AT108" s="214"/>
      <c r="AU108" s="254"/>
      <c r="AV108" s="254"/>
      <c r="AW108" s="254"/>
      <c r="AX108" s="254"/>
      <c r="AY108" s="254"/>
      <c r="AZ108" s="254"/>
      <c r="BA108" s="254"/>
      <c r="BB108" s="306" t="str">
        <f t="shared" si="6"/>
        <v/>
      </c>
      <c r="BC108" s="254"/>
      <c r="BD108" s="254"/>
      <c r="BE108" s="254"/>
      <c r="BF108" s="254"/>
    </row>
    <row r="109" spans="1:58" s="10" customFormat="1" ht="15.75" customHeight="1" x14ac:dyDescent="0.25">
      <c r="A109" s="113"/>
      <c r="B109" s="35" t="s">
        <v>184</v>
      </c>
      <c r="C109" s="44" t="s">
        <v>215</v>
      </c>
      <c r="D109" s="44" t="s">
        <v>721</v>
      </c>
      <c r="E109" s="44" t="s">
        <v>722</v>
      </c>
      <c r="F109" s="44" t="s">
        <v>723</v>
      </c>
      <c r="G109" s="44" t="s">
        <v>724</v>
      </c>
      <c r="H109" s="44" t="s">
        <v>725</v>
      </c>
      <c r="I109" s="360" t="str">
        <f t="shared" si="9"/>
        <v>A_SUP_CIR_MEL_01</v>
      </c>
      <c r="J109" s="44">
        <v>1</v>
      </c>
      <c r="K109" s="372">
        <v>75</v>
      </c>
      <c r="L109" s="214"/>
      <c r="M109" s="214"/>
      <c r="N109" s="214"/>
      <c r="O109" s="217"/>
      <c r="P109" s="295"/>
      <c r="Q109" s="296"/>
      <c r="R109" s="296"/>
      <c r="S109" s="296"/>
      <c r="T109" s="296"/>
      <c r="U109" s="296"/>
      <c r="V109" s="296"/>
      <c r="W109" s="321"/>
      <c r="X109" s="296"/>
      <c r="Y109" s="373"/>
      <c r="Z109" s="222">
        <f t="shared" si="4"/>
        <v>0</v>
      </c>
      <c r="AC109" s="35" t="s">
        <v>184</v>
      </c>
      <c r="AD109" s="44" t="s">
        <v>215</v>
      </c>
      <c r="AE109" s="45" t="s">
        <v>721</v>
      </c>
      <c r="AF109" s="44" t="s">
        <v>722</v>
      </c>
      <c r="AG109" s="46" t="s">
        <v>723</v>
      </c>
      <c r="AH109" s="44" t="s">
        <v>724</v>
      </c>
      <c r="AI109" s="46" t="s">
        <v>725</v>
      </c>
      <c r="AJ109" s="69" t="s">
        <v>799</v>
      </c>
      <c r="AK109" s="117">
        <v>1</v>
      </c>
      <c r="AL109" s="117">
        <v>75</v>
      </c>
      <c r="AM109" s="254"/>
      <c r="AN109" s="323" t="str">
        <f t="shared" si="7"/>
        <v/>
      </c>
      <c r="AO109" s="262"/>
      <c r="AP109" s="210" t="str">
        <f t="shared" si="8"/>
        <v/>
      </c>
      <c r="AQ109" s="214"/>
      <c r="AR109" s="210" t="s">
        <v>503</v>
      </c>
      <c r="AS109" s="262"/>
      <c r="AT109" s="214"/>
      <c r="AU109" s="254"/>
      <c r="AV109" s="254"/>
      <c r="AW109" s="254"/>
      <c r="AX109" s="254"/>
      <c r="AY109" s="254"/>
      <c r="AZ109" s="254"/>
      <c r="BA109" s="254"/>
      <c r="BB109" s="306" t="str">
        <f t="shared" si="6"/>
        <v/>
      </c>
      <c r="BC109" s="254"/>
      <c r="BD109" s="254"/>
      <c r="BE109" s="254"/>
      <c r="BF109" s="254"/>
    </row>
    <row r="110" spans="1:58" s="10" customFormat="1" ht="15.75" customHeight="1" x14ac:dyDescent="0.25">
      <c r="A110" s="113"/>
      <c r="B110" s="35" t="s">
        <v>184</v>
      </c>
      <c r="C110" s="44" t="s">
        <v>216</v>
      </c>
      <c r="D110" s="44" t="s">
        <v>726</v>
      </c>
      <c r="E110" s="44" t="s">
        <v>19</v>
      </c>
      <c r="F110" s="44" t="s">
        <v>20</v>
      </c>
      <c r="G110" s="44" t="s">
        <v>30</v>
      </c>
      <c r="H110" s="44" t="s">
        <v>31</v>
      </c>
      <c r="I110" s="360" t="str">
        <f t="shared" si="9"/>
        <v>A_TER_REC_WOO_01</v>
      </c>
      <c r="J110" s="44">
        <v>1</v>
      </c>
      <c r="K110" s="372">
        <v>68</v>
      </c>
      <c r="L110" s="214"/>
      <c r="M110" s="214"/>
      <c r="N110" s="214"/>
      <c r="O110" s="217"/>
      <c r="P110" s="295"/>
      <c r="Q110" s="296"/>
      <c r="R110" s="296"/>
      <c r="S110" s="296"/>
      <c r="T110" s="296"/>
      <c r="U110" s="296"/>
      <c r="V110" s="296"/>
      <c r="W110" s="321"/>
      <c r="X110" s="296"/>
      <c r="Y110" s="373"/>
      <c r="Z110" s="222">
        <f t="shared" si="4"/>
        <v>0</v>
      </c>
      <c r="AC110" s="35" t="s">
        <v>184</v>
      </c>
      <c r="AD110" s="44" t="s">
        <v>216</v>
      </c>
      <c r="AE110" s="45" t="s">
        <v>726</v>
      </c>
      <c r="AF110" s="44" t="s">
        <v>19</v>
      </c>
      <c r="AG110" s="46" t="s">
        <v>20</v>
      </c>
      <c r="AH110" s="44" t="s">
        <v>30</v>
      </c>
      <c r="AI110" s="46" t="s">
        <v>31</v>
      </c>
      <c r="AJ110" s="69" t="s">
        <v>800</v>
      </c>
      <c r="AK110" s="117">
        <v>1</v>
      </c>
      <c r="AL110" s="117">
        <v>68</v>
      </c>
      <c r="AM110" s="254"/>
      <c r="AN110" s="323" t="str">
        <f t="shared" si="7"/>
        <v/>
      </c>
      <c r="AO110" s="262"/>
      <c r="AP110" s="210" t="str">
        <f t="shared" si="8"/>
        <v/>
      </c>
      <c r="AQ110" s="214"/>
      <c r="AR110" s="210" t="s">
        <v>503</v>
      </c>
      <c r="AS110" s="262"/>
      <c r="AT110" s="214"/>
      <c r="AU110" s="254"/>
      <c r="AV110" s="254"/>
      <c r="AW110" s="254"/>
      <c r="AX110" s="254"/>
      <c r="AY110" s="254"/>
      <c r="AZ110" s="254"/>
      <c r="BA110" s="254"/>
      <c r="BB110" s="306" t="str">
        <f t="shared" si="6"/>
        <v/>
      </c>
      <c r="BC110" s="254"/>
      <c r="BD110" s="254"/>
      <c r="BE110" s="254"/>
      <c r="BF110" s="254"/>
    </row>
    <row r="111" spans="1:58" s="10" customFormat="1" ht="15.75" customHeight="1" x14ac:dyDescent="0.25">
      <c r="A111" s="113"/>
      <c r="B111" s="35" t="s">
        <v>184</v>
      </c>
      <c r="C111" s="44" t="s">
        <v>225</v>
      </c>
      <c r="D111" s="44" t="s">
        <v>33</v>
      </c>
      <c r="E111" s="44" t="s">
        <v>226</v>
      </c>
      <c r="F111" s="44" t="s">
        <v>227</v>
      </c>
      <c r="G111" s="44" t="s">
        <v>506</v>
      </c>
      <c r="H111" s="44" t="s">
        <v>507</v>
      </c>
      <c r="I111" s="360" t="str">
        <f t="shared" si="9"/>
        <v>A_WIN_AWN_SIN_02</v>
      </c>
      <c r="J111" s="44">
        <v>2</v>
      </c>
      <c r="K111" s="372">
        <v>130</v>
      </c>
      <c r="L111" s="214"/>
      <c r="M111" s="214"/>
      <c r="N111" s="214"/>
      <c r="O111" s="217"/>
      <c r="P111" s="295"/>
      <c r="Q111" s="296"/>
      <c r="R111" s="296"/>
      <c r="S111" s="296"/>
      <c r="T111" s="296"/>
      <c r="U111" s="296"/>
      <c r="V111" s="296"/>
      <c r="W111" s="321"/>
      <c r="X111" s="296"/>
      <c r="Y111" s="373"/>
      <c r="Z111" s="222">
        <f t="shared" si="4"/>
        <v>0</v>
      </c>
      <c r="AC111" s="35" t="s">
        <v>184</v>
      </c>
      <c r="AD111" s="44" t="s">
        <v>225</v>
      </c>
      <c r="AE111" s="45" t="s">
        <v>33</v>
      </c>
      <c r="AF111" s="44" t="s">
        <v>226</v>
      </c>
      <c r="AG111" s="46" t="s">
        <v>227</v>
      </c>
      <c r="AH111" s="44" t="s">
        <v>506</v>
      </c>
      <c r="AI111" s="46" t="s">
        <v>507</v>
      </c>
      <c r="AJ111" s="69" t="s">
        <v>801</v>
      </c>
      <c r="AK111" s="117">
        <v>2</v>
      </c>
      <c r="AL111" s="117">
        <v>130</v>
      </c>
      <c r="AM111" s="254"/>
      <c r="AN111" s="323" t="str">
        <f t="shared" si="7"/>
        <v/>
      </c>
      <c r="AO111" s="262"/>
      <c r="AP111" s="210" t="str">
        <f t="shared" si="8"/>
        <v/>
      </c>
      <c r="AQ111" s="214"/>
      <c r="AR111" s="210" t="s">
        <v>503</v>
      </c>
      <c r="AS111" s="262"/>
      <c r="AT111" s="214"/>
      <c r="AU111" s="254"/>
      <c r="AV111" s="254"/>
      <c r="AW111" s="254"/>
      <c r="AX111" s="254"/>
      <c r="AY111" s="254"/>
      <c r="AZ111" s="254"/>
      <c r="BA111" s="254"/>
      <c r="BB111" s="306" t="str">
        <f t="shared" si="6"/>
        <v/>
      </c>
      <c r="BC111" s="254"/>
      <c r="BD111" s="254"/>
      <c r="BE111" s="254"/>
      <c r="BF111" s="254"/>
    </row>
    <row r="112" spans="1:58" s="10" customFormat="1" ht="15.75" customHeight="1" x14ac:dyDescent="0.25">
      <c r="A112" s="113"/>
      <c r="B112" s="35" t="s">
        <v>184</v>
      </c>
      <c r="C112" s="44" t="s">
        <v>225</v>
      </c>
      <c r="D112" s="44" t="s">
        <v>33</v>
      </c>
      <c r="E112" s="44" t="s">
        <v>226</v>
      </c>
      <c r="F112" s="44" t="s">
        <v>227</v>
      </c>
      <c r="G112" s="44" t="s">
        <v>729</v>
      </c>
      <c r="H112" s="44" t="s">
        <v>730</v>
      </c>
      <c r="I112" s="360" t="str">
        <f t="shared" si="9"/>
        <v>A_WIN_AWN_VAR_06</v>
      </c>
      <c r="J112" s="44">
        <v>6</v>
      </c>
      <c r="K112" s="372">
        <v>133</v>
      </c>
      <c r="L112" s="214"/>
      <c r="M112" s="214"/>
      <c r="N112" s="214"/>
      <c r="O112" s="217"/>
      <c r="P112" s="295"/>
      <c r="Q112" s="296"/>
      <c r="R112" s="296"/>
      <c r="S112" s="296"/>
      <c r="T112" s="296"/>
      <c r="U112" s="296"/>
      <c r="V112" s="296"/>
      <c r="W112" s="321"/>
      <c r="X112" s="296"/>
      <c r="Y112" s="373"/>
      <c r="Z112" s="222">
        <f t="shared" si="4"/>
        <v>0</v>
      </c>
      <c r="AC112" s="35" t="s">
        <v>184</v>
      </c>
      <c r="AD112" s="44" t="s">
        <v>225</v>
      </c>
      <c r="AE112" s="45" t="s">
        <v>33</v>
      </c>
      <c r="AF112" s="44" t="s">
        <v>226</v>
      </c>
      <c r="AG112" s="46" t="s">
        <v>227</v>
      </c>
      <c r="AH112" s="44" t="s">
        <v>729</v>
      </c>
      <c r="AI112" s="46" t="s">
        <v>730</v>
      </c>
      <c r="AJ112" s="69" t="s">
        <v>802</v>
      </c>
      <c r="AK112" s="117">
        <v>6</v>
      </c>
      <c r="AL112" s="117">
        <v>133</v>
      </c>
      <c r="AM112" s="254"/>
      <c r="AN112" s="323" t="str">
        <f t="shared" si="7"/>
        <v/>
      </c>
      <c r="AO112" s="262"/>
      <c r="AP112" s="210" t="str">
        <f t="shared" si="8"/>
        <v/>
      </c>
      <c r="AQ112" s="214"/>
      <c r="AR112" s="210" t="s">
        <v>503</v>
      </c>
      <c r="AS112" s="262"/>
      <c r="AT112" s="214"/>
      <c r="AU112" s="254"/>
      <c r="AV112" s="254"/>
      <c r="AW112" s="254"/>
      <c r="AX112" s="254"/>
      <c r="AY112" s="254"/>
      <c r="AZ112" s="254"/>
      <c r="BA112" s="254"/>
      <c r="BB112" s="306" t="str">
        <f t="shared" si="6"/>
        <v/>
      </c>
      <c r="BC112" s="254"/>
      <c r="BD112" s="254"/>
      <c r="BE112" s="254"/>
      <c r="BF112" s="254"/>
    </row>
    <row r="113" spans="1:58" s="10" customFormat="1" ht="15.75" customHeight="1" x14ac:dyDescent="0.25">
      <c r="A113" s="113"/>
      <c r="B113" s="35" t="s">
        <v>184</v>
      </c>
      <c r="C113" s="44" t="s">
        <v>225</v>
      </c>
      <c r="D113" s="44" t="s">
        <v>33</v>
      </c>
      <c r="E113" s="44" t="s">
        <v>731</v>
      </c>
      <c r="F113" s="44" t="s">
        <v>732</v>
      </c>
      <c r="G113" s="44" t="s">
        <v>733</v>
      </c>
      <c r="H113" s="44" t="s">
        <v>734</v>
      </c>
      <c r="I113" s="360" t="str">
        <f t="shared" si="9"/>
        <v>A_WIN_BAY_10A_12</v>
      </c>
      <c r="J113" s="44">
        <v>12</v>
      </c>
      <c r="K113" s="372">
        <v>72</v>
      </c>
      <c r="L113" s="214"/>
      <c r="M113" s="214"/>
      <c r="N113" s="214"/>
      <c r="O113" s="217"/>
      <c r="P113" s="295"/>
      <c r="Q113" s="296"/>
      <c r="R113" s="296"/>
      <c r="S113" s="296"/>
      <c r="T113" s="296"/>
      <c r="U113" s="296"/>
      <c r="V113" s="296"/>
      <c r="W113" s="321"/>
      <c r="X113" s="296"/>
      <c r="Y113" s="373"/>
      <c r="Z113" s="222">
        <f t="shared" si="4"/>
        <v>0</v>
      </c>
      <c r="AC113" s="35" t="s">
        <v>184</v>
      </c>
      <c r="AD113" s="44" t="s">
        <v>225</v>
      </c>
      <c r="AE113" s="45" t="s">
        <v>33</v>
      </c>
      <c r="AF113" s="44" t="s">
        <v>731</v>
      </c>
      <c r="AG113" s="46" t="s">
        <v>732</v>
      </c>
      <c r="AH113" s="44" t="s">
        <v>733</v>
      </c>
      <c r="AI113" s="46" t="s">
        <v>734</v>
      </c>
      <c r="AJ113" s="69" t="s">
        <v>803</v>
      </c>
      <c r="AK113" s="117">
        <v>12</v>
      </c>
      <c r="AL113" s="117">
        <v>72</v>
      </c>
      <c r="AM113" s="254"/>
      <c r="AN113" s="323" t="str">
        <f t="shared" si="7"/>
        <v/>
      </c>
      <c r="AO113" s="262"/>
      <c r="AP113" s="210" t="str">
        <f t="shared" si="8"/>
        <v/>
      </c>
      <c r="AQ113" s="214"/>
      <c r="AR113" s="210" t="s">
        <v>503</v>
      </c>
      <c r="AS113" s="262"/>
      <c r="AT113" s="214"/>
      <c r="AU113" s="254"/>
      <c r="AV113" s="254"/>
      <c r="AW113" s="254"/>
      <c r="AX113" s="254"/>
      <c r="AY113" s="254"/>
      <c r="AZ113" s="254"/>
      <c r="BA113" s="254"/>
      <c r="BB113" s="306" t="str">
        <f t="shared" si="6"/>
        <v/>
      </c>
      <c r="BC113" s="254"/>
      <c r="BD113" s="254"/>
      <c r="BE113" s="254"/>
      <c r="BF113" s="254"/>
    </row>
    <row r="114" spans="1:58" s="10" customFormat="1" ht="15.75" customHeight="1" x14ac:dyDescent="0.25">
      <c r="A114" s="113"/>
      <c r="B114" s="35" t="s">
        <v>184</v>
      </c>
      <c r="C114" s="44" t="s">
        <v>225</v>
      </c>
      <c r="D114" s="44" t="s">
        <v>33</v>
      </c>
      <c r="E114" s="44" t="s">
        <v>731</v>
      </c>
      <c r="F114" s="44" t="s">
        <v>732</v>
      </c>
      <c r="G114" s="44" t="s">
        <v>735</v>
      </c>
      <c r="H114" s="44" t="s">
        <v>736</v>
      </c>
      <c r="I114" s="360" t="str">
        <f t="shared" si="9"/>
        <v>A_WIN_BAY_30A_13</v>
      </c>
      <c r="J114" s="44">
        <v>13</v>
      </c>
      <c r="K114" s="372">
        <v>70</v>
      </c>
      <c r="L114" s="214"/>
      <c r="M114" s="214"/>
      <c r="N114" s="214"/>
      <c r="O114" s="217"/>
      <c r="P114" s="295"/>
      <c r="Q114" s="296"/>
      <c r="R114" s="296"/>
      <c r="S114" s="296"/>
      <c r="T114" s="296"/>
      <c r="U114" s="296"/>
      <c r="V114" s="296"/>
      <c r="W114" s="321"/>
      <c r="X114" s="296"/>
      <c r="Y114" s="373"/>
      <c r="Z114" s="222">
        <f t="shared" ref="Z114:Z174" si="10">X114*1</f>
        <v>0</v>
      </c>
      <c r="AC114" s="35" t="s">
        <v>184</v>
      </c>
      <c r="AD114" s="44" t="s">
        <v>225</v>
      </c>
      <c r="AE114" s="45" t="s">
        <v>33</v>
      </c>
      <c r="AF114" s="44" t="s">
        <v>731</v>
      </c>
      <c r="AG114" s="46" t="s">
        <v>732</v>
      </c>
      <c r="AH114" s="44" t="s">
        <v>735</v>
      </c>
      <c r="AI114" s="46" t="s">
        <v>736</v>
      </c>
      <c r="AJ114" s="69" t="s">
        <v>804</v>
      </c>
      <c r="AK114" s="117">
        <v>13</v>
      </c>
      <c r="AL114" s="117">
        <v>70</v>
      </c>
      <c r="AM114" s="254"/>
      <c r="AN114" s="323" t="str">
        <f t="shared" si="7"/>
        <v/>
      </c>
      <c r="AO114" s="262"/>
      <c r="AP114" s="210" t="str">
        <f t="shared" ref="AP114:AP177" si="11">IF(AN114="","",AN114)</f>
        <v/>
      </c>
      <c r="AQ114" s="214"/>
      <c r="AR114" s="210" t="s">
        <v>503</v>
      </c>
      <c r="AS114" s="262"/>
      <c r="AT114" s="214"/>
      <c r="AU114" s="254"/>
      <c r="AV114" s="254"/>
      <c r="AW114" s="254"/>
      <c r="AX114" s="254"/>
      <c r="AY114" s="254"/>
      <c r="AZ114" s="254"/>
      <c r="BA114" s="254"/>
      <c r="BB114" s="306" t="str">
        <f t="shared" si="6"/>
        <v/>
      </c>
      <c r="BC114" s="254"/>
      <c r="BD114" s="254"/>
      <c r="BE114" s="254"/>
      <c r="BF114" s="254"/>
    </row>
    <row r="115" spans="1:58" s="10" customFormat="1" ht="15.75" customHeight="1" x14ac:dyDescent="0.25">
      <c r="A115" s="113"/>
      <c r="B115" s="35" t="s">
        <v>184</v>
      </c>
      <c r="C115" s="44" t="s">
        <v>225</v>
      </c>
      <c r="D115" s="44" t="s">
        <v>33</v>
      </c>
      <c r="E115" s="44" t="s">
        <v>731</v>
      </c>
      <c r="F115" s="44" t="s">
        <v>732</v>
      </c>
      <c r="G115" s="44" t="s">
        <v>737</v>
      </c>
      <c r="H115" s="44" t="s">
        <v>738</v>
      </c>
      <c r="I115" s="360" t="str">
        <f t="shared" si="9"/>
        <v>A_WIN_BAY_45A_14</v>
      </c>
      <c r="J115" s="44">
        <v>14</v>
      </c>
      <c r="K115" s="372">
        <v>71</v>
      </c>
      <c r="L115" s="214"/>
      <c r="M115" s="214"/>
      <c r="N115" s="214"/>
      <c r="O115" s="217"/>
      <c r="P115" s="295"/>
      <c r="Q115" s="296"/>
      <c r="R115" s="296"/>
      <c r="S115" s="296"/>
      <c r="T115" s="296"/>
      <c r="U115" s="296"/>
      <c r="V115" s="296"/>
      <c r="W115" s="321"/>
      <c r="X115" s="296"/>
      <c r="Y115" s="373"/>
      <c r="Z115" s="222">
        <f t="shared" si="10"/>
        <v>0</v>
      </c>
      <c r="AC115" s="35" t="s">
        <v>184</v>
      </c>
      <c r="AD115" s="44" t="s">
        <v>225</v>
      </c>
      <c r="AE115" s="45" t="s">
        <v>33</v>
      </c>
      <c r="AF115" s="44" t="s">
        <v>731</v>
      </c>
      <c r="AG115" s="46" t="s">
        <v>732</v>
      </c>
      <c r="AH115" s="44" t="s">
        <v>737</v>
      </c>
      <c r="AI115" s="46" t="s">
        <v>738</v>
      </c>
      <c r="AJ115" s="69" t="s">
        <v>805</v>
      </c>
      <c r="AK115" s="117">
        <v>14</v>
      </c>
      <c r="AL115" s="117">
        <v>71</v>
      </c>
      <c r="AM115" s="254"/>
      <c r="AN115" s="323" t="str">
        <f t="shared" si="7"/>
        <v/>
      </c>
      <c r="AO115" s="262"/>
      <c r="AP115" s="210" t="str">
        <f t="shared" si="11"/>
        <v/>
      </c>
      <c r="AQ115" s="214"/>
      <c r="AR115" s="210" t="s">
        <v>503</v>
      </c>
      <c r="AS115" s="262"/>
      <c r="AT115" s="214"/>
      <c r="AU115" s="254"/>
      <c r="AV115" s="254"/>
      <c r="AW115" s="254"/>
      <c r="AX115" s="254"/>
      <c r="AY115" s="254"/>
      <c r="AZ115" s="254"/>
      <c r="BA115" s="254"/>
      <c r="BB115" s="306" t="str">
        <f t="shared" si="6"/>
        <v/>
      </c>
      <c r="BC115" s="254"/>
      <c r="BD115" s="254"/>
      <c r="BE115" s="254"/>
      <c r="BF115" s="254"/>
    </row>
    <row r="116" spans="1:58" s="10" customFormat="1" ht="15.75" customHeight="1" x14ac:dyDescent="0.25">
      <c r="A116" s="113"/>
      <c r="B116" s="35" t="s">
        <v>184</v>
      </c>
      <c r="C116" s="44" t="s">
        <v>225</v>
      </c>
      <c r="D116" s="44" t="s">
        <v>33</v>
      </c>
      <c r="E116" s="44" t="s">
        <v>739</v>
      </c>
      <c r="F116" s="44" t="s">
        <v>740</v>
      </c>
      <c r="G116" s="44" t="s">
        <v>733</v>
      </c>
      <c r="H116" s="44" t="s">
        <v>734</v>
      </c>
      <c r="I116" s="360" t="str">
        <f t="shared" si="9"/>
        <v>A_WIN_BOW_10A_15</v>
      </c>
      <c r="J116" s="44">
        <v>15</v>
      </c>
      <c r="K116" s="372">
        <v>126</v>
      </c>
      <c r="L116" s="214"/>
      <c r="M116" s="214"/>
      <c r="N116" s="214"/>
      <c r="O116" s="217"/>
      <c r="P116" s="295"/>
      <c r="Q116" s="296"/>
      <c r="R116" s="296"/>
      <c r="S116" s="296"/>
      <c r="T116" s="296"/>
      <c r="U116" s="296"/>
      <c r="V116" s="296"/>
      <c r="W116" s="321"/>
      <c r="X116" s="296"/>
      <c r="Y116" s="373"/>
      <c r="Z116" s="222">
        <f t="shared" si="10"/>
        <v>0</v>
      </c>
      <c r="AC116" s="35" t="s">
        <v>184</v>
      </c>
      <c r="AD116" s="44" t="s">
        <v>225</v>
      </c>
      <c r="AE116" s="45" t="s">
        <v>33</v>
      </c>
      <c r="AF116" s="44" t="s">
        <v>739</v>
      </c>
      <c r="AG116" s="46" t="s">
        <v>740</v>
      </c>
      <c r="AH116" s="44" t="s">
        <v>733</v>
      </c>
      <c r="AI116" s="46" t="s">
        <v>734</v>
      </c>
      <c r="AJ116" s="69" t="s">
        <v>806</v>
      </c>
      <c r="AK116" s="117">
        <v>15</v>
      </c>
      <c r="AL116" s="117">
        <v>126</v>
      </c>
      <c r="AM116" s="254"/>
      <c r="AN116" s="323" t="str">
        <f t="shared" si="7"/>
        <v/>
      </c>
      <c r="AO116" s="262"/>
      <c r="AP116" s="210" t="str">
        <f t="shared" si="11"/>
        <v/>
      </c>
      <c r="AQ116" s="214"/>
      <c r="AR116" s="210" t="s">
        <v>503</v>
      </c>
      <c r="AS116" s="262"/>
      <c r="AT116" s="214"/>
      <c r="AU116" s="254"/>
      <c r="AV116" s="254"/>
      <c r="AW116" s="254"/>
      <c r="AX116" s="254"/>
      <c r="AY116" s="254"/>
      <c r="AZ116" s="254"/>
      <c r="BA116" s="254"/>
      <c r="BB116" s="306" t="str">
        <f t="shared" si="6"/>
        <v/>
      </c>
      <c r="BC116" s="254"/>
      <c r="BD116" s="254"/>
      <c r="BE116" s="254"/>
      <c r="BF116" s="254"/>
    </row>
    <row r="117" spans="1:58" s="10" customFormat="1" ht="15.75" customHeight="1" x14ac:dyDescent="0.25">
      <c r="A117" s="113"/>
      <c r="B117" s="35" t="s">
        <v>184</v>
      </c>
      <c r="C117" s="44" t="s">
        <v>225</v>
      </c>
      <c r="D117" s="44" t="s">
        <v>33</v>
      </c>
      <c r="E117" s="44" t="s">
        <v>739</v>
      </c>
      <c r="F117" s="44" t="s">
        <v>740</v>
      </c>
      <c r="G117" s="44" t="s">
        <v>741</v>
      </c>
      <c r="H117" s="44" t="s">
        <v>742</v>
      </c>
      <c r="I117" s="360" t="str">
        <f t="shared" si="9"/>
        <v>A_WIN_BOW_15A_16</v>
      </c>
      <c r="J117" s="44">
        <v>16</v>
      </c>
      <c r="K117" s="372">
        <v>127</v>
      </c>
      <c r="L117" s="214"/>
      <c r="M117" s="214"/>
      <c r="N117" s="214"/>
      <c r="O117" s="217"/>
      <c r="P117" s="295"/>
      <c r="Q117" s="296"/>
      <c r="R117" s="296"/>
      <c r="S117" s="296"/>
      <c r="T117" s="296"/>
      <c r="U117" s="296"/>
      <c r="V117" s="296"/>
      <c r="W117" s="321"/>
      <c r="X117" s="296"/>
      <c r="Y117" s="373"/>
      <c r="Z117" s="222">
        <f t="shared" si="10"/>
        <v>0</v>
      </c>
      <c r="AC117" s="35" t="s">
        <v>184</v>
      </c>
      <c r="AD117" s="44" t="s">
        <v>225</v>
      </c>
      <c r="AE117" s="45" t="s">
        <v>33</v>
      </c>
      <c r="AF117" s="44" t="s">
        <v>739</v>
      </c>
      <c r="AG117" s="46" t="s">
        <v>740</v>
      </c>
      <c r="AH117" s="44" t="s">
        <v>741</v>
      </c>
      <c r="AI117" s="46" t="s">
        <v>742</v>
      </c>
      <c r="AJ117" s="69" t="s">
        <v>807</v>
      </c>
      <c r="AK117" s="117">
        <v>16</v>
      </c>
      <c r="AL117" s="117">
        <v>127</v>
      </c>
      <c r="AM117" s="254"/>
      <c r="AN117" s="323" t="str">
        <f t="shared" si="7"/>
        <v/>
      </c>
      <c r="AO117" s="262"/>
      <c r="AP117" s="210" t="str">
        <f t="shared" si="11"/>
        <v/>
      </c>
      <c r="AQ117" s="214"/>
      <c r="AR117" s="210" t="s">
        <v>503</v>
      </c>
      <c r="AS117" s="262"/>
      <c r="AT117" s="214"/>
      <c r="AU117" s="254"/>
      <c r="AV117" s="254"/>
      <c r="AW117" s="254"/>
      <c r="AX117" s="254"/>
      <c r="AY117" s="254"/>
      <c r="AZ117" s="254"/>
      <c r="BA117" s="254"/>
      <c r="BB117" s="306" t="str">
        <f t="shared" si="6"/>
        <v/>
      </c>
      <c r="BC117" s="254"/>
      <c r="BD117" s="254"/>
      <c r="BE117" s="254"/>
      <c r="BF117" s="254"/>
    </row>
    <row r="118" spans="1:58" s="10" customFormat="1" ht="15.75" customHeight="1" x14ac:dyDescent="0.25">
      <c r="A118" s="113"/>
      <c r="B118" s="35" t="s">
        <v>184</v>
      </c>
      <c r="C118" s="44" t="s">
        <v>225</v>
      </c>
      <c r="D118" s="44" t="s">
        <v>33</v>
      </c>
      <c r="E118" s="44" t="s">
        <v>1572</v>
      </c>
      <c r="F118" s="44" t="s">
        <v>648</v>
      </c>
      <c r="G118" s="44" t="s">
        <v>704</v>
      </c>
      <c r="H118" s="44" t="s">
        <v>705</v>
      </c>
      <c r="I118" s="360" t="str">
        <f t="shared" si="9"/>
        <v>A_WIN_CAS_CEN_21</v>
      </c>
      <c r="J118" s="44">
        <v>21</v>
      </c>
      <c r="K118" s="372">
        <v>170</v>
      </c>
      <c r="L118" s="214"/>
      <c r="M118" s="214"/>
      <c r="N118" s="214"/>
      <c r="O118" s="217"/>
      <c r="P118" s="295"/>
      <c r="Q118" s="296"/>
      <c r="R118" s="296"/>
      <c r="S118" s="296"/>
      <c r="T118" s="296"/>
      <c r="U118" s="296"/>
      <c r="V118" s="296"/>
      <c r="W118" s="321"/>
      <c r="X118" s="296"/>
      <c r="Y118" s="373"/>
      <c r="Z118" s="222">
        <f t="shared" si="10"/>
        <v>0</v>
      </c>
      <c r="AC118" s="35" t="s">
        <v>184</v>
      </c>
      <c r="AD118" s="44" t="s">
        <v>225</v>
      </c>
      <c r="AE118" s="45" t="s">
        <v>33</v>
      </c>
      <c r="AF118" s="44" t="s">
        <v>1572</v>
      </c>
      <c r="AG118" s="46" t="s">
        <v>648</v>
      </c>
      <c r="AH118" s="44" t="s">
        <v>704</v>
      </c>
      <c r="AI118" s="46" t="s">
        <v>705</v>
      </c>
      <c r="AJ118" s="69" t="s">
        <v>1573</v>
      </c>
      <c r="AK118" s="117">
        <v>21</v>
      </c>
      <c r="AL118" s="117">
        <v>170</v>
      </c>
      <c r="AM118" s="254"/>
      <c r="AN118" s="323" t="str">
        <f t="shared" si="7"/>
        <v/>
      </c>
      <c r="AO118" s="262"/>
      <c r="AP118" s="210" t="str">
        <f t="shared" si="11"/>
        <v/>
      </c>
      <c r="AQ118" s="214"/>
      <c r="AR118" s="210" t="s">
        <v>503</v>
      </c>
      <c r="AS118" s="262"/>
      <c r="AT118" s="214"/>
      <c r="AU118" s="254"/>
      <c r="AV118" s="254"/>
      <c r="AW118" s="254"/>
      <c r="AX118" s="254"/>
      <c r="AY118" s="254"/>
      <c r="AZ118" s="254"/>
      <c r="BA118" s="254"/>
      <c r="BB118" s="306" t="str">
        <f t="shared" si="6"/>
        <v/>
      </c>
      <c r="BC118" s="254"/>
      <c r="BD118" s="254"/>
      <c r="BE118" s="254"/>
      <c r="BF118" s="254"/>
    </row>
    <row r="119" spans="1:58" s="10" customFormat="1" ht="15.75" customHeight="1" x14ac:dyDescent="0.25">
      <c r="A119" s="113"/>
      <c r="B119" s="35" t="s">
        <v>184</v>
      </c>
      <c r="C119" s="44" t="s">
        <v>225</v>
      </c>
      <c r="D119" s="44" t="s">
        <v>33</v>
      </c>
      <c r="E119" s="44" t="s">
        <v>1572</v>
      </c>
      <c r="F119" s="44" t="s">
        <v>648</v>
      </c>
      <c r="G119" s="44" t="s">
        <v>728</v>
      </c>
      <c r="H119" s="44" t="s">
        <v>727</v>
      </c>
      <c r="I119" s="360" t="str">
        <f t="shared" si="9"/>
        <v>A_WIN_CAS_TRI_19</v>
      </c>
      <c r="J119" s="44">
        <v>19</v>
      </c>
      <c r="K119" s="372">
        <v>171</v>
      </c>
      <c r="L119" s="214"/>
      <c r="M119" s="214"/>
      <c r="N119" s="214"/>
      <c r="O119" s="217"/>
      <c r="P119" s="295"/>
      <c r="Q119" s="296"/>
      <c r="R119" s="296"/>
      <c r="S119" s="296"/>
      <c r="T119" s="296"/>
      <c r="U119" s="296"/>
      <c r="V119" s="296"/>
      <c r="W119" s="321"/>
      <c r="X119" s="296"/>
      <c r="Y119" s="373"/>
      <c r="Z119" s="222">
        <f t="shared" si="10"/>
        <v>0</v>
      </c>
      <c r="AC119" s="35" t="s">
        <v>184</v>
      </c>
      <c r="AD119" s="44" t="s">
        <v>225</v>
      </c>
      <c r="AE119" s="45" t="s">
        <v>33</v>
      </c>
      <c r="AF119" s="44" t="s">
        <v>1572</v>
      </c>
      <c r="AG119" s="46" t="s">
        <v>648</v>
      </c>
      <c r="AH119" s="44" t="s">
        <v>728</v>
      </c>
      <c r="AI119" s="46" t="s">
        <v>727</v>
      </c>
      <c r="AJ119" s="69" t="s">
        <v>1574</v>
      </c>
      <c r="AK119" s="117">
        <v>19</v>
      </c>
      <c r="AL119" s="117">
        <v>171</v>
      </c>
      <c r="AM119" s="254"/>
      <c r="AN119" s="323" t="str">
        <f t="shared" si="7"/>
        <v/>
      </c>
      <c r="AO119" s="262"/>
      <c r="AP119" s="210" t="str">
        <f t="shared" si="11"/>
        <v/>
      </c>
      <c r="AQ119" s="214"/>
      <c r="AR119" s="210" t="s">
        <v>503</v>
      </c>
      <c r="AS119" s="262"/>
      <c r="AT119" s="214"/>
      <c r="AU119" s="254"/>
      <c r="AV119" s="254"/>
      <c r="AW119" s="254"/>
      <c r="AX119" s="254"/>
      <c r="AY119" s="254"/>
      <c r="AZ119" s="254"/>
      <c r="BA119" s="254"/>
      <c r="BB119" s="306" t="str">
        <f t="shared" si="6"/>
        <v/>
      </c>
      <c r="BC119" s="254"/>
      <c r="BD119" s="254"/>
      <c r="BE119" s="254"/>
      <c r="BF119" s="254"/>
    </row>
    <row r="120" spans="1:58" s="10" customFormat="1" ht="15.75" customHeight="1" x14ac:dyDescent="0.25">
      <c r="A120" s="113"/>
      <c r="B120" s="35" t="s">
        <v>184</v>
      </c>
      <c r="C120" s="44" t="s">
        <v>225</v>
      </c>
      <c r="D120" s="44" t="s">
        <v>33</v>
      </c>
      <c r="E120" s="44" t="s">
        <v>218</v>
      </c>
      <c r="F120" s="44" t="s">
        <v>660</v>
      </c>
      <c r="G120" s="44" t="s">
        <v>506</v>
      </c>
      <c r="H120" s="44" t="s">
        <v>507</v>
      </c>
      <c r="I120" s="360" t="str">
        <f t="shared" si="9"/>
        <v>A_WIN_CWL_SIN_01</v>
      </c>
      <c r="J120" s="44">
        <v>1</v>
      </c>
      <c r="K120" s="372">
        <v>128</v>
      </c>
      <c r="L120" s="214"/>
      <c r="M120" s="214"/>
      <c r="N120" s="214"/>
      <c r="O120" s="217"/>
      <c r="P120" s="295"/>
      <c r="Q120" s="296"/>
      <c r="R120" s="296"/>
      <c r="S120" s="296"/>
      <c r="T120" s="296"/>
      <c r="U120" s="296"/>
      <c r="V120" s="296"/>
      <c r="W120" s="321"/>
      <c r="X120" s="296"/>
      <c r="Y120" s="373"/>
      <c r="Z120" s="222">
        <f t="shared" si="10"/>
        <v>0</v>
      </c>
      <c r="AC120" s="35" t="s">
        <v>184</v>
      </c>
      <c r="AD120" s="44" t="s">
        <v>225</v>
      </c>
      <c r="AE120" s="45" t="s">
        <v>33</v>
      </c>
      <c r="AF120" s="44" t="s">
        <v>218</v>
      </c>
      <c r="AG120" s="46" t="s">
        <v>660</v>
      </c>
      <c r="AH120" s="44" t="s">
        <v>506</v>
      </c>
      <c r="AI120" s="46" t="s">
        <v>507</v>
      </c>
      <c r="AJ120" s="69" t="s">
        <v>808</v>
      </c>
      <c r="AK120" s="117">
        <v>1</v>
      </c>
      <c r="AL120" s="117">
        <v>128</v>
      </c>
      <c r="AM120" s="254"/>
      <c r="AN120" s="323" t="str">
        <f t="shared" si="7"/>
        <v/>
      </c>
      <c r="AO120" s="262"/>
      <c r="AP120" s="210" t="str">
        <f t="shared" si="11"/>
        <v/>
      </c>
      <c r="AQ120" s="214"/>
      <c r="AR120" s="210" t="s">
        <v>503</v>
      </c>
      <c r="AS120" s="262"/>
      <c r="AT120" s="214"/>
      <c r="AU120" s="254"/>
      <c r="AV120" s="254"/>
      <c r="AW120" s="254"/>
      <c r="AX120" s="254"/>
      <c r="AY120" s="254"/>
      <c r="AZ120" s="254"/>
      <c r="BA120" s="254"/>
      <c r="BB120" s="306" t="str">
        <f t="shared" si="6"/>
        <v/>
      </c>
      <c r="BC120" s="254"/>
      <c r="BD120" s="254"/>
      <c r="BE120" s="254"/>
      <c r="BF120" s="254"/>
    </row>
    <row r="121" spans="1:58" s="10" customFormat="1" ht="15.75" customHeight="1" x14ac:dyDescent="0.25">
      <c r="A121" s="113"/>
      <c r="B121" s="35" t="s">
        <v>184</v>
      </c>
      <c r="C121" s="44" t="s">
        <v>225</v>
      </c>
      <c r="D121" s="44" t="s">
        <v>33</v>
      </c>
      <c r="E121" s="44" t="s">
        <v>49</v>
      </c>
      <c r="F121" s="44" t="s">
        <v>51</v>
      </c>
      <c r="G121" s="44" t="s">
        <v>1098</v>
      </c>
      <c r="H121" s="44" t="s">
        <v>1534</v>
      </c>
      <c r="I121" s="360" t="str">
        <f t="shared" si="9"/>
        <v>A_WIN_DOU_HOR_17</v>
      </c>
      <c r="J121" s="44">
        <v>17</v>
      </c>
      <c r="K121" s="372">
        <v>129</v>
      </c>
      <c r="L121" s="214"/>
      <c r="M121" s="214"/>
      <c r="N121" s="214"/>
      <c r="O121" s="217"/>
      <c r="P121" s="295"/>
      <c r="Q121" s="296"/>
      <c r="R121" s="296"/>
      <c r="S121" s="296"/>
      <c r="T121" s="296"/>
      <c r="U121" s="296"/>
      <c r="V121" s="296"/>
      <c r="W121" s="321"/>
      <c r="X121" s="296"/>
      <c r="Y121" s="373"/>
      <c r="Z121" s="222">
        <f t="shared" si="10"/>
        <v>0</v>
      </c>
      <c r="AC121" s="35" t="s">
        <v>184</v>
      </c>
      <c r="AD121" s="44" t="s">
        <v>225</v>
      </c>
      <c r="AE121" s="45" t="s">
        <v>33</v>
      </c>
      <c r="AF121" s="44" t="s">
        <v>49</v>
      </c>
      <c r="AG121" s="46" t="s">
        <v>51</v>
      </c>
      <c r="AH121" s="44" t="s">
        <v>1098</v>
      </c>
      <c r="AI121" s="46" t="s">
        <v>1534</v>
      </c>
      <c r="AJ121" s="69" t="s">
        <v>1542</v>
      </c>
      <c r="AK121" s="117">
        <v>17</v>
      </c>
      <c r="AL121" s="117">
        <v>129</v>
      </c>
      <c r="AM121" s="254"/>
      <c r="AN121" s="323" t="str">
        <f t="shared" si="7"/>
        <v/>
      </c>
      <c r="AO121" s="262"/>
      <c r="AP121" s="210" t="str">
        <f t="shared" si="11"/>
        <v/>
      </c>
      <c r="AQ121" s="214"/>
      <c r="AR121" s="210" t="s">
        <v>503</v>
      </c>
      <c r="AS121" s="262"/>
      <c r="AT121" s="214"/>
      <c r="AU121" s="254"/>
      <c r="AV121" s="254"/>
      <c r="AW121" s="254"/>
      <c r="AX121" s="254"/>
      <c r="AY121" s="254"/>
      <c r="AZ121" s="254"/>
      <c r="BA121" s="254"/>
      <c r="BB121" s="306" t="str">
        <f t="shared" si="6"/>
        <v/>
      </c>
      <c r="BC121" s="254"/>
      <c r="BD121" s="254"/>
      <c r="BE121" s="254"/>
      <c r="BF121" s="254"/>
    </row>
    <row r="122" spans="1:58" s="10" customFormat="1" ht="15.75" customHeight="1" x14ac:dyDescent="0.25">
      <c r="A122" s="113"/>
      <c r="B122" s="35" t="s">
        <v>184</v>
      </c>
      <c r="C122" s="44" t="s">
        <v>225</v>
      </c>
      <c r="D122" s="44" t="s">
        <v>33</v>
      </c>
      <c r="E122" s="44" t="s">
        <v>49</v>
      </c>
      <c r="F122" s="44" t="s">
        <v>51</v>
      </c>
      <c r="G122" s="44" t="s">
        <v>996</v>
      </c>
      <c r="H122" s="44" t="s">
        <v>997</v>
      </c>
      <c r="I122" s="360" t="str">
        <f t="shared" si="9"/>
        <v>A_WIN_DOU_VER_03</v>
      </c>
      <c r="J122" s="44">
        <v>3</v>
      </c>
      <c r="K122" s="372">
        <v>69</v>
      </c>
      <c r="L122" s="214"/>
      <c r="M122" s="214"/>
      <c r="N122" s="214"/>
      <c r="O122" s="217"/>
      <c r="P122" s="295"/>
      <c r="Q122" s="296"/>
      <c r="R122" s="296"/>
      <c r="S122" s="296"/>
      <c r="T122" s="296"/>
      <c r="U122" s="296"/>
      <c r="V122" s="296"/>
      <c r="W122" s="321"/>
      <c r="X122" s="296"/>
      <c r="Y122" s="373"/>
      <c r="Z122" s="222">
        <f t="shared" si="10"/>
        <v>0</v>
      </c>
      <c r="AC122" s="35" t="s">
        <v>184</v>
      </c>
      <c r="AD122" s="44" t="s">
        <v>225</v>
      </c>
      <c r="AE122" s="45" t="s">
        <v>33</v>
      </c>
      <c r="AF122" s="44" t="s">
        <v>49</v>
      </c>
      <c r="AG122" s="46" t="s">
        <v>51</v>
      </c>
      <c r="AH122" s="44" t="s">
        <v>996</v>
      </c>
      <c r="AI122" s="46" t="s">
        <v>997</v>
      </c>
      <c r="AJ122" s="69" t="s">
        <v>1543</v>
      </c>
      <c r="AK122" s="117">
        <v>3</v>
      </c>
      <c r="AL122" s="117">
        <v>69</v>
      </c>
      <c r="AM122" s="254"/>
      <c r="AN122" s="323" t="str">
        <f t="shared" si="7"/>
        <v/>
      </c>
      <c r="AO122" s="262"/>
      <c r="AP122" s="210" t="str">
        <f t="shared" si="11"/>
        <v/>
      </c>
      <c r="AQ122" s="214"/>
      <c r="AR122" s="210" t="s">
        <v>503</v>
      </c>
      <c r="AS122" s="262"/>
      <c r="AT122" s="214"/>
      <c r="AU122" s="254"/>
      <c r="AV122" s="254"/>
      <c r="AW122" s="254"/>
      <c r="AX122" s="254"/>
      <c r="AY122" s="254"/>
      <c r="AZ122" s="254"/>
      <c r="BA122" s="254"/>
      <c r="BB122" s="306" t="str">
        <f t="shared" si="6"/>
        <v/>
      </c>
      <c r="BC122" s="254"/>
      <c r="BD122" s="254"/>
      <c r="BE122" s="254"/>
      <c r="BF122" s="254"/>
    </row>
    <row r="123" spans="1:58" s="10" customFormat="1" ht="15.75" customHeight="1" x14ac:dyDescent="0.25">
      <c r="A123" s="113"/>
      <c r="B123" s="35" t="s">
        <v>184</v>
      </c>
      <c r="C123" s="44" t="s">
        <v>225</v>
      </c>
      <c r="D123" s="44" t="s">
        <v>33</v>
      </c>
      <c r="E123" s="44" t="s">
        <v>1575</v>
      </c>
      <c r="F123" s="44" t="s">
        <v>228</v>
      </c>
      <c r="G123" s="44" t="s">
        <v>1527</v>
      </c>
      <c r="H123" s="44" t="s">
        <v>507</v>
      </c>
      <c r="I123" s="360" t="str">
        <f t="shared" si="9"/>
        <v>A_WIN_FIX_SIN_22</v>
      </c>
      <c r="J123" s="44">
        <v>22</v>
      </c>
      <c r="K123" s="372">
        <v>173</v>
      </c>
      <c r="L123" s="214"/>
      <c r="M123" s="214"/>
      <c r="N123" s="214"/>
      <c r="O123" s="217"/>
      <c r="P123" s="295"/>
      <c r="Q123" s="296"/>
      <c r="R123" s="296"/>
      <c r="S123" s="296"/>
      <c r="T123" s="296"/>
      <c r="U123" s="296"/>
      <c r="V123" s="296"/>
      <c r="W123" s="321"/>
      <c r="X123" s="296"/>
      <c r="Y123" s="373"/>
      <c r="Z123" s="222">
        <f t="shared" si="10"/>
        <v>0</v>
      </c>
      <c r="AC123" s="35" t="s">
        <v>184</v>
      </c>
      <c r="AD123" s="44" t="s">
        <v>225</v>
      </c>
      <c r="AE123" s="45" t="s">
        <v>33</v>
      </c>
      <c r="AF123" s="44" t="s">
        <v>1575</v>
      </c>
      <c r="AG123" s="46" t="s">
        <v>228</v>
      </c>
      <c r="AH123" s="44" t="s">
        <v>1527</v>
      </c>
      <c r="AI123" s="46" t="s">
        <v>507</v>
      </c>
      <c r="AJ123" s="69" t="s">
        <v>1578</v>
      </c>
      <c r="AK123" s="117">
        <v>22</v>
      </c>
      <c r="AL123" s="117">
        <v>173</v>
      </c>
      <c r="AM123" s="254"/>
      <c r="AN123" s="323" t="str">
        <f t="shared" si="7"/>
        <v/>
      </c>
      <c r="AO123" s="262"/>
      <c r="AP123" s="210" t="str">
        <f t="shared" si="11"/>
        <v/>
      </c>
      <c r="AQ123" s="214"/>
      <c r="AR123" s="210" t="s">
        <v>503</v>
      </c>
      <c r="AS123" s="262"/>
      <c r="AT123" s="214"/>
      <c r="AU123" s="254"/>
      <c r="AV123" s="254"/>
      <c r="AW123" s="254"/>
      <c r="AX123" s="254"/>
      <c r="AY123" s="254"/>
      <c r="AZ123" s="254"/>
      <c r="BA123" s="254"/>
      <c r="BB123" s="306" t="str">
        <f t="shared" si="6"/>
        <v/>
      </c>
      <c r="BC123" s="254"/>
      <c r="BD123" s="254"/>
      <c r="BE123" s="254"/>
      <c r="BF123" s="254"/>
    </row>
    <row r="124" spans="1:58" s="10" customFormat="1" ht="15.75" customHeight="1" x14ac:dyDescent="0.25">
      <c r="A124" s="113"/>
      <c r="B124" s="35" t="s">
        <v>184</v>
      </c>
      <c r="C124" s="44" t="s">
        <v>225</v>
      </c>
      <c r="D124" s="44" t="s">
        <v>33</v>
      </c>
      <c r="E124" s="44" t="s">
        <v>1575</v>
      </c>
      <c r="F124" s="44" t="s">
        <v>228</v>
      </c>
      <c r="G124" s="44" t="s">
        <v>1527</v>
      </c>
      <c r="H124" s="44" t="s">
        <v>507</v>
      </c>
      <c r="I124" s="360" t="str">
        <f t="shared" si="9"/>
        <v>A_WIN_FIX_SIN_24</v>
      </c>
      <c r="J124" s="44">
        <v>24</v>
      </c>
      <c r="K124" s="372">
        <v>175</v>
      </c>
      <c r="L124" s="214"/>
      <c r="M124" s="214"/>
      <c r="N124" s="214"/>
      <c r="O124" s="217"/>
      <c r="P124" s="295"/>
      <c r="Q124" s="296"/>
      <c r="R124" s="296"/>
      <c r="S124" s="296"/>
      <c r="T124" s="296"/>
      <c r="U124" s="296"/>
      <c r="V124" s="296"/>
      <c r="W124" s="321"/>
      <c r="X124" s="296"/>
      <c r="Y124" s="373"/>
      <c r="Z124" s="222">
        <f t="shared" si="10"/>
        <v>0</v>
      </c>
      <c r="AC124" s="35" t="s">
        <v>184</v>
      </c>
      <c r="AD124" s="44" t="s">
        <v>225</v>
      </c>
      <c r="AE124" s="45" t="s">
        <v>33</v>
      </c>
      <c r="AF124" s="44" t="s">
        <v>1575</v>
      </c>
      <c r="AG124" s="46" t="s">
        <v>228</v>
      </c>
      <c r="AH124" s="44" t="s">
        <v>1527</v>
      </c>
      <c r="AI124" s="46" t="s">
        <v>507</v>
      </c>
      <c r="AJ124" s="69" t="s">
        <v>1583</v>
      </c>
      <c r="AK124" s="117">
        <v>24</v>
      </c>
      <c r="AL124" s="117">
        <v>175</v>
      </c>
      <c r="AM124" s="254"/>
      <c r="AN124" s="323" t="str">
        <f t="shared" si="7"/>
        <v/>
      </c>
      <c r="AO124" s="262"/>
      <c r="AP124" s="210" t="str">
        <f t="shared" si="11"/>
        <v/>
      </c>
      <c r="AQ124" s="214"/>
      <c r="AR124" s="210" t="s">
        <v>503</v>
      </c>
      <c r="AS124" s="262"/>
      <c r="AT124" s="214"/>
      <c r="AU124" s="254"/>
      <c r="AV124" s="254"/>
      <c r="AW124" s="254"/>
      <c r="AX124" s="254"/>
      <c r="AY124" s="254"/>
      <c r="AZ124" s="254"/>
      <c r="BA124" s="254"/>
      <c r="BB124" s="306" t="str">
        <f t="shared" si="6"/>
        <v/>
      </c>
      <c r="BC124" s="254"/>
      <c r="BD124" s="254"/>
      <c r="BE124" s="254"/>
      <c r="BF124" s="254"/>
    </row>
    <row r="125" spans="1:58" s="10" customFormat="1" ht="15.75" customHeight="1" x14ac:dyDescent="0.25">
      <c r="A125" s="113"/>
      <c r="B125" s="35" t="s">
        <v>184</v>
      </c>
      <c r="C125" s="44" t="s">
        <v>225</v>
      </c>
      <c r="D125" s="44" t="s">
        <v>33</v>
      </c>
      <c r="E125" s="44" t="s">
        <v>1575</v>
      </c>
      <c r="F125" s="44" t="s">
        <v>228</v>
      </c>
      <c r="G125" s="44" t="s">
        <v>728</v>
      </c>
      <c r="H125" s="44" t="s">
        <v>727</v>
      </c>
      <c r="I125" s="360" t="str">
        <f t="shared" si="9"/>
        <v>A_WIN_FIX_TRI_20</v>
      </c>
      <c r="J125" s="44">
        <v>20</v>
      </c>
      <c r="K125" s="372">
        <v>172</v>
      </c>
      <c r="L125" s="214"/>
      <c r="M125" s="214"/>
      <c r="N125" s="214"/>
      <c r="O125" s="217"/>
      <c r="P125" s="295"/>
      <c r="Q125" s="296"/>
      <c r="R125" s="296"/>
      <c r="S125" s="296"/>
      <c r="T125" s="296"/>
      <c r="U125" s="296"/>
      <c r="V125" s="296"/>
      <c r="W125" s="321"/>
      <c r="X125" s="296"/>
      <c r="Y125" s="373"/>
      <c r="Z125" s="222">
        <f t="shared" si="10"/>
        <v>0</v>
      </c>
      <c r="AC125" s="35" t="s">
        <v>184</v>
      </c>
      <c r="AD125" s="44" t="s">
        <v>225</v>
      </c>
      <c r="AE125" s="45" t="s">
        <v>33</v>
      </c>
      <c r="AF125" s="44" t="s">
        <v>1575</v>
      </c>
      <c r="AG125" s="46" t="s">
        <v>228</v>
      </c>
      <c r="AH125" s="44" t="s">
        <v>728</v>
      </c>
      <c r="AI125" s="46" t="s">
        <v>727</v>
      </c>
      <c r="AJ125" s="69" t="s">
        <v>1576</v>
      </c>
      <c r="AK125" s="117">
        <v>20</v>
      </c>
      <c r="AL125" s="117">
        <v>172</v>
      </c>
      <c r="AM125" s="254"/>
      <c r="AN125" s="323" t="str">
        <f t="shared" si="7"/>
        <v/>
      </c>
      <c r="AO125" s="262"/>
      <c r="AP125" s="210" t="str">
        <f t="shared" si="11"/>
        <v/>
      </c>
      <c r="AQ125" s="214"/>
      <c r="AR125" s="210" t="s">
        <v>503</v>
      </c>
      <c r="AS125" s="262"/>
      <c r="AT125" s="214"/>
      <c r="AU125" s="254"/>
      <c r="AV125" s="254"/>
      <c r="AW125" s="254"/>
      <c r="AX125" s="254"/>
      <c r="AY125" s="254"/>
      <c r="AZ125" s="254"/>
      <c r="BA125" s="254"/>
      <c r="BB125" s="306" t="str">
        <f t="shared" si="6"/>
        <v/>
      </c>
      <c r="BC125" s="254"/>
      <c r="BD125" s="254"/>
      <c r="BE125" s="254"/>
      <c r="BF125" s="254"/>
    </row>
    <row r="126" spans="1:58" s="10" customFormat="1" ht="15.75" customHeight="1" x14ac:dyDescent="0.25">
      <c r="A126" s="113"/>
      <c r="B126" s="35" t="s">
        <v>184</v>
      </c>
      <c r="C126" s="44" t="s">
        <v>225</v>
      </c>
      <c r="D126" s="44" t="s">
        <v>33</v>
      </c>
      <c r="E126" s="44" t="s">
        <v>743</v>
      </c>
      <c r="F126" s="44" t="s">
        <v>744</v>
      </c>
      <c r="G126" s="44" t="s">
        <v>745</v>
      </c>
      <c r="H126" s="44" t="s">
        <v>113</v>
      </c>
      <c r="I126" s="360" t="str">
        <f t="shared" si="9"/>
        <v>A_WIN_INS_OPE_07</v>
      </c>
      <c r="J126" s="44">
        <v>7</v>
      </c>
      <c r="K126" s="372">
        <v>149</v>
      </c>
      <c r="L126" s="214"/>
      <c r="M126" s="214"/>
      <c r="N126" s="214"/>
      <c r="O126" s="217"/>
      <c r="P126" s="295"/>
      <c r="Q126" s="296"/>
      <c r="R126" s="296"/>
      <c r="S126" s="296"/>
      <c r="T126" s="296"/>
      <c r="U126" s="296"/>
      <c r="V126" s="296"/>
      <c r="W126" s="321"/>
      <c r="X126" s="296"/>
      <c r="Y126" s="373"/>
      <c r="Z126" s="222">
        <f t="shared" si="10"/>
        <v>0</v>
      </c>
      <c r="AC126" s="35" t="s">
        <v>184</v>
      </c>
      <c r="AD126" s="44" t="s">
        <v>225</v>
      </c>
      <c r="AE126" s="45" t="s">
        <v>33</v>
      </c>
      <c r="AF126" s="44" t="s">
        <v>743</v>
      </c>
      <c r="AG126" s="46" t="s">
        <v>744</v>
      </c>
      <c r="AH126" s="44" t="s">
        <v>745</v>
      </c>
      <c r="AI126" s="46" t="s">
        <v>113</v>
      </c>
      <c r="AJ126" s="69" t="s">
        <v>809</v>
      </c>
      <c r="AK126" s="117">
        <v>7</v>
      </c>
      <c r="AL126" s="117">
        <v>149</v>
      </c>
      <c r="AM126" s="254"/>
      <c r="AN126" s="323" t="str">
        <f t="shared" si="7"/>
        <v/>
      </c>
      <c r="AO126" s="262"/>
      <c r="AP126" s="210" t="str">
        <f t="shared" si="11"/>
        <v/>
      </c>
      <c r="AQ126" s="214"/>
      <c r="AR126" s="210" t="s">
        <v>503</v>
      </c>
      <c r="AS126" s="262"/>
      <c r="AT126" s="214"/>
      <c r="AU126" s="254"/>
      <c r="AV126" s="254"/>
      <c r="AW126" s="254"/>
      <c r="AX126" s="254"/>
      <c r="AY126" s="254"/>
      <c r="AZ126" s="254"/>
      <c r="BA126" s="254"/>
      <c r="BB126" s="306" t="str">
        <f t="shared" si="6"/>
        <v/>
      </c>
      <c r="BC126" s="254"/>
      <c r="BD126" s="254"/>
      <c r="BE126" s="254"/>
      <c r="BF126" s="254"/>
    </row>
    <row r="127" spans="1:58" s="10" customFormat="1" ht="15.75" customHeight="1" x14ac:dyDescent="0.25">
      <c r="A127" s="113"/>
      <c r="B127" s="35" t="s">
        <v>184</v>
      </c>
      <c r="C127" s="44" t="s">
        <v>225</v>
      </c>
      <c r="D127" s="44" t="s">
        <v>33</v>
      </c>
      <c r="E127" s="44" t="s">
        <v>229</v>
      </c>
      <c r="F127" s="44" t="s">
        <v>230</v>
      </c>
      <c r="G127" s="44" t="s">
        <v>746</v>
      </c>
      <c r="H127" s="44" t="s">
        <v>747</v>
      </c>
      <c r="I127" s="360" t="str">
        <f t="shared" si="9"/>
        <v>A_WIN_SKL_PIV_08</v>
      </c>
      <c r="J127" s="44">
        <v>8</v>
      </c>
      <c r="K127" s="372">
        <v>150</v>
      </c>
      <c r="L127" s="214"/>
      <c r="M127" s="214"/>
      <c r="N127" s="214"/>
      <c r="O127" s="217"/>
      <c r="P127" s="295"/>
      <c r="Q127" s="296"/>
      <c r="R127" s="296"/>
      <c r="S127" s="296"/>
      <c r="T127" s="296"/>
      <c r="U127" s="296"/>
      <c r="V127" s="296"/>
      <c r="W127" s="321"/>
      <c r="X127" s="296"/>
      <c r="Y127" s="373"/>
      <c r="Z127" s="222">
        <f t="shared" si="10"/>
        <v>0</v>
      </c>
      <c r="AC127" s="35" t="s">
        <v>184</v>
      </c>
      <c r="AD127" s="44" t="s">
        <v>225</v>
      </c>
      <c r="AE127" s="45" t="s">
        <v>33</v>
      </c>
      <c r="AF127" s="44" t="s">
        <v>229</v>
      </c>
      <c r="AG127" s="46" t="s">
        <v>230</v>
      </c>
      <c r="AH127" s="44" t="s">
        <v>746</v>
      </c>
      <c r="AI127" s="46" t="s">
        <v>747</v>
      </c>
      <c r="AJ127" s="69" t="s">
        <v>810</v>
      </c>
      <c r="AK127" s="117">
        <v>8</v>
      </c>
      <c r="AL127" s="117">
        <v>150</v>
      </c>
      <c r="AM127" s="254"/>
      <c r="AN127" s="323" t="str">
        <f t="shared" si="7"/>
        <v/>
      </c>
      <c r="AO127" s="262"/>
      <c r="AP127" s="210" t="str">
        <f t="shared" si="11"/>
        <v/>
      </c>
      <c r="AQ127" s="214"/>
      <c r="AR127" s="210" t="s">
        <v>503</v>
      </c>
      <c r="AS127" s="262"/>
      <c r="AT127" s="214"/>
      <c r="AU127" s="254"/>
      <c r="AV127" s="254"/>
      <c r="AW127" s="254"/>
      <c r="AX127" s="254"/>
      <c r="AY127" s="254"/>
      <c r="AZ127" s="254"/>
      <c r="BA127" s="254"/>
      <c r="BB127" s="306" t="str">
        <f t="shared" si="6"/>
        <v/>
      </c>
      <c r="BC127" s="254"/>
      <c r="BD127" s="254"/>
      <c r="BE127" s="254"/>
      <c r="BF127" s="254"/>
    </row>
    <row r="128" spans="1:58" s="10" customFormat="1" ht="15.75" customHeight="1" x14ac:dyDescent="0.25">
      <c r="A128" s="113"/>
      <c r="B128" s="35" t="s">
        <v>184</v>
      </c>
      <c r="C128" s="44" t="s">
        <v>225</v>
      </c>
      <c r="D128" s="44" t="s">
        <v>33</v>
      </c>
      <c r="E128" s="44" t="s">
        <v>229</v>
      </c>
      <c r="F128" s="44" t="s">
        <v>230</v>
      </c>
      <c r="G128" s="44" t="s">
        <v>748</v>
      </c>
      <c r="H128" s="44" t="s">
        <v>90</v>
      </c>
      <c r="I128" s="360" t="str">
        <f t="shared" si="9"/>
        <v>A_WIN_SKL_PYR_09</v>
      </c>
      <c r="J128" s="44">
        <v>9</v>
      </c>
      <c r="K128" s="372">
        <v>151</v>
      </c>
      <c r="L128" s="214"/>
      <c r="M128" s="214"/>
      <c r="N128" s="214"/>
      <c r="O128" s="217"/>
      <c r="P128" s="295"/>
      <c r="Q128" s="296"/>
      <c r="R128" s="296"/>
      <c r="S128" s="296"/>
      <c r="T128" s="296"/>
      <c r="U128" s="296"/>
      <c r="V128" s="296"/>
      <c r="W128" s="321"/>
      <c r="X128" s="296"/>
      <c r="Y128" s="373"/>
      <c r="Z128" s="222">
        <f t="shared" si="10"/>
        <v>0</v>
      </c>
      <c r="AC128" s="35" t="s">
        <v>184</v>
      </c>
      <c r="AD128" s="44" t="s">
        <v>225</v>
      </c>
      <c r="AE128" s="45" t="s">
        <v>33</v>
      </c>
      <c r="AF128" s="44" t="s">
        <v>229</v>
      </c>
      <c r="AG128" s="46" t="s">
        <v>230</v>
      </c>
      <c r="AH128" s="44" t="s">
        <v>748</v>
      </c>
      <c r="AI128" s="46" t="s">
        <v>90</v>
      </c>
      <c r="AJ128" s="69" t="s">
        <v>811</v>
      </c>
      <c r="AK128" s="117">
        <v>9</v>
      </c>
      <c r="AL128" s="117">
        <v>151</v>
      </c>
      <c r="AM128" s="254"/>
      <c r="AN128" s="323" t="str">
        <f t="shared" si="7"/>
        <v/>
      </c>
      <c r="AO128" s="262"/>
      <c r="AP128" s="210" t="str">
        <f t="shared" si="11"/>
        <v/>
      </c>
      <c r="AQ128" s="214"/>
      <c r="AR128" s="210" t="s">
        <v>503</v>
      </c>
      <c r="AS128" s="262"/>
      <c r="AT128" s="214"/>
      <c r="AU128" s="254"/>
      <c r="AV128" s="254"/>
      <c r="AW128" s="254"/>
      <c r="AX128" s="254"/>
      <c r="AY128" s="254"/>
      <c r="AZ128" s="254"/>
      <c r="BA128" s="254"/>
      <c r="BB128" s="306" t="str">
        <f t="shared" si="6"/>
        <v/>
      </c>
      <c r="BC128" s="254"/>
      <c r="BD128" s="254"/>
      <c r="BE128" s="254"/>
      <c r="BF128" s="254"/>
    </row>
    <row r="129" spans="1:58" s="10" customFormat="1" ht="15.75" customHeight="1" x14ac:dyDescent="0.25">
      <c r="A129" s="113"/>
      <c r="B129" s="35" t="s">
        <v>184</v>
      </c>
      <c r="C129" s="44" t="s">
        <v>225</v>
      </c>
      <c r="D129" s="44" t="s">
        <v>33</v>
      </c>
      <c r="E129" s="44" t="s">
        <v>229</v>
      </c>
      <c r="F129" s="44" t="s">
        <v>230</v>
      </c>
      <c r="G129" s="44" t="s">
        <v>21</v>
      </c>
      <c r="H129" s="44" t="s">
        <v>22</v>
      </c>
      <c r="I129" s="360" t="str">
        <f t="shared" ref="I129:I160" si="12">IF(OR(H129="-",H129=""),CONCATENATE("A","_",D129,"_",F129,"_",TEXT(J129,"00")),CONCATENATE("A","_",D129,"_",F129,"_",H129,"_",TEXT(J129,"00")))</f>
        <v>A_WIN_SKL_ROU_10</v>
      </c>
      <c r="J129" s="44">
        <v>10</v>
      </c>
      <c r="K129" s="372">
        <v>152</v>
      </c>
      <c r="L129" s="214"/>
      <c r="M129" s="214"/>
      <c r="N129" s="214"/>
      <c r="O129" s="217"/>
      <c r="P129" s="295"/>
      <c r="Q129" s="296"/>
      <c r="R129" s="296"/>
      <c r="S129" s="296"/>
      <c r="T129" s="296"/>
      <c r="U129" s="296"/>
      <c r="V129" s="296"/>
      <c r="W129" s="321"/>
      <c r="X129" s="296"/>
      <c r="Y129" s="373"/>
      <c r="Z129" s="222">
        <f t="shared" si="10"/>
        <v>0</v>
      </c>
      <c r="AC129" s="35" t="s">
        <v>184</v>
      </c>
      <c r="AD129" s="44" t="s">
        <v>225</v>
      </c>
      <c r="AE129" s="45" t="s">
        <v>33</v>
      </c>
      <c r="AF129" s="44" t="s">
        <v>229</v>
      </c>
      <c r="AG129" s="46" t="s">
        <v>230</v>
      </c>
      <c r="AH129" s="44" t="s">
        <v>21</v>
      </c>
      <c r="AI129" s="46" t="s">
        <v>22</v>
      </c>
      <c r="AJ129" s="69" t="s">
        <v>812</v>
      </c>
      <c r="AK129" s="117">
        <v>10</v>
      </c>
      <c r="AL129" s="117">
        <v>152</v>
      </c>
      <c r="AM129" s="254"/>
      <c r="AN129" s="323" t="str">
        <f t="shared" si="7"/>
        <v/>
      </c>
      <c r="AO129" s="262"/>
      <c r="AP129" s="210" t="str">
        <f t="shared" si="11"/>
        <v/>
      </c>
      <c r="AQ129" s="214"/>
      <c r="AR129" s="210" t="s">
        <v>503</v>
      </c>
      <c r="AS129" s="262"/>
      <c r="AT129" s="214"/>
      <c r="AU129" s="254"/>
      <c r="AV129" s="254"/>
      <c r="AW129" s="254"/>
      <c r="AX129" s="254"/>
      <c r="AY129" s="254"/>
      <c r="AZ129" s="254"/>
      <c r="BA129" s="254"/>
      <c r="BB129" s="306" t="str">
        <f t="shared" si="6"/>
        <v/>
      </c>
      <c r="BC129" s="254"/>
      <c r="BD129" s="254"/>
      <c r="BE129" s="254"/>
      <c r="BF129" s="254"/>
    </row>
    <row r="130" spans="1:58" s="10" customFormat="1" ht="15.75" customHeight="1" x14ac:dyDescent="0.25">
      <c r="A130" s="113"/>
      <c r="B130" s="35" t="s">
        <v>184</v>
      </c>
      <c r="C130" s="44" t="s">
        <v>225</v>
      </c>
      <c r="D130" s="44" t="s">
        <v>33</v>
      </c>
      <c r="E130" s="44" t="s">
        <v>229</v>
      </c>
      <c r="F130" s="44" t="s">
        <v>230</v>
      </c>
      <c r="G130" s="44" t="s">
        <v>749</v>
      </c>
      <c r="H130" s="44" t="s">
        <v>750</v>
      </c>
      <c r="I130" s="360" t="str">
        <f t="shared" si="12"/>
        <v>A_WIN_SKL_TOP_11</v>
      </c>
      <c r="J130" s="44">
        <v>11</v>
      </c>
      <c r="K130" s="372">
        <v>153</v>
      </c>
      <c r="L130" s="214"/>
      <c r="M130" s="214"/>
      <c r="N130" s="214"/>
      <c r="O130" s="217"/>
      <c r="P130" s="295"/>
      <c r="Q130" s="296"/>
      <c r="R130" s="296"/>
      <c r="S130" s="296"/>
      <c r="T130" s="296"/>
      <c r="U130" s="296"/>
      <c r="V130" s="296"/>
      <c r="W130" s="321"/>
      <c r="X130" s="296"/>
      <c r="Y130" s="373"/>
      <c r="Z130" s="222">
        <f t="shared" si="10"/>
        <v>0</v>
      </c>
      <c r="AC130" s="35" t="s">
        <v>184</v>
      </c>
      <c r="AD130" s="44" t="s">
        <v>225</v>
      </c>
      <c r="AE130" s="45" t="s">
        <v>33</v>
      </c>
      <c r="AF130" s="44" t="s">
        <v>229</v>
      </c>
      <c r="AG130" s="46" t="s">
        <v>230</v>
      </c>
      <c r="AH130" s="44" t="s">
        <v>749</v>
      </c>
      <c r="AI130" s="46" t="s">
        <v>750</v>
      </c>
      <c r="AJ130" s="69" t="s">
        <v>813</v>
      </c>
      <c r="AK130" s="117">
        <v>11</v>
      </c>
      <c r="AL130" s="117">
        <v>153</v>
      </c>
      <c r="AM130" s="254"/>
      <c r="AN130" s="323" t="str">
        <f t="shared" si="7"/>
        <v/>
      </c>
      <c r="AO130" s="262"/>
      <c r="AP130" s="210" t="str">
        <f t="shared" si="11"/>
        <v/>
      </c>
      <c r="AQ130" s="214"/>
      <c r="AR130" s="210" t="s">
        <v>503</v>
      </c>
      <c r="AS130" s="262"/>
      <c r="AT130" s="214"/>
      <c r="AU130" s="254"/>
      <c r="AV130" s="254"/>
      <c r="AW130" s="254"/>
      <c r="AX130" s="254"/>
      <c r="AY130" s="254"/>
      <c r="AZ130" s="254"/>
      <c r="BA130" s="254"/>
      <c r="BB130" s="306" t="str">
        <f t="shared" si="6"/>
        <v/>
      </c>
      <c r="BC130" s="254"/>
      <c r="BD130" s="254"/>
      <c r="BE130" s="254"/>
      <c r="BF130" s="254"/>
    </row>
    <row r="131" spans="1:58" s="10" customFormat="1" ht="15.75" customHeight="1" x14ac:dyDescent="0.25">
      <c r="A131" s="113"/>
      <c r="B131" s="35" t="s">
        <v>184</v>
      </c>
      <c r="C131" s="44" t="s">
        <v>225</v>
      </c>
      <c r="D131" s="44" t="s">
        <v>33</v>
      </c>
      <c r="E131" s="44" t="s">
        <v>728</v>
      </c>
      <c r="F131" s="44" t="s">
        <v>727</v>
      </c>
      <c r="G131" s="44" t="s">
        <v>1098</v>
      </c>
      <c r="H131" s="44" t="s">
        <v>1534</v>
      </c>
      <c r="I131" s="360" t="str">
        <f t="shared" si="12"/>
        <v>A_WIN_TRI_HOR_04</v>
      </c>
      <c r="J131" s="44">
        <v>4</v>
      </c>
      <c r="K131" s="372">
        <v>131</v>
      </c>
      <c r="L131" s="214"/>
      <c r="M131" s="214"/>
      <c r="N131" s="214"/>
      <c r="O131" s="217"/>
      <c r="P131" s="295"/>
      <c r="Q131" s="296"/>
      <c r="R131" s="296"/>
      <c r="S131" s="296"/>
      <c r="T131" s="296"/>
      <c r="U131" s="296"/>
      <c r="V131" s="296"/>
      <c r="W131" s="321"/>
      <c r="X131" s="296"/>
      <c r="Y131" s="373"/>
      <c r="Z131" s="222">
        <f t="shared" si="10"/>
        <v>0</v>
      </c>
      <c r="AC131" s="35" t="s">
        <v>184</v>
      </c>
      <c r="AD131" s="44" t="s">
        <v>225</v>
      </c>
      <c r="AE131" s="45" t="s">
        <v>33</v>
      </c>
      <c r="AF131" s="44" t="s">
        <v>728</v>
      </c>
      <c r="AG131" s="46" t="s">
        <v>727</v>
      </c>
      <c r="AH131" s="44" t="s">
        <v>1098</v>
      </c>
      <c r="AI131" s="46" t="s">
        <v>1534</v>
      </c>
      <c r="AJ131" s="69" t="s">
        <v>1544</v>
      </c>
      <c r="AK131" s="117">
        <v>4</v>
      </c>
      <c r="AL131" s="117">
        <v>131</v>
      </c>
      <c r="AM131" s="254"/>
      <c r="AN131" s="323" t="str">
        <f t="shared" si="7"/>
        <v/>
      </c>
      <c r="AO131" s="262"/>
      <c r="AP131" s="210" t="str">
        <f t="shared" si="11"/>
        <v/>
      </c>
      <c r="AQ131" s="214"/>
      <c r="AR131" s="210" t="s">
        <v>503</v>
      </c>
      <c r="AS131" s="262"/>
      <c r="AT131" s="214"/>
      <c r="AU131" s="254"/>
      <c r="AV131" s="254"/>
      <c r="AW131" s="254"/>
      <c r="AX131" s="254"/>
      <c r="AY131" s="254"/>
      <c r="AZ131" s="254"/>
      <c r="BA131" s="254"/>
      <c r="BB131" s="306" t="str">
        <f t="shared" si="6"/>
        <v/>
      </c>
      <c r="BC131" s="254"/>
      <c r="BD131" s="254"/>
      <c r="BE131" s="254"/>
      <c r="BF131" s="254"/>
    </row>
    <row r="132" spans="1:58" s="10" customFormat="1" ht="15.75" customHeight="1" x14ac:dyDescent="0.25">
      <c r="A132" s="113"/>
      <c r="B132" s="35" t="s">
        <v>184</v>
      </c>
      <c r="C132" s="44" t="s">
        <v>225</v>
      </c>
      <c r="D132" s="44" t="s">
        <v>33</v>
      </c>
      <c r="E132" s="44" t="s">
        <v>728</v>
      </c>
      <c r="F132" s="44" t="s">
        <v>727</v>
      </c>
      <c r="G132" s="44" t="s">
        <v>996</v>
      </c>
      <c r="H132" s="44" t="s">
        <v>997</v>
      </c>
      <c r="I132" s="360" t="str">
        <f t="shared" si="12"/>
        <v>A_WIN_TRI_VER_05</v>
      </c>
      <c r="J132" s="44">
        <v>5</v>
      </c>
      <c r="K132" s="372">
        <v>132</v>
      </c>
      <c r="L132" s="214"/>
      <c r="M132" s="214"/>
      <c r="N132" s="214"/>
      <c r="O132" s="217"/>
      <c r="P132" s="295"/>
      <c r="Q132" s="296"/>
      <c r="R132" s="296"/>
      <c r="S132" s="296"/>
      <c r="T132" s="296"/>
      <c r="U132" s="296"/>
      <c r="V132" s="296"/>
      <c r="W132" s="321"/>
      <c r="X132" s="296"/>
      <c r="Y132" s="296"/>
      <c r="Z132" s="222">
        <f t="shared" si="10"/>
        <v>0</v>
      </c>
      <c r="AC132" s="35" t="s">
        <v>184</v>
      </c>
      <c r="AD132" s="44" t="s">
        <v>225</v>
      </c>
      <c r="AE132" s="45" t="s">
        <v>33</v>
      </c>
      <c r="AF132" s="44" t="s">
        <v>728</v>
      </c>
      <c r="AG132" s="46" t="s">
        <v>727</v>
      </c>
      <c r="AH132" s="44" t="s">
        <v>996</v>
      </c>
      <c r="AI132" s="46" t="s">
        <v>997</v>
      </c>
      <c r="AJ132" s="69" t="s">
        <v>1545</v>
      </c>
      <c r="AK132" s="117">
        <v>5</v>
      </c>
      <c r="AL132" s="117">
        <v>132</v>
      </c>
      <c r="AM132" s="254"/>
      <c r="AN132" s="323" t="str">
        <f t="shared" si="7"/>
        <v/>
      </c>
      <c r="AO132" s="262"/>
      <c r="AP132" s="210" t="str">
        <f t="shared" si="11"/>
        <v/>
      </c>
      <c r="AQ132" s="214"/>
      <c r="AR132" s="210" t="s">
        <v>503</v>
      </c>
      <c r="AS132" s="262"/>
      <c r="AT132" s="214"/>
      <c r="AU132" s="254"/>
      <c r="AV132" s="254"/>
      <c r="AW132" s="254"/>
      <c r="AX132" s="254"/>
      <c r="AY132" s="254"/>
      <c r="AZ132" s="254"/>
      <c r="BA132" s="254"/>
      <c r="BB132" s="306" t="str">
        <f t="shared" si="6"/>
        <v/>
      </c>
      <c r="BC132" s="254"/>
      <c r="BD132" s="254"/>
      <c r="BE132" s="254"/>
      <c r="BF132" s="254"/>
    </row>
    <row r="133" spans="1:58" s="10" customFormat="1" ht="15.75" customHeight="1" x14ac:dyDescent="0.25">
      <c r="A133" s="113"/>
      <c r="B133" s="35"/>
      <c r="C133" s="44"/>
      <c r="D133" s="44"/>
      <c r="E133" s="44"/>
      <c r="F133" s="44"/>
      <c r="G133" s="44"/>
      <c r="H133" s="44"/>
      <c r="I133" s="360"/>
      <c r="J133" s="44"/>
      <c r="K133" s="372"/>
      <c r="L133" s="214"/>
      <c r="M133" s="214"/>
      <c r="N133" s="214"/>
      <c r="O133" s="217"/>
      <c r="P133" s="295"/>
      <c r="Q133" s="296"/>
      <c r="R133" s="296"/>
      <c r="S133" s="296"/>
      <c r="T133" s="296"/>
      <c r="U133" s="296"/>
      <c r="V133" s="296"/>
      <c r="W133" s="321"/>
      <c r="X133" s="296"/>
      <c r="Y133" s="296"/>
      <c r="Z133" s="222">
        <f t="shared" si="10"/>
        <v>0</v>
      </c>
      <c r="AC133" s="35"/>
      <c r="AD133" s="44"/>
      <c r="AE133" s="45"/>
      <c r="AF133" s="44"/>
      <c r="AG133" s="46"/>
      <c r="AH133" s="44"/>
      <c r="AI133" s="46"/>
      <c r="AJ133" s="69"/>
      <c r="AK133" s="117"/>
      <c r="AL133" s="117"/>
      <c r="AM133" s="254"/>
      <c r="AN133" s="323" t="str">
        <f t="shared" si="7"/>
        <v/>
      </c>
      <c r="AO133" s="262"/>
      <c r="AP133" s="210" t="str">
        <f t="shared" si="11"/>
        <v/>
      </c>
      <c r="AQ133" s="214"/>
      <c r="AR133" s="210" t="s">
        <v>503</v>
      </c>
      <c r="AS133" s="262"/>
      <c r="AT133" s="214"/>
      <c r="AU133" s="254"/>
      <c r="AV133" s="254"/>
      <c r="AW133" s="254"/>
      <c r="AX133" s="254"/>
      <c r="AY133" s="254"/>
      <c r="AZ133" s="254"/>
      <c r="BA133" s="254"/>
      <c r="BB133" s="306" t="str">
        <f t="shared" ref="BB133:BB196" si="13">IF(AO133="","",LEFT(AO133,SEARCH(".",AO133)-1))</f>
        <v/>
      </c>
      <c r="BC133" s="254"/>
      <c r="BD133" s="254"/>
      <c r="BE133" s="254"/>
      <c r="BF133" s="254"/>
    </row>
    <row r="134" spans="1:58" s="10" customFormat="1" ht="15.75" customHeight="1" x14ac:dyDescent="0.25">
      <c r="A134" s="113"/>
      <c r="B134" s="35"/>
      <c r="C134" s="44"/>
      <c r="D134" s="44"/>
      <c r="E134" s="44"/>
      <c r="F134" s="44"/>
      <c r="G134" s="44"/>
      <c r="H134" s="44"/>
      <c r="I134" s="360"/>
      <c r="J134" s="44"/>
      <c r="K134" s="372"/>
      <c r="L134" s="214"/>
      <c r="M134" s="214"/>
      <c r="N134" s="214"/>
      <c r="O134" s="217"/>
      <c r="P134" s="295"/>
      <c r="Q134" s="296"/>
      <c r="R134" s="296"/>
      <c r="S134" s="296"/>
      <c r="T134" s="296"/>
      <c r="U134" s="296"/>
      <c r="V134" s="296"/>
      <c r="W134" s="321"/>
      <c r="X134" s="296"/>
      <c r="Y134" s="296"/>
      <c r="Z134" s="222">
        <f t="shared" si="10"/>
        <v>0</v>
      </c>
      <c r="AC134" s="35"/>
      <c r="AD134" s="44"/>
      <c r="AE134" s="45"/>
      <c r="AF134" s="44"/>
      <c r="AG134" s="46"/>
      <c r="AH134" s="44"/>
      <c r="AI134" s="46"/>
      <c r="AJ134" s="69"/>
      <c r="AK134" s="117"/>
      <c r="AL134" s="117"/>
      <c r="AM134" s="254"/>
      <c r="AN134" s="323" t="str">
        <f t="shared" ref="AN134:AN197" si="14">IF(AO134="","",AN133+1)</f>
        <v/>
      </c>
      <c r="AO134" s="262"/>
      <c r="AP134" s="210" t="str">
        <f t="shared" si="11"/>
        <v/>
      </c>
      <c r="AQ134" s="214"/>
      <c r="AR134" s="210" t="s">
        <v>503</v>
      </c>
      <c r="AS134" s="262"/>
      <c r="AT134" s="214"/>
      <c r="AU134" s="254"/>
      <c r="AV134" s="254"/>
      <c r="AW134" s="254"/>
      <c r="AX134" s="254"/>
      <c r="AY134" s="254"/>
      <c r="AZ134" s="254"/>
      <c r="BA134" s="254"/>
      <c r="BB134" s="306" t="str">
        <f t="shared" si="13"/>
        <v/>
      </c>
      <c r="BC134" s="254"/>
      <c r="BD134" s="254"/>
      <c r="BE134" s="254"/>
      <c r="BF134" s="254"/>
    </row>
    <row r="135" spans="1:58" s="10" customFormat="1" ht="15.75" customHeight="1" x14ac:dyDescent="0.25">
      <c r="A135" s="113"/>
      <c r="B135" s="35"/>
      <c r="C135" s="44"/>
      <c r="D135" s="44"/>
      <c r="E135" s="44"/>
      <c r="F135" s="44"/>
      <c r="G135" s="44"/>
      <c r="H135" s="44"/>
      <c r="I135" s="360"/>
      <c r="J135" s="44"/>
      <c r="K135" s="372"/>
      <c r="L135" s="214"/>
      <c r="M135" s="214"/>
      <c r="N135" s="214"/>
      <c r="O135" s="217"/>
      <c r="P135" s="295"/>
      <c r="Q135" s="296"/>
      <c r="R135" s="296"/>
      <c r="S135" s="296"/>
      <c r="T135" s="296"/>
      <c r="U135" s="296"/>
      <c r="V135" s="296"/>
      <c r="W135" s="321"/>
      <c r="X135" s="296"/>
      <c r="Y135" s="296"/>
      <c r="Z135" s="222">
        <f t="shared" si="10"/>
        <v>0</v>
      </c>
      <c r="AC135" s="35"/>
      <c r="AD135" s="44"/>
      <c r="AE135" s="45"/>
      <c r="AF135" s="44"/>
      <c r="AG135" s="46"/>
      <c r="AH135" s="44"/>
      <c r="AI135" s="46"/>
      <c r="AJ135" s="69"/>
      <c r="AK135" s="117"/>
      <c r="AL135" s="117"/>
      <c r="AM135" s="254"/>
      <c r="AN135" s="323" t="str">
        <f t="shared" si="14"/>
        <v/>
      </c>
      <c r="AO135" s="262"/>
      <c r="AP135" s="210" t="str">
        <f t="shared" si="11"/>
        <v/>
      </c>
      <c r="AQ135" s="214"/>
      <c r="AR135" s="210" t="s">
        <v>503</v>
      </c>
      <c r="AS135" s="262"/>
      <c r="AT135" s="214"/>
      <c r="AU135" s="254"/>
      <c r="AV135" s="254"/>
      <c r="AW135" s="254"/>
      <c r="AX135" s="254"/>
      <c r="AY135" s="254"/>
      <c r="AZ135" s="254"/>
      <c r="BA135" s="254"/>
      <c r="BB135" s="306" t="str">
        <f t="shared" si="13"/>
        <v/>
      </c>
      <c r="BC135" s="254"/>
      <c r="BD135" s="254"/>
      <c r="BE135" s="254"/>
      <c r="BF135" s="254"/>
    </row>
    <row r="136" spans="1:58" s="10" customFormat="1" ht="15.75" customHeight="1" x14ac:dyDescent="0.25">
      <c r="A136" s="113"/>
      <c r="B136" s="35"/>
      <c r="C136" s="44"/>
      <c r="D136" s="44"/>
      <c r="E136" s="44"/>
      <c r="F136" s="44"/>
      <c r="G136" s="44"/>
      <c r="H136" s="44"/>
      <c r="I136" s="360"/>
      <c r="J136" s="44"/>
      <c r="K136" s="372"/>
      <c r="L136" s="214"/>
      <c r="M136" s="214"/>
      <c r="N136" s="214"/>
      <c r="O136" s="217"/>
      <c r="P136" s="295"/>
      <c r="Q136" s="296"/>
      <c r="R136" s="296"/>
      <c r="S136" s="296"/>
      <c r="T136" s="296"/>
      <c r="U136" s="296"/>
      <c r="V136" s="296"/>
      <c r="W136" s="321"/>
      <c r="X136" s="296"/>
      <c r="Y136" s="296"/>
      <c r="Z136" s="222">
        <f t="shared" si="10"/>
        <v>0</v>
      </c>
      <c r="AC136" s="35"/>
      <c r="AD136" s="44"/>
      <c r="AE136" s="45"/>
      <c r="AF136" s="44"/>
      <c r="AG136" s="46"/>
      <c r="AH136" s="44"/>
      <c r="AI136" s="46"/>
      <c r="AJ136" s="69"/>
      <c r="AK136" s="117"/>
      <c r="AL136" s="117"/>
      <c r="AM136" s="254"/>
      <c r="AN136" s="323" t="str">
        <f t="shared" si="14"/>
        <v/>
      </c>
      <c r="AO136" s="262"/>
      <c r="AP136" s="210" t="str">
        <f t="shared" si="11"/>
        <v/>
      </c>
      <c r="AQ136" s="214"/>
      <c r="AR136" s="210" t="s">
        <v>503</v>
      </c>
      <c r="AS136" s="262"/>
      <c r="AT136" s="214"/>
      <c r="AU136" s="254"/>
      <c r="AV136" s="254"/>
      <c r="AW136" s="254"/>
      <c r="AX136" s="254"/>
      <c r="AY136" s="254"/>
      <c r="AZ136" s="254"/>
      <c r="BA136" s="254"/>
      <c r="BB136" s="306" t="str">
        <f t="shared" si="13"/>
        <v/>
      </c>
      <c r="BC136" s="254"/>
      <c r="BD136" s="254"/>
      <c r="BE136" s="254"/>
      <c r="BF136" s="254"/>
    </row>
    <row r="137" spans="1:58" s="10" customFormat="1" ht="15.75" customHeight="1" x14ac:dyDescent="0.25">
      <c r="A137" s="113"/>
      <c r="B137" s="35"/>
      <c r="C137" s="44"/>
      <c r="D137" s="44"/>
      <c r="E137" s="44"/>
      <c r="F137" s="44"/>
      <c r="G137" s="44"/>
      <c r="H137" s="44"/>
      <c r="I137" s="360"/>
      <c r="J137" s="44"/>
      <c r="K137" s="372"/>
      <c r="L137" s="214"/>
      <c r="M137" s="214"/>
      <c r="N137" s="214"/>
      <c r="O137" s="217"/>
      <c r="P137" s="295"/>
      <c r="Q137" s="296"/>
      <c r="R137" s="296"/>
      <c r="S137" s="296"/>
      <c r="T137" s="296"/>
      <c r="U137" s="296"/>
      <c r="V137" s="296"/>
      <c r="W137" s="321"/>
      <c r="X137" s="296"/>
      <c r="Y137" s="296"/>
      <c r="Z137" s="222">
        <f t="shared" si="10"/>
        <v>0</v>
      </c>
      <c r="AC137" s="35"/>
      <c r="AD137" s="44"/>
      <c r="AE137" s="45"/>
      <c r="AF137" s="44"/>
      <c r="AG137" s="46"/>
      <c r="AH137" s="44"/>
      <c r="AI137" s="46"/>
      <c r="AJ137" s="69"/>
      <c r="AK137" s="117"/>
      <c r="AL137" s="117"/>
      <c r="AM137" s="254"/>
      <c r="AN137" s="323" t="str">
        <f t="shared" si="14"/>
        <v/>
      </c>
      <c r="AO137" s="262"/>
      <c r="AP137" s="210" t="str">
        <f t="shared" si="11"/>
        <v/>
      </c>
      <c r="AQ137" s="214"/>
      <c r="AR137" s="210" t="s">
        <v>503</v>
      </c>
      <c r="AS137" s="262"/>
      <c r="AT137" s="214"/>
      <c r="AU137" s="254"/>
      <c r="AV137" s="254"/>
      <c r="AW137" s="254"/>
      <c r="AX137" s="254"/>
      <c r="AY137" s="254"/>
      <c r="AZ137" s="254"/>
      <c r="BA137" s="254"/>
      <c r="BB137" s="306" t="str">
        <f t="shared" si="13"/>
        <v/>
      </c>
      <c r="BC137" s="254"/>
      <c r="BD137" s="254"/>
      <c r="BE137" s="254"/>
      <c r="BF137" s="254"/>
    </row>
    <row r="138" spans="1:58" s="10" customFormat="1" ht="15.75" customHeight="1" x14ac:dyDescent="0.25">
      <c r="A138" s="113"/>
      <c r="B138" s="35"/>
      <c r="C138" s="44"/>
      <c r="D138" s="44"/>
      <c r="E138" s="44"/>
      <c r="F138" s="44"/>
      <c r="G138" s="44"/>
      <c r="H138" s="44"/>
      <c r="I138" s="360"/>
      <c r="J138" s="44"/>
      <c r="K138" s="372"/>
      <c r="L138" s="214"/>
      <c r="M138" s="214"/>
      <c r="N138" s="214"/>
      <c r="O138" s="217"/>
      <c r="P138" s="295"/>
      <c r="Q138" s="296"/>
      <c r="R138" s="296"/>
      <c r="S138" s="296"/>
      <c r="T138" s="296"/>
      <c r="U138" s="296"/>
      <c r="V138" s="296"/>
      <c r="W138" s="321"/>
      <c r="X138" s="296"/>
      <c r="Y138" s="296"/>
      <c r="Z138" s="222">
        <f t="shared" si="10"/>
        <v>0</v>
      </c>
      <c r="AC138" s="35"/>
      <c r="AD138" s="44"/>
      <c r="AE138" s="45"/>
      <c r="AF138" s="44"/>
      <c r="AG138" s="46"/>
      <c r="AH138" s="44"/>
      <c r="AI138" s="46"/>
      <c r="AJ138" s="69"/>
      <c r="AK138" s="117"/>
      <c r="AL138" s="117"/>
      <c r="AM138" s="254"/>
      <c r="AN138" s="323" t="str">
        <f t="shared" si="14"/>
        <v/>
      </c>
      <c r="AO138" s="262"/>
      <c r="AP138" s="210" t="str">
        <f t="shared" si="11"/>
        <v/>
      </c>
      <c r="AQ138" s="214"/>
      <c r="AR138" s="210" t="s">
        <v>503</v>
      </c>
      <c r="AS138" s="262"/>
      <c r="AT138" s="214"/>
      <c r="AU138" s="254"/>
      <c r="AV138" s="254"/>
      <c r="AW138" s="254"/>
      <c r="AX138" s="254"/>
      <c r="AY138" s="254"/>
      <c r="AZ138" s="254"/>
      <c r="BA138" s="254"/>
      <c r="BB138" s="306" t="str">
        <f t="shared" si="13"/>
        <v/>
      </c>
      <c r="BC138" s="254"/>
      <c r="BD138" s="254"/>
      <c r="BE138" s="254"/>
      <c r="BF138" s="254"/>
    </row>
    <row r="139" spans="1:58" s="10" customFormat="1" ht="15.75" customHeight="1" x14ac:dyDescent="0.25">
      <c r="A139" s="113"/>
      <c r="B139" s="35"/>
      <c r="C139" s="44"/>
      <c r="D139" s="44"/>
      <c r="E139" s="44"/>
      <c r="F139" s="44"/>
      <c r="G139" s="44"/>
      <c r="H139" s="44"/>
      <c r="I139" s="360"/>
      <c r="J139" s="44"/>
      <c r="K139" s="372"/>
      <c r="L139" s="214"/>
      <c r="M139" s="214"/>
      <c r="N139" s="214"/>
      <c r="O139" s="217"/>
      <c r="P139" s="295"/>
      <c r="Q139" s="296"/>
      <c r="R139" s="296"/>
      <c r="S139" s="296"/>
      <c r="T139" s="296"/>
      <c r="U139" s="296"/>
      <c r="V139" s="296"/>
      <c r="W139" s="321"/>
      <c r="X139" s="296"/>
      <c r="Y139" s="296"/>
      <c r="Z139" s="222">
        <f t="shared" si="10"/>
        <v>0</v>
      </c>
      <c r="AC139" s="35"/>
      <c r="AD139" s="44"/>
      <c r="AE139" s="45"/>
      <c r="AF139" s="44"/>
      <c r="AG139" s="46"/>
      <c r="AH139" s="44"/>
      <c r="AI139" s="46"/>
      <c r="AJ139" s="69"/>
      <c r="AK139" s="117"/>
      <c r="AL139" s="117"/>
      <c r="AM139" s="254"/>
      <c r="AN139" s="323" t="str">
        <f t="shared" si="14"/>
        <v/>
      </c>
      <c r="AO139" s="262"/>
      <c r="AP139" s="210" t="str">
        <f t="shared" si="11"/>
        <v/>
      </c>
      <c r="AQ139" s="214"/>
      <c r="AR139" s="210" t="s">
        <v>503</v>
      </c>
      <c r="AS139" s="262"/>
      <c r="AT139" s="214"/>
      <c r="AU139" s="254"/>
      <c r="AV139" s="254"/>
      <c r="AW139" s="254"/>
      <c r="AX139" s="254"/>
      <c r="AY139" s="254"/>
      <c r="AZ139" s="254"/>
      <c r="BA139" s="254"/>
      <c r="BB139" s="306" t="str">
        <f t="shared" si="13"/>
        <v/>
      </c>
      <c r="BC139" s="254"/>
      <c r="BD139" s="254"/>
      <c r="BE139" s="254"/>
      <c r="BF139" s="254"/>
    </row>
    <row r="140" spans="1:58" s="10" customFormat="1" ht="15.75" customHeight="1" x14ac:dyDescent="0.25">
      <c r="A140" s="113"/>
      <c r="B140" s="35"/>
      <c r="C140" s="44"/>
      <c r="D140" s="44"/>
      <c r="E140" s="44"/>
      <c r="F140" s="44"/>
      <c r="G140" s="44"/>
      <c r="H140" s="44"/>
      <c r="I140" s="360"/>
      <c r="J140" s="44"/>
      <c r="K140" s="372"/>
      <c r="L140" s="214"/>
      <c r="M140" s="214"/>
      <c r="N140" s="214"/>
      <c r="O140" s="217"/>
      <c r="P140" s="295"/>
      <c r="Q140" s="296"/>
      <c r="R140" s="296"/>
      <c r="S140" s="296"/>
      <c r="T140" s="296"/>
      <c r="U140" s="296"/>
      <c r="V140" s="296"/>
      <c r="W140" s="321"/>
      <c r="X140" s="296"/>
      <c r="Y140" s="296"/>
      <c r="Z140" s="222">
        <f t="shared" si="10"/>
        <v>0</v>
      </c>
      <c r="AC140" s="35"/>
      <c r="AD140" s="44"/>
      <c r="AE140" s="45"/>
      <c r="AF140" s="44"/>
      <c r="AG140" s="46"/>
      <c r="AH140" s="44"/>
      <c r="AI140" s="46"/>
      <c r="AJ140" s="69"/>
      <c r="AK140" s="117"/>
      <c r="AL140" s="117"/>
      <c r="AM140" s="254"/>
      <c r="AN140" s="323" t="str">
        <f t="shared" si="14"/>
        <v/>
      </c>
      <c r="AO140" s="262"/>
      <c r="AP140" s="210" t="str">
        <f t="shared" si="11"/>
        <v/>
      </c>
      <c r="AQ140" s="214"/>
      <c r="AR140" s="210" t="s">
        <v>503</v>
      </c>
      <c r="AS140" s="262"/>
      <c r="AT140" s="214"/>
      <c r="AU140" s="254"/>
      <c r="AV140" s="254"/>
      <c r="AW140" s="254"/>
      <c r="AX140" s="254"/>
      <c r="AY140" s="254"/>
      <c r="AZ140" s="254"/>
      <c r="BA140" s="254"/>
      <c r="BB140" s="306" t="str">
        <f t="shared" si="13"/>
        <v/>
      </c>
      <c r="BC140" s="254"/>
      <c r="BD140" s="254"/>
      <c r="BE140" s="254"/>
      <c r="BF140" s="254"/>
    </row>
    <row r="141" spans="1:58" s="10" customFormat="1" ht="15.75" customHeight="1" x14ac:dyDescent="0.25">
      <c r="A141" s="113"/>
      <c r="B141" s="35"/>
      <c r="C141" s="44"/>
      <c r="D141" s="44"/>
      <c r="E141" s="44"/>
      <c r="F141" s="44"/>
      <c r="G141" s="44"/>
      <c r="H141" s="44"/>
      <c r="I141" s="360"/>
      <c r="J141" s="44"/>
      <c r="K141" s="372"/>
      <c r="L141" s="214"/>
      <c r="M141" s="214"/>
      <c r="N141" s="214"/>
      <c r="O141" s="217"/>
      <c r="P141" s="295"/>
      <c r="Q141" s="296"/>
      <c r="R141" s="296"/>
      <c r="S141" s="296"/>
      <c r="T141" s="296"/>
      <c r="U141" s="296"/>
      <c r="V141" s="296"/>
      <c r="W141" s="321"/>
      <c r="X141" s="296"/>
      <c r="Y141" s="296"/>
      <c r="Z141" s="222">
        <f t="shared" si="10"/>
        <v>0</v>
      </c>
      <c r="AC141" s="35"/>
      <c r="AD141" s="44"/>
      <c r="AE141" s="45"/>
      <c r="AF141" s="44"/>
      <c r="AG141" s="46"/>
      <c r="AH141" s="44"/>
      <c r="AI141" s="46"/>
      <c r="AJ141" s="69"/>
      <c r="AK141" s="117"/>
      <c r="AL141" s="117"/>
      <c r="AM141" s="254"/>
      <c r="AN141" s="323" t="str">
        <f t="shared" si="14"/>
        <v/>
      </c>
      <c r="AO141" s="262"/>
      <c r="AP141" s="210" t="str">
        <f t="shared" si="11"/>
        <v/>
      </c>
      <c r="AQ141" s="214"/>
      <c r="AR141" s="210" t="s">
        <v>503</v>
      </c>
      <c r="AS141" s="262"/>
      <c r="AT141" s="214"/>
      <c r="AU141" s="254"/>
      <c r="AV141" s="254"/>
      <c r="AW141" s="254"/>
      <c r="AX141" s="254"/>
      <c r="AY141" s="254"/>
      <c r="AZ141" s="254"/>
      <c r="BA141" s="254"/>
      <c r="BB141" s="306" t="str">
        <f t="shared" si="13"/>
        <v/>
      </c>
      <c r="BC141" s="254"/>
      <c r="BD141" s="254"/>
      <c r="BE141" s="254"/>
      <c r="BF141" s="254"/>
    </row>
    <row r="142" spans="1:58" s="10" customFormat="1" ht="15.75" customHeight="1" x14ac:dyDescent="0.25">
      <c r="A142" s="113"/>
      <c r="B142" s="35"/>
      <c r="C142" s="44"/>
      <c r="D142" s="44"/>
      <c r="E142" s="44"/>
      <c r="F142" s="44"/>
      <c r="G142" s="44"/>
      <c r="H142" s="44"/>
      <c r="I142" s="360"/>
      <c r="J142" s="44"/>
      <c r="K142" s="372"/>
      <c r="L142" s="214"/>
      <c r="M142" s="214"/>
      <c r="N142" s="214"/>
      <c r="O142" s="217"/>
      <c r="P142" s="295"/>
      <c r="Q142" s="296"/>
      <c r="R142" s="296"/>
      <c r="S142" s="296"/>
      <c r="T142" s="296"/>
      <c r="U142" s="296"/>
      <c r="V142" s="296"/>
      <c r="W142" s="321"/>
      <c r="X142" s="296"/>
      <c r="Y142" s="296"/>
      <c r="Z142" s="222">
        <f t="shared" si="10"/>
        <v>0</v>
      </c>
      <c r="AC142" s="35"/>
      <c r="AD142" s="44"/>
      <c r="AE142" s="45"/>
      <c r="AF142" s="44"/>
      <c r="AG142" s="46"/>
      <c r="AH142" s="44"/>
      <c r="AI142" s="46"/>
      <c r="AJ142" s="69"/>
      <c r="AK142" s="117"/>
      <c r="AL142" s="117"/>
      <c r="AM142" s="254"/>
      <c r="AN142" s="323" t="str">
        <f t="shared" si="14"/>
        <v/>
      </c>
      <c r="AO142" s="262"/>
      <c r="AP142" s="210" t="str">
        <f t="shared" si="11"/>
        <v/>
      </c>
      <c r="AQ142" s="214"/>
      <c r="AR142" s="210" t="s">
        <v>503</v>
      </c>
      <c r="AS142" s="262"/>
      <c r="AT142" s="214"/>
      <c r="AU142" s="254"/>
      <c r="AV142" s="254"/>
      <c r="AW142" s="254"/>
      <c r="AX142" s="254"/>
      <c r="AY142" s="254"/>
      <c r="AZ142" s="254"/>
      <c r="BA142" s="254"/>
      <c r="BB142" s="306" t="str">
        <f t="shared" si="13"/>
        <v/>
      </c>
      <c r="BC142" s="254"/>
      <c r="BD142" s="254"/>
      <c r="BE142" s="254"/>
      <c r="BF142" s="254"/>
    </row>
    <row r="143" spans="1:58" s="10" customFormat="1" ht="15.75" customHeight="1" x14ac:dyDescent="0.25">
      <c r="A143" s="113"/>
      <c r="B143" s="35"/>
      <c r="C143" s="44"/>
      <c r="D143" s="44"/>
      <c r="E143" s="44"/>
      <c r="F143" s="44"/>
      <c r="G143" s="44"/>
      <c r="H143" s="44"/>
      <c r="I143" s="360"/>
      <c r="J143" s="44"/>
      <c r="K143" s="372"/>
      <c r="L143" s="214"/>
      <c r="M143" s="214"/>
      <c r="N143" s="214"/>
      <c r="O143" s="217"/>
      <c r="P143" s="295"/>
      <c r="Q143" s="296"/>
      <c r="R143" s="296"/>
      <c r="S143" s="296"/>
      <c r="T143" s="296"/>
      <c r="U143" s="296"/>
      <c r="V143" s="296"/>
      <c r="W143" s="321"/>
      <c r="X143" s="296"/>
      <c r="Y143" s="296"/>
      <c r="Z143" s="222">
        <f t="shared" si="10"/>
        <v>0</v>
      </c>
      <c r="AC143" s="35"/>
      <c r="AD143" s="44"/>
      <c r="AE143" s="45"/>
      <c r="AF143" s="44"/>
      <c r="AG143" s="46"/>
      <c r="AH143" s="44"/>
      <c r="AI143" s="46"/>
      <c r="AJ143" s="69"/>
      <c r="AK143" s="117"/>
      <c r="AL143" s="117"/>
      <c r="AM143" s="254"/>
      <c r="AN143" s="323" t="str">
        <f t="shared" si="14"/>
        <v/>
      </c>
      <c r="AO143" s="262"/>
      <c r="AP143" s="210" t="str">
        <f t="shared" si="11"/>
        <v/>
      </c>
      <c r="AQ143" s="214"/>
      <c r="AR143" s="210" t="s">
        <v>503</v>
      </c>
      <c r="AS143" s="262"/>
      <c r="AT143" s="214"/>
      <c r="AU143" s="254"/>
      <c r="AV143" s="254"/>
      <c r="AW143" s="254"/>
      <c r="AX143" s="254"/>
      <c r="AY143" s="254"/>
      <c r="AZ143" s="254"/>
      <c r="BA143" s="254"/>
      <c r="BB143" s="306" t="str">
        <f t="shared" si="13"/>
        <v/>
      </c>
      <c r="BC143" s="254"/>
      <c r="BD143" s="254"/>
      <c r="BE143" s="254"/>
      <c r="BF143" s="254"/>
    </row>
    <row r="144" spans="1:58" s="10" customFormat="1" ht="15.75" customHeight="1" x14ac:dyDescent="0.25">
      <c r="A144" s="113"/>
      <c r="B144" s="35"/>
      <c r="C144" s="44"/>
      <c r="D144" s="44"/>
      <c r="E144" s="44"/>
      <c r="F144" s="44"/>
      <c r="G144" s="44"/>
      <c r="H144" s="44"/>
      <c r="I144" s="360"/>
      <c r="J144" s="44"/>
      <c r="K144" s="372"/>
      <c r="L144" s="214"/>
      <c r="M144" s="214"/>
      <c r="N144" s="214"/>
      <c r="O144" s="217"/>
      <c r="P144" s="295"/>
      <c r="Q144" s="296"/>
      <c r="R144" s="296"/>
      <c r="S144" s="296"/>
      <c r="T144" s="296"/>
      <c r="U144" s="296"/>
      <c r="V144" s="296"/>
      <c r="W144" s="321"/>
      <c r="X144" s="296"/>
      <c r="Y144" s="296"/>
      <c r="Z144" s="222">
        <f t="shared" si="10"/>
        <v>0</v>
      </c>
      <c r="AC144" s="35"/>
      <c r="AD144" s="44"/>
      <c r="AE144" s="45"/>
      <c r="AF144" s="44"/>
      <c r="AG144" s="46"/>
      <c r="AH144" s="44"/>
      <c r="AI144" s="46"/>
      <c r="AJ144" s="69"/>
      <c r="AK144" s="117"/>
      <c r="AL144" s="117"/>
      <c r="AM144" s="254"/>
      <c r="AN144" s="323" t="str">
        <f t="shared" si="14"/>
        <v/>
      </c>
      <c r="AO144" s="262"/>
      <c r="AP144" s="210" t="str">
        <f t="shared" si="11"/>
        <v/>
      </c>
      <c r="AQ144" s="214"/>
      <c r="AR144" s="210" t="s">
        <v>503</v>
      </c>
      <c r="AS144" s="262"/>
      <c r="AT144" s="214"/>
      <c r="AU144" s="254"/>
      <c r="AV144" s="254"/>
      <c r="AW144" s="254"/>
      <c r="AX144" s="254"/>
      <c r="AY144" s="254"/>
      <c r="AZ144" s="254"/>
      <c r="BA144" s="254"/>
      <c r="BB144" s="306" t="str">
        <f t="shared" si="13"/>
        <v/>
      </c>
      <c r="BC144" s="254"/>
      <c r="BD144" s="254"/>
      <c r="BE144" s="254"/>
      <c r="BF144" s="254"/>
    </row>
    <row r="145" spans="1:58" s="10" customFormat="1" ht="15.75" customHeight="1" x14ac:dyDescent="0.25">
      <c r="A145" s="113"/>
      <c r="B145" s="35"/>
      <c r="C145" s="44"/>
      <c r="D145" s="44"/>
      <c r="E145" s="44"/>
      <c r="F145" s="44"/>
      <c r="G145" s="44"/>
      <c r="H145" s="44"/>
      <c r="I145" s="360"/>
      <c r="J145" s="44"/>
      <c r="K145" s="372"/>
      <c r="L145" s="214"/>
      <c r="M145" s="214"/>
      <c r="N145" s="214"/>
      <c r="O145" s="217"/>
      <c r="P145" s="295"/>
      <c r="Q145" s="296"/>
      <c r="R145" s="296"/>
      <c r="S145" s="296"/>
      <c r="T145" s="296"/>
      <c r="U145" s="296"/>
      <c r="V145" s="296"/>
      <c r="W145" s="321"/>
      <c r="X145" s="296"/>
      <c r="Y145" s="296"/>
      <c r="Z145" s="222">
        <f t="shared" si="10"/>
        <v>0</v>
      </c>
      <c r="AC145" s="35"/>
      <c r="AD145" s="44"/>
      <c r="AE145" s="45"/>
      <c r="AF145" s="44"/>
      <c r="AG145" s="46"/>
      <c r="AH145" s="44"/>
      <c r="AI145" s="46"/>
      <c r="AJ145" s="69"/>
      <c r="AK145" s="117"/>
      <c r="AL145" s="117"/>
      <c r="AM145" s="254"/>
      <c r="AN145" s="323" t="str">
        <f t="shared" si="14"/>
        <v/>
      </c>
      <c r="AO145" s="262"/>
      <c r="AP145" s="210" t="str">
        <f t="shared" si="11"/>
        <v/>
      </c>
      <c r="AQ145" s="214"/>
      <c r="AR145" s="210" t="s">
        <v>503</v>
      </c>
      <c r="AS145" s="262"/>
      <c r="AT145" s="214"/>
      <c r="AU145" s="254"/>
      <c r="AV145" s="254"/>
      <c r="AW145" s="254"/>
      <c r="AX145" s="254"/>
      <c r="AY145" s="254"/>
      <c r="AZ145" s="254"/>
      <c r="BA145" s="254"/>
      <c r="BB145" s="306" t="str">
        <f t="shared" si="13"/>
        <v/>
      </c>
      <c r="BC145" s="254"/>
      <c r="BD145" s="254"/>
      <c r="BE145" s="254"/>
      <c r="BF145" s="254"/>
    </row>
    <row r="146" spans="1:58" s="10" customFormat="1" ht="15.75" customHeight="1" x14ac:dyDescent="0.25">
      <c r="A146" s="113"/>
      <c r="B146" s="35"/>
      <c r="C146" s="44"/>
      <c r="D146" s="44"/>
      <c r="E146" s="44"/>
      <c r="F146" s="44"/>
      <c r="G146" s="44"/>
      <c r="H146" s="44"/>
      <c r="I146" s="360"/>
      <c r="J146" s="44"/>
      <c r="K146" s="372"/>
      <c r="L146" s="214"/>
      <c r="M146" s="214"/>
      <c r="N146" s="214"/>
      <c r="O146" s="217"/>
      <c r="P146" s="295"/>
      <c r="Q146" s="296"/>
      <c r="R146" s="296"/>
      <c r="S146" s="296"/>
      <c r="T146" s="296"/>
      <c r="U146" s="296"/>
      <c r="V146" s="296"/>
      <c r="W146" s="321"/>
      <c r="X146" s="296"/>
      <c r="Y146" s="296"/>
      <c r="Z146" s="222">
        <f t="shared" si="10"/>
        <v>0</v>
      </c>
      <c r="AC146" s="35"/>
      <c r="AD146" s="44"/>
      <c r="AE146" s="45"/>
      <c r="AF146" s="44"/>
      <c r="AG146" s="46"/>
      <c r="AH146" s="44"/>
      <c r="AI146" s="46"/>
      <c r="AJ146" s="69"/>
      <c r="AK146" s="117"/>
      <c r="AL146" s="117"/>
      <c r="AM146" s="254"/>
      <c r="AN146" s="323" t="str">
        <f t="shared" si="14"/>
        <v/>
      </c>
      <c r="AO146" s="262"/>
      <c r="AP146" s="210" t="str">
        <f t="shared" si="11"/>
        <v/>
      </c>
      <c r="AQ146" s="214"/>
      <c r="AR146" s="210" t="s">
        <v>503</v>
      </c>
      <c r="AS146" s="262"/>
      <c r="AT146" s="214"/>
      <c r="AU146" s="254"/>
      <c r="AV146" s="254"/>
      <c r="AW146" s="254"/>
      <c r="AX146" s="254"/>
      <c r="AY146" s="254"/>
      <c r="AZ146" s="254"/>
      <c r="BA146" s="254"/>
      <c r="BB146" s="306" t="str">
        <f t="shared" si="13"/>
        <v/>
      </c>
      <c r="BC146" s="254"/>
      <c r="BD146" s="254"/>
      <c r="BE146" s="254"/>
      <c r="BF146" s="254"/>
    </row>
    <row r="147" spans="1:58" s="10" customFormat="1" ht="15.75" customHeight="1" x14ac:dyDescent="0.25">
      <c r="A147" s="113"/>
      <c r="B147" s="35"/>
      <c r="C147" s="44"/>
      <c r="D147" s="44"/>
      <c r="E147" s="44"/>
      <c r="F147" s="44"/>
      <c r="G147" s="44"/>
      <c r="H147" s="44"/>
      <c r="I147" s="360"/>
      <c r="J147" s="44"/>
      <c r="K147" s="372"/>
      <c r="L147" s="214"/>
      <c r="M147" s="214"/>
      <c r="N147" s="214"/>
      <c r="O147" s="217"/>
      <c r="P147" s="295"/>
      <c r="Q147" s="296"/>
      <c r="R147" s="296"/>
      <c r="S147" s="296"/>
      <c r="T147" s="296"/>
      <c r="U147" s="296"/>
      <c r="V147" s="296"/>
      <c r="W147" s="321"/>
      <c r="X147" s="296"/>
      <c r="Y147" s="296"/>
      <c r="Z147" s="222">
        <f t="shared" si="10"/>
        <v>0</v>
      </c>
      <c r="AC147" s="35"/>
      <c r="AD147" s="44"/>
      <c r="AE147" s="45"/>
      <c r="AF147" s="44"/>
      <c r="AG147" s="46"/>
      <c r="AH147" s="44"/>
      <c r="AI147" s="46"/>
      <c r="AJ147" s="69"/>
      <c r="AK147" s="117"/>
      <c r="AL147" s="117"/>
      <c r="AM147" s="254"/>
      <c r="AN147" s="323" t="str">
        <f t="shared" si="14"/>
        <v/>
      </c>
      <c r="AO147" s="262"/>
      <c r="AP147" s="210" t="str">
        <f t="shared" si="11"/>
        <v/>
      </c>
      <c r="AQ147" s="214"/>
      <c r="AR147" s="210" t="s">
        <v>503</v>
      </c>
      <c r="AS147" s="262"/>
      <c r="AT147" s="214"/>
      <c r="AU147" s="254"/>
      <c r="AV147" s="254"/>
      <c r="AW147" s="254"/>
      <c r="AX147" s="254"/>
      <c r="AY147" s="254"/>
      <c r="AZ147" s="254"/>
      <c r="BA147" s="254"/>
      <c r="BB147" s="306" t="str">
        <f t="shared" si="13"/>
        <v/>
      </c>
      <c r="BC147" s="254"/>
      <c r="BD147" s="254"/>
      <c r="BE147" s="254"/>
      <c r="BF147" s="254"/>
    </row>
    <row r="148" spans="1:58" s="10" customFormat="1" ht="15.75" customHeight="1" x14ac:dyDescent="0.25">
      <c r="A148" s="113"/>
      <c r="B148" s="35"/>
      <c r="C148" s="44"/>
      <c r="D148" s="44"/>
      <c r="E148" s="44"/>
      <c r="F148" s="44"/>
      <c r="G148" s="44"/>
      <c r="H148" s="44"/>
      <c r="I148" s="360"/>
      <c r="J148" s="44"/>
      <c r="K148" s="372"/>
      <c r="L148" s="214"/>
      <c r="M148" s="214"/>
      <c r="N148" s="214"/>
      <c r="O148" s="217"/>
      <c r="P148" s="295"/>
      <c r="Q148" s="296"/>
      <c r="R148" s="296"/>
      <c r="S148" s="296"/>
      <c r="T148" s="296"/>
      <c r="U148" s="296"/>
      <c r="V148" s="296"/>
      <c r="W148" s="321"/>
      <c r="X148" s="296"/>
      <c r="Y148" s="296"/>
      <c r="Z148" s="222">
        <f t="shared" si="10"/>
        <v>0</v>
      </c>
      <c r="AC148" s="35"/>
      <c r="AD148" s="44"/>
      <c r="AE148" s="45"/>
      <c r="AF148" s="44"/>
      <c r="AG148" s="46"/>
      <c r="AH148" s="44"/>
      <c r="AI148" s="46"/>
      <c r="AJ148" s="69"/>
      <c r="AK148" s="117"/>
      <c r="AL148" s="117"/>
      <c r="AM148" s="254"/>
      <c r="AN148" s="323" t="str">
        <f t="shared" si="14"/>
        <v/>
      </c>
      <c r="AO148" s="262"/>
      <c r="AP148" s="210" t="str">
        <f t="shared" si="11"/>
        <v/>
      </c>
      <c r="AQ148" s="214"/>
      <c r="AR148" s="210" t="s">
        <v>503</v>
      </c>
      <c r="AS148" s="262"/>
      <c r="AT148" s="214"/>
      <c r="AU148" s="254"/>
      <c r="AV148" s="254"/>
      <c r="AW148" s="254"/>
      <c r="AX148" s="254"/>
      <c r="AY148" s="254"/>
      <c r="AZ148" s="254"/>
      <c r="BA148" s="254"/>
      <c r="BB148" s="306" t="str">
        <f t="shared" si="13"/>
        <v/>
      </c>
      <c r="BC148" s="254"/>
      <c r="BD148" s="254"/>
      <c r="BE148" s="254"/>
      <c r="BF148" s="254"/>
    </row>
    <row r="149" spans="1:58" s="10" customFormat="1" ht="15.75" customHeight="1" x14ac:dyDescent="0.25">
      <c r="A149" s="113"/>
      <c r="B149" s="35"/>
      <c r="C149" s="44"/>
      <c r="D149" s="44"/>
      <c r="E149" s="44"/>
      <c r="F149" s="44"/>
      <c r="G149" s="44"/>
      <c r="H149" s="44"/>
      <c r="I149" s="360"/>
      <c r="J149" s="44"/>
      <c r="K149" s="372"/>
      <c r="L149" s="214"/>
      <c r="M149" s="214"/>
      <c r="N149" s="214"/>
      <c r="O149" s="217"/>
      <c r="P149" s="295"/>
      <c r="Q149" s="296"/>
      <c r="R149" s="296"/>
      <c r="S149" s="296"/>
      <c r="T149" s="296"/>
      <c r="U149" s="296"/>
      <c r="V149" s="296"/>
      <c r="W149" s="321"/>
      <c r="X149" s="296"/>
      <c r="Y149" s="296"/>
      <c r="Z149" s="222">
        <f t="shared" si="10"/>
        <v>0</v>
      </c>
      <c r="AC149" s="35"/>
      <c r="AD149" s="44"/>
      <c r="AE149" s="45"/>
      <c r="AF149" s="44"/>
      <c r="AG149" s="46"/>
      <c r="AH149" s="44"/>
      <c r="AI149" s="46"/>
      <c r="AJ149" s="69"/>
      <c r="AK149" s="117"/>
      <c r="AL149" s="117"/>
      <c r="AM149" s="254"/>
      <c r="AN149" s="323" t="str">
        <f t="shared" si="14"/>
        <v/>
      </c>
      <c r="AO149" s="262"/>
      <c r="AP149" s="210" t="str">
        <f t="shared" si="11"/>
        <v/>
      </c>
      <c r="AQ149" s="214"/>
      <c r="AR149" s="210" t="s">
        <v>503</v>
      </c>
      <c r="AS149" s="262"/>
      <c r="AT149" s="214"/>
      <c r="AU149" s="254"/>
      <c r="AV149" s="254"/>
      <c r="AW149" s="254"/>
      <c r="AX149" s="254"/>
      <c r="AY149" s="254"/>
      <c r="AZ149" s="254"/>
      <c r="BA149" s="254"/>
      <c r="BB149" s="306" t="str">
        <f t="shared" si="13"/>
        <v/>
      </c>
      <c r="BC149" s="254"/>
      <c r="BD149" s="254"/>
      <c r="BE149" s="254"/>
      <c r="BF149" s="254"/>
    </row>
    <row r="150" spans="1:58" s="10" customFormat="1" ht="15.75" customHeight="1" x14ac:dyDescent="0.25">
      <c r="A150" s="113"/>
      <c r="B150" s="35"/>
      <c r="C150" s="44"/>
      <c r="D150" s="44"/>
      <c r="E150" s="44"/>
      <c r="F150" s="44"/>
      <c r="G150" s="44"/>
      <c r="H150" s="44"/>
      <c r="I150" s="360"/>
      <c r="J150" s="44"/>
      <c r="K150" s="372"/>
      <c r="L150" s="214"/>
      <c r="M150" s="214"/>
      <c r="N150" s="214"/>
      <c r="O150" s="217"/>
      <c r="P150" s="295"/>
      <c r="Q150" s="296"/>
      <c r="R150" s="296"/>
      <c r="S150" s="296"/>
      <c r="T150" s="296"/>
      <c r="U150" s="296"/>
      <c r="V150" s="296"/>
      <c r="W150" s="321"/>
      <c r="X150" s="296"/>
      <c r="Y150" s="296"/>
      <c r="Z150" s="222">
        <f t="shared" si="10"/>
        <v>0</v>
      </c>
      <c r="AC150" s="35"/>
      <c r="AD150" s="44"/>
      <c r="AE150" s="45"/>
      <c r="AF150" s="44"/>
      <c r="AG150" s="46"/>
      <c r="AH150" s="44"/>
      <c r="AI150" s="46"/>
      <c r="AJ150" s="69"/>
      <c r="AK150" s="117"/>
      <c r="AL150" s="117"/>
      <c r="AM150" s="254"/>
      <c r="AN150" s="323" t="str">
        <f t="shared" si="14"/>
        <v/>
      </c>
      <c r="AO150" s="262"/>
      <c r="AP150" s="210" t="str">
        <f t="shared" si="11"/>
        <v/>
      </c>
      <c r="AQ150" s="214"/>
      <c r="AR150" s="210" t="s">
        <v>503</v>
      </c>
      <c r="AS150" s="262"/>
      <c r="AT150" s="214"/>
      <c r="AU150" s="254"/>
      <c r="AV150" s="254"/>
      <c r="AW150" s="254"/>
      <c r="AX150" s="254"/>
      <c r="AY150" s="254"/>
      <c r="AZ150" s="254"/>
      <c r="BA150" s="254"/>
      <c r="BB150" s="306" t="str">
        <f t="shared" si="13"/>
        <v/>
      </c>
      <c r="BC150" s="254"/>
      <c r="BD150" s="254"/>
      <c r="BE150" s="254"/>
      <c r="BF150" s="254"/>
    </row>
    <row r="151" spans="1:58" s="10" customFormat="1" ht="15.75" customHeight="1" x14ac:dyDescent="0.25">
      <c r="A151" s="113"/>
      <c r="B151" s="35"/>
      <c r="C151" s="44"/>
      <c r="D151" s="44"/>
      <c r="E151" s="44"/>
      <c r="F151" s="44"/>
      <c r="G151" s="44"/>
      <c r="H151" s="44"/>
      <c r="I151" s="360"/>
      <c r="J151" s="44"/>
      <c r="K151" s="372"/>
      <c r="L151" s="214"/>
      <c r="M151" s="214"/>
      <c r="N151" s="214"/>
      <c r="O151" s="217"/>
      <c r="P151" s="295"/>
      <c r="Q151" s="296"/>
      <c r="R151" s="296"/>
      <c r="S151" s="296"/>
      <c r="T151" s="296"/>
      <c r="U151" s="296"/>
      <c r="V151" s="296"/>
      <c r="W151" s="321"/>
      <c r="X151" s="296"/>
      <c r="Y151" s="296"/>
      <c r="Z151" s="222">
        <f t="shared" si="10"/>
        <v>0</v>
      </c>
      <c r="AC151" s="35"/>
      <c r="AD151" s="44"/>
      <c r="AE151" s="45"/>
      <c r="AF151" s="44"/>
      <c r="AG151" s="46"/>
      <c r="AH151" s="44"/>
      <c r="AI151" s="46"/>
      <c r="AJ151" s="69"/>
      <c r="AK151" s="117"/>
      <c r="AL151" s="117"/>
      <c r="AM151" s="254"/>
      <c r="AN151" s="323" t="str">
        <f t="shared" si="14"/>
        <v/>
      </c>
      <c r="AO151" s="262"/>
      <c r="AP151" s="210" t="str">
        <f t="shared" si="11"/>
        <v/>
      </c>
      <c r="AQ151" s="214"/>
      <c r="AR151" s="210" t="s">
        <v>503</v>
      </c>
      <c r="AS151" s="262"/>
      <c r="AT151" s="214"/>
      <c r="AU151" s="254"/>
      <c r="AV151" s="254"/>
      <c r="AW151" s="254"/>
      <c r="AX151" s="254"/>
      <c r="AY151" s="254"/>
      <c r="AZ151" s="254"/>
      <c r="BA151" s="254"/>
      <c r="BB151" s="306" t="str">
        <f t="shared" si="13"/>
        <v/>
      </c>
      <c r="BC151" s="254"/>
      <c r="BD151" s="254"/>
      <c r="BE151" s="254"/>
      <c r="BF151" s="254"/>
    </row>
    <row r="152" spans="1:58" s="10" customFormat="1" ht="15.75" customHeight="1" x14ac:dyDescent="0.25">
      <c r="A152" s="113"/>
      <c r="B152" s="35"/>
      <c r="C152" s="44"/>
      <c r="D152" s="44"/>
      <c r="E152" s="44"/>
      <c r="F152" s="44"/>
      <c r="G152" s="44"/>
      <c r="H152" s="44"/>
      <c r="I152" s="360"/>
      <c r="J152" s="44"/>
      <c r="K152" s="372"/>
      <c r="L152" s="214"/>
      <c r="M152" s="214"/>
      <c r="N152" s="214"/>
      <c r="O152" s="217"/>
      <c r="P152" s="295"/>
      <c r="Q152" s="296"/>
      <c r="R152" s="296"/>
      <c r="S152" s="296"/>
      <c r="T152" s="296"/>
      <c r="U152" s="296"/>
      <c r="V152" s="296"/>
      <c r="W152" s="321"/>
      <c r="X152" s="296"/>
      <c r="Y152" s="296"/>
      <c r="Z152" s="222">
        <f t="shared" si="10"/>
        <v>0</v>
      </c>
      <c r="AC152" s="35"/>
      <c r="AD152" s="44"/>
      <c r="AE152" s="45"/>
      <c r="AF152" s="44"/>
      <c r="AG152" s="46"/>
      <c r="AH152" s="44"/>
      <c r="AI152" s="46"/>
      <c r="AJ152" s="69"/>
      <c r="AK152" s="117"/>
      <c r="AL152" s="117"/>
      <c r="AM152" s="254"/>
      <c r="AN152" s="323" t="str">
        <f t="shared" si="14"/>
        <v/>
      </c>
      <c r="AO152" s="262"/>
      <c r="AP152" s="210" t="str">
        <f t="shared" si="11"/>
        <v/>
      </c>
      <c r="AQ152" s="214"/>
      <c r="AR152" s="210" t="s">
        <v>503</v>
      </c>
      <c r="AS152" s="262"/>
      <c r="AT152" s="214"/>
      <c r="AU152" s="254"/>
      <c r="AV152" s="254"/>
      <c r="AW152" s="254"/>
      <c r="AX152" s="254"/>
      <c r="AY152" s="254"/>
      <c r="AZ152" s="254"/>
      <c r="BA152" s="254"/>
      <c r="BB152" s="306" t="str">
        <f t="shared" si="13"/>
        <v/>
      </c>
      <c r="BC152" s="254"/>
      <c r="BD152" s="254"/>
      <c r="BE152" s="254"/>
      <c r="BF152" s="254"/>
    </row>
    <row r="153" spans="1:58" s="10" customFormat="1" ht="15.75" customHeight="1" x14ac:dyDescent="0.25">
      <c r="A153" s="113"/>
      <c r="B153" s="35"/>
      <c r="C153" s="44"/>
      <c r="D153" s="44"/>
      <c r="E153" s="44"/>
      <c r="F153" s="44"/>
      <c r="G153" s="44"/>
      <c r="H153" s="44"/>
      <c r="I153" s="360"/>
      <c r="J153" s="44"/>
      <c r="K153" s="372"/>
      <c r="L153" s="214"/>
      <c r="M153" s="214"/>
      <c r="N153" s="214"/>
      <c r="O153" s="217"/>
      <c r="P153" s="295"/>
      <c r="Q153" s="296"/>
      <c r="R153" s="296"/>
      <c r="S153" s="296"/>
      <c r="T153" s="296"/>
      <c r="U153" s="296"/>
      <c r="V153" s="296"/>
      <c r="W153" s="321"/>
      <c r="X153" s="296"/>
      <c r="Y153" s="296"/>
      <c r="Z153" s="222">
        <f t="shared" si="10"/>
        <v>0</v>
      </c>
      <c r="AC153" s="35"/>
      <c r="AD153" s="44"/>
      <c r="AE153" s="45"/>
      <c r="AF153" s="44"/>
      <c r="AG153" s="46"/>
      <c r="AH153" s="44"/>
      <c r="AI153" s="46"/>
      <c r="AJ153" s="69"/>
      <c r="AK153" s="117"/>
      <c r="AL153" s="117"/>
      <c r="AM153" s="254"/>
      <c r="AN153" s="323" t="str">
        <f t="shared" si="14"/>
        <v/>
      </c>
      <c r="AO153" s="262"/>
      <c r="AP153" s="210" t="str">
        <f t="shared" si="11"/>
        <v/>
      </c>
      <c r="AQ153" s="214"/>
      <c r="AR153" s="210" t="s">
        <v>503</v>
      </c>
      <c r="AS153" s="262"/>
      <c r="AT153" s="214"/>
      <c r="AU153" s="254"/>
      <c r="AV153" s="254"/>
      <c r="AW153" s="254"/>
      <c r="AX153" s="254"/>
      <c r="AY153" s="254"/>
      <c r="AZ153" s="254"/>
      <c r="BA153" s="254"/>
      <c r="BB153" s="306" t="str">
        <f t="shared" si="13"/>
        <v/>
      </c>
      <c r="BC153" s="254"/>
      <c r="BD153" s="254"/>
      <c r="BE153" s="254"/>
      <c r="BF153" s="254"/>
    </row>
    <row r="154" spans="1:58" s="10" customFormat="1" ht="15.75" customHeight="1" x14ac:dyDescent="0.25">
      <c r="A154" s="113"/>
      <c r="B154" s="35"/>
      <c r="C154" s="44"/>
      <c r="D154" s="44"/>
      <c r="E154" s="44"/>
      <c r="F154" s="44"/>
      <c r="G154" s="44"/>
      <c r="H154" s="44"/>
      <c r="I154" s="360"/>
      <c r="J154" s="44"/>
      <c r="K154" s="372"/>
      <c r="L154" s="214"/>
      <c r="M154" s="214"/>
      <c r="N154" s="214"/>
      <c r="O154" s="217"/>
      <c r="P154" s="295"/>
      <c r="Q154" s="296"/>
      <c r="R154" s="296"/>
      <c r="S154" s="296"/>
      <c r="T154" s="296"/>
      <c r="U154" s="296"/>
      <c r="V154" s="296"/>
      <c r="W154" s="321"/>
      <c r="X154" s="296"/>
      <c r="Y154" s="296"/>
      <c r="Z154" s="222">
        <f t="shared" si="10"/>
        <v>0</v>
      </c>
      <c r="AC154" s="35"/>
      <c r="AD154" s="44"/>
      <c r="AE154" s="45"/>
      <c r="AF154" s="44"/>
      <c r="AG154" s="46"/>
      <c r="AH154" s="44"/>
      <c r="AI154" s="46"/>
      <c r="AJ154" s="69"/>
      <c r="AK154" s="117"/>
      <c r="AL154" s="117"/>
      <c r="AM154" s="254"/>
      <c r="AN154" s="323" t="str">
        <f t="shared" si="14"/>
        <v/>
      </c>
      <c r="AO154" s="262"/>
      <c r="AP154" s="210" t="str">
        <f t="shared" si="11"/>
        <v/>
      </c>
      <c r="AQ154" s="214"/>
      <c r="AR154" s="210" t="s">
        <v>503</v>
      </c>
      <c r="AS154" s="262"/>
      <c r="AT154" s="214"/>
      <c r="AU154" s="254"/>
      <c r="AV154" s="254"/>
      <c r="AW154" s="254"/>
      <c r="AX154" s="254"/>
      <c r="AY154" s="254"/>
      <c r="AZ154" s="254"/>
      <c r="BA154" s="254"/>
      <c r="BB154" s="306" t="str">
        <f t="shared" si="13"/>
        <v/>
      </c>
      <c r="BC154" s="254"/>
      <c r="BD154" s="254"/>
      <c r="BE154" s="254"/>
      <c r="BF154" s="254"/>
    </row>
    <row r="155" spans="1:58" s="10" customFormat="1" ht="15.75" customHeight="1" x14ac:dyDescent="0.25">
      <c r="A155" s="113"/>
      <c r="B155" s="35"/>
      <c r="C155" s="44"/>
      <c r="D155" s="44"/>
      <c r="E155" s="44"/>
      <c r="F155" s="44"/>
      <c r="G155" s="44"/>
      <c r="H155" s="44"/>
      <c r="I155" s="360"/>
      <c r="J155" s="44"/>
      <c r="K155" s="372"/>
      <c r="L155" s="214"/>
      <c r="M155" s="214"/>
      <c r="N155" s="214"/>
      <c r="O155" s="217"/>
      <c r="P155" s="295"/>
      <c r="Q155" s="296"/>
      <c r="R155" s="296"/>
      <c r="S155" s="296"/>
      <c r="T155" s="296"/>
      <c r="U155" s="296"/>
      <c r="V155" s="296"/>
      <c r="W155" s="321"/>
      <c r="X155" s="296"/>
      <c r="Y155" s="296"/>
      <c r="Z155" s="222">
        <f t="shared" si="10"/>
        <v>0</v>
      </c>
      <c r="AC155" s="35"/>
      <c r="AD155" s="44"/>
      <c r="AE155" s="45"/>
      <c r="AF155" s="44"/>
      <c r="AG155" s="46"/>
      <c r="AH155" s="44"/>
      <c r="AI155" s="46"/>
      <c r="AJ155" s="69"/>
      <c r="AK155" s="117"/>
      <c r="AL155" s="117"/>
      <c r="AM155" s="254"/>
      <c r="AN155" s="323" t="str">
        <f t="shared" si="14"/>
        <v/>
      </c>
      <c r="AO155" s="262"/>
      <c r="AP155" s="210" t="str">
        <f t="shared" si="11"/>
        <v/>
      </c>
      <c r="AQ155" s="214"/>
      <c r="AR155" s="210" t="s">
        <v>503</v>
      </c>
      <c r="AS155" s="262"/>
      <c r="AT155" s="214"/>
      <c r="AU155" s="254"/>
      <c r="AV155" s="254"/>
      <c r="AW155" s="254"/>
      <c r="AX155" s="254"/>
      <c r="AY155" s="254"/>
      <c r="AZ155" s="254"/>
      <c r="BA155" s="254"/>
      <c r="BB155" s="306" t="str">
        <f t="shared" si="13"/>
        <v/>
      </c>
      <c r="BC155" s="254"/>
      <c r="BD155" s="254"/>
      <c r="BE155" s="254"/>
      <c r="BF155" s="254"/>
    </row>
    <row r="156" spans="1:58" s="10" customFormat="1" ht="15.75" customHeight="1" x14ac:dyDescent="0.25">
      <c r="A156" s="113"/>
      <c r="B156" s="35"/>
      <c r="C156" s="44"/>
      <c r="D156" s="44"/>
      <c r="E156" s="44"/>
      <c r="F156" s="44"/>
      <c r="G156" s="44"/>
      <c r="H156" s="44"/>
      <c r="I156" s="360"/>
      <c r="J156" s="44"/>
      <c r="K156" s="372"/>
      <c r="L156" s="214"/>
      <c r="M156" s="214"/>
      <c r="N156" s="214"/>
      <c r="O156" s="217"/>
      <c r="P156" s="295"/>
      <c r="Q156" s="296"/>
      <c r="R156" s="296"/>
      <c r="S156" s="296"/>
      <c r="T156" s="296"/>
      <c r="U156" s="296"/>
      <c r="V156" s="296"/>
      <c r="W156" s="321"/>
      <c r="X156" s="296"/>
      <c r="Y156" s="296"/>
      <c r="Z156" s="222">
        <f t="shared" si="10"/>
        <v>0</v>
      </c>
      <c r="AC156" s="35"/>
      <c r="AD156" s="44"/>
      <c r="AE156" s="45"/>
      <c r="AF156" s="44"/>
      <c r="AG156" s="46"/>
      <c r="AH156" s="44"/>
      <c r="AI156" s="46"/>
      <c r="AJ156" s="69"/>
      <c r="AK156" s="117"/>
      <c r="AL156" s="117"/>
      <c r="AM156" s="254"/>
      <c r="AN156" s="323" t="str">
        <f t="shared" si="14"/>
        <v/>
      </c>
      <c r="AO156" s="262"/>
      <c r="AP156" s="210" t="str">
        <f t="shared" si="11"/>
        <v/>
      </c>
      <c r="AQ156" s="214"/>
      <c r="AR156" s="210" t="s">
        <v>503</v>
      </c>
      <c r="AS156" s="262"/>
      <c r="AT156" s="214"/>
      <c r="AU156" s="254"/>
      <c r="AV156" s="254"/>
      <c r="AW156" s="254"/>
      <c r="AX156" s="254"/>
      <c r="AY156" s="254"/>
      <c r="AZ156" s="254"/>
      <c r="BA156" s="254"/>
      <c r="BB156" s="306" t="str">
        <f t="shared" si="13"/>
        <v/>
      </c>
      <c r="BC156" s="254"/>
      <c r="BD156" s="254"/>
      <c r="BE156" s="254"/>
      <c r="BF156" s="254"/>
    </row>
    <row r="157" spans="1:58" s="10" customFormat="1" ht="15.75" customHeight="1" x14ac:dyDescent="0.25">
      <c r="A157" s="113"/>
      <c r="B157" s="35"/>
      <c r="C157" s="44"/>
      <c r="D157" s="44"/>
      <c r="E157" s="44"/>
      <c r="F157" s="44"/>
      <c r="G157" s="44"/>
      <c r="H157" s="44"/>
      <c r="I157" s="360"/>
      <c r="J157" s="44"/>
      <c r="K157" s="372"/>
      <c r="L157" s="214"/>
      <c r="M157" s="214"/>
      <c r="N157" s="214"/>
      <c r="O157" s="217"/>
      <c r="P157" s="295"/>
      <c r="Q157" s="296"/>
      <c r="R157" s="296"/>
      <c r="S157" s="296"/>
      <c r="T157" s="296"/>
      <c r="U157" s="296"/>
      <c r="V157" s="296"/>
      <c r="W157" s="321"/>
      <c r="X157" s="296"/>
      <c r="Y157" s="296"/>
      <c r="Z157" s="222">
        <f t="shared" si="10"/>
        <v>0</v>
      </c>
      <c r="AC157" s="35"/>
      <c r="AD157" s="44"/>
      <c r="AE157" s="45"/>
      <c r="AF157" s="44"/>
      <c r="AG157" s="46"/>
      <c r="AH157" s="44"/>
      <c r="AI157" s="46"/>
      <c r="AJ157" s="69"/>
      <c r="AK157" s="117"/>
      <c r="AL157" s="117"/>
      <c r="AM157" s="254"/>
      <c r="AN157" s="323" t="str">
        <f t="shared" si="14"/>
        <v/>
      </c>
      <c r="AO157" s="262"/>
      <c r="AP157" s="210" t="str">
        <f t="shared" si="11"/>
        <v/>
      </c>
      <c r="AQ157" s="214"/>
      <c r="AR157" s="210" t="s">
        <v>503</v>
      </c>
      <c r="AS157" s="262"/>
      <c r="AT157" s="214"/>
      <c r="AU157" s="254"/>
      <c r="AV157" s="254"/>
      <c r="AW157" s="254"/>
      <c r="AX157" s="254"/>
      <c r="AY157" s="254"/>
      <c r="AZ157" s="254"/>
      <c r="BA157" s="254"/>
      <c r="BB157" s="306" t="str">
        <f t="shared" si="13"/>
        <v/>
      </c>
      <c r="BC157" s="254"/>
      <c r="BD157" s="254"/>
      <c r="BE157" s="254"/>
      <c r="BF157" s="254"/>
    </row>
    <row r="158" spans="1:58" s="10" customFormat="1" ht="15.75" customHeight="1" x14ac:dyDescent="0.25">
      <c r="A158" s="113"/>
      <c r="B158" s="35"/>
      <c r="C158" s="44"/>
      <c r="D158" s="44"/>
      <c r="E158" s="44"/>
      <c r="F158" s="44"/>
      <c r="G158" s="44"/>
      <c r="H158" s="44"/>
      <c r="I158" s="360"/>
      <c r="J158" s="44"/>
      <c r="K158" s="372"/>
      <c r="L158" s="214"/>
      <c r="M158" s="214"/>
      <c r="N158" s="214"/>
      <c r="O158" s="217"/>
      <c r="P158" s="295"/>
      <c r="Q158" s="296"/>
      <c r="R158" s="296"/>
      <c r="S158" s="296"/>
      <c r="T158" s="296"/>
      <c r="U158" s="296"/>
      <c r="V158" s="296"/>
      <c r="W158" s="321"/>
      <c r="X158" s="296"/>
      <c r="Y158" s="296"/>
      <c r="Z158" s="222">
        <f t="shared" si="10"/>
        <v>0</v>
      </c>
      <c r="AC158" s="35"/>
      <c r="AD158" s="44"/>
      <c r="AE158" s="45"/>
      <c r="AF158" s="44"/>
      <c r="AG158" s="46"/>
      <c r="AH158" s="44"/>
      <c r="AI158" s="46"/>
      <c r="AJ158" s="69"/>
      <c r="AK158" s="117"/>
      <c r="AL158" s="117"/>
      <c r="AM158" s="254"/>
      <c r="AN158" s="323" t="str">
        <f t="shared" si="14"/>
        <v/>
      </c>
      <c r="AO158" s="262"/>
      <c r="AP158" s="210" t="str">
        <f t="shared" si="11"/>
        <v/>
      </c>
      <c r="AQ158" s="214"/>
      <c r="AR158" s="210" t="s">
        <v>503</v>
      </c>
      <c r="AS158" s="262"/>
      <c r="AT158" s="214"/>
      <c r="AU158" s="254"/>
      <c r="AV158" s="254"/>
      <c r="AW158" s="254"/>
      <c r="AX158" s="254"/>
      <c r="AY158" s="254"/>
      <c r="AZ158" s="254"/>
      <c r="BA158" s="254"/>
      <c r="BB158" s="306" t="str">
        <f t="shared" si="13"/>
        <v/>
      </c>
      <c r="BC158" s="254"/>
      <c r="BD158" s="254"/>
      <c r="BE158" s="254"/>
      <c r="BF158" s="254"/>
    </row>
    <row r="159" spans="1:58" s="10" customFormat="1" ht="15.75" customHeight="1" x14ac:dyDescent="0.25">
      <c r="A159" s="113"/>
      <c r="B159" s="35"/>
      <c r="C159" s="44"/>
      <c r="D159" s="44"/>
      <c r="E159" s="44"/>
      <c r="F159" s="44"/>
      <c r="G159" s="44"/>
      <c r="H159" s="44"/>
      <c r="I159" s="360"/>
      <c r="J159" s="44"/>
      <c r="K159" s="372"/>
      <c r="L159" s="214"/>
      <c r="M159" s="214"/>
      <c r="N159" s="214"/>
      <c r="O159" s="217"/>
      <c r="P159" s="295"/>
      <c r="Q159" s="296"/>
      <c r="R159" s="296"/>
      <c r="S159" s="296"/>
      <c r="T159" s="296"/>
      <c r="U159" s="296"/>
      <c r="V159" s="296"/>
      <c r="W159" s="321"/>
      <c r="X159" s="296"/>
      <c r="Y159" s="296"/>
      <c r="Z159" s="222">
        <f t="shared" si="10"/>
        <v>0</v>
      </c>
      <c r="AC159" s="35"/>
      <c r="AD159" s="44"/>
      <c r="AE159" s="45"/>
      <c r="AF159" s="44"/>
      <c r="AG159" s="46"/>
      <c r="AH159" s="44"/>
      <c r="AI159" s="46"/>
      <c r="AJ159" s="69"/>
      <c r="AK159" s="117"/>
      <c r="AL159" s="117"/>
      <c r="AM159" s="254"/>
      <c r="AN159" s="323" t="str">
        <f t="shared" si="14"/>
        <v/>
      </c>
      <c r="AO159" s="262"/>
      <c r="AP159" s="210" t="str">
        <f t="shared" si="11"/>
        <v/>
      </c>
      <c r="AQ159" s="214"/>
      <c r="AR159" s="210" t="s">
        <v>503</v>
      </c>
      <c r="AS159" s="262"/>
      <c r="AT159" s="214"/>
      <c r="AU159" s="254"/>
      <c r="AV159" s="254"/>
      <c r="AW159" s="254"/>
      <c r="AX159" s="254"/>
      <c r="AY159" s="254"/>
      <c r="AZ159" s="254"/>
      <c r="BA159" s="254"/>
      <c r="BB159" s="306" t="str">
        <f t="shared" si="13"/>
        <v/>
      </c>
      <c r="BC159" s="254"/>
      <c r="BD159" s="254"/>
      <c r="BE159" s="254"/>
      <c r="BF159" s="254"/>
    </row>
    <row r="160" spans="1:58" s="10" customFormat="1" ht="15.75" customHeight="1" x14ac:dyDescent="0.25">
      <c r="A160" s="113"/>
      <c r="B160" s="35"/>
      <c r="C160" s="44"/>
      <c r="D160" s="44"/>
      <c r="E160" s="44"/>
      <c r="F160" s="44"/>
      <c r="G160" s="44"/>
      <c r="H160" s="44"/>
      <c r="I160" s="360"/>
      <c r="J160" s="44"/>
      <c r="K160" s="372"/>
      <c r="L160" s="214"/>
      <c r="M160" s="214"/>
      <c r="N160" s="214"/>
      <c r="O160" s="217"/>
      <c r="P160" s="295"/>
      <c r="Q160" s="296"/>
      <c r="R160" s="296"/>
      <c r="S160" s="296"/>
      <c r="T160" s="296"/>
      <c r="U160" s="296"/>
      <c r="V160" s="296"/>
      <c r="W160" s="321"/>
      <c r="X160" s="296"/>
      <c r="Y160" s="296"/>
      <c r="Z160" s="222">
        <f t="shared" si="10"/>
        <v>0</v>
      </c>
      <c r="AC160" s="35"/>
      <c r="AD160" s="44"/>
      <c r="AE160" s="45"/>
      <c r="AF160" s="44"/>
      <c r="AG160" s="46"/>
      <c r="AH160" s="44"/>
      <c r="AI160" s="46"/>
      <c r="AJ160" s="69"/>
      <c r="AK160" s="117"/>
      <c r="AL160" s="117"/>
      <c r="AM160" s="254"/>
      <c r="AN160" s="323" t="str">
        <f t="shared" si="14"/>
        <v/>
      </c>
      <c r="AO160" s="262"/>
      <c r="AP160" s="210" t="str">
        <f t="shared" si="11"/>
        <v/>
      </c>
      <c r="AQ160" s="214"/>
      <c r="AR160" s="210" t="s">
        <v>503</v>
      </c>
      <c r="AS160" s="262"/>
      <c r="AT160" s="214"/>
      <c r="AU160" s="254"/>
      <c r="AV160" s="254"/>
      <c r="AW160" s="254"/>
      <c r="AX160" s="254"/>
      <c r="AY160" s="254"/>
      <c r="AZ160" s="254"/>
      <c r="BA160" s="254"/>
      <c r="BB160" s="306" t="str">
        <f t="shared" si="13"/>
        <v/>
      </c>
      <c r="BC160" s="254"/>
      <c r="BD160" s="254"/>
      <c r="BE160" s="254"/>
      <c r="BF160" s="254"/>
    </row>
    <row r="161" spans="1:58" s="10" customFormat="1" ht="15.75" customHeight="1" x14ac:dyDescent="0.25">
      <c r="A161" s="113"/>
      <c r="B161" s="35"/>
      <c r="C161" s="44"/>
      <c r="D161" s="44"/>
      <c r="E161" s="44"/>
      <c r="F161" s="44"/>
      <c r="G161" s="44"/>
      <c r="H161" s="44"/>
      <c r="I161" s="360"/>
      <c r="J161" s="44"/>
      <c r="K161" s="372"/>
      <c r="L161" s="214"/>
      <c r="M161" s="214"/>
      <c r="N161" s="214"/>
      <c r="O161" s="217"/>
      <c r="P161" s="295"/>
      <c r="Q161" s="296"/>
      <c r="R161" s="296"/>
      <c r="S161" s="296"/>
      <c r="T161" s="296"/>
      <c r="U161" s="296"/>
      <c r="V161" s="296"/>
      <c r="W161" s="321"/>
      <c r="X161" s="296"/>
      <c r="Y161" s="296"/>
      <c r="Z161" s="222">
        <f t="shared" si="10"/>
        <v>0</v>
      </c>
      <c r="AC161" s="35"/>
      <c r="AD161" s="44"/>
      <c r="AE161" s="45"/>
      <c r="AF161" s="44"/>
      <c r="AG161" s="46"/>
      <c r="AH161" s="44"/>
      <c r="AI161" s="46"/>
      <c r="AJ161" s="69"/>
      <c r="AK161" s="117"/>
      <c r="AL161" s="117"/>
      <c r="AM161" s="254"/>
      <c r="AN161" s="323" t="str">
        <f t="shared" si="14"/>
        <v/>
      </c>
      <c r="AO161" s="262"/>
      <c r="AP161" s="210" t="str">
        <f t="shared" si="11"/>
        <v/>
      </c>
      <c r="AQ161" s="214"/>
      <c r="AR161" s="210" t="s">
        <v>503</v>
      </c>
      <c r="AS161" s="262"/>
      <c r="AT161" s="214"/>
      <c r="AU161" s="254"/>
      <c r="AV161" s="254"/>
      <c r="AW161" s="254"/>
      <c r="AX161" s="254"/>
      <c r="AY161" s="254"/>
      <c r="AZ161" s="254"/>
      <c r="BA161" s="254"/>
      <c r="BB161" s="306" t="str">
        <f t="shared" si="13"/>
        <v/>
      </c>
      <c r="BC161" s="254"/>
      <c r="BD161" s="254"/>
      <c r="BE161" s="254"/>
      <c r="BF161" s="254"/>
    </row>
    <row r="162" spans="1:58" s="10" customFormat="1" ht="15.75" customHeight="1" x14ac:dyDescent="0.25">
      <c r="A162" s="113"/>
      <c r="B162" s="35"/>
      <c r="C162" s="44"/>
      <c r="D162" s="44"/>
      <c r="E162" s="44"/>
      <c r="F162" s="44"/>
      <c r="G162" s="44"/>
      <c r="H162" s="44"/>
      <c r="I162" s="360"/>
      <c r="J162" s="44"/>
      <c r="K162" s="372"/>
      <c r="L162" s="214"/>
      <c r="M162" s="214"/>
      <c r="N162" s="214"/>
      <c r="O162" s="217"/>
      <c r="P162" s="295"/>
      <c r="Q162" s="296"/>
      <c r="R162" s="296"/>
      <c r="S162" s="296"/>
      <c r="T162" s="296"/>
      <c r="U162" s="296"/>
      <c r="V162" s="296"/>
      <c r="W162" s="321"/>
      <c r="X162" s="296"/>
      <c r="Y162" s="296"/>
      <c r="Z162" s="222">
        <f t="shared" si="10"/>
        <v>0</v>
      </c>
      <c r="AC162" s="35"/>
      <c r="AD162" s="44"/>
      <c r="AE162" s="45"/>
      <c r="AF162" s="44"/>
      <c r="AG162" s="46"/>
      <c r="AH162" s="44"/>
      <c r="AI162" s="46"/>
      <c r="AJ162" s="69"/>
      <c r="AK162" s="117"/>
      <c r="AL162" s="117"/>
      <c r="AM162" s="254"/>
      <c r="AN162" s="323" t="str">
        <f t="shared" si="14"/>
        <v/>
      </c>
      <c r="AO162" s="262"/>
      <c r="AP162" s="210" t="str">
        <f t="shared" si="11"/>
        <v/>
      </c>
      <c r="AQ162" s="214"/>
      <c r="AR162" s="210" t="s">
        <v>503</v>
      </c>
      <c r="AS162" s="262"/>
      <c r="AT162" s="214"/>
      <c r="AU162" s="254"/>
      <c r="AV162" s="254"/>
      <c r="AW162" s="254"/>
      <c r="AX162" s="254"/>
      <c r="AY162" s="254"/>
      <c r="AZ162" s="254"/>
      <c r="BA162" s="254"/>
      <c r="BB162" s="306" t="str">
        <f t="shared" si="13"/>
        <v/>
      </c>
      <c r="BC162" s="254"/>
      <c r="BD162" s="254"/>
      <c r="BE162" s="254"/>
      <c r="BF162" s="254"/>
    </row>
    <row r="163" spans="1:58" s="10" customFormat="1" ht="15.75" customHeight="1" x14ac:dyDescent="0.25">
      <c r="A163" s="113"/>
      <c r="B163" s="35"/>
      <c r="C163" s="44"/>
      <c r="D163" s="44"/>
      <c r="E163" s="44"/>
      <c r="F163" s="44"/>
      <c r="G163" s="44"/>
      <c r="H163" s="44"/>
      <c r="I163" s="360"/>
      <c r="J163" s="44"/>
      <c r="K163" s="372"/>
      <c r="L163" s="214"/>
      <c r="M163" s="214"/>
      <c r="N163" s="214"/>
      <c r="O163" s="217"/>
      <c r="P163" s="295"/>
      <c r="Q163" s="296"/>
      <c r="R163" s="296"/>
      <c r="S163" s="296"/>
      <c r="T163" s="296"/>
      <c r="U163" s="296"/>
      <c r="V163" s="296"/>
      <c r="W163" s="321"/>
      <c r="X163" s="296"/>
      <c r="Y163" s="296"/>
      <c r="Z163" s="222">
        <f t="shared" si="10"/>
        <v>0</v>
      </c>
      <c r="AC163" s="35"/>
      <c r="AD163" s="44"/>
      <c r="AE163" s="45"/>
      <c r="AF163" s="44"/>
      <c r="AG163" s="46"/>
      <c r="AH163" s="44"/>
      <c r="AI163" s="46"/>
      <c r="AJ163" s="69"/>
      <c r="AK163" s="117"/>
      <c r="AL163" s="117"/>
      <c r="AM163" s="254"/>
      <c r="AN163" s="323" t="str">
        <f t="shared" si="14"/>
        <v/>
      </c>
      <c r="AO163" s="262"/>
      <c r="AP163" s="210" t="str">
        <f t="shared" si="11"/>
        <v/>
      </c>
      <c r="AQ163" s="214"/>
      <c r="AR163" s="210" t="s">
        <v>503</v>
      </c>
      <c r="AS163" s="262"/>
      <c r="AT163" s="214"/>
      <c r="AU163" s="254"/>
      <c r="AV163" s="254"/>
      <c r="AW163" s="254"/>
      <c r="AX163" s="254"/>
      <c r="AY163" s="254"/>
      <c r="AZ163" s="254"/>
      <c r="BA163" s="254"/>
      <c r="BB163" s="306" t="str">
        <f t="shared" si="13"/>
        <v/>
      </c>
      <c r="BC163" s="254"/>
      <c r="BD163" s="254"/>
      <c r="BE163" s="254"/>
      <c r="BF163" s="254"/>
    </row>
    <row r="164" spans="1:58" s="10" customFormat="1" ht="15.75" customHeight="1" x14ac:dyDescent="0.25">
      <c r="A164" s="113"/>
      <c r="B164" s="35"/>
      <c r="C164" s="44"/>
      <c r="D164" s="44"/>
      <c r="E164" s="44"/>
      <c r="F164" s="44"/>
      <c r="G164" s="44"/>
      <c r="H164" s="44"/>
      <c r="I164" s="360"/>
      <c r="J164" s="44"/>
      <c r="K164" s="372"/>
      <c r="L164" s="214"/>
      <c r="M164" s="214"/>
      <c r="N164" s="214"/>
      <c r="O164" s="217"/>
      <c r="P164" s="295"/>
      <c r="Q164" s="296"/>
      <c r="R164" s="296"/>
      <c r="S164" s="296"/>
      <c r="T164" s="296"/>
      <c r="U164" s="296"/>
      <c r="V164" s="296"/>
      <c r="W164" s="321"/>
      <c r="X164" s="296"/>
      <c r="Y164" s="296"/>
      <c r="Z164" s="222">
        <f t="shared" si="10"/>
        <v>0</v>
      </c>
      <c r="AC164" s="35"/>
      <c r="AD164" s="44"/>
      <c r="AE164" s="45"/>
      <c r="AF164" s="44"/>
      <c r="AG164" s="46"/>
      <c r="AH164" s="44"/>
      <c r="AI164" s="46"/>
      <c r="AJ164" s="69"/>
      <c r="AK164" s="117"/>
      <c r="AL164" s="117"/>
      <c r="AM164" s="254"/>
      <c r="AN164" s="323" t="str">
        <f t="shared" si="14"/>
        <v/>
      </c>
      <c r="AO164" s="262"/>
      <c r="AP164" s="210" t="str">
        <f t="shared" si="11"/>
        <v/>
      </c>
      <c r="AQ164" s="214"/>
      <c r="AR164" s="210" t="s">
        <v>503</v>
      </c>
      <c r="AS164" s="262"/>
      <c r="AT164" s="214"/>
      <c r="AU164" s="254"/>
      <c r="AV164" s="254"/>
      <c r="AW164" s="254"/>
      <c r="AX164" s="254"/>
      <c r="AY164" s="254"/>
      <c r="AZ164" s="254"/>
      <c r="BA164" s="254"/>
      <c r="BB164" s="306" t="str">
        <f t="shared" si="13"/>
        <v/>
      </c>
      <c r="BC164" s="254"/>
      <c r="BD164" s="254"/>
      <c r="BE164" s="254"/>
      <c r="BF164" s="254"/>
    </row>
    <row r="165" spans="1:58" s="10" customFormat="1" ht="15.75" customHeight="1" x14ac:dyDescent="0.25">
      <c r="A165" s="113"/>
      <c r="B165" s="35"/>
      <c r="C165" s="44"/>
      <c r="D165" s="44"/>
      <c r="E165" s="44"/>
      <c r="F165" s="44"/>
      <c r="G165" s="44"/>
      <c r="H165" s="44"/>
      <c r="I165" s="360"/>
      <c r="J165" s="44"/>
      <c r="K165" s="372"/>
      <c r="L165" s="214"/>
      <c r="M165" s="214"/>
      <c r="N165" s="214"/>
      <c r="O165" s="217"/>
      <c r="P165" s="295"/>
      <c r="Q165" s="296"/>
      <c r="R165" s="296"/>
      <c r="S165" s="296"/>
      <c r="T165" s="296"/>
      <c r="U165" s="296"/>
      <c r="V165" s="296"/>
      <c r="W165" s="321"/>
      <c r="X165" s="296"/>
      <c r="Y165" s="296"/>
      <c r="Z165" s="222">
        <f t="shared" si="10"/>
        <v>0</v>
      </c>
      <c r="AC165" s="35"/>
      <c r="AD165" s="44"/>
      <c r="AE165" s="45"/>
      <c r="AF165" s="44"/>
      <c r="AG165" s="46"/>
      <c r="AH165" s="44"/>
      <c r="AI165" s="46"/>
      <c r="AJ165" s="69"/>
      <c r="AK165" s="117"/>
      <c r="AL165" s="117"/>
      <c r="AM165" s="254"/>
      <c r="AN165" s="323" t="str">
        <f t="shared" si="14"/>
        <v/>
      </c>
      <c r="AO165" s="262"/>
      <c r="AP165" s="210" t="str">
        <f t="shared" si="11"/>
        <v/>
      </c>
      <c r="AQ165" s="214"/>
      <c r="AR165" s="210" t="s">
        <v>503</v>
      </c>
      <c r="AS165" s="262"/>
      <c r="AT165" s="214"/>
      <c r="AU165" s="254"/>
      <c r="AV165" s="254"/>
      <c r="AW165" s="254"/>
      <c r="AX165" s="254"/>
      <c r="AY165" s="254"/>
      <c r="AZ165" s="254"/>
      <c r="BA165" s="254"/>
      <c r="BB165" s="306" t="str">
        <f t="shared" si="13"/>
        <v/>
      </c>
      <c r="BC165" s="254"/>
      <c r="BD165" s="254"/>
      <c r="BE165" s="254"/>
      <c r="BF165" s="254"/>
    </row>
    <row r="166" spans="1:58" s="10" customFormat="1" ht="15.75" customHeight="1" x14ac:dyDescent="0.25">
      <c r="A166" s="113"/>
      <c r="B166" s="35"/>
      <c r="C166" s="44"/>
      <c r="D166" s="44"/>
      <c r="E166" s="44"/>
      <c r="F166" s="44"/>
      <c r="G166" s="44"/>
      <c r="H166" s="44"/>
      <c r="I166" s="360"/>
      <c r="J166" s="44"/>
      <c r="K166" s="372"/>
      <c r="L166" s="214"/>
      <c r="M166" s="214"/>
      <c r="N166" s="214"/>
      <c r="O166" s="217"/>
      <c r="P166" s="295"/>
      <c r="Q166" s="296"/>
      <c r="R166" s="296"/>
      <c r="S166" s="296"/>
      <c r="T166" s="296"/>
      <c r="U166" s="296"/>
      <c r="V166" s="296"/>
      <c r="W166" s="321"/>
      <c r="X166" s="296"/>
      <c r="Y166" s="296"/>
      <c r="Z166" s="222">
        <f t="shared" si="10"/>
        <v>0</v>
      </c>
      <c r="AC166" s="35"/>
      <c r="AD166" s="44"/>
      <c r="AE166" s="45"/>
      <c r="AF166" s="44"/>
      <c r="AG166" s="46"/>
      <c r="AH166" s="44"/>
      <c r="AI166" s="46"/>
      <c r="AJ166" s="69"/>
      <c r="AK166" s="117"/>
      <c r="AL166" s="117"/>
      <c r="AM166" s="254"/>
      <c r="AN166" s="323" t="str">
        <f t="shared" si="14"/>
        <v/>
      </c>
      <c r="AO166" s="262"/>
      <c r="AP166" s="210" t="str">
        <f t="shared" si="11"/>
        <v/>
      </c>
      <c r="AQ166" s="214"/>
      <c r="AR166" s="210" t="s">
        <v>503</v>
      </c>
      <c r="AS166" s="262"/>
      <c r="AT166" s="214"/>
      <c r="AU166" s="254"/>
      <c r="AV166" s="254"/>
      <c r="AW166" s="254"/>
      <c r="AX166" s="254"/>
      <c r="AY166" s="254"/>
      <c r="AZ166" s="254"/>
      <c r="BA166" s="254"/>
      <c r="BB166" s="306" t="str">
        <f t="shared" si="13"/>
        <v/>
      </c>
      <c r="BC166" s="254"/>
      <c r="BD166" s="254"/>
      <c r="BE166" s="254"/>
      <c r="BF166" s="254"/>
    </row>
    <row r="167" spans="1:58" s="10" customFormat="1" ht="15.75" customHeight="1" x14ac:dyDescent="0.25">
      <c r="A167" s="113"/>
      <c r="B167" s="35"/>
      <c r="C167" s="44"/>
      <c r="D167" s="44"/>
      <c r="E167" s="44"/>
      <c r="F167" s="44"/>
      <c r="G167" s="44"/>
      <c r="H167" s="44"/>
      <c r="I167" s="360"/>
      <c r="J167" s="44"/>
      <c r="K167" s="372"/>
      <c r="L167" s="214"/>
      <c r="M167" s="214"/>
      <c r="N167" s="214"/>
      <c r="O167" s="217"/>
      <c r="P167" s="295"/>
      <c r="Q167" s="296"/>
      <c r="R167" s="296"/>
      <c r="S167" s="296"/>
      <c r="T167" s="296"/>
      <c r="U167" s="296"/>
      <c r="V167" s="296"/>
      <c r="W167" s="321"/>
      <c r="X167" s="296"/>
      <c r="Y167" s="296"/>
      <c r="Z167" s="222">
        <f t="shared" si="10"/>
        <v>0</v>
      </c>
      <c r="AC167" s="35"/>
      <c r="AD167" s="44"/>
      <c r="AE167" s="45"/>
      <c r="AF167" s="44"/>
      <c r="AG167" s="46"/>
      <c r="AH167" s="44"/>
      <c r="AI167" s="46"/>
      <c r="AJ167" s="69"/>
      <c r="AK167" s="117"/>
      <c r="AL167" s="117"/>
      <c r="AM167" s="254"/>
      <c r="AN167" s="323" t="str">
        <f t="shared" si="14"/>
        <v/>
      </c>
      <c r="AO167" s="262"/>
      <c r="AP167" s="210" t="str">
        <f t="shared" si="11"/>
        <v/>
      </c>
      <c r="AQ167" s="214"/>
      <c r="AR167" s="210" t="s">
        <v>503</v>
      </c>
      <c r="AS167" s="262"/>
      <c r="AT167" s="214"/>
      <c r="AU167" s="254"/>
      <c r="AV167" s="254"/>
      <c r="AW167" s="254"/>
      <c r="AX167" s="254"/>
      <c r="AY167" s="254"/>
      <c r="AZ167" s="254"/>
      <c r="BA167" s="254"/>
      <c r="BB167" s="306" t="str">
        <f t="shared" si="13"/>
        <v/>
      </c>
      <c r="BC167" s="254"/>
      <c r="BD167" s="254"/>
      <c r="BE167" s="254"/>
      <c r="BF167" s="254"/>
    </row>
    <row r="168" spans="1:58" s="10" customFormat="1" ht="15.75" customHeight="1" x14ac:dyDescent="0.25">
      <c r="A168" s="113"/>
      <c r="B168" s="35"/>
      <c r="C168" s="44"/>
      <c r="D168" s="44"/>
      <c r="E168" s="44"/>
      <c r="F168" s="44"/>
      <c r="G168" s="44"/>
      <c r="H168" s="44"/>
      <c r="I168" s="360"/>
      <c r="J168" s="44"/>
      <c r="K168" s="372"/>
      <c r="L168" s="214"/>
      <c r="M168" s="214"/>
      <c r="N168" s="214"/>
      <c r="O168" s="217"/>
      <c r="P168" s="295"/>
      <c r="Q168" s="296"/>
      <c r="R168" s="296"/>
      <c r="S168" s="296"/>
      <c r="T168" s="296"/>
      <c r="U168" s="296"/>
      <c r="V168" s="296"/>
      <c r="W168" s="321"/>
      <c r="X168" s="296"/>
      <c r="Y168" s="296"/>
      <c r="Z168" s="222">
        <f t="shared" si="10"/>
        <v>0</v>
      </c>
      <c r="AC168" s="35"/>
      <c r="AD168" s="44"/>
      <c r="AE168" s="45"/>
      <c r="AF168" s="44"/>
      <c r="AG168" s="46"/>
      <c r="AH168" s="44"/>
      <c r="AI168" s="46"/>
      <c r="AJ168" s="69"/>
      <c r="AK168" s="117"/>
      <c r="AL168" s="117"/>
      <c r="AM168" s="254"/>
      <c r="AN168" s="323" t="str">
        <f t="shared" si="14"/>
        <v/>
      </c>
      <c r="AO168" s="262"/>
      <c r="AP168" s="210" t="str">
        <f t="shared" si="11"/>
        <v/>
      </c>
      <c r="AQ168" s="214"/>
      <c r="AR168" s="210" t="s">
        <v>503</v>
      </c>
      <c r="AS168" s="262"/>
      <c r="AT168" s="214"/>
      <c r="AU168" s="254"/>
      <c r="AV168" s="254"/>
      <c r="AW168" s="254"/>
      <c r="AX168" s="254"/>
      <c r="AY168" s="254"/>
      <c r="AZ168" s="254"/>
      <c r="BA168" s="254"/>
      <c r="BB168" s="306" t="str">
        <f t="shared" si="13"/>
        <v/>
      </c>
      <c r="BC168" s="254"/>
      <c r="BD168" s="254"/>
      <c r="BE168" s="254"/>
      <c r="BF168" s="254"/>
    </row>
    <row r="169" spans="1:58" s="10" customFormat="1" ht="15.75" customHeight="1" x14ac:dyDescent="0.25">
      <c r="A169" s="113"/>
      <c r="B169" s="35"/>
      <c r="C169" s="44"/>
      <c r="D169" s="44"/>
      <c r="E169" s="44"/>
      <c r="F169" s="44"/>
      <c r="G169" s="44"/>
      <c r="H169" s="44"/>
      <c r="I169" s="360"/>
      <c r="J169" s="44"/>
      <c r="K169" s="372"/>
      <c r="L169" s="214"/>
      <c r="M169" s="214"/>
      <c r="N169" s="214"/>
      <c r="O169" s="217"/>
      <c r="P169" s="295"/>
      <c r="Q169" s="296"/>
      <c r="R169" s="296"/>
      <c r="S169" s="296"/>
      <c r="T169" s="296"/>
      <c r="U169" s="296"/>
      <c r="V169" s="296"/>
      <c r="W169" s="321"/>
      <c r="X169" s="296"/>
      <c r="Y169" s="296"/>
      <c r="Z169" s="222">
        <f t="shared" si="10"/>
        <v>0</v>
      </c>
      <c r="AC169" s="35"/>
      <c r="AD169" s="44"/>
      <c r="AE169" s="45"/>
      <c r="AF169" s="44"/>
      <c r="AG169" s="46"/>
      <c r="AH169" s="44"/>
      <c r="AI169" s="46"/>
      <c r="AJ169" s="69"/>
      <c r="AK169" s="117"/>
      <c r="AL169" s="117"/>
      <c r="AM169" s="254"/>
      <c r="AN169" s="323" t="str">
        <f t="shared" si="14"/>
        <v/>
      </c>
      <c r="AO169" s="262"/>
      <c r="AP169" s="210" t="str">
        <f t="shared" si="11"/>
        <v/>
      </c>
      <c r="AQ169" s="214"/>
      <c r="AR169" s="210" t="s">
        <v>503</v>
      </c>
      <c r="AS169" s="262"/>
      <c r="AT169" s="214"/>
      <c r="AU169" s="254"/>
      <c r="AV169" s="254"/>
      <c r="AW169" s="254"/>
      <c r="AX169" s="254"/>
      <c r="AY169" s="254"/>
      <c r="AZ169" s="254"/>
      <c r="BA169" s="254"/>
      <c r="BB169" s="306" t="str">
        <f t="shared" si="13"/>
        <v/>
      </c>
      <c r="BC169" s="254"/>
      <c r="BD169" s="254"/>
      <c r="BE169" s="254"/>
      <c r="BF169" s="254"/>
    </row>
    <row r="170" spans="1:58" s="10" customFormat="1" ht="15.75" customHeight="1" x14ac:dyDescent="0.25">
      <c r="A170" s="113"/>
      <c r="B170" s="35"/>
      <c r="C170" s="44"/>
      <c r="D170" s="44"/>
      <c r="E170" s="44"/>
      <c r="F170" s="44"/>
      <c r="G170" s="44"/>
      <c r="H170" s="44"/>
      <c r="I170" s="360"/>
      <c r="J170" s="44"/>
      <c r="K170" s="372"/>
      <c r="L170" s="214"/>
      <c r="M170" s="214"/>
      <c r="N170" s="214"/>
      <c r="O170" s="217"/>
      <c r="P170" s="295"/>
      <c r="Q170" s="296"/>
      <c r="R170" s="296"/>
      <c r="S170" s="296"/>
      <c r="T170" s="296"/>
      <c r="U170" s="296"/>
      <c r="V170" s="296"/>
      <c r="W170" s="321"/>
      <c r="X170" s="296"/>
      <c r="Y170" s="296"/>
      <c r="Z170" s="222">
        <f t="shared" si="10"/>
        <v>0</v>
      </c>
      <c r="AC170" s="35"/>
      <c r="AD170" s="44"/>
      <c r="AE170" s="45"/>
      <c r="AF170" s="44"/>
      <c r="AG170" s="46"/>
      <c r="AH170" s="44"/>
      <c r="AI170" s="46"/>
      <c r="AJ170" s="69"/>
      <c r="AK170" s="117"/>
      <c r="AL170" s="117"/>
      <c r="AM170" s="254"/>
      <c r="AN170" s="323" t="str">
        <f t="shared" si="14"/>
        <v/>
      </c>
      <c r="AO170" s="262"/>
      <c r="AP170" s="210" t="str">
        <f t="shared" si="11"/>
        <v/>
      </c>
      <c r="AQ170" s="214"/>
      <c r="AR170" s="210" t="s">
        <v>503</v>
      </c>
      <c r="AS170" s="262"/>
      <c r="AT170" s="214"/>
      <c r="AU170" s="254"/>
      <c r="AV170" s="254"/>
      <c r="AW170" s="254"/>
      <c r="AX170" s="254"/>
      <c r="AY170" s="254"/>
      <c r="AZ170" s="254"/>
      <c r="BA170" s="254"/>
      <c r="BB170" s="306" t="str">
        <f t="shared" si="13"/>
        <v/>
      </c>
      <c r="BC170" s="254"/>
      <c r="BD170" s="254"/>
      <c r="BE170" s="254"/>
      <c r="BF170" s="254"/>
    </row>
    <row r="171" spans="1:58" x14ac:dyDescent="0.25">
      <c r="K171" s="372"/>
      <c r="Z171" s="222">
        <f t="shared" si="10"/>
        <v>0</v>
      </c>
      <c r="AK171" s="117"/>
      <c r="AL171" s="117"/>
      <c r="AN171" s="323" t="str">
        <f t="shared" si="14"/>
        <v/>
      </c>
      <c r="AP171" s="210" t="str">
        <f t="shared" si="11"/>
        <v/>
      </c>
      <c r="AR171" s="210" t="s">
        <v>503</v>
      </c>
      <c r="BB171" s="306" t="str">
        <f t="shared" si="13"/>
        <v/>
      </c>
    </row>
    <row r="172" spans="1:58" x14ac:dyDescent="0.25">
      <c r="K172" s="372"/>
      <c r="Z172" s="222">
        <f t="shared" si="10"/>
        <v>0</v>
      </c>
      <c r="AK172" s="117"/>
      <c r="AL172" s="117"/>
      <c r="AN172" s="323" t="str">
        <f t="shared" si="14"/>
        <v/>
      </c>
      <c r="AP172" s="210" t="str">
        <f t="shared" si="11"/>
        <v/>
      </c>
      <c r="AR172" s="210" t="s">
        <v>503</v>
      </c>
      <c r="BB172" s="306" t="str">
        <f t="shared" si="13"/>
        <v/>
      </c>
    </row>
    <row r="173" spans="1:58" x14ac:dyDescent="0.25">
      <c r="K173" s="372"/>
      <c r="Z173" s="222">
        <f t="shared" si="10"/>
        <v>0</v>
      </c>
      <c r="AK173" s="117"/>
      <c r="AL173" s="117"/>
      <c r="AN173" s="323" t="str">
        <f t="shared" si="14"/>
        <v/>
      </c>
      <c r="AP173" s="210" t="str">
        <f t="shared" si="11"/>
        <v/>
      </c>
      <c r="AR173" s="210" t="s">
        <v>503</v>
      </c>
      <c r="BB173" s="306" t="str">
        <f t="shared" si="13"/>
        <v/>
      </c>
    </row>
    <row r="174" spans="1:58" x14ac:dyDescent="0.25">
      <c r="K174" s="372"/>
      <c r="Z174" s="222">
        <f t="shared" si="10"/>
        <v>0</v>
      </c>
      <c r="AN174" s="323" t="str">
        <f t="shared" si="14"/>
        <v/>
      </c>
      <c r="AP174" s="210" t="str">
        <f t="shared" si="11"/>
        <v/>
      </c>
      <c r="AR174" s="210" t="s">
        <v>503</v>
      </c>
      <c r="BB174" s="306" t="str">
        <f t="shared" si="13"/>
        <v/>
      </c>
    </row>
    <row r="175" spans="1:58" x14ac:dyDescent="0.25">
      <c r="K175" s="372"/>
      <c r="AN175" s="323" t="str">
        <f t="shared" si="14"/>
        <v/>
      </c>
      <c r="AP175" s="210" t="str">
        <f t="shared" si="11"/>
        <v/>
      </c>
      <c r="AR175" s="210" t="s">
        <v>503</v>
      </c>
      <c r="BB175" s="306" t="str">
        <f t="shared" si="13"/>
        <v/>
      </c>
    </row>
    <row r="176" spans="1:58" x14ac:dyDescent="0.25">
      <c r="K176" s="372"/>
      <c r="AN176" s="323" t="str">
        <f t="shared" si="14"/>
        <v/>
      </c>
      <c r="AP176" s="210" t="str">
        <f t="shared" si="11"/>
        <v/>
      </c>
      <c r="AR176" s="210" t="s">
        <v>503</v>
      </c>
      <c r="BB176" s="306" t="str">
        <f t="shared" si="13"/>
        <v/>
      </c>
    </row>
    <row r="177" spans="11:54" x14ac:dyDescent="0.25">
      <c r="K177" s="372"/>
      <c r="AN177" s="323" t="str">
        <f t="shared" si="14"/>
        <v/>
      </c>
      <c r="AP177" s="210" t="str">
        <f t="shared" si="11"/>
        <v/>
      </c>
      <c r="AR177" s="210" t="s">
        <v>503</v>
      </c>
      <c r="BB177" s="306" t="str">
        <f t="shared" si="13"/>
        <v/>
      </c>
    </row>
    <row r="178" spans="11:54" x14ac:dyDescent="0.25">
      <c r="K178" s="372"/>
      <c r="AN178" s="323" t="str">
        <f t="shared" si="14"/>
        <v/>
      </c>
      <c r="AP178" s="210" t="str">
        <f>IF(AN178="","",AN178)</f>
        <v/>
      </c>
      <c r="AR178" s="210" t="s">
        <v>503</v>
      </c>
      <c r="BB178" s="306" t="str">
        <f t="shared" si="13"/>
        <v/>
      </c>
    </row>
    <row r="179" spans="11:54" x14ac:dyDescent="0.25">
      <c r="K179" s="372"/>
      <c r="AN179" s="323" t="str">
        <f t="shared" si="14"/>
        <v/>
      </c>
      <c r="AP179" s="210" t="str">
        <f>IF(AN179="","",AN179)</f>
        <v/>
      </c>
      <c r="AR179" s="210" t="s">
        <v>503</v>
      </c>
      <c r="BB179" s="306" t="str">
        <f t="shared" si="13"/>
        <v/>
      </c>
    </row>
    <row r="180" spans="11:54" x14ac:dyDescent="0.25">
      <c r="K180" s="372"/>
      <c r="AN180" s="323" t="str">
        <f t="shared" si="14"/>
        <v/>
      </c>
      <c r="AP180" s="210" t="str">
        <f>IF(AN180="","",AN180)</f>
        <v/>
      </c>
      <c r="AR180" s="210" t="s">
        <v>503</v>
      </c>
      <c r="BB180" s="306" t="str">
        <f t="shared" si="13"/>
        <v/>
      </c>
    </row>
    <row r="181" spans="11:54" x14ac:dyDescent="0.25">
      <c r="K181" s="372"/>
      <c r="AN181" s="323" t="str">
        <f t="shared" si="14"/>
        <v/>
      </c>
      <c r="AP181" s="210" t="str">
        <f>IF(AQ181="","",AP180+1)</f>
        <v/>
      </c>
      <c r="AR181" s="210" t="s">
        <v>503</v>
      </c>
      <c r="BB181" s="306" t="str">
        <f t="shared" si="13"/>
        <v/>
      </c>
    </row>
    <row r="182" spans="11:54" x14ac:dyDescent="0.25">
      <c r="K182" s="372"/>
      <c r="AN182" s="323" t="str">
        <f t="shared" si="14"/>
        <v/>
      </c>
      <c r="BB182" s="306" t="str">
        <f t="shared" si="13"/>
        <v/>
      </c>
    </row>
    <row r="183" spans="11:54" x14ac:dyDescent="0.25">
      <c r="K183" s="372"/>
      <c r="AN183" s="323" t="str">
        <f t="shared" si="14"/>
        <v/>
      </c>
      <c r="BB183" s="306" t="str">
        <f t="shared" si="13"/>
        <v/>
      </c>
    </row>
    <row r="184" spans="11:54" x14ac:dyDescent="0.25">
      <c r="K184" s="372"/>
      <c r="AN184" s="323" t="str">
        <f t="shared" si="14"/>
        <v/>
      </c>
      <c r="BB184" s="306" t="str">
        <f t="shared" si="13"/>
        <v/>
      </c>
    </row>
    <row r="185" spans="11:54" x14ac:dyDescent="0.25">
      <c r="K185" s="372"/>
      <c r="AN185" s="323" t="str">
        <f t="shared" si="14"/>
        <v/>
      </c>
      <c r="BB185" s="306" t="str">
        <f t="shared" si="13"/>
        <v/>
      </c>
    </row>
    <row r="186" spans="11:54" x14ac:dyDescent="0.25">
      <c r="K186" s="372"/>
      <c r="AN186" s="323" t="str">
        <f t="shared" si="14"/>
        <v/>
      </c>
      <c r="BB186" s="306" t="str">
        <f t="shared" si="13"/>
        <v/>
      </c>
    </row>
    <row r="187" spans="11:54" x14ac:dyDescent="0.25">
      <c r="K187" s="372"/>
      <c r="AN187" s="323" t="str">
        <f t="shared" si="14"/>
        <v/>
      </c>
      <c r="BB187" s="306" t="str">
        <f t="shared" si="13"/>
        <v/>
      </c>
    </row>
    <row r="188" spans="11:54" x14ac:dyDescent="0.25">
      <c r="K188" s="372"/>
      <c r="AN188" s="323" t="str">
        <f t="shared" si="14"/>
        <v/>
      </c>
      <c r="BB188" s="306" t="str">
        <f t="shared" si="13"/>
        <v/>
      </c>
    </row>
    <row r="189" spans="11:54" x14ac:dyDescent="0.25">
      <c r="K189" s="372"/>
      <c r="AN189" s="323" t="str">
        <f t="shared" si="14"/>
        <v/>
      </c>
      <c r="BB189" s="306" t="str">
        <f t="shared" si="13"/>
        <v/>
      </c>
    </row>
    <row r="190" spans="11:54" x14ac:dyDescent="0.25">
      <c r="K190" s="372"/>
      <c r="AN190" s="323" t="str">
        <f t="shared" si="14"/>
        <v/>
      </c>
      <c r="BB190" s="306" t="str">
        <f t="shared" si="13"/>
        <v/>
      </c>
    </row>
    <row r="191" spans="11:54" x14ac:dyDescent="0.25">
      <c r="K191" s="372"/>
      <c r="AN191" s="323" t="str">
        <f t="shared" si="14"/>
        <v/>
      </c>
      <c r="BB191" s="306" t="str">
        <f t="shared" si="13"/>
        <v/>
      </c>
    </row>
    <row r="192" spans="11:54" x14ac:dyDescent="0.25">
      <c r="K192" s="372"/>
      <c r="AN192" s="323" t="str">
        <f t="shared" si="14"/>
        <v/>
      </c>
      <c r="BB192" s="306" t="str">
        <f t="shared" si="13"/>
        <v/>
      </c>
    </row>
    <row r="193" spans="11:54" x14ac:dyDescent="0.25">
      <c r="K193" s="372"/>
      <c r="AN193" s="323" t="str">
        <f t="shared" si="14"/>
        <v/>
      </c>
      <c r="BB193" s="306" t="str">
        <f t="shared" si="13"/>
        <v/>
      </c>
    </row>
    <row r="194" spans="11:54" x14ac:dyDescent="0.25">
      <c r="K194" s="372"/>
      <c r="AN194" s="323" t="str">
        <f t="shared" si="14"/>
        <v/>
      </c>
      <c r="BB194" s="306" t="str">
        <f t="shared" si="13"/>
        <v/>
      </c>
    </row>
    <row r="195" spans="11:54" x14ac:dyDescent="0.25">
      <c r="K195" s="372"/>
      <c r="AN195" s="323" t="str">
        <f t="shared" si="14"/>
        <v/>
      </c>
      <c r="BB195" s="306" t="str">
        <f t="shared" si="13"/>
        <v/>
      </c>
    </row>
    <row r="196" spans="11:54" x14ac:dyDescent="0.25">
      <c r="K196" s="372"/>
      <c r="AN196" s="323" t="str">
        <f t="shared" si="14"/>
        <v/>
      </c>
      <c r="BB196" s="306" t="str">
        <f t="shared" si="13"/>
        <v/>
      </c>
    </row>
    <row r="197" spans="11:54" x14ac:dyDescent="0.25">
      <c r="K197" s="372"/>
      <c r="AN197" s="323" t="str">
        <f t="shared" si="14"/>
        <v/>
      </c>
      <c r="BB197" s="306" t="str">
        <f t="shared" ref="BB197:BB260" si="15">IF(AO197="","",LEFT(AO197,SEARCH(".",AO197)-1))</f>
        <v/>
      </c>
    </row>
    <row r="198" spans="11:54" x14ac:dyDescent="0.25">
      <c r="K198" s="372"/>
      <c r="AN198" s="323" t="str">
        <f t="shared" ref="AN198:AN261" si="16">IF(AO198="","",AN197+1)</f>
        <v/>
      </c>
      <c r="BB198" s="306" t="str">
        <f t="shared" si="15"/>
        <v/>
      </c>
    </row>
    <row r="199" spans="11:54" x14ac:dyDescent="0.25">
      <c r="K199" s="372"/>
      <c r="AN199" s="323" t="str">
        <f t="shared" si="16"/>
        <v/>
      </c>
      <c r="BB199" s="306" t="str">
        <f t="shared" si="15"/>
        <v/>
      </c>
    </row>
    <row r="200" spans="11:54" x14ac:dyDescent="0.25">
      <c r="K200" s="372"/>
      <c r="AN200" s="323" t="str">
        <f t="shared" si="16"/>
        <v/>
      </c>
      <c r="BB200" s="306" t="str">
        <f t="shared" si="15"/>
        <v/>
      </c>
    </row>
    <row r="201" spans="11:54" x14ac:dyDescent="0.25">
      <c r="K201" s="372"/>
      <c r="AN201" s="323" t="str">
        <f t="shared" si="16"/>
        <v/>
      </c>
      <c r="BB201" s="306" t="str">
        <f t="shared" si="15"/>
        <v/>
      </c>
    </row>
    <row r="202" spans="11:54" x14ac:dyDescent="0.25">
      <c r="K202" s="372"/>
      <c r="AN202" s="323" t="str">
        <f t="shared" si="16"/>
        <v/>
      </c>
      <c r="BB202" s="306" t="str">
        <f t="shared" si="15"/>
        <v/>
      </c>
    </row>
    <row r="203" spans="11:54" x14ac:dyDescent="0.25">
      <c r="K203" s="372"/>
      <c r="AN203" s="323" t="str">
        <f t="shared" si="16"/>
        <v/>
      </c>
      <c r="BB203" s="306" t="str">
        <f t="shared" si="15"/>
        <v/>
      </c>
    </row>
    <row r="204" spans="11:54" x14ac:dyDescent="0.25">
      <c r="K204" s="372"/>
      <c r="AN204" s="323" t="str">
        <f t="shared" si="16"/>
        <v/>
      </c>
      <c r="BB204" s="306" t="str">
        <f t="shared" si="15"/>
        <v/>
      </c>
    </row>
    <row r="205" spans="11:54" x14ac:dyDescent="0.25">
      <c r="K205" s="372"/>
      <c r="AN205" s="323" t="str">
        <f t="shared" si="16"/>
        <v/>
      </c>
      <c r="BB205" s="306" t="str">
        <f t="shared" si="15"/>
        <v/>
      </c>
    </row>
    <row r="206" spans="11:54" x14ac:dyDescent="0.25">
      <c r="K206" s="372"/>
      <c r="AN206" s="323" t="str">
        <f t="shared" si="16"/>
        <v/>
      </c>
      <c r="BB206" s="306" t="str">
        <f t="shared" si="15"/>
        <v/>
      </c>
    </row>
    <row r="207" spans="11:54" x14ac:dyDescent="0.25">
      <c r="K207" s="372"/>
      <c r="AN207" s="323" t="str">
        <f t="shared" si="16"/>
        <v/>
      </c>
      <c r="BB207" s="306" t="str">
        <f t="shared" si="15"/>
        <v/>
      </c>
    </row>
    <row r="208" spans="11:54" x14ac:dyDescent="0.25">
      <c r="K208" s="372"/>
      <c r="AN208" s="323" t="str">
        <f t="shared" si="16"/>
        <v/>
      </c>
      <c r="BB208" s="306" t="str">
        <f t="shared" si="15"/>
        <v/>
      </c>
    </row>
    <row r="209" spans="11:54" x14ac:dyDescent="0.25">
      <c r="K209" s="372"/>
      <c r="AN209" s="323" t="str">
        <f t="shared" si="16"/>
        <v/>
      </c>
      <c r="BB209" s="306" t="str">
        <f t="shared" si="15"/>
        <v/>
      </c>
    </row>
    <row r="210" spans="11:54" x14ac:dyDescent="0.25">
      <c r="K210" s="372"/>
      <c r="AN210" s="323" t="str">
        <f t="shared" si="16"/>
        <v/>
      </c>
      <c r="BB210" s="306" t="str">
        <f t="shared" si="15"/>
        <v/>
      </c>
    </row>
    <row r="211" spans="11:54" x14ac:dyDescent="0.25">
      <c r="K211" s="372"/>
      <c r="AN211" s="323" t="str">
        <f t="shared" si="16"/>
        <v/>
      </c>
      <c r="BB211" s="306" t="str">
        <f t="shared" si="15"/>
        <v/>
      </c>
    </row>
    <row r="212" spans="11:54" x14ac:dyDescent="0.25">
      <c r="K212" s="372"/>
      <c r="AN212" s="323" t="str">
        <f t="shared" si="16"/>
        <v/>
      </c>
      <c r="BB212" s="306" t="str">
        <f t="shared" si="15"/>
        <v/>
      </c>
    </row>
    <row r="213" spans="11:54" x14ac:dyDescent="0.25">
      <c r="K213" s="372"/>
      <c r="AN213" s="323" t="str">
        <f t="shared" si="16"/>
        <v/>
      </c>
      <c r="BB213" s="306" t="str">
        <f t="shared" si="15"/>
        <v/>
      </c>
    </row>
    <row r="214" spans="11:54" x14ac:dyDescent="0.25">
      <c r="K214" s="372"/>
      <c r="AN214" s="323" t="str">
        <f t="shared" si="16"/>
        <v/>
      </c>
      <c r="BB214" s="306" t="str">
        <f t="shared" si="15"/>
        <v/>
      </c>
    </row>
    <row r="215" spans="11:54" x14ac:dyDescent="0.25">
      <c r="K215" s="372"/>
      <c r="AN215" s="323" t="str">
        <f t="shared" si="16"/>
        <v/>
      </c>
      <c r="BB215" s="306" t="str">
        <f t="shared" si="15"/>
        <v/>
      </c>
    </row>
    <row r="216" spans="11:54" x14ac:dyDescent="0.25">
      <c r="K216" s="372"/>
      <c r="AN216" s="323" t="str">
        <f t="shared" si="16"/>
        <v/>
      </c>
      <c r="BB216" s="306" t="str">
        <f t="shared" si="15"/>
        <v/>
      </c>
    </row>
    <row r="217" spans="11:54" x14ac:dyDescent="0.25">
      <c r="K217" s="372"/>
      <c r="AN217" s="323" t="str">
        <f t="shared" si="16"/>
        <v/>
      </c>
      <c r="BB217" s="306" t="str">
        <f t="shared" si="15"/>
        <v/>
      </c>
    </row>
    <row r="218" spans="11:54" x14ac:dyDescent="0.25">
      <c r="K218" s="372"/>
      <c r="AN218" s="323" t="str">
        <f t="shared" si="16"/>
        <v/>
      </c>
      <c r="BB218" s="306" t="str">
        <f t="shared" si="15"/>
        <v/>
      </c>
    </row>
    <row r="219" spans="11:54" x14ac:dyDescent="0.25">
      <c r="K219" s="372"/>
      <c r="AN219" s="323" t="str">
        <f t="shared" si="16"/>
        <v/>
      </c>
      <c r="BB219" s="306" t="str">
        <f t="shared" si="15"/>
        <v/>
      </c>
    </row>
    <row r="220" spans="11:54" x14ac:dyDescent="0.25">
      <c r="K220" s="372"/>
      <c r="AN220" s="323" t="str">
        <f t="shared" si="16"/>
        <v/>
      </c>
      <c r="BB220" s="306" t="str">
        <f t="shared" si="15"/>
        <v/>
      </c>
    </row>
    <row r="221" spans="11:54" x14ac:dyDescent="0.25">
      <c r="K221" s="372"/>
      <c r="AN221" s="323" t="str">
        <f t="shared" si="16"/>
        <v/>
      </c>
      <c r="BB221" s="306" t="str">
        <f t="shared" si="15"/>
        <v/>
      </c>
    </row>
    <row r="222" spans="11:54" x14ac:dyDescent="0.25">
      <c r="K222" s="372"/>
      <c r="AN222" s="323" t="str">
        <f t="shared" si="16"/>
        <v/>
      </c>
      <c r="BB222" s="306" t="str">
        <f t="shared" si="15"/>
        <v/>
      </c>
    </row>
    <row r="223" spans="11:54" x14ac:dyDescent="0.25">
      <c r="K223" s="372"/>
      <c r="AN223" s="323" t="str">
        <f t="shared" si="16"/>
        <v/>
      </c>
      <c r="BB223" s="306" t="str">
        <f t="shared" si="15"/>
        <v/>
      </c>
    </row>
    <row r="224" spans="11:54" x14ac:dyDescent="0.25">
      <c r="K224" s="372"/>
      <c r="AN224" s="323" t="str">
        <f t="shared" si="16"/>
        <v/>
      </c>
      <c r="BB224" s="306" t="str">
        <f t="shared" si="15"/>
        <v/>
      </c>
    </row>
    <row r="225" spans="11:54" x14ac:dyDescent="0.25">
      <c r="K225" s="372"/>
      <c r="AN225" s="323" t="str">
        <f t="shared" si="16"/>
        <v/>
      </c>
      <c r="BB225" s="306" t="str">
        <f t="shared" si="15"/>
        <v/>
      </c>
    </row>
    <row r="226" spans="11:54" x14ac:dyDescent="0.25">
      <c r="K226" s="372"/>
      <c r="AN226" s="323" t="str">
        <f t="shared" si="16"/>
        <v/>
      </c>
      <c r="BB226" s="306" t="str">
        <f t="shared" si="15"/>
        <v/>
      </c>
    </row>
    <row r="227" spans="11:54" x14ac:dyDescent="0.25">
      <c r="K227" s="372"/>
      <c r="AN227" s="323" t="str">
        <f t="shared" si="16"/>
        <v/>
      </c>
      <c r="BB227" s="306" t="str">
        <f t="shared" si="15"/>
        <v/>
      </c>
    </row>
    <row r="228" spans="11:54" x14ac:dyDescent="0.25">
      <c r="K228" s="372"/>
      <c r="AN228" s="323" t="str">
        <f t="shared" si="16"/>
        <v/>
      </c>
      <c r="BB228" s="306" t="str">
        <f t="shared" si="15"/>
        <v/>
      </c>
    </row>
    <row r="229" spans="11:54" x14ac:dyDescent="0.25">
      <c r="K229" s="372"/>
      <c r="AN229" s="323" t="str">
        <f t="shared" si="16"/>
        <v/>
      </c>
      <c r="BB229" s="306" t="str">
        <f t="shared" si="15"/>
        <v/>
      </c>
    </row>
    <row r="230" spans="11:54" x14ac:dyDescent="0.25">
      <c r="K230" s="372"/>
      <c r="AN230" s="323" t="str">
        <f t="shared" si="16"/>
        <v/>
      </c>
      <c r="BB230" s="306" t="str">
        <f t="shared" si="15"/>
        <v/>
      </c>
    </row>
    <row r="231" spans="11:54" x14ac:dyDescent="0.25">
      <c r="K231" s="372"/>
      <c r="AN231" s="323" t="str">
        <f t="shared" si="16"/>
        <v/>
      </c>
      <c r="BB231" s="306" t="str">
        <f t="shared" si="15"/>
        <v/>
      </c>
    </row>
    <row r="232" spans="11:54" x14ac:dyDescent="0.25">
      <c r="K232" s="372"/>
      <c r="AN232" s="323" t="str">
        <f t="shared" si="16"/>
        <v/>
      </c>
      <c r="BB232" s="306" t="str">
        <f t="shared" si="15"/>
        <v/>
      </c>
    </row>
    <row r="233" spans="11:54" x14ac:dyDescent="0.25">
      <c r="K233" s="372"/>
      <c r="AN233" s="323" t="str">
        <f t="shared" si="16"/>
        <v/>
      </c>
      <c r="BB233" s="306" t="str">
        <f t="shared" si="15"/>
        <v/>
      </c>
    </row>
    <row r="234" spans="11:54" x14ac:dyDescent="0.25">
      <c r="K234" s="372"/>
      <c r="AN234" s="323" t="str">
        <f t="shared" si="16"/>
        <v/>
      </c>
      <c r="BB234" s="306" t="str">
        <f t="shared" si="15"/>
        <v/>
      </c>
    </row>
    <row r="235" spans="11:54" x14ac:dyDescent="0.25">
      <c r="K235" s="372"/>
      <c r="AN235" s="323" t="str">
        <f t="shared" si="16"/>
        <v/>
      </c>
      <c r="BB235" s="306" t="str">
        <f t="shared" si="15"/>
        <v/>
      </c>
    </row>
    <row r="236" spans="11:54" x14ac:dyDescent="0.25">
      <c r="K236" s="372"/>
      <c r="AN236" s="323" t="str">
        <f t="shared" si="16"/>
        <v/>
      </c>
      <c r="BB236" s="306" t="str">
        <f t="shared" si="15"/>
        <v/>
      </c>
    </row>
    <row r="237" spans="11:54" x14ac:dyDescent="0.25">
      <c r="K237" s="372"/>
      <c r="AN237" s="323" t="str">
        <f t="shared" si="16"/>
        <v/>
      </c>
      <c r="BB237" s="306" t="str">
        <f t="shared" si="15"/>
        <v/>
      </c>
    </row>
    <row r="238" spans="11:54" x14ac:dyDescent="0.25">
      <c r="K238" s="372"/>
      <c r="AN238" s="323" t="str">
        <f t="shared" si="16"/>
        <v/>
      </c>
      <c r="BB238" s="306" t="str">
        <f t="shared" si="15"/>
        <v/>
      </c>
    </row>
    <row r="239" spans="11:54" x14ac:dyDescent="0.25">
      <c r="K239" s="372"/>
      <c r="AN239" s="323" t="str">
        <f t="shared" si="16"/>
        <v/>
      </c>
      <c r="BB239" s="306" t="str">
        <f t="shared" si="15"/>
        <v/>
      </c>
    </row>
    <row r="240" spans="11:54" x14ac:dyDescent="0.25">
      <c r="K240" s="372"/>
      <c r="AN240" s="323" t="str">
        <f t="shared" si="16"/>
        <v/>
      </c>
      <c r="BB240" s="306" t="str">
        <f t="shared" si="15"/>
        <v/>
      </c>
    </row>
    <row r="241" spans="11:54" x14ac:dyDescent="0.25">
      <c r="K241" s="372"/>
      <c r="AN241" s="323" t="str">
        <f t="shared" si="16"/>
        <v/>
      </c>
      <c r="BB241" s="306" t="str">
        <f t="shared" si="15"/>
        <v/>
      </c>
    </row>
    <row r="242" spans="11:54" x14ac:dyDescent="0.25">
      <c r="K242" s="372"/>
      <c r="AN242" s="323" t="str">
        <f t="shared" si="16"/>
        <v/>
      </c>
      <c r="BB242" s="306" t="str">
        <f t="shared" si="15"/>
        <v/>
      </c>
    </row>
    <row r="243" spans="11:54" x14ac:dyDescent="0.25">
      <c r="K243" s="372"/>
      <c r="AN243" s="323" t="str">
        <f t="shared" si="16"/>
        <v/>
      </c>
      <c r="BB243" s="306" t="str">
        <f t="shared" si="15"/>
        <v/>
      </c>
    </row>
    <row r="244" spans="11:54" x14ac:dyDescent="0.25">
      <c r="K244" s="372"/>
      <c r="AN244" s="323" t="str">
        <f t="shared" si="16"/>
        <v/>
      </c>
      <c r="BB244" s="306" t="str">
        <f t="shared" si="15"/>
        <v/>
      </c>
    </row>
    <row r="245" spans="11:54" x14ac:dyDescent="0.25">
      <c r="K245" s="372"/>
      <c r="AN245" s="323" t="str">
        <f t="shared" si="16"/>
        <v/>
      </c>
      <c r="BB245" s="306" t="str">
        <f t="shared" si="15"/>
        <v/>
      </c>
    </row>
    <row r="246" spans="11:54" x14ac:dyDescent="0.25">
      <c r="K246" s="372"/>
      <c r="AN246" s="323" t="str">
        <f t="shared" si="16"/>
        <v/>
      </c>
      <c r="BB246" s="306" t="str">
        <f t="shared" si="15"/>
        <v/>
      </c>
    </row>
    <row r="247" spans="11:54" x14ac:dyDescent="0.25">
      <c r="K247" s="372"/>
      <c r="AN247" s="323" t="str">
        <f t="shared" si="16"/>
        <v/>
      </c>
      <c r="BB247" s="306" t="str">
        <f t="shared" si="15"/>
        <v/>
      </c>
    </row>
    <row r="248" spans="11:54" x14ac:dyDescent="0.25">
      <c r="K248" s="372"/>
      <c r="AN248" s="323" t="str">
        <f t="shared" si="16"/>
        <v/>
      </c>
      <c r="BB248" s="306" t="str">
        <f t="shared" si="15"/>
        <v/>
      </c>
    </row>
    <row r="249" spans="11:54" x14ac:dyDescent="0.25">
      <c r="K249" s="372"/>
      <c r="AN249" s="323" t="str">
        <f t="shared" si="16"/>
        <v/>
      </c>
      <c r="BB249" s="306" t="str">
        <f t="shared" si="15"/>
        <v/>
      </c>
    </row>
    <row r="250" spans="11:54" x14ac:dyDescent="0.25">
      <c r="K250" s="372"/>
      <c r="AN250" s="323" t="str">
        <f t="shared" si="16"/>
        <v/>
      </c>
      <c r="BB250" s="306" t="str">
        <f t="shared" si="15"/>
        <v/>
      </c>
    </row>
    <row r="251" spans="11:54" x14ac:dyDescent="0.25">
      <c r="K251" s="372"/>
      <c r="AN251" s="323" t="str">
        <f t="shared" si="16"/>
        <v/>
      </c>
      <c r="BB251" s="306" t="str">
        <f t="shared" si="15"/>
        <v/>
      </c>
    </row>
    <row r="252" spans="11:54" x14ac:dyDescent="0.25">
      <c r="K252" s="372"/>
      <c r="AN252" s="323" t="str">
        <f t="shared" si="16"/>
        <v/>
      </c>
      <c r="BB252" s="306" t="str">
        <f t="shared" si="15"/>
        <v/>
      </c>
    </row>
    <row r="253" spans="11:54" x14ac:dyDescent="0.25">
      <c r="K253" s="372"/>
      <c r="AN253" s="323" t="str">
        <f t="shared" si="16"/>
        <v/>
      </c>
      <c r="BB253" s="306" t="str">
        <f t="shared" si="15"/>
        <v/>
      </c>
    </row>
    <row r="254" spans="11:54" x14ac:dyDescent="0.25">
      <c r="K254" s="372"/>
      <c r="AN254" s="323" t="str">
        <f t="shared" si="16"/>
        <v/>
      </c>
      <c r="BB254" s="306" t="str">
        <f t="shared" si="15"/>
        <v/>
      </c>
    </row>
    <row r="255" spans="11:54" x14ac:dyDescent="0.25">
      <c r="K255" s="372"/>
      <c r="AN255" s="323" t="str">
        <f t="shared" si="16"/>
        <v/>
      </c>
      <c r="BB255" s="306" t="str">
        <f t="shared" si="15"/>
        <v/>
      </c>
    </row>
    <row r="256" spans="11:54" x14ac:dyDescent="0.25">
      <c r="K256" s="372"/>
      <c r="AN256" s="323" t="str">
        <f t="shared" si="16"/>
        <v/>
      </c>
      <c r="BB256" s="306" t="str">
        <f t="shared" si="15"/>
        <v/>
      </c>
    </row>
    <row r="257" spans="11:54" x14ac:dyDescent="0.25">
      <c r="K257" s="372"/>
      <c r="AN257" s="323" t="str">
        <f t="shared" si="16"/>
        <v/>
      </c>
      <c r="BB257" s="306" t="str">
        <f t="shared" si="15"/>
        <v/>
      </c>
    </row>
    <row r="258" spans="11:54" x14ac:dyDescent="0.25">
      <c r="K258" s="372"/>
      <c r="AN258" s="323" t="str">
        <f t="shared" si="16"/>
        <v/>
      </c>
      <c r="BB258" s="306" t="str">
        <f t="shared" si="15"/>
        <v/>
      </c>
    </row>
    <row r="259" spans="11:54" x14ac:dyDescent="0.25">
      <c r="K259" s="372"/>
      <c r="AN259" s="323" t="str">
        <f t="shared" si="16"/>
        <v/>
      </c>
      <c r="BB259" s="306" t="str">
        <f t="shared" si="15"/>
        <v/>
      </c>
    </row>
    <row r="260" spans="11:54" x14ac:dyDescent="0.25">
      <c r="K260" s="372"/>
      <c r="AN260" s="323" t="str">
        <f t="shared" si="16"/>
        <v/>
      </c>
      <c r="BB260" s="306" t="str">
        <f t="shared" si="15"/>
        <v/>
      </c>
    </row>
    <row r="261" spans="11:54" x14ac:dyDescent="0.25">
      <c r="K261" s="372"/>
      <c r="AN261" s="323" t="str">
        <f t="shared" si="16"/>
        <v/>
      </c>
      <c r="BB261" s="306" t="str">
        <f t="shared" ref="BB261:BB324" si="17">IF(AO261="","",LEFT(AO261,SEARCH(".",AO261)-1))</f>
        <v/>
      </c>
    </row>
    <row r="262" spans="11:54" x14ac:dyDescent="0.25">
      <c r="K262" s="372"/>
      <c r="AN262" s="323" t="str">
        <f t="shared" ref="AN262:AN267" si="18">IF(AO262="","",AN261+1)</f>
        <v/>
      </c>
      <c r="BB262" s="306" t="str">
        <f t="shared" si="17"/>
        <v/>
      </c>
    </row>
    <row r="263" spans="11:54" x14ac:dyDescent="0.25">
      <c r="K263" s="372"/>
      <c r="AN263" s="323" t="str">
        <f t="shared" si="18"/>
        <v/>
      </c>
      <c r="BB263" s="306" t="str">
        <f t="shared" si="17"/>
        <v/>
      </c>
    </row>
    <row r="264" spans="11:54" x14ac:dyDescent="0.25">
      <c r="K264" s="372"/>
      <c r="AN264" s="323" t="str">
        <f t="shared" si="18"/>
        <v/>
      </c>
      <c r="BB264" s="306" t="str">
        <f t="shared" si="17"/>
        <v/>
      </c>
    </row>
    <row r="265" spans="11:54" x14ac:dyDescent="0.25">
      <c r="K265" s="372"/>
      <c r="AN265" s="323" t="str">
        <f t="shared" si="18"/>
        <v/>
      </c>
      <c r="BB265" s="306" t="str">
        <f t="shared" si="17"/>
        <v/>
      </c>
    </row>
    <row r="266" spans="11:54" x14ac:dyDescent="0.25">
      <c r="K266" s="372"/>
      <c r="AN266" s="323" t="str">
        <f t="shared" si="18"/>
        <v/>
      </c>
      <c r="BB266" s="306" t="str">
        <f t="shared" si="17"/>
        <v/>
      </c>
    </row>
    <row r="267" spans="11:54" x14ac:dyDescent="0.25">
      <c r="K267" s="372"/>
      <c r="AN267" s="323" t="str">
        <f t="shared" si="18"/>
        <v/>
      </c>
      <c r="BB267" s="306" t="str">
        <f t="shared" si="17"/>
        <v/>
      </c>
    </row>
    <row r="268" spans="11:54" x14ac:dyDescent="0.25">
      <c r="K268" s="372"/>
      <c r="BB268" s="306" t="str">
        <f t="shared" si="17"/>
        <v/>
      </c>
    </row>
    <row r="269" spans="11:54" x14ac:dyDescent="0.25">
      <c r="K269" s="372"/>
      <c r="BB269" s="306" t="str">
        <f t="shared" si="17"/>
        <v/>
      </c>
    </row>
    <row r="270" spans="11:54" x14ac:dyDescent="0.25">
      <c r="K270" s="372"/>
      <c r="BB270" s="306" t="str">
        <f t="shared" si="17"/>
        <v/>
      </c>
    </row>
    <row r="271" spans="11:54" x14ac:dyDescent="0.25">
      <c r="K271" s="372"/>
      <c r="BB271" s="306" t="str">
        <f t="shared" si="17"/>
        <v/>
      </c>
    </row>
    <row r="272" spans="11:54" x14ac:dyDescent="0.25">
      <c r="K272" s="372"/>
      <c r="BB272" s="306" t="str">
        <f t="shared" si="17"/>
        <v/>
      </c>
    </row>
    <row r="273" spans="11:54" x14ac:dyDescent="0.25">
      <c r="K273" s="372"/>
      <c r="BB273" s="306" t="str">
        <f t="shared" si="17"/>
        <v/>
      </c>
    </row>
    <row r="274" spans="11:54" x14ac:dyDescent="0.25">
      <c r="K274" s="372"/>
      <c r="BB274" s="306" t="str">
        <f t="shared" si="17"/>
        <v/>
      </c>
    </row>
    <row r="275" spans="11:54" x14ac:dyDescent="0.25">
      <c r="K275" s="372"/>
      <c r="BB275" s="306" t="str">
        <f t="shared" si="17"/>
        <v/>
      </c>
    </row>
    <row r="276" spans="11:54" x14ac:dyDescent="0.25">
      <c r="K276" s="372"/>
      <c r="BB276" s="306" t="str">
        <f t="shared" si="17"/>
        <v/>
      </c>
    </row>
    <row r="277" spans="11:54" x14ac:dyDescent="0.25">
      <c r="K277" s="372"/>
      <c r="BB277" s="306" t="str">
        <f t="shared" si="17"/>
        <v/>
      </c>
    </row>
    <row r="278" spans="11:54" x14ac:dyDescent="0.25">
      <c r="K278" s="372"/>
      <c r="BB278" s="306" t="str">
        <f t="shared" si="17"/>
        <v/>
      </c>
    </row>
    <row r="279" spans="11:54" x14ac:dyDescent="0.25">
      <c r="K279" s="372"/>
      <c r="BB279" s="306" t="str">
        <f t="shared" si="17"/>
        <v/>
      </c>
    </row>
    <row r="280" spans="11:54" x14ac:dyDescent="0.25">
      <c r="K280" s="372"/>
      <c r="BB280" s="306" t="str">
        <f t="shared" si="17"/>
        <v/>
      </c>
    </row>
    <row r="281" spans="11:54" x14ac:dyDescent="0.25">
      <c r="K281" s="372"/>
      <c r="BB281" s="306" t="str">
        <f t="shared" si="17"/>
        <v/>
      </c>
    </row>
    <row r="282" spans="11:54" x14ac:dyDescent="0.25">
      <c r="K282" s="372"/>
      <c r="BB282" s="306" t="str">
        <f t="shared" si="17"/>
        <v/>
      </c>
    </row>
    <row r="283" spans="11:54" x14ac:dyDescent="0.25">
      <c r="K283" s="372"/>
      <c r="BB283" s="306" t="str">
        <f t="shared" si="17"/>
        <v/>
      </c>
    </row>
    <row r="284" spans="11:54" x14ac:dyDescent="0.25">
      <c r="K284" s="372"/>
      <c r="BB284" s="306" t="str">
        <f t="shared" si="17"/>
        <v/>
      </c>
    </row>
    <row r="285" spans="11:54" x14ac:dyDescent="0.25">
      <c r="K285" s="372"/>
      <c r="BB285" s="306" t="str">
        <f t="shared" si="17"/>
        <v/>
      </c>
    </row>
    <row r="286" spans="11:54" x14ac:dyDescent="0.25">
      <c r="K286" s="372"/>
      <c r="BB286" s="306" t="str">
        <f t="shared" si="17"/>
        <v/>
      </c>
    </row>
    <row r="287" spans="11:54" x14ac:dyDescent="0.25">
      <c r="K287" s="372"/>
      <c r="BB287" s="306" t="str">
        <f t="shared" si="17"/>
        <v/>
      </c>
    </row>
    <row r="288" spans="11:54" x14ac:dyDescent="0.25">
      <c r="K288" s="372"/>
      <c r="BB288" s="306" t="str">
        <f t="shared" si="17"/>
        <v/>
      </c>
    </row>
    <row r="289" spans="11:54" x14ac:dyDescent="0.25">
      <c r="K289" s="372"/>
      <c r="BB289" s="306" t="str">
        <f t="shared" si="17"/>
        <v/>
      </c>
    </row>
    <row r="290" spans="11:54" x14ac:dyDescent="0.25">
      <c r="K290" s="372"/>
      <c r="BB290" s="306" t="str">
        <f t="shared" si="17"/>
        <v/>
      </c>
    </row>
    <row r="291" spans="11:54" x14ac:dyDescent="0.25">
      <c r="K291" s="372"/>
      <c r="BB291" s="306" t="str">
        <f t="shared" si="17"/>
        <v/>
      </c>
    </row>
    <row r="292" spans="11:54" x14ac:dyDescent="0.25">
      <c r="K292" s="372"/>
      <c r="BB292" s="306" t="str">
        <f t="shared" si="17"/>
        <v/>
      </c>
    </row>
    <row r="293" spans="11:54" x14ac:dyDescent="0.25">
      <c r="K293" s="372"/>
      <c r="BB293" s="306" t="str">
        <f t="shared" si="17"/>
        <v/>
      </c>
    </row>
    <row r="294" spans="11:54" x14ac:dyDescent="0.25">
      <c r="K294" s="372"/>
      <c r="BB294" s="306" t="str">
        <f t="shared" si="17"/>
        <v/>
      </c>
    </row>
    <row r="295" spans="11:54" x14ac:dyDescent="0.25">
      <c r="K295" s="372"/>
      <c r="BB295" s="306" t="str">
        <f t="shared" si="17"/>
        <v/>
      </c>
    </row>
    <row r="296" spans="11:54" x14ac:dyDescent="0.25">
      <c r="K296" s="372"/>
      <c r="BB296" s="306" t="str">
        <f t="shared" si="17"/>
        <v/>
      </c>
    </row>
    <row r="297" spans="11:54" x14ac:dyDescent="0.25">
      <c r="K297" s="372"/>
      <c r="BB297" s="306" t="str">
        <f t="shared" si="17"/>
        <v/>
      </c>
    </row>
    <row r="298" spans="11:54" x14ac:dyDescent="0.25">
      <c r="K298" s="372"/>
      <c r="BB298" s="306" t="str">
        <f t="shared" si="17"/>
        <v/>
      </c>
    </row>
    <row r="299" spans="11:54" x14ac:dyDescent="0.25">
      <c r="K299" s="372"/>
      <c r="BB299" s="306" t="str">
        <f t="shared" si="17"/>
        <v/>
      </c>
    </row>
    <row r="300" spans="11:54" x14ac:dyDescent="0.25">
      <c r="K300" s="372"/>
      <c r="BB300" s="306" t="str">
        <f t="shared" si="17"/>
        <v/>
      </c>
    </row>
    <row r="301" spans="11:54" x14ac:dyDescent="0.25">
      <c r="K301" s="372"/>
      <c r="BB301" s="306" t="str">
        <f t="shared" si="17"/>
        <v/>
      </c>
    </row>
    <row r="302" spans="11:54" x14ac:dyDescent="0.25">
      <c r="K302" s="372"/>
      <c r="BB302" s="306" t="str">
        <f t="shared" si="17"/>
        <v/>
      </c>
    </row>
    <row r="303" spans="11:54" x14ac:dyDescent="0.25">
      <c r="K303" s="372"/>
      <c r="BB303" s="306" t="str">
        <f t="shared" si="17"/>
        <v/>
      </c>
    </row>
    <row r="304" spans="11:54" x14ac:dyDescent="0.25">
      <c r="K304" s="372"/>
      <c r="BB304" s="306" t="str">
        <f t="shared" si="17"/>
        <v/>
      </c>
    </row>
    <row r="305" spans="11:54" x14ac:dyDescent="0.25">
      <c r="K305" s="372"/>
      <c r="BB305" s="306" t="str">
        <f t="shared" si="17"/>
        <v/>
      </c>
    </row>
    <row r="306" spans="11:54" x14ac:dyDescent="0.25">
      <c r="K306" s="372"/>
      <c r="BB306" s="306" t="str">
        <f t="shared" si="17"/>
        <v/>
      </c>
    </row>
    <row r="307" spans="11:54" x14ac:dyDescent="0.25">
      <c r="K307" s="372"/>
      <c r="BB307" s="306" t="str">
        <f t="shared" si="17"/>
        <v/>
      </c>
    </row>
    <row r="308" spans="11:54" x14ac:dyDescent="0.25">
      <c r="K308" s="372"/>
      <c r="BB308" s="306" t="str">
        <f t="shared" si="17"/>
        <v/>
      </c>
    </row>
    <row r="309" spans="11:54" x14ac:dyDescent="0.25">
      <c r="K309" s="372"/>
      <c r="BB309" s="306" t="str">
        <f t="shared" si="17"/>
        <v/>
      </c>
    </row>
    <row r="310" spans="11:54" x14ac:dyDescent="0.25">
      <c r="K310" s="372"/>
      <c r="BB310" s="306" t="str">
        <f t="shared" si="17"/>
        <v/>
      </c>
    </row>
    <row r="311" spans="11:54" x14ac:dyDescent="0.25">
      <c r="K311" s="372"/>
      <c r="BB311" s="306" t="str">
        <f t="shared" si="17"/>
        <v/>
      </c>
    </row>
    <row r="312" spans="11:54" x14ac:dyDescent="0.25">
      <c r="K312" s="372"/>
      <c r="BB312" s="306" t="str">
        <f t="shared" si="17"/>
        <v/>
      </c>
    </row>
    <row r="313" spans="11:54" x14ac:dyDescent="0.25">
      <c r="K313" s="372"/>
      <c r="BB313" s="306" t="str">
        <f t="shared" si="17"/>
        <v/>
      </c>
    </row>
    <row r="314" spans="11:54" x14ac:dyDescent="0.25">
      <c r="K314" s="372"/>
      <c r="BB314" s="306" t="str">
        <f t="shared" si="17"/>
        <v/>
      </c>
    </row>
    <row r="315" spans="11:54" x14ac:dyDescent="0.25">
      <c r="K315" s="372"/>
      <c r="BB315" s="306" t="str">
        <f t="shared" si="17"/>
        <v/>
      </c>
    </row>
    <row r="316" spans="11:54" x14ac:dyDescent="0.25">
      <c r="K316" s="372"/>
      <c r="BB316" s="306" t="str">
        <f t="shared" si="17"/>
        <v/>
      </c>
    </row>
    <row r="317" spans="11:54" x14ac:dyDescent="0.25">
      <c r="K317" s="372"/>
      <c r="BB317" s="306" t="str">
        <f t="shared" si="17"/>
        <v/>
      </c>
    </row>
    <row r="318" spans="11:54" x14ac:dyDescent="0.25">
      <c r="K318" s="372"/>
      <c r="BB318" s="306" t="str">
        <f t="shared" si="17"/>
        <v/>
      </c>
    </row>
    <row r="319" spans="11:54" x14ac:dyDescent="0.25">
      <c r="K319" s="372"/>
      <c r="BB319" s="306" t="str">
        <f t="shared" si="17"/>
        <v/>
      </c>
    </row>
    <row r="320" spans="11:54" x14ac:dyDescent="0.25">
      <c r="K320" s="372"/>
      <c r="BB320" s="306" t="str">
        <f t="shared" si="17"/>
        <v/>
      </c>
    </row>
    <row r="321" spans="11:54" x14ac:dyDescent="0.25">
      <c r="K321" s="372"/>
      <c r="BB321" s="306" t="str">
        <f t="shared" si="17"/>
        <v/>
      </c>
    </row>
    <row r="322" spans="11:54" x14ac:dyDescent="0.25">
      <c r="K322" s="372"/>
      <c r="BB322" s="306" t="str">
        <f t="shared" si="17"/>
        <v/>
      </c>
    </row>
    <row r="323" spans="11:54" x14ac:dyDescent="0.25">
      <c r="K323" s="372"/>
      <c r="BB323" s="306" t="str">
        <f t="shared" si="17"/>
        <v/>
      </c>
    </row>
    <row r="324" spans="11:54" x14ac:dyDescent="0.25">
      <c r="K324" s="372"/>
      <c r="BB324" s="306" t="str">
        <f t="shared" si="17"/>
        <v/>
      </c>
    </row>
    <row r="325" spans="11:54" x14ac:dyDescent="0.25">
      <c r="K325" s="372"/>
      <c r="BB325" s="306" t="str">
        <f t="shared" ref="BB325:BB360" si="19">IF(AO325="","",LEFT(AO325,SEARCH(".",AO325)-1))</f>
        <v/>
      </c>
    </row>
    <row r="326" spans="11:54" x14ac:dyDescent="0.25">
      <c r="K326" s="372"/>
      <c r="BB326" s="306" t="str">
        <f t="shared" si="19"/>
        <v/>
      </c>
    </row>
    <row r="327" spans="11:54" x14ac:dyDescent="0.25">
      <c r="K327" s="372"/>
      <c r="BB327" s="306" t="str">
        <f t="shared" si="19"/>
        <v/>
      </c>
    </row>
    <row r="328" spans="11:54" x14ac:dyDescent="0.25">
      <c r="K328" s="372"/>
      <c r="BB328" s="306" t="str">
        <f t="shared" si="19"/>
        <v/>
      </c>
    </row>
    <row r="329" spans="11:54" x14ac:dyDescent="0.25">
      <c r="K329" s="372"/>
      <c r="BB329" s="306" t="str">
        <f t="shared" si="19"/>
        <v/>
      </c>
    </row>
    <row r="330" spans="11:54" x14ac:dyDescent="0.25">
      <c r="K330" s="372"/>
      <c r="BB330" s="306" t="str">
        <f t="shared" si="19"/>
        <v/>
      </c>
    </row>
    <row r="331" spans="11:54" x14ac:dyDescent="0.25">
      <c r="K331" s="372"/>
      <c r="BB331" s="306" t="str">
        <f t="shared" si="19"/>
        <v/>
      </c>
    </row>
    <row r="332" spans="11:54" x14ac:dyDescent="0.25">
      <c r="K332" s="372"/>
      <c r="BB332" s="306" t="str">
        <f t="shared" si="19"/>
        <v/>
      </c>
    </row>
    <row r="333" spans="11:54" x14ac:dyDescent="0.25">
      <c r="K333" s="372"/>
      <c r="BB333" s="306" t="str">
        <f t="shared" si="19"/>
        <v/>
      </c>
    </row>
    <row r="334" spans="11:54" x14ac:dyDescent="0.25">
      <c r="K334" s="372"/>
      <c r="BB334" s="306" t="str">
        <f t="shared" si="19"/>
        <v/>
      </c>
    </row>
    <row r="335" spans="11:54" x14ac:dyDescent="0.25">
      <c r="K335" s="372"/>
      <c r="BB335" s="306" t="str">
        <f t="shared" si="19"/>
        <v/>
      </c>
    </row>
    <row r="336" spans="11:54" x14ac:dyDescent="0.25">
      <c r="K336" s="372"/>
      <c r="BB336" s="306" t="str">
        <f t="shared" si="19"/>
        <v/>
      </c>
    </row>
    <row r="337" spans="11:54" x14ac:dyDescent="0.25">
      <c r="K337" s="372"/>
      <c r="BB337" s="306" t="str">
        <f t="shared" si="19"/>
        <v/>
      </c>
    </row>
    <row r="338" spans="11:54" x14ac:dyDescent="0.25">
      <c r="K338" s="372"/>
      <c r="BB338" s="306" t="str">
        <f t="shared" si="19"/>
        <v/>
      </c>
    </row>
    <row r="339" spans="11:54" x14ac:dyDescent="0.25">
      <c r="K339" s="372"/>
      <c r="BB339" s="306" t="str">
        <f t="shared" si="19"/>
        <v/>
      </c>
    </row>
    <row r="340" spans="11:54" x14ac:dyDescent="0.25">
      <c r="K340" s="372"/>
      <c r="BB340" s="306" t="str">
        <f t="shared" si="19"/>
        <v/>
      </c>
    </row>
    <row r="341" spans="11:54" x14ac:dyDescent="0.25">
      <c r="K341" s="372"/>
      <c r="BB341" s="306" t="str">
        <f t="shared" si="19"/>
        <v/>
      </c>
    </row>
    <row r="342" spans="11:54" x14ac:dyDescent="0.25">
      <c r="K342" s="372"/>
      <c r="BB342" s="306" t="str">
        <f t="shared" si="19"/>
        <v/>
      </c>
    </row>
    <row r="343" spans="11:54" x14ac:dyDescent="0.25">
      <c r="K343" s="372"/>
      <c r="BB343" s="306" t="str">
        <f t="shared" si="19"/>
        <v/>
      </c>
    </row>
    <row r="344" spans="11:54" x14ac:dyDescent="0.25">
      <c r="K344" s="372"/>
      <c r="BB344" s="306" t="str">
        <f t="shared" si="19"/>
        <v/>
      </c>
    </row>
    <row r="345" spans="11:54" x14ac:dyDescent="0.25">
      <c r="K345" s="372"/>
      <c r="BB345" s="306" t="str">
        <f t="shared" si="19"/>
        <v/>
      </c>
    </row>
    <row r="346" spans="11:54" x14ac:dyDescent="0.25">
      <c r="K346" s="372"/>
      <c r="BB346" s="306" t="str">
        <f t="shared" si="19"/>
        <v/>
      </c>
    </row>
    <row r="347" spans="11:54" x14ac:dyDescent="0.25">
      <c r="K347" s="372"/>
      <c r="BB347" s="306" t="str">
        <f t="shared" si="19"/>
        <v/>
      </c>
    </row>
    <row r="348" spans="11:54" x14ac:dyDescent="0.25">
      <c r="K348" s="372"/>
      <c r="BB348" s="306" t="str">
        <f t="shared" si="19"/>
        <v/>
      </c>
    </row>
    <row r="349" spans="11:54" x14ac:dyDescent="0.25">
      <c r="K349" s="372"/>
      <c r="BB349" s="306" t="str">
        <f t="shared" si="19"/>
        <v/>
      </c>
    </row>
    <row r="350" spans="11:54" x14ac:dyDescent="0.25">
      <c r="K350" s="372"/>
      <c r="BB350" s="306" t="str">
        <f t="shared" si="19"/>
        <v/>
      </c>
    </row>
    <row r="351" spans="11:54" x14ac:dyDescent="0.25">
      <c r="K351" s="372"/>
      <c r="BB351" s="306" t="str">
        <f t="shared" si="19"/>
        <v/>
      </c>
    </row>
    <row r="352" spans="11:54" x14ac:dyDescent="0.25">
      <c r="K352" s="372"/>
      <c r="BB352" s="306" t="str">
        <f t="shared" si="19"/>
        <v/>
      </c>
    </row>
    <row r="353" spans="11:54" x14ac:dyDescent="0.25">
      <c r="K353" s="372"/>
      <c r="BB353" s="306" t="str">
        <f t="shared" si="19"/>
        <v/>
      </c>
    </row>
    <row r="354" spans="11:54" x14ac:dyDescent="0.25">
      <c r="K354" s="372"/>
      <c r="BB354" s="306" t="str">
        <f t="shared" si="19"/>
        <v/>
      </c>
    </row>
    <row r="355" spans="11:54" x14ac:dyDescent="0.25">
      <c r="K355" s="372"/>
      <c r="BB355" s="306" t="str">
        <f t="shared" si="19"/>
        <v/>
      </c>
    </row>
    <row r="356" spans="11:54" x14ac:dyDescent="0.25">
      <c r="K356" s="372"/>
      <c r="BB356" s="306" t="str">
        <f t="shared" si="19"/>
        <v/>
      </c>
    </row>
    <row r="357" spans="11:54" x14ac:dyDescent="0.25">
      <c r="K357" s="372"/>
      <c r="BB357" s="306" t="str">
        <f t="shared" si="19"/>
        <v/>
      </c>
    </row>
    <row r="358" spans="11:54" x14ac:dyDescent="0.25">
      <c r="K358" s="372"/>
      <c r="BB358" s="306" t="str">
        <f t="shared" si="19"/>
        <v/>
      </c>
    </row>
    <row r="359" spans="11:54" x14ac:dyDescent="0.25">
      <c r="K359" s="372"/>
      <c r="BB359" s="306" t="str">
        <f t="shared" si="19"/>
        <v/>
      </c>
    </row>
    <row r="360" spans="11:54" x14ac:dyDescent="0.25">
      <c r="K360" s="372"/>
      <c r="BB360" s="306" t="str">
        <f t="shared" si="19"/>
        <v/>
      </c>
    </row>
    <row r="361" spans="11:54" x14ac:dyDescent="0.25">
      <c r="K361" s="372"/>
    </row>
    <row r="362" spans="11:54" x14ac:dyDescent="0.25">
      <c r="K362" s="372"/>
    </row>
    <row r="363" spans="11:54" x14ac:dyDescent="0.25">
      <c r="K363" s="372"/>
    </row>
    <row r="364" spans="11:54" x14ac:dyDescent="0.25">
      <c r="K364" s="372"/>
    </row>
    <row r="365" spans="11:54" x14ac:dyDescent="0.25">
      <c r="K365" s="372"/>
    </row>
    <row r="366" spans="11:54" x14ac:dyDescent="0.25">
      <c r="K366" s="372"/>
    </row>
    <row r="367" spans="11:54" x14ac:dyDescent="0.25">
      <c r="K367" s="372"/>
    </row>
    <row r="368" spans="11:54" x14ac:dyDescent="0.25">
      <c r="K368" s="372"/>
    </row>
    <row r="369" spans="11:11" x14ac:dyDescent="0.25">
      <c r="K369" s="372"/>
    </row>
    <row r="370" spans="11:11" x14ac:dyDescent="0.25">
      <c r="K370" s="372"/>
    </row>
    <row r="371" spans="11:11" x14ac:dyDescent="0.25">
      <c r="K371" s="372"/>
    </row>
    <row r="372" spans="11:11" x14ac:dyDescent="0.25">
      <c r="K372" s="372"/>
    </row>
    <row r="373" spans="11:11" x14ac:dyDescent="0.25">
      <c r="K373" s="372"/>
    </row>
    <row r="374" spans="11:11" x14ac:dyDescent="0.25">
      <c r="K374" s="372"/>
    </row>
    <row r="375" spans="11:11" x14ac:dyDescent="0.25">
      <c r="K375" s="372"/>
    </row>
    <row r="376" spans="11:11" x14ac:dyDescent="0.25">
      <c r="K376" s="372"/>
    </row>
    <row r="377" spans="11:11" x14ac:dyDescent="0.25">
      <c r="K377" s="372"/>
    </row>
    <row r="378" spans="11:11" x14ac:dyDescent="0.25">
      <c r="K378" s="372"/>
    </row>
    <row r="379" spans="11:11" x14ac:dyDescent="0.25">
      <c r="K379" s="372"/>
    </row>
    <row r="380" spans="11:11" x14ac:dyDescent="0.25">
      <c r="K380" s="372"/>
    </row>
    <row r="381" spans="11:11" x14ac:dyDescent="0.25">
      <c r="K381" s="372"/>
    </row>
    <row r="382" spans="11:11" x14ac:dyDescent="0.25">
      <c r="K382" s="372"/>
    </row>
    <row r="383" spans="11:11" x14ac:dyDescent="0.25">
      <c r="K383" s="372"/>
    </row>
    <row r="384" spans="11:11" x14ac:dyDescent="0.25">
      <c r="K384" s="372"/>
    </row>
    <row r="385" spans="11:11" x14ac:dyDescent="0.25">
      <c r="K385" s="372"/>
    </row>
    <row r="386" spans="11:11" x14ac:dyDescent="0.25">
      <c r="K386" s="372"/>
    </row>
    <row r="387" spans="11:11" x14ac:dyDescent="0.25">
      <c r="K387" s="372"/>
    </row>
    <row r="388" spans="11:11" x14ac:dyDescent="0.25">
      <c r="K388" s="372"/>
    </row>
    <row r="389" spans="11:11" x14ac:dyDescent="0.25">
      <c r="K389" s="372"/>
    </row>
    <row r="390" spans="11:11" x14ac:dyDescent="0.25">
      <c r="K390" s="372"/>
    </row>
    <row r="391" spans="11:11" x14ac:dyDescent="0.25">
      <c r="K391" s="372"/>
    </row>
    <row r="392" spans="11:11" x14ac:dyDescent="0.25">
      <c r="K392" s="372"/>
    </row>
    <row r="393" spans="11:11" x14ac:dyDescent="0.25">
      <c r="K393" s="372"/>
    </row>
    <row r="394" spans="11:11" x14ac:dyDescent="0.25">
      <c r="K394" s="372"/>
    </row>
    <row r="395" spans="11:11" x14ac:dyDescent="0.25">
      <c r="K395" s="372"/>
    </row>
    <row r="396" spans="11:11" x14ac:dyDescent="0.25">
      <c r="K396" s="372"/>
    </row>
    <row r="397" spans="11:11" x14ac:dyDescent="0.25">
      <c r="K397" s="372"/>
    </row>
    <row r="398" spans="11:11" x14ac:dyDescent="0.25">
      <c r="K398" s="372"/>
    </row>
    <row r="399" spans="11:11" x14ac:dyDescent="0.25">
      <c r="K399" s="372"/>
    </row>
    <row r="400" spans="11:11" x14ac:dyDescent="0.25">
      <c r="K400" s="372"/>
    </row>
    <row r="401" spans="11:11" x14ac:dyDescent="0.25">
      <c r="K401" s="372"/>
    </row>
    <row r="402" spans="11:11" x14ac:dyDescent="0.25">
      <c r="K402" s="372"/>
    </row>
    <row r="403" spans="11:11" x14ac:dyDescent="0.25">
      <c r="K403" s="372"/>
    </row>
    <row r="404" spans="11:11" x14ac:dyDescent="0.25">
      <c r="K404" s="372"/>
    </row>
    <row r="405" spans="11:11" x14ac:dyDescent="0.25">
      <c r="K405" s="372"/>
    </row>
    <row r="406" spans="11:11" x14ac:dyDescent="0.25">
      <c r="K406" s="372"/>
    </row>
    <row r="407" spans="11:11" x14ac:dyDescent="0.25">
      <c r="K407" s="372"/>
    </row>
    <row r="408" spans="11:11" x14ac:dyDescent="0.25">
      <c r="K408" s="372"/>
    </row>
    <row r="409" spans="11:11" x14ac:dyDescent="0.25">
      <c r="K409" s="372"/>
    </row>
    <row r="410" spans="11:11" x14ac:dyDescent="0.25">
      <c r="K410" s="372"/>
    </row>
    <row r="411" spans="11:11" x14ac:dyDescent="0.25">
      <c r="K411" s="372"/>
    </row>
    <row r="412" spans="11:11" x14ac:dyDescent="0.25">
      <c r="K412" s="372"/>
    </row>
    <row r="413" spans="11:11" x14ac:dyDescent="0.25">
      <c r="K413" s="372"/>
    </row>
    <row r="414" spans="11:11" x14ac:dyDescent="0.25">
      <c r="K414" s="372"/>
    </row>
    <row r="415" spans="11:11" x14ac:dyDescent="0.25">
      <c r="K415" s="372"/>
    </row>
    <row r="416" spans="11:11" x14ac:dyDescent="0.25">
      <c r="K416" s="372"/>
    </row>
    <row r="417" spans="11:11" x14ac:dyDescent="0.25">
      <c r="K417" s="372"/>
    </row>
    <row r="418" spans="11:11" x14ac:dyDescent="0.25">
      <c r="K418" s="372"/>
    </row>
    <row r="419" spans="11:11" x14ac:dyDescent="0.25">
      <c r="K419" s="372"/>
    </row>
    <row r="420" spans="11:11" x14ac:dyDescent="0.25">
      <c r="K420" s="372"/>
    </row>
    <row r="421" spans="11:11" x14ac:dyDescent="0.25">
      <c r="K421" s="372"/>
    </row>
    <row r="422" spans="11:11" x14ac:dyDescent="0.25">
      <c r="K422" s="372"/>
    </row>
    <row r="423" spans="11:11" x14ac:dyDescent="0.25">
      <c r="K423" s="372"/>
    </row>
    <row r="424" spans="11:11" x14ac:dyDescent="0.25">
      <c r="K424" s="372"/>
    </row>
    <row r="425" spans="11:11" x14ac:dyDescent="0.25">
      <c r="K425" s="372"/>
    </row>
    <row r="426" spans="11:11" x14ac:dyDescent="0.25">
      <c r="K426" s="372"/>
    </row>
    <row r="427" spans="11:11" x14ac:dyDescent="0.25">
      <c r="K427" s="372"/>
    </row>
    <row r="428" spans="11:11" x14ac:dyDescent="0.25">
      <c r="K428" s="372"/>
    </row>
    <row r="429" spans="11:11" x14ac:dyDescent="0.25">
      <c r="K429" s="372"/>
    </row>
    <row r="430" spans="11:11" x14ac:dyDescent="0.25">
      <c r="K430" s="372"/>
    </row>
    <row r="431" spans="11:11" x14ac:dyDescent="0.25">
      <c r="K431" s="372"/>
    </row>
    <row r="432" spans="11:11" x14ac:dyDescent="0.25">
      <c r="K432" s="372"/>
    </row>
    <row r="433" spans="11:11" x14ac:dyDescent="0.25">
      <c r="K433" s="372"/>
    </row>
    <row r="434" spans="11:11" x14ac:dyDescent="0.25">
      <c r="K434" s="372"/>
    </row>
    <row r="435" spans="11:11" x14ac:dyDescent="0.25">
      <c r="K435" s="372"/>
    </row>
    <row r="436" spans="11:11" x14ac:dyDescent="0.25">
      <c r="K436" s="372"/>
    </row>
    <row r="437" spans="11:11" x14ac:dyDescent="0.25">
      <c r="K437" s="372"/>
    </row>
    <row r="438" spans="11:11" x14ac:dyDescent="0.25">
      <c r="K438" s="372"/>
    </row>
    <row r="439" spans="11:11" x14ac:dyDescent="0.25">
      <c r="K439" s="372"/>
    </row>
    <row r="440" spans="11:11" x14ac:dyDescent="0.25">
      <c r="K440" s="372"/>
    </row>
    <row r="441" spans="11:11" x14ac:dyDescent="0.25">
      <c r="K441" s="372"/>
    </row>
    <row r="442" spans="11:11" x14ac:dyDescent="0.25">
      <c r="K442" s="372"/>
    </row>
    <row r="443" spans="11:11" x14ac:dyDescent="0.25">
      <c r="K443" s="372"/>
    </row>
    <row r="444" spans="11:11" x14ac:dyDescent="0.25">
      <c r="K444" s="372"/>
    </row>
    <row r="445" spans="11:11" x14ac:dyDescent="0.25">
      <c r="K445" s="372"/>
    </row>
    <row r="446" spans="11:11" x14ac:dyDescent="0.25">
      <c r="K446" s="372"/>
    </row>
    <row r="447" spans="11:11" x14ac:dyDescent="0.25">
      <c r="K447" s="372"/>
    </row>
    <row r="448" spans="11:11" x14ac:dyDescent="0.25">
      <c r="K448" s="372"/>
    </row>
    <row r="449" spans="11:11" x14ac:dyDescent="0.25">
      <c r="K449" s="372"/>
    </row>
    <row r="450" spans="11:11" x14ac:dyDescent="0.25">
      <c r="K450" s="372"/>
    </row>
    <row r="451" spans="11:11" x14ac:dyDescent="0.25">
      <c r="K451" s="372"/>
    </row>
    <row r="452" spans="11:11" x14ac:dyDescent="0.25">
      <c r="K452" s="372"/>
    </row>
    <row r="453" spans="11:11" x14ac:dyDescent="0.25">
      <c r="K453" s="372"/>
    </row>
    <row r="454" spans="11:11" x14ac:dyDescent="0.25">
      <c r="K454" s="372"/>
    </row>
    <row r="455" spans="11:11" x14ac:dyDescent="0.25">
      <c r="K455" s="372"/>
    </row>
    <row r="456" spans="11:11" x14ac:dyDescent="0.25">
      <c r="K456" s="372"/>
    </row>
    <row r="457" spans="11:11" x14ac:dyDescent="0.25">
      <c r="K457" s="372"/>
    </row>
    <row r="458" spans="11:11" x14ac:dyDescent="0.25">
      <c r="K458" s="372"/>
    </row>
    <row r="459" spans="11:11" x14ac:dyDescent="0.25">
      <c r="K459" s="372"/>
    </row>
    <row r="460" spans="11:11" x14ac:dyDescent="0.25">
      <c r="K460" s="372"/>
    </row>
    <row r="461" spans="11:11" x14ac:dyDescent="0.25">
      <c r="K461" s="372"/>
    </row>
    <row r="462" spans="11:11" x14ac:dyDescent="0.25">
      <c r="K462" s="372"/>
    </row>
    <row r="463" spans="11:11" x14ac:dyDescent="0.25">
      <c r="K463" s="372"/>
    </row>
    <row r="464" spans="11:11" x14ac:dyDescent="0.25">
      <c r="K464" s="372"/>
    </row>
    <row r="465" spans="11:11" x14ac:dyDescent="0.25">
      <c r="K465" s="372"/>
    </row>
    <row r="466" spans="11:11" x14ac:dyDescent="0.25">
      <c r="K466" s="372"/>
    </row>
    <row r="467" spans="11:11" x14ac:dyDescent="0.25">
      <c r="K467" s="372"/>
    </row>
    <row r="468" spans="11:11" x14ac:dyDescent="0.25">
      <c r="K468" s="372"/>
    </row>
    <row r="469" spans="11:11" x14ac:dyDescent="0.25">
      <c r="K469" s="372"/>
    </row>
    <row r="470" spans="11:11" x14ac:dyDescent="0.25">
      <c r="K470" s="372"/>
    </row>
    <row r="471" spans="11:11" x14ac:dyDescent="0.25">
      <c r="K471" s="372"/>
    </row>
    <row r="472" spans="11:11" x14ac:dyDescent="0.25">
      <c r="K472" s="372"/>
    </row>
    <row r="473" spans="11:11" x14ac:dyDescent="0.25">
      <c r="K473" s="372"/>
    </row>
    <row r="474" spans="11:11" x14ac:dyDescent="0.25">
      <c r="K474" s="372"/>
    </row>
    <row r="475" spans="11:11" x14ac:dyDescent="0.25">
      <c r="K475" s="372"/>
    </row>
    <row r="476" spans="11:11" x14ac:dyDescent="0.25">
      <c r="K476" s="372"/>
    </row>
    <row r="477" spans="11:11" x14ac:dyDescent="0.25">
      <c r="K477" s="372"/>
    </row>
    <row r="478" spans="11:11" x14ac:dyDescent="0.25">
      <c r="K478" s="372"/>
    </row>
    <row r="479" spans="11:11" x14ac:dyDescent="0.25">
      <c r="K479" s="372"/>
    </row>
    <row r="480" spans="11:11" x14ac:dyDescent="0.25">
      <c r="K480" s="372"/>
    </row>
    <row r="481" spans="11:11" x14ac:dyDescent="0.25">
      <c r="K481" s="372"/>
    </row>
    <row r="482" spans="11:11" x14ac:dyDescent="0.25">
      <c r="K482" s="372"/>
    </row>
    <row r="483" spans="11:11" x14ac:dyDescent="0.25">
      <c r="K483" s="372"/>
    </row>
    <row r="484" spans="11:11" x14ac:dyDescent="0.25">
      <c r="K484" s="372"/>
    </row>
    <row r="485" spans="11:11" x14ac:dyDescent="0.25">
      <c r="K485" s="372"/>
    </row>
    <row r="486" spans="11:11" x14ac:dyDescent="0.25">
      <c r="K486" s="372"/>
    </row>
    <row r="487" spans="11:11" x14ac:dyDescent="0.25">
      <c r="K487" s="372"/>
    </row>
    <row r="488" spans="11:11" x14ac:dyDescent="0.25">
      <c r="K488" s="372"/>
    </row>
    <row r="489" spans="11:11" x14ac:dyDescent="0.25">
      <c r="K489" s="372"/>
    </row>
    <row r="490" spans="11:11" x14ac:dyDescent="0.25">
      <c r="K490" s="372"/>
    </row>
    <row r="491" spans="11:11" x14ac:dyDescent="0.25">
      <c r="K491" s="372"/>
    </row>
    <row r="492" spans="11:11" x14ac:dyDescent="0.25">
      <c r="K492" s="372"/>
    </row>
    <row r="493" spans="11:11" x14ac:dyDescent="0.25">
      <c r="K493" s="372"/>
    </row>
    <row r="494" spans="11:11" x14ac:dyDescent="0.25">
      <c r="K494" s="372"/>
    </row>
    <row r="495" spans="11:11" x14ac:dyDescent="0.25">
      <c r="K495" s="372"/>
    </row>
    <row r="496" spans="11:11" x14ac:dyDescent="0.25">
      <c r="K496" s="372"/>
    </row>
    <row r="497" spans="11:11" x14ac:dyDescent="0.25">
      <c r="K497" s="372"/>
    </row>
    <row r="498" spans="11:11" x14ac:dyDescent="0.25">
      <c r="K498" s="372"/>
    </row>
    <row r="499" spans="11:11" x14ac:dyDescent="0.25">
      <c r="K499" s="372"/>
    </row>
    <row r="500" spans="11:11" x14ac:dyDescent="0.25">
      <c r="K500" s="372"/>
    </row>
    <row r="501" spans="11:11" x14ac:dyDescent="0.25">
      <c r="K501" s="372"/>
    </row>
    <row r="502" spans="11:11" x14ac:dyDescent="0.25">
      <c r="K502" s="372"/>
    </row>
    <row r="503" spans="11:11" x14ac:dyDescent="0.25">
      <c r="K503" s="372"/>
    </row>
    <row r="504" spans="11:11" x14ac:dyDescent="0.25">
      <c r="K504" s="372"/>
    </row>
    <row r="505" spans="11:11" x14ac:dyDescent="0.25">
      <c r="K505" s="372"/>
    </row>
    <row r="506" spans="11:11" x14ac:dyDescent="0.25">
      <c r="K506" s="372"/>
    </row>
    <row r="507" spans="11:11" x14ac:dyDescent="0.25">
      <c r="K507" s="372"/>
    </row>
    <row r="508" spans="11:11" x14ac:dyDescent="0.25">
      <c r="K508" s="372"/>
    </row>
    <row r="509" spans="11:11" x14ac:dyDescent="0.25">
      <c r="K509" s="372"/>
    </row>
    <row r="510" spans="11:11" x14ac:dyDescent="0.25">
      <c r="K510" s="372"/>
    </row>
    <row r="511" spans="11:11" x14ac:dyDescent="0.25">
      <c r="K511" s="372"/>
    </row>
    <row r="512" spans="11:11" x14ac:dyDescent="0.25">
      <c r="K512" s="372"/>
    </row>
    <row r="513" spans="11:11" x14ac:dyDescent="0.25">
      <c r="K513" s="372"/>
    </row>
    <row r="514" spans="11:11" x14ac:dyDescent="0.25">
      <c r="K514" s="372"/>
    </row>
    <row r="515" spans="11:11" x14ac:dyDescent="0.25">
      <c r="K515" s="372"/>
    </row>
    <row r="516" spans="11:11" x14ac:dyDescent="0.25">
      <c r="K516" s="372"/>
    </row>
    <row r="517" spans="11:11" x14ac:dyDescent="0.25">
      <c r="K517" s="372"/>
    </row>
    <row r="518" spans="11:11" x14ac:dyDescent="0.25">
      <c r="K518" s="372"/>
    </row>
    <row r="519" spans="11:11" x14ac:dyDescent="0.25">
      <c r="K519" s="372"/>
    </row>
    <row r="520" spans="11:11" x14ac:dyDescent="0.25">
      <c r="K520" s="372"/>
    </row>
    <row r="521" spans="11:11" x14ac:dyDescent="0.25">
      <c r="K521" s="372"/>
    </row>
    <row r="522" spans="11:11" x14ac:dyDescent="0.25">
      <c r="K522" s="372"/>
    </row>
    <row r="523" spans="11:11" x14ac:dyDescent="0.25">
      <c r="K523" s="372"/>
    </row>
    <row r="524" spans="11:11" x14ac:dyDescent="0.25">
      <c r="K524" s="372"/>
    </row>
    <row r="525" spans="11:11" x14ac:dyDescent="0.25">
      <c r="K525" s="372"/>
    </row>
    <row r="526" spans="11:11" x14ac:dyDescent="0.25">
      <c r="K526" s="372"/>
    </row>
    <row r="527" spans="11:11" x14ac:dyDescent="0.25">
      <c r="K527" s="372"/>
    </row>
    <row r="528" spans="11:11" x14ac:dyDescent="0.25">
      <c r="K528" s="372"/>
    </row>
    <row r="529" spans="11:11" x14ac:dyDescent="0.25">
      <c r="K529" s="372"/>
    </row>
    <row r="530" spans="11:11" x14ac:dyDescent="0.25">
      <c r="K530" s="372"/>
    </row>
    <row r="531" spans="11:11" x14ac:dyDescent="0.25">
      <c r="K531" s="372"/>
    </row>
    <row r="532" spans="11:11" x14ac:dyDescent="0.25">
      <c r="K532" s="372"/>
    </row>
    <row r="533" spans="11:11" x14ac:dyDescent="0.25">
      <c r="K533" s="372"/>
    </row>
    <row r="534" spans="11:11" x14ac:dyDescent="0.25">
      <c r="K534" s="372"/>
    </row>
    <row r="535" spans="11:11" x14ac:dyDescent="0.25">
      <c r="K535" s="372"/>
    </row>
    <row r="536" spans="11:11" x14ac:dyDescent="0.25">
      <c r="K536" s="372"/>
    </row>
    <row r="537" spans="11:11" x14ac:dyDescent="0.25">
      <c r="K537" s="372"/>
    </row>
    <row r="538" spans="11:11" x14ac:dyDescent="0.25">
      <c r="K538" s="372"/>
    </row>
    <row r="539" spans="11:11" x14ac:dyDescent="0.25">
      <c r="K539" s="372"/>
    </row>
    <row r="540" spans="11:11" x14ac:dyDescent="0.25">
      <c r="K540" s="372"/>
    </row>
    <row r="541" spans="11:11" x14ac:dyDescent="0.25">
      <c r="K541" s="372"/>
    </row>
    <row r="542" spans="11:11" x14ac:dyDescent="0.25">
      <c r="K542" s="372"/>
    </row>
    <row r="543" spans="11:11" x14ac:dyDescent="0.25">
      <c r="K543" s="372"/>
    </row>
    <row r="544" spans="11:11" x14ac:dyDescent="0.25">
      <c r="K544" s="372"/>
    </row>
    <row r="545" spans="11:11" x14ac:dyDescent="0.25">
      <c r="K545" s="372"/>
    </row>
    <row r="546" spans="11:11" x14ac:dyDescent="0.25">
      <c r="K546" s="372"/>
    </row>
    <row r="547" spans="11:11" x14ac:dyDescent="0.25">
      <c r="K547" s="372"/>
    </row>
    <row r="548" spans="11:11" x14ac:dyDescent="0.25">
      <c r="K548" s="372"/>
    </row>
    <row r="549" spans="11:11" x14ac:dyDescent="0.25">
      <c r="K549" s="372"/>
    </row>
    <row r="550" spans="11:11" x14ac:dyDescent="0.25">
      <c r="K550" s="372"/>
    </row>
    <row r="551" spans="11:11" x14ac:dyDescent="0.25">
      <c r="K551" s="372"/>
    </row>
    <row r="552" spans="11:11" x14ac:dyDescent="0.25">
      <c r="K552" s="372"/>
    </row>
    <row r="553" spans="11:11" x14ac:dyDescent="0.25">
      <c r="K553" s="372"/>
    </row>
    <row r="554" spans="11:11" x14ac:dyDescent="0.25">
      <c r="K554" s="372"/>
    </row>
    <row r="555" spans="11:11" x14ac:dyDescent="0.25">
      <c r="K555" s="372"/>
    </row>
    <row r="556" spans="11:11" x14ac:dyDescent="0.25">
      <c r="K556" s="372"/>
    </row>
    <row r="557" spans="11:11" x14ac:dyDescent="0.25">
      <c r="K557" s="372"/>
    </row>
    <row r="558" spans="11:11" x14ac:dyDescent="0.25">
      <c r="K558" s="372"/>
    </row>
    <row r="559" spans="11:11" x14ac:dyDescent="0.25">
      <c r="K559" s="372"/>
    </row>
    <row r="560" spans="11:11" x14ac:dyDescent="0.25">
      <c r="K560" s="372"/>
    </row>
    <row r="561" spans="11:11" x14ac:dyDescent="0.25">
      <c r="K561" s="372"/>
    </row>
    <row r="562" spans="11:11" x14ac:dyDescent="0.25">
      <c r="K562" s="372"/>
    </row>
    <row r="563" spans="11:11" x14ac:dyDescent="0.25">
      <c r="K563" s="372"/>
    </row>
    <row r="564" spans="11:11" x14ac:dyDescent="0.25">
      <c r="K564" s="372"/>
    </row>
    <row r="565" spans="11:11" x14ac:dyDescent="0.25">
      <c r="K565" s="372"/>
    </row>
    <row r="566" spans="11:11" x14ac:dyDescent="0.25">
      <c r="K566" s="372"/>
    </row>
    <row r="567" spans="11:11" x14ac:dyDescent="0.25">
      <c r="K567" s="372"/>
    </row>
    <row r="568" spans="11:11" x14ac:dyDescent="0.25">
      <c r="K568" s="372"/>
    </row>
    <row r="569" spans="11:11" x14ac:dyDescent="0.25">
      <c r="K569" s="372"/>
    </row>
    <row r="570" spans="11:11" x14ac:dyDescent="0.25">
      <c r="K570" s="372"/>
    </row>
    <row r="571" spans="11:11" x14ac:dyDescent="0.25">
      <c r="K571" s="372"/>
    </row>
    <row r="572" spans="11:11" x14ac:dyDescent="0.25">
      <c r="K572" s="372"/>
    </row>
    <row r="573" spans="11:11" x14ac:dyDescent="0.25">
      <c r="K573" s="372"/>
    </row>
    <row r="574" spans="11:11" x14ac:dyDescent="0.25">
      <c r="K574" s="372"/>
    </row>
    <row r="575" spans="11:11" x14ac:dyDescent="0.25">
      <c r="K575" s="372"/>
    </row>
    <row r="576" spans="11:11" x14ac:dyDescent="0.25">
      <c r="K576" s="372"/>
    </row>
    <row r="577" spans="11:11" x14ac:dyDescent="0.25">
      <c r="K577" s="372"/>
    </row>
    <row r="578" spans="11:11" x14ac:dyDescent="0.25">
      <c r="K578" s="372"/>
    </row>
    <row r="579" spans="11:11" x14ac:dyDescent="0.25">
      <c r="K579" s="372"/>
    </row>
    <row r="580" spans="11:11" x14ac:dyDescent="0.25">
      <c r="K580" s="372"/>
    </row>
    <row r="581" spans="11:11" x14ac:dyDescent="0.25">
      <c r="K581" s="372"/>
    </row>
    <row r="582" spans="11:11" x14ac:dyDescent="0.25">
      <c r="K582" s="372"/>
    </row>
    <row r="583" spans="11:11" x14ac:dyDescent="0.25">
      <c r="K583" s="372"/>
    </row>
    <row r="584" spans="11:11" x14ac:dyDescent="0.25">
      <c r="K584" s="372"/>
    </row>
    <row r="585" spans="11:11" x14ac:dyDescent="0.25">
      <c r="K585" s="372"/>
    </row>
    <row r="586" spans="11:11" x14ac:dyDescent="0.25">
      <c r="K586" s="372"/>
    </row>
    <row r="587" spans="11:11" x14ac:dyDescent="0.25">
      <c r="K587" s="372"/>
    </row>
    <row r="588" spans="11:11" x14ac:dyDescent="0.25">
      <c r="K588" s="372"/>
    </row>
    <row r="589" spans="11:11" x14ac:dyDescent="0.25">
      <c r="K589" s="372"/>
    </row>
    <row r="590" spans="11:11" x14ac:dyDescent="0.25">
      <c r="K590" s="372"/>
    </row>
    <row r="591" spans="11:11" x14ac:dyDescent="0.25">
      <c r="K591" s="372"/>
    </row>
    <row r="592" spans="11:11" x14ac:dyDescent="0.25">
      <c r="K592" s="372"/>
    </row>
    <row r="593" spans="11:11" x14ac:dyDescent="0.25">
      <c r="K593" s="372"/>
    </row>
    <row r="594" spans="11:11" x14ac:dyDescent="0.25">
      <c r="K594" s="372"/>
    </row>
    <row r="595" spans="11:11" x14ac:dyDescent="0.25">
      <c r="K595" s="372"/>
    </row>
    <row r="596" spans="11:11" x14ac:dyDescent="0.25">
      <c r="K596" s="372"/>
    </row>
    <row r="597" spans="11:11" x14ac:dyDescent="0.25">
      <c r="K597" s="372"/>
    </row>
    <row r="598" spans="11:11" x14ac:dyDescent="0.25">
      <c r="K598" s="372"/>
    </row>
    <row r="599" spans="11:11" x14ac:dyDescent="0.25">
      <c r="K599" s="372"/>
    </row>
    <row r="600" spans="11:11" x14ac:dyDescent="0.25">
      <c r="K600" s="372"/>
    </row>
    <row r="601" spans="11:11" x14ac:dyDescent="0.25">
      <c r="K601" s="372"/>
    </row>
    <row r="602" spans="11:11" x14ac:dyDescent="0.25">
      <c r="K602" s="372"/>
    </row>
    <row r="603" spans="11:11" x14ac:dyDescent="0.25">
      <c r="K603" s="372"/>
    </row>
    <row r="604" spans="11:11" x14ac:dyDescent="0.25">
      <c r="K604" s="372"/>
    </row>
    <row r="605" spans="11:11" x14ac:dyDescent="0.25">
      <c r="K605" s="372"/>
    </row>
    <row r="606" spans="11:11" x14ac:dyDescent="0.25">
      <c r="K606" s="372"/>
    </row>
    <row r="607" spans="11:11" x14ac:dyDescent="0.25">
      <c r="K607" s="372"/>
    </row>
    <row r="608" spans="11:11" x14ac:dyDescent="0.25">
      <c r="K608" s="372"/>
    </row>
    <row r="609" spans="11:11" x14ac:dyDescent="0.25">
      <c r="K609" s="372"/>
    </row>
    <row r="610" spans="11:11" x14ac:dyDescent="0.25">
      <c r="K610" s="372"/>
    </row>
    <row r="611" spans="11:11" x14ac:dyDescent="0.25">
      <c r="K611" s="372"/>
    </row>
    <row r="612" spans="11:11" x14ac:dyDescent="0.25">
      <c r="K612" s="372"/>
    </row>
    <row r="613" spans="11:11" x14ac:dyDescent="0.25">
      <c r="K613" s="372"/>
    </row>
    <row r="614" spans="11:11" x14ac:dyDescent="0.25">
      <c r="K614" s="372"/>
    </row>
    <row r="615" spans="11:11" x14ac:dyDescent="0.25">
      <c r="K615" s="372"/>
    </row>
    <row r="616" spans="11:11" x14ac:dyDescent="0.25">
      <c r="K616" s="372"/>
    </row>
    <row r="617" spans="11:11" x14ac:dyDescent="0.25">
      <c r="K617" s="372"/>
    </row>
    <row r="618" spans="11:11" x14ac:dyDescent="0.25">
      <c r="K618" s="372"/>
    </row>
    <row r="619" spans="11:11" x14ac:dyDescent="0.25">
      <c r="K619" s="372"/>
    </row>
    <row r="620" spans="11:11" x14ac:dyDescent="0.25">
      <c r="K620" s="372"/>
    </row>
    <row r="621" spans="11:11" x14ac:dyDescent="0.25">
      <c r="K621" s="372"/>
    </row>
    <row r="622" spans="11:11" x14ac:dyDescent="0.25">
      <c r="K622" s="372"/>
    </row>
    <row r="623" spans="11:11" x14ac:dyDescent="0.25">
      <c r="K623" s="372"/>
    </row>
    <row r="624" spans="11:11" x14ac:dyDescent="0.25">
      <c r="K624" s="372"/>
    </row>
    <row r="625" spans="11:11" x14ac:dyDescent="0.25">
      <c r="K625" s="372"/>
    </row>
    <row r="626" spans="11:11" x14ac:dyDescent="0.25">
      <c r="K626" s="372"/>
    </row>
    <row r="627" spans="11:11" x14ac:dyDescent="0.25">
      <c r="K627" s="372"/>
    </row>
    <row r="628" spans="11:11" x14ac:dyDescent="0.25">
      <c r="K628" s="372"/>
    </row>
    <row r="629" spans="11:11" x14ac:dyDescent="0.25">
      <c r="K629" s="372"/>
    </row>
    <row r="630" spans="11:11" x14ac:dyDescent="0.25">
      <c r="K630" s="372"/>
    </row>
    <row r="631" spans="11:11" x14ac:dyDescent="0.25">
      <c r="K631" s="372"/>
    </row>
    <row r="632" spans="11:11" x14ac:dyDescent="0.25">
      <c r="K632" s="372"/>
    </row>
    <row r="633" spans="11:11" x14ac:dyDescent="0.25">
      <c r="K633" s="372"/>
    </row>
    <row r="634" spans="11:11" x14ac:dyDescent="0.25">
      <c r="K634" s="372"/>
    </row>
    <row r="635" spans="11:11" x14ac:dyDescent="0.25">
      <c r="K635" s="372"/>
    </row>
    <row r="636" spans="11:11" x14ac:dyDescent="0.25">
      <c r="K636" s="372"/>
    </row>
    <row r="637" spans="11:11" x14ac:dyDescent="0.25">
      <c r="K637" s="372"/>
    </row>
    <row r="638" spans="11:11" x14ac:dyDescent="0.25">
      <c r="K638" s="372"/>
    </row>
    <row r="639" spans="11:11" x14ac:dyDescent="0.25">
      <c r="K639" s="372"/>
    </row>
    <row r="640" spans="11:11" x14ac:dyDescent="0.25">
      <c r="K640" s="372"/>
    </row>
    <row r="641" spans="11:11" x14ac:dyDescent="0.25">
      <c r="K641" s="372"/>
    </row>
    <row r="642" spans="11:11" x14ac:dyDescent="0.25">
      <c r="K642" s="372"/>
    </row>
    <row r="643" spans="11:11" x14ac:dyDescent="0.25">
      <c r="K643" s="372"/>
    </row>
    <row r="644" spans="11:11" x14ac:dyDescent="0.25">
      <c r="K644" s="372"/>
    </row>
    <row r="645" spans="11:11" x14ac:dyDescent="0.25">
      <c r="K645" s="372"/>
    </row>
    <row r="646" spans="11:11" x14ac:dyDescent="0.25">
      <c r="K646" s="372"/>
    </row>
    <row r="647" spans="11:11" x14ac:dyDescent="0.25">
      <c r="K647" s="372"/>
    </row>
    <row r="648" spans="11:11" x14ac:dyDescent="0.25">
      <c r="K648" s="372"/>
    </row>
    <row r="649" spans="11:11" x14ac:dyDescent="0.25">
      <c r="K649" s="372"/>
    </row>
    <row r="650" spans="11:11" x14ac:dyDescent="0.25">
      <c r="K650" s="372"/>
    </row>
    <row r="651" spans="11:11" x14ac:dyDescent="0.25">
      <c r="K651" s="372"/>
    </row>
    <row r="652" spans="11:11" x14ac:dyDescent="0.25">
      <c r="K652" s="372"/>
    </row>
    <row r="653" spans="11:11" x14ac:dyDescent="0.25">
      <c r="K653" s="372"/>
    </row>
    <row r="654" spans="11:11" x14ac:dyDescent="0.25">
      <c r="K654" s="372"/>
    </row>
    <row r="655" spans="11:11" x14ac:dyDescent="0.25">
      <c r="K655" s="372"/>
    </row>
    <row r="656" spans="11:11" x14ac:dyDescent="0.25">
      <c r="K656" s="372"/>
    </row>
    <row r="657" spans="11:11" x14ac:dyDescent="0.25">
      <c r="K657" s="372"/>
    </row>
    <row r="658" spans="11:11" x14ac:dyDescent="0.25">
      <c r="K658" s="372"/>
    </row>
    <row r="659" spans="11:11" x14ac:dyDescent="0.25">
      <c r="K659" s="372"/>
    </row>
    <row r="660" spans="11:11" x14ac:dyDescent="0.25">
      <c r="K660" s="372"/>
    </row>
    <row r="661" spans="11:11" x14ac:dyDescent="0.25">
      <c r="K661" s="372"/>
    </row>
    <row r="662" spans="11:11" x14ac:dyDescent="0.25">
      <c r="K662" s="372"/>
    </row>
    <row r="663" spans="11:11" x14ac:dyDescent="0.25">
      <c r="K663" s="372"/>
    </row>
    <row r="664" spans="11:11" x14ac:dyDescent="0.25">
      <c r="K664" s="372"/>
    </row>
    <row r="665" spans="11:11" x14ac:dyDescent="0.25">
      <c r="K665" s="372"/>
    </row>
    <row r="666" spans="11:11" x14ac:dyDescent="0.25">
      <c r="K666" s="372"/>
    </row>
    <row r="667" spans="11:11" x14ac:dyDescent="0.25">
      <c r="K667" s="372"/>
    </row>
    <row r="668" spans="11:11" x14ac:dyDescent="0.25">
      <c r="K668" s="372"/>
    </row>
    <row r="669" spans="11:11" x14ac:dyDescent="0.25">
      <c r="K669" s="372"/>
    </row>
    <row r="670" spans="11:11" x14ac:dyDescent="0.25">
      <c r="K670" s="372"/>
    </row>
    <row r="671" spans="11:11" x14ac:dyDescent="0.25">
      <c r="K671" s="372"/>
    </row>
    <row r="672" spans="11:11" x14ac:dyDescent="0.25">
      <c r="K672" s="372"/>
    </row>
    <row r="673" spans="11:11" x14ac:dyDescent="0.25">
      <c r="K673" s="372"/>
    </row>
    <row r="674" spans="11:11" x14ac:dyDescent="0.25">
      <c r="K674" s="372"/>
    </row>
    <row r="675" spans="11:11" x14ac:dyDescent="0.25">
      <c r="K675" s="372"/>
    </row>
    <row r="676" spans="11:11" x14ac:dyDescent="0.25">
      <c r="K676" s="372"/>
    </row>
    <row r="677" spans="11:11" x14ac:dyDescent="0.25">
      <c r="K677" s="372"/>
    </row>
    <row r="678" spans="11:11" x14ac:dyDescent="0.25">
      <c r="K678" s="372"/>
    </row>
    <row r="679" spans="11:11" x14ac:dyDescent="0.25">
      <c r="K679" s="372"/>
    </row>
    <row r="680" spans="11:11" x14ac:dyDescent="0.25">
      <c r="K680" s="372"/>
    </row>
    <row r="681" spans="11:11" x14ac:dyDescent="0.25">
      <c r="K681" s="372"/>
    </row>
    <row r="682" spans="11:11" x14ac:dyDescent="0.25">
      <c r="K682" s="372"/>
    </row>
    <row r="683" spans="11:11" x14ac:dyDescent="0.25">
      <c r="K683" s="372"/>
    </row>
    <row r="684" spans="11:11" x14ac:dyDescent="0.25">
      <c r="K684" s="372"/>
    </row>
    <row r="685" spans="11:11" x14ac:dyDescent="0.25">
      <c r="K685" s="372"/>
    </row>
    <row r="686" spans="11:11" x14ac:dyDescent="0.25">
      <c r="K686" s="372"/>
    </row>
    <row r="687" spans="11:11" x14ac:dyDescent="0.25">
      <c r="K687" s="372"/>
    </row>
    <row r="688" spans="11:11" x14ac:dyDescent="0.25">
      <c r="K688" s="372"/>
    </row>
    <row r="689" spans="11:11" x14ac:dyDescent="0.25">
      <c r="K689" s="372"/>
    </row>
    <row r="690" spans="11:11" x14ac:dyDescent="0.25">
      <c r="K690" s="372"/>
    </row>
    <row r="691" spans="11:11" x14ac:dyDescent="0.25">
      <c r="K691" s="372"/>
    </row>
    <row r="692" spans="11:11" x14ac:dyDescent="0.25">
      <c r="K692" s="372"/>
    </row>
    <row r="693" spans="11:11" x14ac:dyDescent="0.25">
      <c r="K693" s="372"/>
    </row>
    <row r="694" spans="11:11" x14ac:dyDescent="0.25">
      <c r="K694" s="372"/>
    </row>
    <row r="695" spans="11:11" x14ac:dyDescent="0.25">
      <c r="K695" s="372"/>
    </row>
    <row r="696" spans="11:11" x14ac:dyDescent="0.25">
      <c r="K696" s="372"/>
    </row>
    <row r="697" spans="11:11" x14ac:dyDescent="0.25">
      <c r="K697" s="372"/>
    </row>
    <row r="698" spans="11:11" x14ac:dyDescent="0.25">
      <c r="K698" s="372"/>
    </row>
    <row r="699" spans="11:11" x14ac:dyDescent="0.25">
      <c r="K699" s="372"/>
    </row>
    <row r="700" spans="11:11" x14ac:dyDescent="0.25">
      <c r="K700" s="372"/>
    </row>
    <row r="701" spans="11:11" x14ac:dyDescent="0.25">
      <c r="K701" s="372"/>
    </row>
    <row r="702" spans="11:11" x14ac:dyDescent="0.25">
      <c r="K702" s="372"/>
    </row>
    <row r="703" spans="11:11" x14ac:dyDescent="0.25">
      <c r="K703" s="372"/>
    </row>
    <row r="704" spans="11:11" x14ac:dyDescent="0.25">
      <c r="K704" s="372"/>
    </row>
    <row r="705" spans="11:11" x14ac:dyDescent="0.25">
      <c r="K705" s="372"/>
    </row>
    <row r="706" spans="11:11" x14ac:dyDescent="0.25">
      <c r="K706" s="372"/>
    </row>
    <row r="707" spans="11:11" x14ac:dyDescent="0.25">
      <c r="K707" s="372"/>
    </row>
    <row r="708" spans="11:11" x14ac:dyDescent="0.25">
      <c r="K708" s="372"/>
    </row>
    <row r="709" spans="11:11" x14ac:dyDescent="0.25">
      <c r="K709" s="372"/>
    </row>
    <row r="710" spans="11:11" x14ac:dyDescent="0.25">
      <c r="K710" s="372"/>
    </row>
    <row r="711" spans="11:11" x14ac:dyDescent="0.25">
      <c r="K711" s="372"/>
    </row>
    <row r="712" spans="11:11" x14ac:dyDescent="0.25">
      <c r="K712" s="372"/>
    </row>
    <row r="713" spans="11:11" x14ac:dyDescent="0.25">
      <c r="K713" s="372"/>
    </row>
    <row r="714" spans="11:11" x14ac:dyDescent="0.25">
      <c r="K714" s="372"/>
    </row>
    <row r="715" spans="11:11" x14ac:dyDescent="0.25">
      <c r="K715" s="372"/>
    </row>
    <row r="716" spans="11:11" x14ac:dyDescent="0.25">
      <c r="K716" s="372"/>
    </row>
    <row r="717" spans="11:11" x14ac:dyDescent="0.25">
      <c r="K717" s="372"/>
    </row>
    <row r="718" spans="11:11" x14ac:dyDescent="0.25">
      <c r="K718" s="372"/>
    </row>
    <row r="719" spans="11:11" x14ac:dyDescent="0.25">
      <c r="K719" s="372"/>
    </row>
    <row r="720" spans="11:11" x14ac:dyDescent="0.25">
      <c r="K720" s="372"/>
    </row>
    <row r="721" spans="11:11" x14ac:dyDescent="0.25">
      <c r="K721" s="372"/>
    </row>
    <row r="722" spans="11:11" x14ac:dyDescent="0.25">
      <c r="K722" s="372"/>
    </row>
    <row r="723" spans="11:11" x14ac:dyDescent="0.25">
      <c r="K723" s="372"/>
    </row>
    <row r="724" spans="11:11" x14ac:dyDescent="0.25">
      <c r="K724" s="372"/>
    </row>
    <row r="725" spans="11:11" x14ac:dyDescent="0.25">
      <c r="K725" s="372"/>
    </row>
    <row r="726" spans="11:11" x14ac:dyDescent="0.25">
      <c r="K726" s="372"/>
    </row>
    <row r="727" spans="11:11" x14ac:dyDescent="0.25">
      <c r="K727" s="372"/>
    </row>
    <row r="728" spans="11:11" x14ac:dyDescent="0.25">
      <c r="K728" s="372"/>
    </row>
    <row r="729" spans="11:11" x14ac:dyDescent="0.25">
      <c r="K729" s="372"/>
    </row>
    <row r="730" spans="11:11" x14ac:dyDescent="0.25">
      <c r="K730" s="372"/>
    </row>
    <row r="731" spans="11:11" x14ac:dyDescent="0.25">
      <c r="K731" s="372"/>
    </row>
    <row r="732" spans="11:11" x14ac:dyDescent="0.25">
      <c r="K732" s="372"/>
    </row>
    <row r="733" spans="11:11" x14ac:dyDescent="0.25">
      <c r="K733" s="372"/>
    </row>
    <row r="734" spans="11:11" x14ac:dyDescent="0.25">
      <c r="K734" s="372"/>
    </row>
    <row r="735" spans="11:11" x14ac:dyDescent="0.25">
      <c r="K735" s="372"/>
    </row>
    <row r="736" spans="11:11" x14ac:dyDescent="0.25">
      <c r="K736" s="372"/>
    </row>
    <row r="737" spans="11:11" x14ac:dyDescent="0.25">
      <c r="K737" s="372"/>
    </row>
    <row r="738" spans="11:11" x14ac:dyDescent="0.25">
      <c r="K738" s="372"/>
    </row>
    <row r="739" spans="11:11" x14ac:dyDescent="0.25">
      <c r="K739" s="372"/>
    </row>
    <row r="740" spans="11:11" x14ac:dyDescent="0.25">
      <c r="K740" s="372"/>
    </row>
    <row r="741" spans="11:11" x14ac:dyDescent="0.25">
      <c r="K741" s="372"/>
    </row>
    <row r="742" spans="11:11" x14ac:dyDescent="0.25">
      <c r="K742" s="372"/>
    </row>
    <row r="743" spans="11:11" x14ac:dyDescent="0.25">
      <c r="K743" s="372"/>
    </row>
    <row r="744" spans="11:11" x14ac:dyDescent="0.25">
      <c r="K744" s="372"/>
    </row>
    <row r="745" spans="11:11" x14ac:dyDescent="0.25">
      <c r="K745" s="372"/>
    </row>
    <row r="746" spans="11:11" x14ac:dyDescent="0.25">
      <c r="K746" s="372"/>
    </row>
    <row r="747" spans="11:11" x14ac:dyDescent="0.25">
      <c r="K747" s="372"/>
    </row>
    <row r="748" spans="11:11" x14ac:dyDescent="0.25">
      <c r="K748" s="372"/>
    </row>
    <row r="749" spans="11:11" x14ac:dyDescent="0.25">
      <c r="K749" s="372"/>
    </row>
    <row r="750" spans="11:11" x14ac:dyDescent="0.25">
      <c r="K750" s="372"/>
    </row>
    <row r="751" spans="11:11" x14ac:dyDescent="0.25">
      <c r="K751" s="372"/>
    </row>
    <row r="752" spans="11:11" x14ac:dyDescent="0.25">
      <c r="K752" s="372"/>
    </row>
    <row r="753" spans="11:11" x14ac:dyDescent="0.25">
      <c r="K753" s="372"/>
    </row>
    <row r="754" spans="11:11" x14ac:dyDescent="0.25">
      <c r="K754" s="372"/>
    </row>
    <row r="755" spans="11:11" x14ac:dyDescent="0.25">
      <c r="K755" s="372"/>
    </row>
    <row r="756" spans="11:11" x14ac:dyDescent="0.25">
      <c r="K756" s="372"/>
    </row>
    <row r="757" spans="11:11" x14ac:dyDescent="0.25">
      <c r="K757" s="372"/>
    </row>
    <row r="758" spans="11:11" x14ac:dyDescent="0.25">
      <c r="K758" s="372"/>
    </row>
    <row r="759" spans="11:11" x14ac:dyDescent="0.25">
      <c r="K759" s="372"/>
    </row>
    <row r="760" spans="11:11" x14ac:dyDescent="0.25">
      <c r="K760" s="372"/>
    </row>
    <row r="761" spans="11:11" x14ac:dyDescent="0.25">
      <c r="K761" s="372"/>
    </row>
    <row r="762" spans="11:11" x14ac:dyDescent="0.25">
      <c r="K762" s="372"/>
    </row>
    <row r="763" spans="11:11" x14ac:dyDescent="0.25">
      <c r="K763" s="372"/>
    </row>
    <row r="764" spans="11:11" x14ac:dyDescent="0.25">
      <c r="K764" s="372"/>
    </row>
    <row r="765" spans="11:11" x14ac:dyDescent="0.25">
      <c r="K765" s="372"/>
    </row>
    <row r="766" spans="11:11" x14ac:dyDescent="0.25">
      <c r="K766" s="372"/>
    </row>
    <row r="767" spans="11:11" x14ac:dyDescent="0.25">
      <c r="K767" s="372"/>
    </row>
    <row r="768" spans="11:11" x14ac:dyDescent="0.25">
      <c r="K768" s="372"/>
    </row>
    <row r="769" spans="11:11" x14ac:dyDescent="0.25">
      <c r="K769" s="372"/>
    </row>
    <row r="770" spans="11:11" x14ac:dyDescent="0.25">
      <c r="K770" s="372"/>
    </row>
    <row r="771" spans="11:11" x14ac:dyDescent="0.25">
      <c r="K771" s="372"/>
    </row>
    <row r="772" spans="11:11" x14ac:dyDescent="0.25">
      <c r="K772" s="372"/>
    </row>
    <row r="773" spans="11:11" x14ac:dyDescent="0.25">
      <c r="K773" s="372"/>
    </row>
    <row r="774" spans="11:11" x14ac:dyDescent="0.25">
      <c r="K774" s="372"/>
    </row>
    <row r="775" spans="11:11" x14ac:dyDescent="0.25">
      <c r="K775" s="372"/>
    </row>
    <row r="776" spans="11:11" x14ac:dyDescent="0.25">
      <c r="K776" s="372"/>
    </row>
    <row r="777" spans="11:11" x14ac:dyDescent="0.25">
      <c r="K777" s="372"/>
    </row>
    <row r="778" spans="11:11" x14ac:dyDescent="0.25">
      <c r="K778" s="372"/>
    </row>
    <row r="779" spans="11:11" x14ac:dyDescent="0.25">
      <c r="K779" s="372"/>
    </row>
    <row r="780" spans="11:11" x14ac:dyDescent="0.25">
      <c r="K780" s="372"/>
    </row>
    <row r="781" spans="11:11" x14ac:dyDescent="0.25">
      <c r="K781" s="372"/>
    </row>
    <row r="782" spans="11:11" x14ac:dyDescent="0.25">
      <c r="K782" s="372"/>
    </row>
    <row r="783" spans="11:11" x14ac:dyDescent="0.25">
      <c r="K783" s="372"/>
    </row>
    <row r="784" spans="11:11" x14ac:dyDescent="0.25">
      <c r="K784" s="372"/>
    </row>
    <row r="785" spans="11:11" x14ac:dyDescent="0.25">
      <c r="K785" s="372"/>
    </row>
    <row r="786" spans="11:11" x14ac:dyDescent="0.25">
      <c r="K786" s="372"/>
    </row>
    <row r="787" spans="11:11" x14ac:dyDescent="0.25">
      <c r="K787" s="372"/>
    </row>
    <row r="788" spans="11:11" x14ac:dyDescent="0.25">
      <c r="K788" s="372"/>
    </row>
    <row r="789" spans="11:11" x14ac:dyDescent="0.25">
      <c r="K789" s="372"/>
    </row>
    <row r="790" spans="11:11" x14ac:dyDescent="0.25">
      <c r="K790" s="372"/>
    </row>
    <row r="791" spans="11:11" x14ac:dyDescent="0.25">
      <c r="K791" s="372"/>
    </row>
    <row r="792" spans="11:11" x14ac:dyDescent="0.25">
      <c r="K792" s="372"/>
    </row>
    <row r="793" spans="11:11" x14ac:dyDescent="0.25">
      <c r="K793" s="372"/>
    </row>
    <row r="794" spans="11:11" x14ac:dyDescent="0.25">
      <c r="K794" s="372"/>
    </row>
    <row r="795" spans="11:11" x14ac:dyDescent="0.25">
      <c r="K795" s="372"/>
    </row>
    <row r="796" spans="11:11" x14ac:dyDescent="0.25">
      <c r="K796" s="372"/>
    </row>
    <row r="797" spans="11:11" x14ac:dyDescent="0.25">
      <c r="K797" s="372"/>
    </row>
    <row r="798" spans="11:11" x14ac:dyDescent="0.25">
      <c r="K798" s="372"/>
    </row>
    <row r="799" spans="11:11" x14ac:dyDescent="0.25">
      <c r="K799" s="372"/>
    </row>
    <row r="800" spans="11:11" x14ac:dyDescent="0.25">
      <c r="K800" s="372"/>
    </row>
    <row r="801" spans="11:11" x14ac:dyDescent="0.25">
      <c r="K801" s="372"/>
    </row>
    <row r="802" spans="11:11" x14ac:dyDescent="0.25">
      <c r="K802" s="372"/>
    </row>
    <row r="803" spans="11:11" x14ac:dyDescent="0.25">
      <c r="K803" s="372"/>
    </row>
    <row r="804" spans="11:11" x14ac:dyDescent="0.25">
      <c r="K804" s="372"/>
    </row>
    <row r="805" spans="11:11" x14ac:dyDescent="0.25">
      <c r="K805" s="372"/>
    </row>
    <row r="806" spans="11:11" x14ac:dyDescent="0.25">
      <c r="K806" s="372"/>
    </row>
    <row r="807" spans="11:11" x14ac:dyDescent="0.25">
      <c r="K807" s="372"/>
    </row>
    <row r="808" spans="11:11" x14ac:dyDescent="0.25">
      <c r="K808" s="372"/>
    </row>
    <row r="809" spans="11:11" x14ac:dyDescent="0.25">
      <c r="K809" s="372"/>
    </row>
    <row r="810" spans="11:11" x14ac:dyDescent="0.25">
      <c r="K810" s="372"/>
    </row>
    <row r="811" spans="11:11" x14ac:dyDescent="0.25">
      <c r="K811" s="372"/>
    </row>
    <row r="812" spans="11:11" x14ac:dyDescent="0.25">
      <c r="K812" s="372"/>
    </row>
    <row r="813" spans="11:11" x14ac:dyDescent="0.25">
      <c r="K813" s="372"/>
    </row>
    <row r="814" spans="11:11" x14ac:dyDescent="0.25">
      <c r="K814" s="372"/>
    </row>
    <row r="815" spans="11:11" x14ac:dyDescent="0.25">
      <c r="K815" s="372"/>
    </row>
    <row r="816" spans="11:11" x14ac:dyDescent="0.25">
      <c r="K816" s="372"/>
    </row>
    <row r="817" spans="11:11" x14ac:dyDescent="0.25">
      <c r="K817" s="372"/>
    </row>
    <row r="818" spans="11:11" x14ac:dyDescent="0.25">
      <c r="K818" s="372"/>
    </row>
    <row r="819" spans="11:11" x14ac:dyDescent="0.25">
      <c r="K819" s="372"/>
    </row>
    <row r="820" spans="11:11" x14ac:dyDescent="0.25">
      <c r="K820" s="372"/>
    </row>
    <row r="821" spans="11:11" x14ac:dyDescent="0.25">
      <c r="K821" s="372"/>
    </row>
    <row r="822" spans="11:11" x14ac:dyDescent="0.25">
      <c r="K822" s="372"/>
    </row>
    <row r="823" spans="11:11" x14ac:dyDescent="0.25">
      <c r="K823" s="372"/>
    </row>
    <row r="824" spans="11:11" x14ac:dyDescent="0.25">
      <c r="K824" s="372"/>
    </row>
    <row r="825" spans="11:11" x14ac:dyDescent="0.25">
      <c r="K825" s="372"/>
    </row>
    <row r="826" spans="11:11" x14ac:dyDescent="0.25">
      <c r="K826" s="372"/>
    </row>
    <row r="827" spans="11:11" x14ac:dyDescent="0.25">
      <c r="K827" s="372"/>
    </row>
    <row r="828" spans="11:11" x14ac:dyDescent="0.25">
      <c r="K828" s="372"/>
    </row>
    <row r="829" spans="11:11" x14ac:dyDescent="0.25">
      <c r="K829" s="372"/>
    </row>
    <row r="830" spans="11:11" x14ac:dyDescent="0.25">
      <c r="K830" s="372"/>
    </row>
    <row r="831" spans="11:11" x14ac:dyDescent="0.25">
      <c r="K831" s="372"/>
    </row>
    <row r="832" spans="11:11" x14ac:dyDescent="0.25">
      <c r="K832" s="372"/>
    </row>
    <row r="833" spans="11:11" x14ac:dyDescent="0.25">
      <c r="K833" s="372"/>
    </row>
    <row r="834" spans="11:11" x14ac:dyDescent="0.25">
      <c r="K834" s="372"/>
    </row>
    <row r="835" spans="11:11" x14ac:dyDescent="0.25">
      <c r="K835" s="372"/>
    </row>
    <row r="836" spans="11:11" x14ac:dyDescent="0.25">
      <c r="K836" s="372"/>
    </row>
    <row r="837" spans="11:11" x14ac:dyDescent="0.25">
      <c r="K837" s="372"/>
    </row>
    <row r="838" spans="11:11" x14ac:dyDescent="0.25">
      <c r="K838" s="372"/>
    </row>
    <row r="839" spans="11:11" x14ac:dyDescent="0.25">
      <c r="K839" s="372"/>
    </row>
    <row r="840" spans="11:11" x14ac:dyDescent="0.25">
      <c r="K840" s="372"/>
    </row>
    <row r="841" spans="11:11" x14ac:dyDescent="0.25">
      <c r="K841" s="372"/>
    </row>
    <row r="842" spans="11:11" x14ac:dyDescent="0.25">
      <c r="K842" s="372"/>
    </row>
    <row r="843" spans="11:11" x14ac:dyDescent="0.25">
      <c r="K843" s="372"/>
    </row>
    <row r="844" spans="11:11" x14ac:dyDescent="0.25">
      <c r="K844" s="372"/>
    </row>
    <row r="845" spans="11:11" x14ac:dyDescent="0.25">
      <c r="K845" s="372"/>
    </row>
    <row r="846" spans="11:11" x14ac:dyDescent="0.25">
      <c r="K846" s="372"/>
    </row>
    <row r="847" spans="11:11" x14ac:dyDescent="0.25">
      <c r="K847" s="372"/>
    </row>
    <row r="848" spans="11:11" x14ac:dyDescent="0.25">
      <c r="K848" s="372"/>
    </row>
    <row r="849" spans="11:11" x14ac:dyDescent="0.25">
      <c r="K849" s="372"/>
    </row>
    <row r="850" spans="11:11" x14ac:dyDescent="0.25">
      <c r="K850" s="372"/>
    </row>
    <row r="851" spans="11:11" x14ac:dyDescent="0.25">
      <c r="K851" s="372"/>
    </row>
    <row r="852" spans="11:11" x14ac:dyDescent="0.25">
      <c r="K852" s="372"/>
    </row>
    <row r="853" spans="11:11" x14ac:dyDescent="0.25">
      <c r="K853" s="372"/>
    </row>
    <row r="854" spans="11:11" x14ac:dyDescent="0.25">
      <c r="K854" s="372"/>
    </row>
    <row r="855" spans="11:11" x14ac:dyDescent="0.25">
      <c r="K855" s="372"/>
    </row>
    <row r="856" spans="11:11" x14ac:dyDescent="0.25">
      <c r="K856" s="372"/>
    </row>
    <row r="857" spans="11:11" x14ac:dyDescent="0.25">
      <c r="K857" s="372"/>
    </row>
    <row r="858" spans="11:11" x14ac:dyDescent="0.25">
      <c r="K858" s="372"/>
    </row>
    <row r="859" spans="11:11" x14ac:dyDescent="0.25">
      <c r="K859" s="372"/>
    </row>
    <row r="860" spans="11:11" x14ac:dyDescent="0.25">
      <c r="K860" s="372"/>
    </row>
    <row r="861" spans="11:11" x14ac:dyDescent="0.25">
      <c r="K861" s="372"/>
    </row>
    <row r="862" spans="11:11" x14ac:dyDescent="0.25">
      <c r="K862" s="372"/>
    </row>
    <row r="863" spans="11:11" x14ac:dyDescent="0.25">
      <c r="K863" s="372"/>
    </row>
    <row r="864" spans="11:11" x14ac:dyDescent="0.25">
      <c r="K864" s="372"/>
    </row>
    <row r="865" spans="11:11" x14ac:dyDescent="0.25">
      <c r="K865" s="372"/>
    </row>
    <row r="866" spans="11:11" x14ac:dyDescent="0.25">
      <c r="K866" s="372"/>
    </row>
    <row r="867" spans="11:11" x14ac:dyDescent="0.25">
      <c r="K867" s="372"/>
    </row>
    <row r="868" spans="11:11" x14ac:dyDescent="0.25">
      <c r="K868" s="372"/>
    </row>
    <row r="869" spans="11:11" x14ac:dyDescent="0.25">
      <c r="K869" s="372"/>
    </row>
    <row r="870" spans="11:11" x14ac:dyDescent="0.25">
      <c r="K870" s="372"/>
    </row>
    <row r="871" spans="11:11" x14ac:dyDescent="0.25">
      <c r="K871" s="372"/>
    </row>
    <row r="872" spans="11:11" x14ac:dyDescent="0.25">
      <c r="K872" s="372"/>
    </row>
    <row r="873" spans="11:11" x14ac:dyDescent="0.25">
      <c r="K873" s="372"/>
    </row>
    <row r="874" spans="11:11" x14ac:dyDescent="0.25">
      <c r="K874" s="372"/>
    </row>
    <row r="875" spans="11:11" x14ac:dyDescent="0.25">
      <c r="K875" s="372"/>
    </row>
    <row r="876" spans="11:11" x14ac:dyDescent="0.25">
      <c r="K876" s="372"/>
    </row>
    <row r="877" spans="11:11" x14ac:dyDescent="0.25">
      <c r="K877" s="372"/>
    </row>
    <row r="878" spans="11:11" x14ac:dyDescent="0.25">
      <c r="K878" s="372"/>
    </row>
    <row r="879" spans="11:11" x14ac:dyDescent="0.25">
      <c r="K879" s="372"/>
    </row>
    <row r="880" spans="11:11" x14ac:dyDescent="0.25">
      <c r="K880" s="372"/>
    </row>
    <row r="881" spans="11:11" x14ac:dyDescent="0.25">
      <c r="K881" s="372"/>
    </row>
    <row r="882" spans="11:11" x14ac:dyDescent="0.25">
      <c r="K882" s="372"/>
    </row>
    <row r="883" spans="11:11" x14ac:dyDescent="0.25">
      <c r="K883" s="372"/>
    </row>
    <row r="884" spans="11:11" x14ac:dyDescent="0.25">
      <c r="K884" s="372"/>
    </row>
    <row r="885" spans="11:11" x14ac:dyDescent="0.25">
      <c r="K885" s="372"/>
    </row>
    <row r="886" spans="11:11" x14ac:dyDescent="0.25">
      <c r="K886" s="372"/>
    </row>
    <row r="887" spans="11:11" x14ac:dyDescent="0.25">
      <c r="K887" s="372"/>
    </row>
    <row r="888" spans="11:11" x14ac:dyDescent="0.25">
      <c r="K888" s="372"/>
    </row>
    <row r="889" spans="11:11" x14ac:dyDescent="0.25">
      <c r="K889" s="372"/>
    </row>
    <row r="890" spans="11:11" x14ac:dyDescent="0.25">
      <c r="K890" s="372"/>
    </row>
    <row r="891" spans="11:11" x14ac:dyDescent="0.25">
      <c r="K891" s="372"/>
    </row>
    <row r="892" spans="11:11" x14ac:dyDescent="0.25">
      <c r="K892" s="372"/>
    </row>
    <row r="893" spans="11:11" x14ac:dyDescent="0.25">
      <c r="K893" s="372"/>
    </row>
    <row r="894" spans="11:11" x14ac:dyDescent="0.25">
      <c r="K894" s="372"/>
    </row>
    <row r="895" spans="11:11" x14ac:dyDescent="0.25">
      <c r="K895" s="372"/>
    </row>
    <row r="896" spans="11:11" x14ac:dyDescent="0.25">
      <c r="K896" s="372"/>
    </row>
    <row r="897" spans="11:11" x14ac:dyDescent="0.25">
      <c r="K897" s="372"/>
    </row>
    <row r="898" spans="11:11" x14ac:dyDescent="0.25">
      <c r="K898" s="372"/>
    </row>
    <row r="899" spans="11:11" x14ac:dyDescent="0.25">
      <c r="K899" s="372"/>
    </row>
    <row r="900" spans="11:11" x14ac:dyDescent="0.25">
      <c r="K900" s="372"/>
    </row>
    <row r="901" spans="11:11" x14ac:dyDescent="0.25">
      <c r="K901" s="372"/>
    </row>
    <row r="902" spans="11:11" x14ac:dyDescent="0.25">
      <c r="K902" s="372"/>
    </row>
    <row r="903" spans="11:11" x14ac:dyDescent="0.25">
      <c r="K903" s="372"/>
    </row>
    <row r="904" spans="11:11" x14ac:dyDescent="0.25">
      <c r="K904" s="372"/>
    </row>
    <row r="905" spans="11:11" x14ac:dyDescent="0.25">
      <c r="K905" s="372"/>
    </row>
    <row r="906" spans="11:11" x14ac:dyDescent="0.25">
      <c r="K906" s="372"/>
    </row>
    <row r="907" spans="11:11" x14ac:dyDescent="0.25">
      <c r="K907" s="372"/>
    </row>
    <row r="908" spans="11:11" x14ac:dyDescent="0.25">
      <c r="K908" s="372"/>
    </row>
    <row r="909" spans="11:11" x14ac:dyDescent="0.25">
      <c r="K909" s="372"/>
    </row>
    <row r="910" spans="11:11" x14ac:dyDescent="0.25">
      <c r="K910" s="372"/>
    </row>
    <row r="911" spans="11:11" x14ac:dyDescent="0.25">
      <c r="K911" s="372"/>
    </row>
    <row r="912" spans="11:11" x14ac:dyDescent="0.25">
      <c r="K912" s="372"/>
    </row>
    <row r="913" spans="11:11" x14ac:dyDescent="0.25">
      <c r="K913" s="372"/>
    </row>
    <row r="914" spans="11:11" x14ac:dyDescent="0.25">
      <c r="K914" s="372"/>
    </row>
    <row r="915" spans="11:11" x14ac:dyDescent="0.25">
      <c r="K915" s="372"/>
    </row>
    <row r="916" spans="11:11" x14ac:dyDescent="0.25">
      <c r="K916" s="372"/>
    </row>
    <row r="917" spans="11:11" x14ac:dyDescent="0.25">
      <c r="K917" s="372"/>
    </row>
    <row r="918" spans="11:11" x14ac:dyDescent="0.25">
      <c r="K918" s="372"/>
    </row>
    <row r="919" spans="11:11" x14ac:dyDescent="0.25">
      <c r="K919" s="372"/>
    </row>
    <row r="920" spans="11:11" x14ac:dyDescent="0.25">
      <c r="K920" s="372"/>
    </row>
    <row r="921" spans="11:11" x14ac:dyDescent="0.25">
      <c r="K921" s="372"/>
    </row>
    <row r="922" spans="11:11" x14ac:dyDescent="0.25">
      <c r="K922" s="372"/>
    </row>
    <row r="923" spans="11:11" x14ac:dyDescent="0.25">
      <c r="K923" s="372"/>
    </row>
    <row r="924" spans="11:11" x14ac:dyDescent="0.25">
      <c r="K924" s="372"/>
    </row>
    <row r="925" spans="11:11" x14ac:dyDescent="0.25">
      <c r="K925" s="372"/>
    </row>
    <row r="926" spans="11:11" x14ac:dyDescent="0.25">
      <c r="K926" s="372"/>
    </row>
    <row r="927" spans="11:11" x14ac:dyDescent="0.25">
      <c r="K927" s="372"/>
    </row>
    <row r="928" spans="11:11" x14ac:dyDescent="0.25">
      <c r="K928" s="372"/>
    </row>
    <row r="929" spans="11:11" x14ac:dyDescent="0.25">
      <c r="K929" s="372"/>
    </row>
    <row r="930" spans="11:11" x14ac:dyDescent="0.25">
      <c r="K930" s="372"/>
    </row>
    <row r="931" spans="11:11" x14ac:dyDescent="0.25">
      <c r="K931" s="372"/>
    </row>
    <row r="932" spans="11:11" x14ac:dyDescent="0.25">
      <c r="K932" s="372"/>
    </row>
    <row r="933" spans="11:11" x14ac:dyDescent="0.25">
      <c r="K933" s="372"/>
    </row>
    <row r="934" spans="11:11" x14ac:dyDescent="0.25">
      <c r="K934" s="372"/>
    </row>
    <row r="935" spans="11:11" x14ac:dyDescent="0.25">
      <c r="K935" s="372"/>
    </row>
    <row r="936" spans="11:11" x14ac:dyDescent="0.25">
      <c r="K936" s="372"/>
    </row>
    <row r="937" spans="11:11" x14ac:dyDescent="0.25">
      <c r="K937" s="372"/>
    </row>
    <row r="938" spans="11:11" x14ac:dyDescent="0.25">
      <c r="K938" s="372"/>
    </row>
    <row r="939" spans="11:11" x14ac:dyDescent="0.25">
      <c r="K939" s="372"/>
    </row>
    <row r="940" spans="11:11" x14ac:dyDescent="0.25">
      <c r="K940" s="372"/>
    </row>
    <row r="941" spans="11:11" x14ac:dyDescent="0.25">
      <c r="K941" s="372"/>
    </row>
    <row r="942" spans="11:11" x14ac:dyDescent="0.25">
      <c r="K942" s="372"/>
    </row>
    <row r="943" spans="11:11" x14ac:dyDescent="0.25">
      <c r="K943" s="372"/>
    </row>
    <row r="944" spans="11:11" x14ac:dyDescent="0.25">
      <c r="K944" s="372"/>
    </row>
    <row r="945" spans="11:11" x14ac:dyDescent="0.25">
      <c r="K945" s="372"/>
    </row>
    <row r="946" spans="11:11" x14ac:dyDescent="0.25">
      <c r="K946" s="372"/>
    </row>
    <row r="947" spans="11:11" x14ac:dyDescent="0.25">
      <c r="K947" s="372"/>
    </row>
    <row r="948" spans="11:11" x14ac:dyDescent="0.25">
      <c r="K948" s="372"/>
    </row>
    <row r="949" spans="11:11" x14ac:dyDescent="0.25">
      <c r="K949" s="372"/>
    </row>
    <row r="950" spans="11:11" x14ac:dyDescent="0.25">
      <c r="K950" s="372"/>
    </row>
    <row r="951" spans="11:11" x14ac:dyDescent="0.25">
      <c r="K951" s="372"/>
    </row>
    <row r="952" spans="11:11" x14ac:dyDescent="0.25">
      <c r="K952" s="372"/>
    </row>
    <row r="953" spans="11:11" x14ac:dyDescent="0.25">
      <c r="K953" s="372"/>
    </row>
    <row r="954" spans="11:11" x14ac:dyDescent="0.25">
      <c r="K954" s="372"/>
    </row>
    <row r="955" spans="11:11" x14ac:dyDescent="0.25">
      <c r="K955" s="372"/>
    </row>
    <row r="956" spans="11:11" x14ac:dyDescent="0.25">
      <c r="K956" s="372"/>
    </row>
    <row r="957" spans="11:11" x14ac:dyDescent="0.25">
      <c r="K957" s="372"/>
    </row>
    <row r="958" spans="11:11" x14ac:dyDescent="0.25">
      <c r="K958" s="372"/>
    </row>
    <row r="959" spans="11:11" x14ac:dyDescent="0.25">
      <c r="K959" s="372"/>
    </row>
    <row r="960" spans="11:11" x14ac:dyDescent="0.25">
      <c r="K960" s="372"/>
    </row>
    <row r="961" spans="11:11" x14ac:dyDescent="0.25">
      <c r="K961" s="372"/>
    </row>
    <row r="962" spans="11:11" x14ac:dyDescent="0.25">
      <c r="K962" s="372"/>
    </row>
    <row r="963" spans="11:11" x14ac:dyDescent="0.25">
      <c r="K963" s="372"/>
    </row>
    <row r="964" spans="11:11" x14ac:dyDescent="0.25">
      <c r="K964" s="372"/>
    </row>
    <row r="965" spans="11:11" x14ac:dyDescent="0.25">
      <c r="K965" s="372"/>
    </row>
    <row r="966" spans="11:11" x14ac:dyDescent="0.25">
      <c r="K966" s="372"/>
    </row>
    <row r="967" spans="11:11" x14ac:dyDescent="0.25">
      <c r="K967" s="372"/>
    </row>
    <row r="968" spans="11:11" x14ac:dyDescent="0.25">
      <c r="K968" s="372"/>
    </row>
    <row r="969" spans="11:11" x14ac:dyDescent="0.25">
      <c r="K969" s="372"/>
    </row>
    <row r="970" spans="11:11" x14ac:dyDescent="0.25">
      <c r="K970" s="372"/>
    </row>
    <row r="971" spans="11:11" x14ac:dyDescent="0.25">
      <c r="K971" s="372"/>
    </row>
    <row r="972" spans="11:11" x14ac:dyDescent="0.25">
      <c r="K972" s="372"/>
    </row>
    <row r="973" spans="11:11" x14ac:dyDescent="0.25">
      <c r="K973" s="372"/>
    </row>
    <row r="974" spans="11:11" x14ac:dyDescent="0.25">
      <c r="K974" s="372"/>
    </row>
    <row r="975" spans="11:11" x14ac:dyDescent="0.25">
      <c r="K975" s="372"/>
    </row>
    <row r="976" spans="11:11" x14ac:dyDescent="0.25">
      <c r="K976" s="372"/>
    </row>
    <row r="977" spans="11:11" x14ac:dyDescent="0.25">
      <c r="K977" s="372"/>
    </row>
    <row r="978" spans="11:11" x14ac:dyDescent="0.25">
      <c r="K978" s="372"/>
    </row>
    <row r="979" spans="11:11" x14ac:dyDescent="0.25">
      <c r="K979" s="372"/>
    </row>
    <row r="980" spans="11:11" x14ac:dyDescent="0.25">
      <c r="K980" s="372"/>
    </row>
    <row r="981" spans="11:11" x14ac:dyDescent="0.25">
      <c r="K981" s="372"/>
    </row>
    <row r="982" spans="11:11" x14ac:dyDescent="0.25">
      <c r="K982" s="372"/>
    </row>
    <row r="983" spans="11:11" x14ac:dyDescent="0.25">
      <c r="K983" s="372"/>
    </row>
    <row r="984" spans="11:11" x14ac:dyDescent="0.25">
      <c r="K984" s="372"/>
    </row>
    <row r="985" spans="11:11" x14ac:dyDescent="0.25">
      <c r="K985" s="372"/>
    </row>
    <row r="986" spans="11:11" x14ac:dyDescent="0.25">
      <c r="K986" s="372"/>
    </row>
    <row r="987" spans="11:11" x14ac:dyDescent="0.25">
      <c r="K987" s="372"/>
    </row>
    <row r="988" spans="11:11" x14ac:dyDescent="0.25">
      <c r="K988" s="372"/>
    </row>
    <row r="989" spans="11:11" x14ac:dyDescent="0.25">
      <c r="K989" s="372"/>
    </row>
    <row r="990" spans="11:11" x14ac:dyDescent="0.25">
      <c r="K990" s="372"/>
    </row>
    <row r="991" spans="11:11" x14ac:dyDescent="0.25">
      <c r="K991" s="372"/>
    </row>
    <row r="992" spans="11:11" x14ac:dyDescent="0.25">
      <c r="K992" s="372"/>
    </row>
    <row r="993" spans="11:11" x14ac:dyDescent="0.25">
      <c r="K993" s="372"/>
    </row>
    <row r="994" spans="11:11" x14ac:dyDescent="0.25">
      <c r="K994" s="372"/>
    </row>
    <row r="995" spans="11:11" x14ac:dyDescent="0.25">
      <c r="K995" s="372"/>
    </row>
    <row r="996" spans="11:11" x14ac:dyDescent="0.25">
      <c r="K996" s="372"/>
    </row>
    <row r="997" spans="11:11" x14ac:dyDescent="0.25">
      <c r="K997" s="372"/>
    </row>
    <row r="998" spans="11:11" x14ac:dyDescent="0.25">
      <c r="K998" s="372"/>
    </row>
    <row r="999" spans="11:11" x14ac:dyDescent="0.25">
      <c r="K999" s="372"/>
    </row>
    <row r="1000" spans="11:11" x14ac:dyDescent="0.25">
      <c r="K1000" s="372"/>
    </row>
    <row r="1001" spans="11:11" x14ac:dyDescent="0.25">
      <c r="K1001" s="372"/>
    </row>
    <row r="1002" spans="11:11" x14ac:dyDescent="0.25">
      <c r="K1002" s="372"/>
    </row>
    <row r="1003" spans="11:11" x14ac:dyDescent="0.25">
      <c r="K1003" s="372"/>
    </row>
    <row r="1004" spans="11:11" x14ac:dyDescent="0.25">
      <c r="K1004" s="372"/>
    </row>
    <row r="1005" spans="11:11" x14ac:dyDescent="0.25">
      <c r="K1005" s="372"/>
    </row>
    <row r="1006" spans="11:11" x14ac:dyDescent="0.25">
      <c r="K1006" s="372"/>
    </row>
    <row r="1007" spans="11:11" x14ac:dyDescent="0.25">
      <c r="K1007" s="372"/>
    </row>
    <row r="1008" spans="11:11" x14ac:dyDescent="0.25">
      <c r="K1008" s="372"/>
    </row>
    <row r="1009" spans="11:11" x14ac:dyDescent="0.25">
      <c r="K1009" s="372"/>
    </row>
    <row r="1010" spans="11:11" x14ac:dyDescent="0.25">
      <c r="K1010" s="372"/>
    </row>
    <row r="1011" spans="11:11" x14ac:dyDescent="0.25">
      <c r="K1011" s="372"/>
    </row>
    <row r="1012" spans="11:11" x14ac:dyDescent="0.25">
      <c r="K1012" s="372"/>
    </row>
    <row r="1013" spans="11:11" x14ac:dyDescent="0.25">
      <c r="K1013" s="372"/>
    </row>
    <row r="1014" spans="11:11" x14ac:dyDescent="0.25">
      <c r="K1014" s="372"/>
    </row>
    <row r="1015" spans="11:11" x14ac:dyDescent="0.25">
      <c r="K1015" s="372"/>
    </row>
    <row r="1016" spans="11:11" x14ac:dyDescent="0.25">
      <c r="K1016" s="372"/>
    </row>
    <row r="1017" spans="11:11" x14ac:dyDescent="0.25">
      <c r="K1017" s="372"/>
    </row>
    <row r="1018" spans="11:11" x14ac:dyDescent="0.25">
      <c r="K1018" s="372"/>
    </row>
    <row r="1019" spans="11:11" x14ac:dyDescent="0.25">
      <c r="K1019" s="372"/>
    </row>
    <row r="1020" spans="11:11" x14ac:dyDescent="0.25">
      <c r="K1020" s="372"/>
    </row>
    <row r="1021" spans="11:11" x14ac:dyDescent="0.25">
      <c r="K1021" s="372"/>
    </row>
    <row r="1022" spans="11:11" x14ac:dyDescent="0.25">
      <c r="K1022" s="372"/>
    </row>
    <row r="1023" spans="11:11" x14ac:dyDescent="0.25">
      <c r="K1023" s="372"/>
    </row>
    <row r="1024" spans="11:11" x14ac:dyDescent="0.25">
      <c r="K1024" s="372"/>
    </row>
    <row r="1025" spans="11:11" x14ac:dyDescent="0.25">
      <c r="K1025" s="372"/>
    </row>
    <row r="1026" spans="11:11" x14ac:dyDescent="0.25">
      <c r="K1026" s="372"/>
    </row>
    <row r="1027" spans="11:11" x14ac:dyDescent="0.25">
      <c r="K1027" s="372"/>
    </row>
    <row r="1028" spans="11:11" x14ac:dyDescent="0.25">
      <c r="K1028" s="372"/>
    </row>
    <row r="1029" spans="11:11" x14ac:dyDescent="0.25">
      <c r="K1029" s="372"/>
    </row>
    <row r="1030" spans="11:11" x14ac:dyDescent="0.25">
      <c r="K1030" s="372"/>
    </row>
    <row r="1031" spans="11:11" x14ac:dyDescent="0.25">
      <c r="K1031" s="372"/>
    </row>
    <row r="1032" spans="11:11" x14ac:dyDescent="0.25">
      <c r="K1032" s="372"/>
    </row>
    <row r="1033" spans="11:11" x14ac:dyDescent="0.25">
      <c r="K1033" s="372"/>
    </row>
    <row r="1034" spans="11:11" x14ac:dyDescent="0.25">
      <c r="K1034" s="372"/>
    </row>
    <row r="1035" spans="11:11" x14ac:dyDescent="0.25">
      <c r="K1035" s="372"/>
    </row>
    <row r="1036" spans="11:11" x14ac:dyDescent="0.25">
      <c r="K1036" s="372"/>
    </row>
    <row r="1037" spans="11:11" x14ac:dyDescent="0.25">
      <c r="K1037" s="372"/>
    </row>
    <row r="1038" spans="11:11" x14ac:dyDescent="0.25">
      <c r="K1038" s="372"/>
    </row>
    <row r="1039" spans="11:11" x14ac:dyDescent="0.25">
      <c r="K1039" s="372"/>
    </row>
    <row r="1040" spans="11:11" x14ac:dyDescent="0.25">
      <c r="K1040" s="372"/>
    </row>
    <row r="1041" spans="11:11" x14ac:dyDescent="0.25">
      <c r="K1041" s="372"/>
    </row>
    <row r="1042" spans="11:11" x14ac:dyDescent="0.25">
      <c r="K1042" s="372"/>
    </row>
    <row r="1043" spans="11:11" x14ac:dyDescent="0.25">
      <c r="K1043" s="372"/>
    </row>
    <row r="1044" spans="11:11" x14ac:dyDescent="0.25">
      <c r="K1044" s="372"/>
    </row>
    <row r="1045" spans="11:11" x14ac:dyDescent="0.25">
      <c r="K1045" s="372"/>
    </row>
    <row r="1046" spans="11:11" x14ac:dyDescent="0.25">
      <c r="K1046" s="372"/>
    </row>
    <row r="1047" spans="11:11" x14ac:dyDescent="0.25">
      <c r="K1047" s="372"/>
    </row>
    <row r="1048" spans="11:11" x14ac:dyDescent="0.25">
      <c r="K1048" s="372"/>
    </row>
    <row r="1049" spans="11:11" x14ac:dyDescent="0.25">
      <c r="K1049" s="372"/>
    </row>
    <row r="1050" spans="11:11" x14ac:dyDescent="0.25">
      <c r="K1050" s="372"/>
    </row>
    <row r="1051" spans="11:11" x14ac:dyDescent="0.25">
      <c r="K1051" s="372"/>
    </row>
    <row r="1052" spans="11:11" x14ac:dyDescent="0.25">
      <c r="K1052" s="372"/>
    </row>
    <row r="1053" spans="11:11" x14ac:dyDescent="0.25">
      <c r="K1053" s="372"/>
    </row>
    <row r="1054" spans="11:11" x14ac:dyDescent="0.25">
      <c r="K1054" s="372"/>
    </row>
    <row r="1055" spans="11:11" x14ac:dyDescent="0.25">
      <c r="K1055" s="372"/>
    </row>
    <row r="1056" spans="11:11" x14ac:dyDescent="0.25">
      <c r="K1056" s="372"/>
    </row>
    <row r="1057" spans="11:11" x14ac:dyDescent="0.25">
      <c r="K1057" s="372"/>
    </row>
    <row r="1058" spans="11:11" x14ac:dyDescent="0.25">
      <c r="K1058" s="372"/>
    </row>
    <row r="1059" spans="11:11" x14ac:dyDescent="0.25">
      <c r="K1059" s="372"/>
    </row>
    <row r="1060" spans="11:11" x14ac:dyDescent="0.25">
      <c r="K1060" s="372"/>
    </row>
    <row r="1061" spans="11:11" x14ac:dyDescent="0.25">
      <c r="K1061" s="372"/>
    </row>
    <row r="1062" spans="11:11" x14ac:dyDescent="0.25">
      <c r="K1062" s="372"/>
    </row>
    <row r="1063" spans="11:11" x14ac:dyDescent="0.25">
      <c r="K1063" s="372"/>
    </row>
    <row r="1064" spans="11:11" x14ac:dyDescent="0.25">
      <c r="K1064" s="372"/>
    </row>
    <row r="1065" spans="11:11" x14ac:dyDescent="0.25">
      <c r="K1065" s="372"/>
    </row>
    <row r="1066" spans="11:11" x14ac:dyDescent="0.25">
      <c r="K1066" s="372"/>
    </row>
    <row r="1067" spans="11:11" x14ac:dyDescent="0.25">
      <c r="K1067" s="372"/>
    </row>
    <row r="1068" spans="11:11" x14ac:dyDescent="0.25">
      <c r="K1068" s="372"/>
    </row>
    <row r="1069" spans="11:11" x14ac:dyDescent="0.25">
      <c r="K1069" s="372"/>
    </row>
    <row r="1070" spans="11:11" x14ac:dyDescent="0.25">
      <c r="K1070" s="372"/>
    </row>
    <row r="1071" spans="11:11" x14ac:dyDescent="0.25">
      <c r="K1071" s="372"/>
    </row>
    <row r="1072" spans="11:11" x14ac:dyDescent="0.25">
      <c r="K1072" s="372"/>
    </row>
    <row r="1073" spans="11:11" x14ac:dyDescent="0.25">
      <c r="K1073" s="372"/>
    </row>
    <row r="1074" spans="11:11" x14ac:dyDescent="0.25">
      <c r="K1074" s="372"/>
    </row>
    <row r="1075" spans="11:11" x14ac:dyDescent="0.25">
      <c r="K1075" s="372"/>
    </row>
    <row r="1076" spans="11:11" x14ac:dyDescent="0.25">
      <c r="K1076" s="372"/>
    </row>
    <row r="1077" spans="11:11" x14ac:dyDescent="0.25">
      <c r="K1077" s="372"/>
    </row>
    <row r="1078" spans="11:11" x14ac:dyDescent="0.25">
      <c r="K1078" s="372"/>
    </row>
    <row r="1079" spans="11:11" x14ac:dyDescent="0.25">
      <c r="K1079" s="372"/>
    </row>
    <row r="1080" spans="11:11" x14ac:dyDescent="0.25">
      <c r="K1080" s="372"/>
    </row>
    <row r="1081" spans="11:11" x14ac:dyDescent="0.25">
      <c r="K1081" s="372"/>
    </row>
    <row r="1082" spans="11:11" x14ac:dyDescent="0.25">
      <c r="K1082" s="372"/>
    </row>
    <row r="1083" spans="11:11" x14ac:dyDescent="0.25">
      <c r="K1083" s="372"/>
    </row>
    <row r="1084" spans="11:11" x14ac:dyDescent="0.25">
      <c r="K1084" s="372"/>
    </row>
    <row r="1085" spans="11:11" x14ac:dyDescent="0.25">
      <c r="K1085" s="372"/>
    </row>
    <row r="1086" spans="11:11" x14ac:dyDescent="0.25">
      <c r="K1086" s="372"/>
    </row>
    <row r="1087" spans="11:11" x14ac:dyDescent="0.25">
      <c r="K1087" s="372"/>
    </row>
    <row r="1088" spans="11:11" x14ac:dyDescent="0.25">
      <c r="K1088" s="372"/>
    </row>
    <row r="1089" spans="11:11" x14ac:dyDescent="0.25">
      <c r="K1089" s="372"/>
    </row>
    <row r="1090" spans="11:11" x14ac:dyDescent="0.25">
      <c r="K1090" s="372"/>
    </row>
    <row r="1091" spans="11:11" x14ac:dyDescent="0.25">
      <c r="K1091" s="372"/>
    </row>
    <row r="1092" spans="11:11" x14ac:dyDescent="0.25">
      <c r="K1092" s="372"/>
    </row>
    <row r="1093" spans="11:11" x14ac:dyDescent="0.25">
      <c r="K1093" s="372"/>
    </row>
    <row r="1094" spans="11:11" x14ac:dyDescent="0.25">
      <c r="K1094" s="372"/>
    </row>
    <row r="1095" spans="11:11" x14ac:dyDescent="0.25">
      <c r="K1095" s="372"/>
    </row>
    <row r="1096" spans="11:11" x14ac:dyDescent="0.25">
      <c r="K1096" s="372"/>
    </row>
    <row r="1097" spans="11:11" x14ac:dyDescent="0.25">
      <c r="K1097" s="372"/>
    </row>
    <row r="1098" spans="11:11" x14ac:dyDescent="0.25">
      <c r="K1098" s="372"/>
    </row>
    <row r="1099" spans="11:11" x14ac:dyDescent="0.25">
      <c r="K1099" s="372"/>
    </row>
    <row r="1100" spans="11:11" x14ac:dyDescent="0.25">
      <c r="K1100" s="372"/>
    </row>
    <row r="1101" spans="11:11" x14ac:dyDescent="0.25">
      <c r="K1101" s="372"/>
    </row>
    <row r="1102" spans="11:11" x14ac:dyDescent="0.25">
      <c r="K1102" s="372"/>
    </row>
    <row r="1103" spans="11:11" x14ac:dyDescent="0.25">
      <c r="K1103" s="372"/>
    </row>
    <row r="1104" spans="11:11" x14ac:dyDescent="0.25">
      <c r="K1104" s="372"/>
    </row>
    <row r="1105" spans="11:11" x14ac:dyDescent="0.25">
      <c r="K1105" s="372"/>
    </row>
    <row r="1106" spans="11:11" x14ac:dyDescent="0.25">
      <c r="K1106" s="372"/>
    </row>
    <row r="1107" spans="11:11" x14ac:dyDescent="0.25">
      <c r="K1107" s="372"/>
    </row>
    <row r="1108" spans="11:11" x14ac:dyDescent="0.25">
      <c r="K1108" s="372"/>
    </row>
    <row r="1109" spans="11:11" x14ac:dyDescent="0.25">
      <c r="K1109" s="372"/>
    </row>
    <row r="1110" spans="11:11" x14ac:dyDescent="0.25">
      <c r="K1110" s="372"/>
    </row>
    <row r="1111" spans="11:11" x14ac:dyDescent="0.25">
      <c r="K1111" s="372"/>
    </row>
    <row r="1112" spans="11:11" x14ac:dyDescent="0.25">
      <c r="K1112" s="372"/>
    </row>
    <row r="1113" spans="11:11" x14ac:dyDescent="0.25">
      <c r="K1113" s="372"/>
    </row>
    <row r="1114" spans="11:11" x14ac:dyDescent="0.25">
      <c r="K1114" s="372"/>
    </row>
    <row r="1115" spans="11:11" x14ac:dyDescent="0.25">
      <c r="K1115" s="372"/>
    </row>
    <row r="1116" spans="11:11" x14ac:dyDescent="0.25">
      <c r="K1116" s="372"/>
    </row>
    <row r="1117" spans="11:11" x14ac:dyDescent="0.25">
      <c r="K1117" s="372"/>
    </row>
    <row r="1118" spans="11:11" x14ac:dyDescent="0.25">
      <c r="K1118" s="372"/>
    </row>
    <row r="1119" spans="11:11" x14ac:dyDescent="0.25">
      <c r="K1119" s="372"/>
    </row>
    <row r="1120" spans="11:11" x14ac:dyDescent="0.25">
      <c r="K1120" s="372"/>
    </row>
    <row r="1121" spans="11:11" x14ac:dyDescent="0.25">
      <c r="K1121" s="372"/>
    </row>
    <row r="1122" spans="11:11" x14ac:dyDescent="0.25">
      <c r="K1122" s="372"/>
    </row>
    <row r="1123" spans="11:11" x14ac:dyDescent="0.25">
      <c r="K1123" s="372"/>
    </row>
    <row r="1124" spans="11:11" x14ac:dyDescent="0.25">
      <c r="K1124" s="372"/>
    </row>
    <row r="1125" spans="11:11" x14ac:dyDescent="0.25">
      <c r="K1125" s="372"/>
    </row>
    <row r="1126" spans="11:11" x14ac:dyDescent="0.25">
      <c r="K1126" s="372"/>
    </row>
    <row r="1127" spans="11:11" x14ac:dyDescent="0.25">
      <c r="K1127" s="372"/>
    </row>
    <row r="1128" spans="11:11" x14ac:dyDescent="0.25">
      <c r="K1128" s="372"/>
    </row>
    <row r="1129" spans="11:11" x14ac:dyDescent="0.25">
      <c r="K1129" s="372"/>
    </row>
    <row r="1130" spans="11:11" x14ac:dyDescent="0.25">
      <c r="K1130" s="372"/>
    </row>
    <row r="1131" spans="11:11" x14ac:dyDescent="0.25">
      <c r="K1131" s="372"/>
    </row>
    <row r="1132" spans="11:11" x14ac:dyDescent="0.25">
      <c r="K1132" s="372"/>
    </row>
    <row r="1133" spans="11:11" x14ac:dyDescent="0.25">
      <c r="K1133" s="372"/>
    </row>
    <row r="1134" spans="11:11" x14ac:dyDescent="0.25">
      <c r="K1134" s="372"/>
    </row>
    <row r="1135" spans="11:11" x14ac:dyDescent="0.25">
      <c r="K1135" s="372"/>
    </row>
    <row r="1136" spans="11:11" x14ac:dyDescent="0.25">
      <c r="K1136" s="372"/>
    </row>
    <row r="1137" spans="11:11" x14ac:dyDescent="0.25">
      <c r="K1137" s="372"/>
    </row>
    <row r="1138" spans="11:11" x14ac:dyDescent="0.25">
      <c r="K1138" s="372"/>
    </row>
    <row r="1139" spans="11:11" x14ac:dyDescent="0.25">
      <c r="K1139" s="372"/>
    </row>
    <row r="1140" spans="11:11" x14ac:dyDescent="0.25">
      <c r="K1140" s="372"/>
    </row>
    <row r="1141" spans="11:11" x14ac:dyDescent="0.25">
      <c r="K1141" s="372"/>
    </row>
    <row r="1142" spans="11:11" x14ac:dyDescent="0.25">
      <c r="K1142" s="372"/>
    </row>
    <row r="1143" spans="11:11" x14ac:dyDescent="0.25">
      <c r="K1143" s="372"/>
    </row>
    <row r="1144" spans="11:11" x14ac:dyDescent="0.25">
      <c r="K1144" s="372"/>
    </row>
    <row r="1145" spans="11:11" x14ac:dyDescent="0.25">
      <c r="K1145" s="372"/>
    </row>
    <row r="1146" spans="11:11" x14ac:dyDescent="0.25">
      <c r="K1146" s="372"/>
    </row>
    <row r="1147" spans="11:11" x14ac:dyDescent="0.25">
      <c r="K1147" s="372"/>
    </row>
    <row r="1148" spans="11:11" x14ac:dyDescent="0.25">
      <c r="K1148" s="372"/>
    </row>
    <row r="1149" spans="11:11" x14ac:dyDescent="0.25">
      <c r="K1149" s="372"/>
    </row>
    <row r="1150" spans="11:11" x14ac:dyDescent="0.25">
      <c r="K1150" s="372"/>
    </row>
    <row r="1151" spans="11:11" x14ac:dyDescent="0.25">
      <c r="K1151" s="372"/>
    </row>
    <row r="1152" spans="11:11" x14ac:dyDescent="0.25">
      <c r="K1152" s="372"/>
    </row>
    <row r="1153" spans="11:11" x14ac:dyDescent="0.25">
      <c r="K1153" s="372"/>
    </row>
    <row r="1154" spans="11:11" x14ac:dyDescent="0.25">
      <c r="K1154" s="372"/>
    </row>
    <row r="1155" spans="11:11" x14ac:dyDescent="0.25">
      <c r="K1155" s="372"/>
    </row>
    <row r="1156" spans="11:11" x14ac:dyDescent="0.25">
      <c r="K1156" s="372"/>
    </row>
    <row r="1157" spans="11:11" x14ac:dyDescent="0.25">
      <c r="K1157" s="372"/>
    </row>
    <row r="1158" spans="11:11" x14ac:dyDescent="0.25">
      <c r="K1158" s="372"/>
    </row>
    <row r="1159" spans="11:11" x14ac:dyDescent="0.25">
      <c r="K1159" s="372"/>
    </row>
    <row r="1160" spans="11:11" x14ac:dyDescent="0.25">
      <c r="K1160" s="372"/>
    </row>
    <row r="1161" spans="11:11" x14ac:dyDescent="0.25">
      <c r="K1161" s="372"/>
    </row>
    <row r="1162" spans="11:11" x14ac:dyDescent="0.25">
      <c r="K1162" s="372"/>
    </row>
    <row r="1163" spans="11:11" x14ac:dyDescent="0.25">
      <c r="K1163" s="372"/>
    </row>
    <row r="1164" spans="11:11" x14ac:dyDescent="0.25">
      <c r="K1164" s="372"/>
    </row>
    <row r="1165" spans="11:11" x14ac:dyDescent="0.25">
      <c r="K1165" s="372"/>
    </row>
    <row r="1166" spans="11:11" x14ac:dyDescent="0.25">
      <c r="K1166" s="372"/>
    </row>
    <row r="1167" spans="11:11" x14ac:dyDescent="0.25">
      <c r="K1167" s="372"/>
    </row>
    <row r="1168" spans="11:11" x14ac:dyDescent="0.25">
      <c r="K1168" s="372"/>
    </row>
    <row r="1169" spans="11:11" x14ac:dyDescent="0.25">
      <c r="K1169" s="372"/>
    </row>
    <row r="1170" spans="11:11" x14ac:dyDescent="0.25">
      <c r="K1170" s="372"/>
    </row>
    <row r="1171" spans="11:11" x14ac:dyDescent="0.25">
      <c r="K1171" s="372"/>
    </row>
    <row r="1172" spans="11:11" x14ac:dyDescent="0.25">
      <c r="K1172" s="372"/>
    </row>
    <row r="1173" spans="11:11" x14ac:dyDescent="0.25">
      <c r="K1173" s="372"/>
    </row>
    <row r="1174" spans="11:11" x14ac:dyDescent="0.25">
      <c r="K1174" s="372"/>
    </row>
    <row r="1175" spans="11:11" x14ac:dyDescent="0.25">
      <c r="K1175" s="372"/>
    </row>
    <row r="1176" spans="11:11" x14ac:dyDescent="0.25">
      <c r="K1176" s="372"/>
    </row>
    <row r="1177" spans="11:11" x14ac:dyDescent="0.25">
      <c r="K1177" s="372"/>
    </row>
    <row r="1178" spans="11:11" x14ac:dyDescent="0.25">
      <c r="K1178" s="372"/>
    </row>
    <row r="1179" spans="11:11" x14ac:dyDescent="0.25">
      <c r="K1179" s="372"/>
    </row>
    <row r="1180" spans="11:11" x14ac:dyDescent="0.25">
      <c r="K1180" s="372"/>
    </row>
    <row r="1181" spans="11:11" x14ac:dyDescent="0.25">
      <c r="K1181" s="372"/>
    </row>
    <row r="1182" spans="11:11" x14ac:dyDescent="0.25">
      <c r="K1182" s="372"/>
    </row>
    <row r="1183" spans="11:11" x14ac:dyDescent="0.25">
      <c r="K1183" s="372"/>
    </row>
    <row r="1184" spans="11:11" x14ac:dyDescent="0.25">
      <c r="K1184" s="372"/>
    </row>
    <row r="1185" spans="11:11" x14ac:dyDescent="0.25">
      <c r="K1185" s="372"/>
    </row>
    <row r="1186" spans="11:11" x14ac:dyDescent="0.25">
      <c r="K1186" s="372"/>
    </row>
    <row r="1187" spans="11:11" x14ac:dyDescent="0.25">
      <c r="K1187" s="372"/>
    </row>
    <row r="1188" spans="11:11" x14ac:dyDescent="0.25">
      <c r="K1188" s="372"/>
    </row>
    <row r="1189" spans="11:11" x14ac:dyDescent="0.25">
      <c r="K1189" s="372"/>
    </row>
    <row r="1190" spans="11:11" x14ac:dyDescent="0.25">
      <c r="K1190" s="372"/>
    </row>
    <row r="1191" spans="11:11" x14ac:dyDescent="0.25">
      <c r="K1191" s="372"/>
    </row>
    <row r="1192" spans="11:11" x14ac:dyDescent="0.25">
      <c r="K1192" s="372"/>
    </row>
    <row r="1193" spans="11:11" x14ac:dyDescent="0.25">
      <c r="K1193" s="372"/>
    </row>
    <row r="1194" spans="11:11" x14ac:dyDescent="0.25">
      <c r="K1194" s="372"/>
    </row>
    <row r="1195" spans="11:11" x14ac:dyDescent="0.25">
      <c r="K1195" s="372"/>
    </row>
    <row r="1196" spans="11:11" x14ac:dyDescent="0.25">
      <c r="K1196" s="372"/>
    </row>
    <row r="1197" spans="11:11" x14ac:dyDescent="0.25">
      <c r="K1197" s="372"/>
    </row>
    <row r="1198" spans="11:11" x14ac:dyDescent="0.25">
      <c r="K1198" s="372"/>
    </row>
    <row r="1199" spans="11:11" x14ac:dyDescent="0.25">
      <c r="K1199" s="372"/>
    </row>
    <row r="1200" spans="11:11" x14ac:dyDescent="0.25">
      <c r="K1200" s="372"/>
    </row>
    <row r="1201" spans="11:11" x14ac:dyDescent="0.25">
      <c r="K1201" s="372"/>
    </row>
    <row r="1202" spans="11:11" x14ac:dyDescent="0.25">
      <c r="K1202" s="372"/>
    </row>
    <row r="1203" spans="11:11" x14ac:dyDescent="0.25">
      <c r="K1203" s="372"/>
    </row>
    <row r="1204" spans="11:11" x14ac:dyDescent="0.25">
      <c r="K1204" s="372"/>
    </row>
    <row r="1205" spans="11:11" x14ac:dyDescent="0.25">
      <c r="K1205" s="372"/>
    </row>
    <row r="1206" spans="11:11" x14ac:dyDescent="0.25">
      <c r="K1206" s="372"/>
    </row>
    <row r="1207" spans="11:11" x14ac:dyDescent="0.25">
      <c r="K1207" s="372"/>
    </row>
    <row r="1208" spans="11:11" x14ac:dyDescent="0.25">
      <c r="K1208" s="372"/>
    </row>
    <row r="1209" spans="11:11" x14ac:dyDescent="0.25">
      <c r="K1209" s="372"/>
    </row>
    <row r="1210" spans="11:11" x14ac:dyDescent="0.25">
      <c r="K1210" s="372"/>
    </row>
    <row r="1211" spans="11:11" x14ac:dyDescent="0.25">
      <c r="K1211" s="372"/>
    </row>
    <row r="1212" spans="11:11" x14ac:dyDescent="0.25">
      <c r="K1212" s="372"/>
    </row>
    <row r="1213" spans="11:11" x14ac:dyDescent="0.25">
      <c r="K1213" s="372"/>
    </row>
    <row r="1214" spans="11:11" x14ac:dyDescent="0.25">
      <c r="K1214" s="372"/>
    </row>
    <row r="1215" spans="11:11" x14ac:dyDescent="0.25">
      <c r="K1215" s="372"/>
    </row>
    <row r="1216" spans="11:11" x14ac:dyDescent="0.25">
      <c r="K1216" s="372"/>
    </row>
    <row r="1217" spans="11:11" x14ac:dyDescent="0.25">
      <c r="K1217" s="372"/>
    </row>
    <row r="1218" spans="11:11" x14ac:dyDescent="0.25">
      <c r="K1218" s="372"/>
    </row>
    <row r="1219" spans="11:11" x14ac:dyDescent="0.25">
      <c r="K1219" s="372"/>
    </row>
    <row r="1220" spans="11:11" x14ac:dyDescent="0.25">
      <c r="K1220" s="372"/>
    </row>
    <row r="1221" spans="11:11" x14ac:dyDescent="0.25">
      <c r="K1221" s="372"/>
    </row>
    <row r="1222" spans="11:11" x14ac:dyDescent="0.25">
      <c r="K1222" s="372"/>
    </row>
    <row r="1223" spans="11:11" x14ac:dyDescent="0.25">
      <c r="K1223" s="372"/>
    </row>
    <row r="1224" spans="11:11" x14ac:dyDescent="0.25">
      <c r="K1224" s="372"/>
    </row>
    <row r="1225" spans="11:11" x14ac:dyDescent="0.25">
      <c r="K1225" s="372"/>
    </row>
    <row r="1226" spans="11:11" x14ac:dyDescent="0.25">
      <c r="K1226" s="372"/>
    </row>
    <row r="1227" spans="11:11" x14ac:dyDescent="0.25">
      <c r="K1227" s="372"/>
    </row>
    <row r="1228" spans="11:11" x14ac:dyDescent="0.25">
      <c r="K1228" s="372"/>
    </row>
    <row r="1229" spans="11:11" x14ac:dyDescent="0.25">
      <c r="K1229" s="372"/>
    </row>
    <row r="1230" spans="11:11" x14ac:dyDescent="0.25">
      <c r="K1230" s="372"/>
    </row>
    <row r="1231" spans="11:11" x14ac:dyDescent="0.25">
      <c r="K1231" s="372"/>
    </row>
    <row r="1232" spans="11:11" x14ac:dyDescent="0.25">
      <c r="K1232" s="372"/>
    </row>
    <row r="1233" spans="11:11" x14ac:dyDescent="0.25">
      <c r="K1233" s="372"/>
    </row>
    <row r="1234" spans="11:11" x14ac:dyDescent="0.25">
      <c r="K1234" s="372"/>
    </row>
    <row r="1235" spans="11:11" x14ac:dyDescent="0.25">
      <c r="K1235" s="372"/>
    </row>
    <row r="1236" spans="11:11" x14ac:dyDescent="0.25">
      <c r="K1236" s="372"/>
    </row>
    <row r="1237" spans="11:11" x14ac:dyDescent="0.25">
      <c r="K1237" s="372"/>
    </row>
    <row r="1238" spans="11:11" x14ac:dyDescent="0.25">
      <c r="K1238" s="372"/>
    </row>
    <row r="1239" spans="11:11" x14ac:dyDescent="0.25">
      <c r="K1239" s="372"/>
    </row>
    <row r="1240" spans="11:11" x14ac:dyDescent="0.25">
      <c r="K1240" s="372"/>
    </row>
    <row r="1241" spans="11:11" x14ac:dyDescent="0.25">
      <c r="K1241" s="372"/>
    </row>
    <row r="1242" spans="11:11" x14ac:dyDescent="0.25">
      <c r="K1242" s="372"/>
    </row>
    <row r="1243" spans="11:11" x14ac:dyDescent="0.25">
      <c r="K1243" s="372"/>
    </row>
    <row r="1244" spans="11:11" x14ac:dyDescent="0.25">
      <c r="K1244" s="372"/>
    </row>
    <row r="1245" spans="11:11" x14ac:dyDescent="0.25">
      <c r="K1245" s="372"/>
    </row>
    <row r="1246" spans="11:11" x14ac:dyDescent="0.25">
      <c r="K1246" s="372"/>
    </row>
    <row r="1247" spans="11:11" x14ac:dyDescent="0.25">
      <c r="K1247" s="372"/>
    </row>
    <row r="1248" spans="11:11" x14ac:dyDescent="0.25">
      <c r="K1248" s="372"/>
    </row>
    <row r="1249" spans="11:11" x14ac:dyDescent="0.25">
      <c r="K1249" s="372"/>
    </row>
    <row r="1250" spans="11:11" x14ac:dyDescent="0.25">
      <c r="K1250" s="372"/>
    </row>
    <row r="1251" spans="11:11" x14ac:dyDescent="0.25">
      <c r="K1251" s="372"/>
    </row>
    <row r="1252" spans="11:11" x14ac:dyDescent="0.25">
      <c r="K1252" s="372"/>
    </row>
    <row r="1253" spans="11:11" x14ac:dyDescent="0.25">
      <c r="K1253" s="372"/>
    </row>
    <row r="1254" spans="11:11" x14ac:dyDescent="0.25">
      <c r="K1254" s="372"/>
    </row>
    <row r="1255" spans="11:11" x14ac:dyDescent="0.25">
      <c r="K1255" s="372"/>
    </row>
    <row r="1256" spans="11:11" x14ac:dyDescent="0.25">
      <c r="K1256" s="372"/>
    </row>
    <row r="1257" spans="11:11" x14ac:dyDescent="0.25">
      <c r="K1257" s="372"/>
    </row>
    <row r="1258" spans="11:11" x14ac:dyDescent="0.25">
      <c r="K1258" s="372"/>
    </row>
    <row r="1259" spans="11:11" x14ac:dyDescent="0.25">
      <c r="K1259" s="372"/>
    </row>
    <row r="1260" spans="11:11" x14ac:dyDescent="0.25">
      <c r="K1260" s="372"/>
    </row>
    <row r="1261" spans="11:11" x14ac:dyDescent="0.25">
      <c r="K1261" s="372"/>
    </row>
    <row r="1262" spans="11:11" x14ac:dyDescent="0.25">
      <c r="K1262" s="372"/>
    </row>
    <row r="1263" spans="11:11" x14ac:dyDescent="0.25">
      <c r="K1263" s="372"/>
    </row>
    <row r="1264" spans="11:11" x14ac:dyDescent="0.25">
      <c r="K1264" s="372"/>
    </row>
    <row r="1265" spans="11:11" x14ac:dyDescent="0.25">
      <c r="K1265" s="372"/>
    </row>
    <row r="1266" spans="11:11" x14ac:dyDescent="0.25">
      <c r="K1266" s="372"/>
    </row>
    <row r="1267" spans="11:11" x14ac:dyDescent="0.25">
      <c r="K1267" s="372"/>
    </row>
    <row r="1268" spans="11:11" x14ac:dyDescent="0.25">
      <c r="K1268" s="372"/>
    </row>
    <row r="1269" spans="11:11" x14ac:dyDescent="0.25">
      <c r="K1269" s="372"/>
    </row>
    <row r="1270" spans="11:11" x14ac:dyDescent="0.25">
      <c r="K1270" s="372"/>
    </row>
    <row r="1271" spans="11:11" x14ac:dyDescent="0.25">
      <c r="K1271" s="372"/>
    </row>
    <row r="1272" spans="11:11" x14ac:dyDescent="0.25">
      <c r="K1272" s="372"/>
    </row>
    <row r="1273" spans="11:11" x14ac:dyDescent="0.25">
      <c r="K1273" s="372"/>
    </row>
    <row r="1274" spans="11:11" x14ac:dyDescent="0.25">
      <c r="K1274" s="372"/>
    </row>
    <row r="1275" spans="11:11" x14ac:dyDescent="0.25">
      <c r="K1275" s="372"/>
    </row>
    <row r="1276" spans="11:11" x14ac:dyDescent="0.25">
      <c r="K1276" s="372"/>
    </row>
    <row r="1277" spans="11:11" x14ac:dyDescent="0.25">
      <c r="K1277" s="372"/>
    </row>
    <row r="1278" spans="11:11" x14ac:dyDescent="0.25">
      <c r="K1278" s="372"/>
    </row>
    <row r="1279" spans="11:11" x14ac:dyDescent="0.25">
      <c r="K1279" s="372"/>
    </row>
    <row r="1280" spans="11:11" x14ac:dyDescent="0.25">
      <c r="K1280" s="372"/>
    </row>
    <row r="1281" spans="11:11" x14ac:dyDescent="0.25">
      <c r="K1281" s="372"/>
    </row>
    <row r="1282" spans="11:11" x14ac:dyDescent="0.25">
      <c r="K1282" s="372"/>
    </row>
    <row r="1283" spans="11:11" x14ac:dyDescent="0.25">
      <c r="K1283" s="372"/>
    </row>
    <row r="1284" spans="11:11" x14ac:dyDescent="0.25">
      <c r="K1284" s="372"/>
    </row>
    <row r="1285" spans="11:11" x14ac:dyDescent="0.25">
      <c r="K1285" s="372"/>
    </row>
    <row r="1286" spans="11:11" x14ac:dyDescent="0.25">
      <c r="K1286" s="372"/>
    </row>
    <row r="1287" spans="11:11" x14ac:dyDescent="0.25">
      <c r="K1287" s="372"/>
    </row>
    <row r="1288" spans="11:11" x14ac:dyDescent="0.25">
      <c r="K1288" s="372"/>
    </row>
    <row r="1289" spans="11:11" x14ac:dyDescent="0.25">
      <c r="K1289" s="372"/>
    </row>
    <row r="1290" spans="11:11" x14ac:dyDescent="0.25">
      <c r="K1290" s="372"/>
    </row>
    <row r="1291" spans="11:11" x14ac:dyDescent="0.25">
      <c r="K1291" s="372"/>
    </row>
    <row r="1292" spans="11:11" x14ac:dyDescent="0.25">
      <c r="K1292" s="372"/>
    </row>
    <row r="1293" spans="11:11" x14ac:dyDescent="0.25">
      <c r="K1293" s="372"/>
    </row>
    <row r="1294" spans="11:11" x14ac:dyDescent="0.25">
      <c r="K1294" s="372"/>
    </row>
    <row r="1295" spans="11:11" x14ac:dyDescent="0.25">
      <c r="K1295" s="372"/>
    </row>
    <row r="1296" spans="11:11" x14ac:dyDescent="0.25">
      <c r="K1296" s="372"/>
    </row>
    <row r="1297" spans="11:11" x14ac:dyDescent="0.25">
      <c r="K1297" s="372"/>
    </row>
    <row r="1298" spans="11:11" x14ac:dyDescent="0.25">
      <c r="K1298" s="372"/>
    </row>
    <row r="1299" spans="11:11" x14ac:dyDescent="0.25">
      <c r="K1299" s="372"/>
    </row>
    <row r="1300" spans="11:11" x14ac:dyDescent="0.25">
      <c r="K1300" s="372"/>
    </row>
    <row r="1301" spans="11:11" x14ac:dyDescent="0.25">
      <c r="K1301" s="372"/>
    </row>
    <row r="1302" spans="11:11" x14ac:dyDescent="0.25">
      <c r="K1302" s="372"/>
    </row>
    <row r="1303" spans="11:11" x14ac:dyDescent="0.25">
      <c r="K1303" s="372"/>
    </row>
    <row r="1304" spans="11:11" x14ac:dyDescent="0.25">
      <c r="K1304" s="372"/>
    </row>
    <row r="1305" spans="11:11" x14ac:dyDescent="0.25">
      <c r="K1305" s="372"/>
    </row>
    <row r="1306" spans="11:11" x14ac:dyDescent="0.25">
      <c r="K1306" s="372"/>
    </row>
    <row r="1307" spans="11:11" x14ac:dyDescent="0.25">
      <c r="K1307" s="372"/>
    </row>
    <row r="1308" spans="11:11" x14ac:dyDescent="0.25">
      <c r="K1308" s="372"/>
    </row>
    <row r="1309" spans="11:11" x14ac:dyDescent="0.25">
      <c r="K1309" s="372"/>
    </row>
    <row r="1310" spans="11:11" x14ac:dyDescent="0.25">
      <c r="K1310" s="372"/>
    </row>
    <row r="1311" spans="11:11" x14ac:dyDescent="0.25">
      <c r="K1311" s="372"/>
    </row>
    <row r="1312" spans="11:11" x14ac:dyDescent="0.25">
      <c r="K1312" s="372"/>
    </row>
    <row r="1313" spans="11:11" x14ac:dyDescent="0.25">
      <c r="K1313" s="372"/>
    </row>
    <row r="1314" spans="11:11" x14ac:dyDescent="0.25">
      <c r="K1314" s="372"/>
    </row>
    <row r="1315" spans="11:11" x14ac:dyDescent="0.25">
      <c r="K1315" s="372"/>
    </row>
    <row r="1316" spans="11:11" x14ac:dyDescent="0.25">
      <c r="K1316" s="372"/>
    </row>
    <row r="1317" spans="11:11" x14ac:dyDescent="0.25">
      <c r="K1317" s="372"/>
    </row>
    <row r="1318" spans="11:11" x14ac:dyDescent="0.25">
      <c r="K1318" s="372"/>
    </row>
    <row r="1319" spans="11:11" x14ac:dyDescent="0.25">
      <c r="K1319" s="372"/>
    </row>
    <row r="1320" spans="11:11" x14ac:dyDescent="0.25">
      <c r="K1320" s="372"/>
    </row>
    <row r="1321" spans="11:11" x14ac:dyDescent="0.25">
      <c r="K1321" s="372"/>
    </row>
    <row r="1322" spans="11:11" x14ac:dyDescent="0.25">
      <c r="K1322" s="372"/>
    </row>
    <row r="1323" spans="11:11" x14ac:dyDescent="0.25">
      <c r="K1323" s="372"/>
    </row>
    <row r="1324" spans="11:11" x14ac:dyDescent="0.25">
      <c r="K1324" s="372"/>
    </row>
    <row r="1325" spans="11:11" x14ac:dyDescent="0.25">
      <c r="K1325" s="372"/>
    </row>
    <row r="1326" spans="11:11" x14ac:dyDescent="0.25">
      <c r="K1326" s="372"/>
    </row>
    <row r="1327" spans="11:11" x14ac:dyDescent="0.25">
      <c r="K1327" s="372"/>
    </row>
    <row r="1328" spans="11:11" x14ac:dyDescent="0.25">
      <c r="K1328" s="372"/>
    </row>
    <row r="1329" spans="11:11" x14ac:dyDescent="0.25">
      <c r="K1329" s="372"/>
    </row>
    <row r="1330" spans="11:11" x14ac:dyDescent="0.25">
      <c r="K1330" s="372"/>
    </row>
    <row r="1331" spans="11:11" x14ac:dyDescent="0.25">
      <c r="K1331" s="372"/>
    </row>
    <row r="1332" spans="11:11" x14ac:dyDescent="0.25">
      <c r="K1332" s="372"/>
    </row>
    <row r="1333" spans="11:11" x14ac:dyDescent="0.25">
      <c r="K1333" s="372"/>
    </row>
    <row r="1334" spans="11:11" x14ac:dyDescent="0.25">
      <c r="K1334" s="372"/>
    </row>
    <row r="1335" spans="11:11" x14ac:dyDescent="0.25">
      <c r="K1335" s="372"/>
    </row>
    <row r="1336" spans="11:11" x14ac:dyDescent="0.25">
      <c r="K1336" s="372"/>
    </row>
    <row r="1337" spans="11:11" x14ac:dyDescent="0.25">
      <c r="K1337" s="372"/>
    </row>
    <row r="1338" spans="11:11" x14ac:dyDescent="0.25">
      <c r="K1338" s="372"/>
    </row>
    <row r="1339" spans="11:11" x14ac:dyDescent="0.25">
      <c r="K1339" s="372"/>
    </row>
    <row r="1340" spans="11:11" x14ac:dyDescent="0.25">
      <c r="K1340" s="372"/>
    </row>
    <row r="1341" spans="11:11" x14ac:dyDescent="0.25">
      <c r="K1341" s="372"/>
    </row>
    <row r="1342" spans="11:11" x14ac:dyDescent="0.25">
      <c r="K1342" s="372"/>
    </row>
    <row r="1343" spans="11:11" x14ac:dyDescent="0.25">
      <c r="K1343" s="372"/>
    </row>
    <row r="1344" spans="11:11" x14ac:dyDescent="0.25">
      <c r="K1344" s="372"/>
    </row>
    <row r="1345" spans="11:11" x14ac:dyDescent="0.25">
      <c r="K1345" s="372"/>
    </row>
    <row r="1346" spans="11:11" x14ac:dyDescent="0.25">
      <c r="K1346" s="372"/>
    </row>
    <row r="1347" spans="11:11" x14ac:dyDescent="0.25">
      <c r="K1347" s="372"/>
    </row>
    <row r="1348" spans="11:11" x14ac:dyDescent="0.25">
      <c r="K1348" s="372"/>
    </row>
    <row r="1349" spans="11:11" x14ac:dyDescent="0.25">
      <c r="K1349" s="372"/>
    </row>
    <row r="1350" spans="11:11" x14ac:dyDescent="0.25">
      <c r="K1350" s="372"/>
    </row>
    <row r="1351" spans="11:11" x14ac:dyDescent="0.25">
      <c r="K1351" s="372"/>
    </row>
    <row r="1352" spans="11:11" x14ac:dyDescent="0.25">
      <c r="K1352" s="372"/>
    </row>
    <row r="1353" spans="11:11" x14ac:dyDescent="0.25">
      <c r="K1353" s="372"/>
    </row>
    <row r="1354" spans="11:11" x14ac:dyDescent="0.25">
      <c r="K1354" s="372"/>
    </row>
    <row r="1355" spans="11:11" x14ac:dyDescent="0.25">
      <c r="K1355" s="372"/>
    </row>
    <row r="1356" spans="11:11" x14ac:dyDescent="0.25">
      <c r="K1356" s="372"/>
    </row>
    <row r="1357" spans="11:11" x14ac:dyDescent="0.25">
      <c r="K1357" s="372"/>
    </row>
    <row r="1358" spans="11:11" x14ac:dyDescent="0.25">
      <c r="K1358" s="372"/>
    </row>
    <row r="1359" spans="11:11" x14ac:dyDescent="0.25">
      <c r="K1359" s="372"/>
    </row>
    <row r="1360" spans="11:11" x14ac:dyDescent="0.25">
      <c r="K1360" s="372"/>
    </row>
    <row r="1361" spans="11:11" x14ac:dyDescent="0.25">
      <c r="K1361" s="372"/>
    </row>
    <row r="1362" spans="11:11" x14ac:dyDescent="0.25">
      <c r="K1362" s="372"/>
    </row>
    <row r="1363" spans="11:11" x14ac:dyDescent="0.25">
      <c r="K1363" s="372"/>
    </row>
    <row r="1364" spans="11:11" x14ac:dyDescent="0.25">
      <c r="K1364" s="372"/>
    </row>
    <row r="1365" spans="11:11" x14ac:dyDescent="0.25">
      <c r="K1365" s="372"/>
    </row>
    <row r="1366" spans="11:11" x14ac:dyDescent="0.25">
      <c r="K1366" s="372"/>
    </row>
    <row r="1367" spans="11:11" x14ac:dyDescent="0.25">
      <c r="K1367" s="372"/>
    </row>
    <row r="1368" spans="11:11" x14ac:dyDescent="0.25">
      <c r="K1368" s="372"/>
    </row>
    <row r="1369" spans="11:11" x14ac:dyDescent="0.25">
      <c r="K1369" s="372"/>
    </row>
    <row r="1370" spans="11:11" x14ac:dyDescent="0.25">
      <c r="K1370" s="372"/>
    </row>
    <row r="1371" spans="11:11" x14ac:dyDescent="0.25">
      <c r="K1371" s="372"/>
    </row>
    <row r="1372" spans="11:11" x14ac:dyDescent="0.25">
      <c r="K1372" s="372"/>
    </row>
    <row r="1373" spans="11:11" x14ac:dyDescent="0.25">
      <c r="K1373" s="372"/>
    </row>
    <row r="1374" spans="11:11" x14ac:dyDescent="0.25">
      <c r="K1374" s="372"/>
    </row>
    <row r="1375" spans="11:11" x14ac:dyDescent="0.25">
      <c r="K1375" s="372"/>
    </row>
    <row r="1376" spans="11:11" x14ac:dyDescent="0.25">
      <c r="K1376" s="372"/>
    </row>
    <row r="1377" spans="11:11" x14ac:dyDescent="0.25">
      <c r="K1377" s="372"/>
    </row>
    <row r="1378" spans="11:11" x14ac:dyDescent="0.25">
      <c r="K1378" s="372"/>
    </row>
    <row r="1379" spans="11:11" x14ac:dyDescent="0.25">
      <c r="K1379" s="372"/>
    </row>
    <row r="1380" spans="11:11" x14ac:dyDescent="0.25">
      <c r="K1380" s="372"/>
    </row>
    <row r="1381" spans="11:11" x14ac:dyDescent="0.25">
      <c r="K1381" s="372"/>
    </row>
    <row r="1382" spans="11:11" x14ac:dyDescent="0.25">
      <c r="K1382" s="372"/>
    </row>
    <row r="1383" spans="11:11" x14ac:dyDescent="0.25">
      <c r="K1383" s="372"/>
    </row>
    <row r="1384" spans="11:11" x14ac:dyDescent="0.25">
      <c r="K1384" s="372"/>
    </row>
    <row r="1385" spans="11:11" x14ac:dyDescent="0.25">
      <c r="K1385" s="372"/>
    </row>
    <row r="1386" spans="11:11" x14ac:dyDescent="0.25">
      <c r="K1386" s="372"/>
    </row>
    <row r="1387" spans="11:11" x14ac:dyDescent="0.25">
      <c r="K1387" s="372"/>
    </row>
    <row r="1388" spans="11:11" x14ac:dyDescent="0.25">
      <c r="K1388" s="372"/>
    </row>
    <row r="1389" spans="11:11" x14ac:dyDescent="0.25">
      <c r="K1389" s="372"/>
    </row>
    <row r="1390" spans="11:11" x14ac:dyDescent="0.25">
      <c r="K1390" s="372"/>
    </row>
    <row r="1391" spans="11:11" x14ac:dyDescent="0.25">
      <c r="K1391" s="372"/>
    </row>
    <row r="1392" spans="11:11" x14ac:dyDescent="0.25">
      <c r="K1392" s="372"/>
    </row>
    <row r="1393" spans="11:11" x14ac:dyDescent="0.25">
      <c r="K1393" s="372"/>
    </row>
    <row r="1394" spans="11:11" x14ac:dyDescent="0.25">
      <c r="K1394" s="372"/>
    </row>
    <row r="1395" spans="11:11" x14ac:dyDescent="0.25">
      <c r="K1395" s="372"/>
    </row>
    <row r="1396" spans="11:11" x14ac:dyDescent="0.25">
      <c r="K1396" s="372"/>
    </row>
    <row r="1397" spans="11:11" x14ac:dyDescent="0.25">
      <c r="K1397" s="372"/>
    </row>
    <row r="1398" spans="11:11" x14ac:dyDescent="0.25">
      <c r="K1398" s="372"/>
    </row>
    <row r="1399" spans="11:11" x14ac:dyDescent="0.25">
      <c r="K1399" s="372"/>
    </row>
    <row r="1400" spans="11:11" x14ac:dyDescent="0.25">
      <c r="K1400" s="372"/>
    </row>
    <row r="1401" spans="11:11" x14ac:dyDescent="0.25">
      <c r="K1401" s="372"/>
    </row>
    <row r="1402" spans="11:11" x14ac:dyDescent="0.25">
      <c r="K1402" s="372"/>
    </row>
    <row r="1403" spans="11:11" x14ac:dyDescent="0.25">
      <c r="K1403" s="372"/>
    </row>
    <row r="1404" spans="11:11" x14ac:dyDescent="0.25">
      <c r="K1404" s="372"/>
    </row>
    <row r="1405" spans="11:11" x14ac:dyDescent="0.25">
      <c r="K1405" s="372"/>
    </row>
    <row r="1406" spans="11:11" x14ac:dyDescent="0.25">
      <c r="K1406" s="372"/>
    </row>
    <row r="1407" spans="11:11" x14ac:dyDescent="0.25">
      <c r="K1407" s="372"/>
    </row>
    <row r="1408" spans="11:11" x14ac:dyDescent="0.25">
      <c r="K1408" s="372"/>
    </row>
    <row r="1409" spans="11:11" x14ac:dyDescent="0.25">
      <c r="K1409" s="372"/>
    </row>
    <row r="1410" spans="11:11" x14ac:dyDescent="0.25">
      <c r="K1410" s="372"/>
    </row>
    <row r="1411" spans="11:11" x14ac:dyDescent="0.25">
      <c r="K1411" s="372"/>
    </row>
    <row r="1412" spans="11:11" x14ac:dyDescent="0.25">
      <c r="K1412" s="372"/>
    </row>
    <row r="1413" spans="11:11" x14ac:dyDescent="0.25">
      <c r="K1413" s="372"/>
    </row>
    <row r="1414" spans="11:11" x14ac:dyDescent="0.25">
      <c r="K1414" s="372"/>
    </row>
    <row r="1415" spans="11:11" x14ac:dyDescent="0.25">
      <c r="K1415" s="372"/>
    </row>
    <row r="1416" spans="11:11" x14ac:dyDescent="0.25">
      <c r="K1416" s="372"/>
    </row>
    <row r="1417" spans="11:11" x14ac:dyDescent="0.25">
      <c r="K1417" s="372"/>
    </row>
    <row r="1418" spans="11:11" x14ac:dyDescent="0.25">
      <c r="K1418" s="372"/>
    </row>
    <row r="1419" spans="11:11" x14ac:dyDescent="0.25">
      <c r="K1419" s="372"/>
    </row>
    <row r="1420" spans="11:11" x14ac:dyDescent="0.25">
      <c r="K1420" s="372"/>
    </row>
    <row r="1421" spans="11:11" x14ac:dyDescent="0.25">
      <c r="K1421" s="372"/>
    </row>
    <row r="1422" spans="11:11" x14ac:dyDescent="0.25">
      <c r="K1422" s="372"/>
    </row>
    <row r="1423" spans="11:11" x14ac:dyDescent="0.25">
      <c r="K1423" s="372"/>
    </row>
    <row r="1424" spans="11:11" x14ac:dyDescent="0.25">
      <c r="K1424" s="372"/>
    </row>
    <row r="1425" spans="11:11" x14ac:dyDescent="0.25">
      <c r="K1425" s="372"/>
    </row>
    <row r="1426" spans="11:11" x14ac:dyDescent="0.25">
      <c r="K1426" s="372"/>
    </row>
    <row r="1427" spans="11:11" x14ac:dyDescent="0.25">
      <c r="K1427" s="372"/>
    </row>
    <row r="1428" spans="11:11" x14ac:dyDescent="0.25">
      <c r="K1428" s="372"/>
    </row>
    <row r="1429" spans="11:11" x14ac:dyDescent="0.25">
      <c r="K1429" s="372"/>
    </row>
    <row r="1430" spans="11:11" x14ac:dyDescent="0.25">
      <c r="K1430" s="372"/>
    </row>
    <row r="1431" spans="11:11" x14ac:dyDescent="0.25">
      <c r="K1431" s="372"/>
    </row>
    <row r="1432" spans="11:11" x14ac:dyDescent="0.25">
      <c r="K1432" s="372"/>
    </row>
    <row r="1433" spans="11:11" x14ac:dyDescent="0.25">
      <c r="K1433" s="372"/>
    </row>
    <row r="1434" spans="11:11" x14ac:dyDescent="0.25">
      <c r="K1434" s="372"/>
    </row>
    <row r="1435" spans="11:11" x14ac:dyDescent="0.25">
      <c r="K1435" s="372"/>
    </row>
    <row r="1436" spans="11:11" x14ac:dyDescent="0.25">
      <c r="K1436" s="372"/>
    </row>
    <row r="1437" spans="11:11" x14ac:dyDescent="0.25">
      <c r="K1437" s="372"/>
    </row>
    <row r="1438" spans="11:11" x14ac:dyDescent="0.25">
      <c r="K1438" s="372"/>
    </row>
    <row r="1439" spans="11:11" x14ac:dyDescent="0.25">
      <c r="K1439" s="372"/>
    </row>
    <row r="1440" spans="11:11" x14ac:dyDescent="0.25">
      <c r="K1440" s="372"/>
    </row>
    <row r="1441" spans="11:11" x14ac:dyDescent="0.25">
      <c r="K1441" s="372"/>
    </row>
    <row r="1442" spans="11:11" x14ac:dyDescent="0.25">
      <c r="K1442" s="372"/>
    </row>
    <row r="1443" spans="11:11" x14ac:dyDescent="0.25">
      <c r="K1443" s="372"/>
    </row>
    <row r="1444" spans="11:11" x14ac:dyDescent="0.25">
      <c r="K1444" s="372"/>
    </row>
    <row r="1445" spans="11:11" x14ac:dyDescent="0.25">
      <c r="K1445" s="372"/>
    </row>
    <row r="1446" spans="11:11" x14ac:dyDescent="0.25">
      <c r="K1446" s="372"/>
    </row>
    <row r="1447" spans="11:11" x14ac:dyDescent="0.25">
      <c r="K1447" s="372"/>
    </row>
    <row r="1448" spans="11:11" x14ac:dyDescent="0.25">
      <c r="K1448" s="372"/>
    </row>
    <row r="1449" spans="11:11" x14ac:dyDescent="0.25">
      <c r="K1449" s="372"/>
    </row>
    <row r="1450" spans="11:11" x14ac:dyDescent="0.25">
      <c r="K1450" s="372"/>
    </row>
    <row r="1451" spans="11:11" x14ac:dyDescent="0.25">
      <c r="K1451" s="372"/>
    </row>
    <row r="1452" spans="11:11" x14ac:dyDescent="0.25">
      <c r="K1452" s="372"/>
    </row>
    <row r="1453" spans="11:11" x14ac:dyDescent="0.25">
      <c r="K1453" s="372"/>
    </row>
    <row r="1454" spans="11:11" x14ac:dyDescent="0.25">
      <c r="K1454" s="372"/>
    </row>
    <row r="1455" spans="11:11" x14ac:dyDescent="0.25">
      <c r="K1455" s="372"/>
    </row>
    <row r="1456" spans="11:11" x14ac:dyDescent="0.25">
      <c r="K1456" s="372"/>
    </row>
    <row r="1457" spans="11:11" x14ac:dyDescent="0.25">
      <c r="K1457" s="372"/>
    </row>
    <row r="1458" spans="11:11" x14ac:dyDescent="0.25">
      <c r="K1458" s="372"/>
    </row>
    <row r="1459" spans="11:11" x14ac:dyDescent="0.25">
      <c r="K1459" s="372"/>
    </row>
    <row r="1460" spans="11:11" x14ac:dyDescent="0.25">
      <c r="K1460" s="372"/>
    </row>
    <row r="1461" spans="11:11" x14ac:dyDescent="0.25">
      <c r="K1461" s="372"/>
    </row>
    <row r="1462" spans="11:11" x14ac:dyDescent="0.25">
      <c r="K1462" s="372"/>
    </row>
    <row r="1463" spans="11:11" x14ac:dyDescent="0.25">
      <c r="K1463" s="372"/>
    </row>
    <row r="1464" spans="11:11" x14ac:dyDescent="0.25">
      <c r="K1464" s="372"/>
    </row>
    <row r="1465" spans="11:11" x14ac:dyDescent="0.25">
      <c r="K1465" s="372"/>
    </row>
    <row r="1466" spans="11:11" x14ac:dyDescent="0.25">
      <c r="K1466" s="372"/>
    </row>
    <row r="1467" spans="11:11" x14ac:dyDescent="0.25">
      <c r="K1467" s="372"/>
    </row>
    <row r="1468" spans="11:11" x14ac:dyDescent="0.25">
      <c r="K1468" s="372"/>
    </row>
    <row r="1469" spans="11:11" x14ac:dyDescent="0.25">
      <c r="K1469" s="372"/>
    </row>
    <row r="1470" spans="11:11" x14ac:dyDescent="0.25">
      <c r="K1470" s="372"/>
    </row>
    <row r="1471" spans="11:11" x14ac:dyDescent="0.25">
      <c r="K1471" s="372"/>
    </row>
    <row r="1472" spans="11:11" x14ac:dyDescent="0.25">
      <c r="K1472" s="372"/>
    </row>
    <row r="1473" spans="11:11" x14ac:dyDescent="0.25">
      <c r="K1473" s="372"/>
    </row>
    <row r="1474" spans="11:11" x14ac:dyDescent="0.25">
      <c r="K1474" s="372"/>
    </row>
    <row r="1475" spans="11:11" x14ac:dyDescent="0.25">
      <c r="K1475" s="372"/>
    </row>
    <row r="1476" spans="11:11" x14ac:dyDescent="0.25">
      <c r="K1476" s="372"/>
    </row>
    <row r="1477" spans="11:11" x14ac:dyDescent="0.25">
      <c r="K1477" s="372"/>
    </row>
    <row r="1478" spans="11:11" x14ac:dyDescent="0.25">
      <c r="K1478" s="372"/>
    </row>
    <row r="1479" spans="11:11" x14ac:dyDescent="0.25">
      <c r="K1479" s="372"/>
    </row>
    <row r="1480" spans="11:11" x14ac:dyDescent="0.25">
      <c r="K1480" s="372"/>
    </row>
    <row r="1481" spans="11:11" x14ac:dyDescent="0.25">
      <c r="K1481" s="372"/>
    </row>
    <row r="1482" spans="11:11" x14ac:dyDescent="0.25">
      <c r="K1482" s="372"/>
    </row>
    <row r="1483" spans="11:11" x14ac:dyDescent="0.25">
      <c r="K1483" s="372"/>
    </row>
    <row r="1484" spans="11:11" x14ac:dyDescent="0.25">
      <c r="K1484" s="372"/>
    </row>
    <row r="1485" spans="11:11" x14ac:dyDescent="0.25">
      <c r="K1485" s="372"/>
    </row>
    <row r="1486" spans="11:11" x14ac:dyDescent="0.25">
      <c r="K1486" s="372"/>
    </row>
    <row r="1487" spans="11:11" x14ac:dyDescent="0.25">
      <c r="K1487" s="372"/>
    </row>
    <row r="1488" spans="11:11" x14ac:dyDescent="0.25">
      <c r="K1488" s="372"/>
    </row>
    <row r="1489" spans="11:11" x14ac:dyDescent="0.25">
      <c r="K1489" s="372"/>
    </row>
    <row r="1490" spans="11:11" x14ac:dyDescent="0.25">
      <c r="K1490" s="372"/>
    </row>
    <row r="1491" spans="11:11" x14ac:dyDescent="0.25">
      <c r="K1491" s="372"/>
    </row>
    <row r="1492" spans="11:11" x14ac:dyDescent="0.25">
      <c r="K1492" s="372"/>
    </row>
    <row r="1493" spans="11:11" x14ac:dyDescent="0.25">
      <c r="K1493" s="372"/>
    </row>
    <row r="1494" spans="11:11" x14ac:dyDescent="0.25">
      <c r="K1494" s="372"/>
    </row>
    <row r="1495" spans="11:11" x14ac:dyDescent="0.25">
      <c r="K1495" s="372"/>
    </row>
    <row r="1496" spans="11:11" x14ac:dyDescent="0.25">
      <c r="K1496" s="372"/>
    </row>
    <row r="1497" spans="11:11" x14ac:dyDescent="0.25">
      <c r="K1497" s="372"/>
    </row>
    <row r="1498" spans="11:11" x14ac:dyDescent="0.25">
      <c r="K1498" s="372"/>
    </row>
    <row r="1499" spans="11:11" x14ac:dyDescent="0.25">
      <c r="K1499" s="372"/>
    </row>
    <row r="1500" spans="11:11" x14ac:dyDescent="0.25">
      <c r="K1500" s="372"/>
    </row>
    <row r="1501" spans="11:11" x14ac:dyDescent="0.25">
      <c r="K1501" s="372"/>
    </row>
    <row r="1502" spans="11:11" x14ac:dyDescent="0.25">
      <c r="K1502" s="372"/>
    </row>
    <row r="1503" spans="11:11" x14ac:dyDescent="0.25">
      <c r="K1503" s="372"/>
    </row>
    <row r="1504" spans="11:11" x14ac:dyDescent="0.25">
      <c r="K1504" s="372"/>
    </row>
    <row r="1505" spans="11:11" x14ac:dyDescent="0.25">
      <c r="K1505" s="372"/>
    </row>
    <row r="1506" spans="11:11" x14ac:dyDescent="0.25">
      <c r="K1506" s="372"/>
    </row>
    <row r="1507" spans="11:11" x14ac:dyDescent="0.25">
      <c r="K1507" s="372"/>
    </row>
    <row r="1508" spans="11:11" x14ac:dyDescent="0.25">
      <c r="K1508" s="372"/>
    </row>
    <row r="1509" spans="11:11" x14ac:dyDescent="0.25">
      <c r="K1509" s="372"/>
    </row>
    <row r="1510" spans="11:11" x14ac:dyDescent="0.25">
      <c r="K1510" s="372"/>
    </row>
    <row r="1511" spans="11:11" x14ac:dyDescent="0.25">
      <c r="K1511" s="372"/>
    </row>
    <row r="1512" spans="11:11" x14ac:dyDescent="0.25">
      <c r="K1512" s="372"/>
    </row>
    <row r="1513" spans="11:11" x14ac:dyDescent="0.25">
      <c r="K1513" s="372"/>
    </row>
    <row r="1514" spans="11:11" x14ac:dyDescent="0.25">
      <c r="K1514" s="372"/>
    </row>
    <row r="1515" spans="11:11" x14ac:dyDescent="0.25">
      <c r="K1515" s="372"/>
    </row>
    <row r="1516" spans="11:11" x14ac:dyDescent="0.25">
      <c r="K1516" s="372"/>
    </row>
    <row r="1517" spans="11:11" x14ac:dyDescent="0.25">
      <c r="K1517" s="372"/>
    </row>
    <row r="1518" spans="11:11" x14ac:dyDescent="0.25">
      <c r="K1518" s="372"/>
    </row>
    <row r="1519" spans="11:11" x14ac:dyDescent="0.25">
      <c r="K1519" s="372"/>
    </row>
    <row r="1520" spans="11:11" x14ac:dyDescent="0.25">
      <c r="K1520" s="372"/>
    </row>
    <row r="1521" spans="11:11" x14ac:dyDescent="0.25">
      <c r="K1521" s="372"/>
    </row>
    <row r="1522" spans="11:11" x14ac:dyDescent="0.25">
      <c r="K1522" s="372"/>
    </row>
    <row r="1523" spans="11:11" x14ac:dyDescent="0.25">
      <c r="K1523" s="372"/>
    </row>
    <row r="1524" spans="11:11" x14ac:dyDescent="0.25">
      <c r="K1524" s="372"/>
    </row>
    <row r="1525" spans="11:11" x14ac:dyDescent="0.25">
      <c r="K1525" s="372"/>
    </row>
    <row r="1526" spans="11:11" x14ac:dyDescent="0.25">
      <c r="K1526" s="372"/>
    </row>
    <row r="1527" spans="11:11" x14ac:dyDescent="0.25">
      <c r="K1527" s="372"/>
    </row>
    <row r="1528" spans="11:11" x14ac:dyDescent="0.25">
      <c r="K1528" s="372"/>
    </row>
    <row r="1529" spans="11:11" x14ac:dyDescent="0.25">
      <c r="K1529" s="372"/>
    </row>
    <row r="1530" spans="11:11" x14ac:dyDescent="0.25">
      <c r="K1530" s="372"/>
    </row>
    <row r="1531" spans="11:11" x14ac:dyDescent="0.25">
      <c r="K1531" s="372"/>
    </row>
    <row r="1532" spans="11:11" x14ac:dyDescent="0.25">
      <c r="K1532" s="372"/>
    </row>
    <row r="1533" spans="11:11" x14ac:dyDescent="0.25">
      <c r="K1533" s="372"/>
    </row>
    <row r="1534" spans="11:11" x14ac:dyDescent="0.25">
      <c r="K1534" s="372"/>
    </row>
    <row r="1535" spans="11:11" x14ac:dyDescent="0.25">
      <c r="K1535" s="372"/>
    </row>
    <row r="1536" spans="11:11" x14ac:dyDescent="0.25">
      <c r="K1536" s="372"/>
    </row>
    <row r="1537" spans="11:11" x14ac:dyDescent="0.25">
      <c r="K1537" s="372"/>
    </row>
    <row r="1538" spans="11:11" x14ac:dyDescent="0.25">
      <c r="K1538" s="372"/>
    </row>
    <row r="1539" spans="11:11" x14ac:dyDescent="0.25">
      <c r="K1539" s="372"/>
    </row>
    <row r="1540" spans="11:11" x14ac:dyDescent="0.25">
      <c r="K1540" s="372"/>
    </row>
    <row r="1541" spans="11:11" x14ac:dyDescent="0.25">
      <c r="K1541" s="372"/>
    </row>
    <row r="1542" spans="11:11" x14ac:dyDescent="0.25">
      <c r="K1542" s="372"/>
    </row>
    <row r="1543" spans="11:11" x14ac:dyDescent="0.25">
      <c r="K1543" s="372"/>
    </row>
    <row r="1544" spans="11:11" x14ac:dyDescent="0.25">
      <c r="K1544" s="372"/>
    </row>
    <row r="1545" spans="11:11" x14ac:dyDescent="0.25">
      <c r="K1545" s="372"/>
    </row>
    <row r="1546" spans="11:11" x14ac:dyDescent="0.25">
      <c r="K1546" s="372"/>
    </row>
    <row r="1547" spans="11:11" x14ac:dyDescent="0.25">
      <c r="K1547" s="372"/>
    </row>
    <row r="1548" spans="11:11" x14ac:dyDescent="0.25">
      <c r="K1548" s="372"/>
    </row>
    <row r="1549" spans="11:11" x14ac:dyDescent="0.25">
      <c r="K1549" s="372"/>
    </row>
    <row r="1550" spans="11:11" x14ac:dyDescent="0.25">
      <c r="K1550" s="372"/>
    </row>
    <row r="1551" spans="11:11" x14ac:dyDescent="0.25">
      <c r="K1551" s="372"/>
    </row>
    <row r="1552" spans="11:11" x14ac:dyDescent="0.25">
      <c r="K1552" s="372"/>
    </row>
    <row r="1553" spans="11:11" x14ac:dyDescent="0.25">
      <c r="K1553" s="372"/>
    </row>
    <row r="1554" spans="11:11" x14ac:dyDescent="0.25">
      <c r="K1554" s="372"/>
    </row>
    <row r="1555" spans="11:11" x14ac:dyDescent="0.25">
      <c r="K1555" s="372"/>
    </row>
    <row r="1556" spans="11:11" x14ac:dyDescent="0.25">
      <c r="K1556" s="372"/>
    </row>
    <row r="1557" spans="11:11" x14ac:dyDescent="0.25">
      <c r="K1557" s="372"/>
    </row>
    <row r="1558" spans="11:11" x14ac:dyDescent="0.25">
      <c r="K1558" s="372"/>
    </row>
    <row r="1559" spans="11:11" x14ac:dyDescent="0.25">
      <c r="K1559" s="372"/>
    </row>
    <row r="1560" spans="11:11" x14ac:dyDescent="0.25">
      <c r="K1560" s="372"/>
    </row>
    <row r="1561" spans="11:11" x14ac:dyDescent="0.25">
      <c r="K1561" s="372"/>
    </row>
    <row r="1562" spans="11:11" x14ac:dyDescent="0.25">
      <c r="K1562" s="372"/>
    </row>
    <row r="1563" spans="11:11" x14ac:dyDescent="0.25">
      <c r="K1563" s="372"/>
    </row>
    <row r="1564" spans="11:11" x14ac:dyDescent="0.25">
      <c r="K1564" s="372"/>
    </row>
    <row r="1565" spans="11:11" x14ac:dyDescent="0.25">
      <c r="K1565" s="372"/>
    </row>
    <row r="1566" spans="11:11" x14ac:dyDescent="0.25">
      <c r="K1566" s="372"/>
    </row>
    <row r="1567" spans="11:11" x14ac:dyDescent="0.25">
      <c r="K1567" s="372"/>
    </row>
    <row r="1568" spans="11:11" x14ac:dyDescent="0.25">
      <c r="K1568" s="372"/>
    </row>
    <row r="1569" spans="11:11" x14ac:dyDescent="0.25">
      <c r="K1569" s="372"/>
    </row>
    <row r="1570" spans="11:11" x14ac:dyDescent="0.25">
      <c r="K1570" s="372"/>
    </row>
    <row r="1571" spans="11:11" x14ac:dyDescent="0.25">
      <c r="K1571" s="372"/>
    </row>
    <row r="1572" spans="11:11" x14ac:dyDescent="0.25">
      <c r="K1572" s="372"/>
    </row>
    <row r="1573" spans="11:11" x14ac:dyDescent="0.25">
      <c r="K1573" s="372"/>
    </row>
    <row r="1574" spans="11:11" x14ac:dyDescent="0.25">
      <c r="K1574" s="372"/>
    </row>
    <row r="1575" spans="11:11" x14ac:dyDescent="0.25">
      <c r="K1575" s="372"/>
    </row>
    <row r="1576" spans="11:11" x14ac:dyDescent="0.25">
      <c r="K1576" s="372"/>
    </row>
    <row r="1577" spans="11:11" x14ac:dyDescent="0.25">
      <c r="K1577" s="372"/>
    </row>
    <row r="1578" spans="11:11" x14ac:dyDescent="0.25">
      <c r="K1578" s="372"/>
    </row>
    <row r="1579" spans="11:11" x14ac:dyDescent="0.25">
      <c r="K1579" s="372"/>
    </row>
    <row r="1580" spans="11:11" x14ac:dyDescent="0.25">
      <c r="K1580" s="372"/>
    </row>
    <row r="1581" spans="11:11" x14ac:dyDescent="0.25">
      <c r="K1581" s="372"/>
    </row>
    <row r="1582" spans="11:11" x14ac:dyDescent="0.25">
      <c r="K1582" s="372"/>
    </row>
    <row r="1583" spans="11:11" x14ac:dyDescent="0.25">
      <c r="K1583" s="372"/>
    </row>
    <row r="1584" spans="11:11" x14ac:dyDescent="0.25">
      <c r="K1584" s="372"/>
    </row>
    <row r="1585" spans="11:11" x14ac:dyDescent="0.25">
      <c r="K1585" s="372"/>
    </row>
    <row r="1586" spans="11:11" x14ac:dyDescent="0.25">
      <c r="K1586" s="372"/>
    </row>
    <row r="1587" spans="11:11" x14ac:dyDescent="0.25">
      <c r="K1587" s="372"/>
    </row>
    <row r="1588" spans="11:11" x14ac:dyDescent="0.25">
      <c r="K1588" s="372"/>
    </row>
    <row r="1589" spans="11:11" x14ac:dyDescent="0.25">
      <c r="K1589" s="372"/>
    </row>
    <row r="1590" spans="11:11" x14ac:dyDescent="0.25">
      <c r="K1590" s="372"/>
    </row>
    <row r="1591" spans="11:11" x14ac:dyDescent="0.25">
      <c r="K1591" s="372"/>
    </row>
    <row r="1592" spans="11:11" x14ac:dyDescent="0.25">
      <c r="K1592" s="372"/>
    </row>
    <row r="1593" spans="11:11" x14ac:dyDescent="0.25">
      <c r="K1593" s="372"/>
    </row>
    <row r="1594" spans="11:11" x14ac:dyDescent="0.25">
      <c r="K1594" s="372"/>
    </row>
    <row r="1595" spans="11:11" x14ac:dyDescent="0.25">
      <c r="K1595" s="372"/>
    </row>
    <row r="1596" spans="11:11" x14ac:dyDescent="0.25">
      <c r="K1596" s="372"/>
    </row>
    <row r="1597" spans="11:11" x14ac:dyDescent="0.25">
      <c r="K1597" s="372"/>
    </row>
    <row r="1598" spans="11:11" x14ac:dyDescent="0.25">
      <c r="K1598" s="372"/>
    </row>
    <row r="1599" spans="11:11" x14ac:dyDescent="0.25">
      <c r="K1599" s="372"/>
    </row>
    <row r="1600" spans="11:11" x14ac:dyDescent="0.25">
      <c r="K1600" s="372"/>
    </row>
    <row r="1601" spans="11:11" x14ac:dyDescent="0.25">
      <c r="K1601" s="372"/>
    </row>
    <row r="1602" spans="11:11" x14ac:dyDescent="0.25">
      <c r="K1602" s="372"/>
    </row>
    <row r="1603" spans="11:11" x14ac:dyDescent="0.25">
      <c r="K1603" s="372"/>
    </row>
    <row r="1604" spans="11:11" x14ac:dyDescent="0.25">
      <c r="K1604" s="372"/>
    </row>
    <row r="1605" spans="11:11" x14ac:dyDescent="0.25">
      <c r="K1605" s="372"/>
    </row>
    <row r="1606" spans="11:11" x14ac:dyDescent="0.25">
      <c r="K1606" s="372"/>
    </row>
    <row r="1607" spans="11:11" x14ac:dyDescent="0.25">
      <c r="K1607" s="372"/>
    </row>
    <row r="1608" spans="11:11" x14ac:dyDescent="0.25">
      <c r="K1608" s="372"/>
    </row>
    <row r="1609" spans="11:11" x14ac:dyDescent="0.25">
      <c r="K1609" s="372"/>
    </row>
    <row r="1610" spans="11:11" x14ac:dyDescent="0.25">
      <c r="K1610" s="372"/>
    </row>
    <row r="1611" spans="11:11" x14ac:dyDescent="0.25">
      <c r="K1611" s="372"/>
    </row>
    <row r="1612" spans="11:11" x14ac:dyDescent="0.25">
      <c r="K1612" s="372"/>
    </row>
    <row r="1613" spans="11:11" x14ac:dyDescent="0.25">
      <c r="K1613" s="372"/>
    </row>
    <row r="1614" spans="11:11" x14ac:dyDescent="0.25">
      <c r="K1614" s="372"/>
    </row>
    <row r="1615" spans="11:11" x14ac:dyDescent="0.25">
      <c r="K1615" s="372"/>
    </row>
    <row r="1616" spans="11:11" x14ac:dyDescent="0.25">
      <c r="K1616" s="372"/>
    </row>
    <row r="1617" spans="11:11" x14ac:dyDescent="0.25">
      <c r="K1617" s="372"/>
    </row>
    <row r="1618" spans="11:11" x14ac:dyDescent="0.25">
      <c r="K1618" s="372"/>
    </row>
    <row r="1619" spans="11:11" x14ac:dyDescent="0.25">
      <c r="K1619" s="372"/>
    </row>
    <row r="1620" spans="11:11" x14ac:dyDescent="0.25">
      <c r="K1620" s="372"/>
    </row>
    <row r="1621" spans="11:11" x14ac:dyDescent="0.25">
      <c r="K1621" s="372"/>
    </row>
    <row r="1622" spans="11:11" x14ac:dyDescent="0.25">
      <c r="K1622" s="372"/>
    </row>
    <row r="1623" spans="11:11" x14ac:dyDescent="0.25">
      <c r="K1623" s="372"/>
    </row>
    <row r="1624" spans="11:11" x14ac:dyDescent="0.25">
      <c r="K1624" s="372"/>
    </row>
    <row r="1625" spans="11:11" x14ac:dyDescent="0.25">
      <c r="K1625" s="372"/>
    </row>
    <row r="1626" spans="11:11" x14ac:dyDescent="0.25">
      <c r="K1626" s="372"/>
    </row>
    <row r="1627" spans="11:11" x14ac:dyDescent="0.25">
      <c r="K1627" s="372"/>
    </row>
    <row r="1628" spans="11:11" x14ac:dyDescent="0.25">
      <c r="K1628" s="372"/>
    </row>
    <row r="1629" spans="11:11" x14ac:dyDescent="0.25">
      <c r="K1629" s="372"/>
    </row>
    <row r="1630" spans="11:11" x14ac:dyDescent="0.25">
      <c r="K1630" s="372"/>
    </row>
    <row r="1631" spans="11:11" x14ac:dyDescent="0.25">
      <c r="K1631" s="372"/>
    </row>
    <row r="1632" spans="11:11" x14ac:dyDescent="0.25">
      <c r="K1632" s="372"/>
    </row>
    <row r="1633" spans="11:11" x14ac:dyDescent="0.25">
      <c r="K1633" s="372"/>
    </row>
    <row r="1634" spans="11:11" x14ac:dyDescent="0.25">
      <c r="K1634" s="372"/>
    </row>
    <row r="1635" spans="11:11" x14ac:dyDescent="0.25">
      <c r="K1635" s="372"/>
    </row>
    <row r="1636" spans="11:11" x14ac:dyDescent="0.25">
      <c r="K1636" s="372"/>
    </row>
    <row r="1637" spans="11:11" x14ac:dyDescent="0.25">
      <c r="K1637" s="372"/>
    </row>
    <row r="1638" spans="11:11" x14ac:dyDescent="0.25">
      <c r="K1638" s="372"/>
    </row>
    <row r="1639" spans="11:11" x14ac:dyDescent="0.25">
      <c r="K1639" s="372"/>
    </row>
    <row r="1640" spans="11:11" x14ac:dyDescent="0.25">
      <c r="K1640" s="372"/>
    </row>
    <row r="1641" spans="11:11" x14ac:dyDescent="0.25">
      <c r="K1641" s="372"/>
    </row>
    <row r="1642" spans="11:11" x14ac:dyDescent="0.25">
      <c r="K1642" s="372"/>
    </row>
    <row r="1643" spans="11:11" x14ac:dyDescent="0.25">
      <c r="K1643" s="372"/>
    </row>
    <row r="1644" spans="11:11" x14ac:dyDescent="0.25">
      <c r="K1644" s="372"/>
    </row>
    <row r="1645" spans="11:11" x14ac:dyDescent="0.25">
      <c r="K1645" s="372"/>
    </row>
    <row r="1646" spans="11:11" x14ac:dyDescent="0.25">
      <c r="K1646" s="372"/>
    </row>
    <row r="1647" spans="11:11" x14ac:dyDescent="0.25">
      <c r="K1647" s="372"/>
    </row>
    <row r="1648" spans="11:11" x14ac:dyDescent="0.25">
      <c r="K1648" s="372"/>
    </row>
    <row r="1649" spans="11:11" x14ac:dyDescent="0.25">
      <c r="K1649" s="372"/>
    </row>
    <row r="1650" spans="11:11" x14ac:dyDescent="0.25">
      <c r="K1650" s="372"/>
    </row>
    <row r="1651" spans="11:11" x14ac:dyDescent="0.25">
      <c r="K1651" s="372"/>
    </row>
    <row r="1652" spans="11:11" x14ac:dyDescent="0.25">
      <c r="K1652" s="372"/>
    </row>
    <row r="1653" spans="11:11" x14ac:dyDescent="0.25">
      <c r="K1653" s="372"/>
    </row>
    <row r="1654" spans="11:11" x14ac:dyDescent="0.25">
      <c r="K1654" s="372"/>
    </row>
    <row r="1655" spans="11:11" x14ac:dyDescent="0.25">
      <c r="K1655" s="372"/>
    </row>
    <row r="1656" spans="11:11" x14ac:dyDescent="0.25">
      <c r="K1656" s="372"/>
    </row>
    <row r="1657" spans="11:11" x14ac:dyDescent="0.25">
      <c r="K1657" s="372"/>
    </row>
    <row r="1658" spans="11:11" x14ac:dyDescent="0.25">
      <c r="K1658" s="372"/>
    </row>
    <row r="1659" spans="11:11" x14ac:dyDescent="0.25">
      <c r="K1659" s="372"/>
    </row>
    <row r="1660" spans="11:11" x14ac:dyDescent="0.25">
      <c r="K1660" s="372"/>
    </row>
    <row r="1661" spans="11:11" x14ac:dyDescent="0.25">
      <c r="K1661" s="372"/>
    </row>
    <row r="1662" spans="11:11" x14ac:dyDescent="0.25">
      <c r="K1662" s="372"/>
    </row>
    <row r="1663" spans="11:11" x14ac:dyDescent="0.25">
      <c r="K1663" s="372"/>
    </row>
    <row r="1664" spans="11:11" x14ac:dyDescent="0.25">
      <c r="K1664" s="372"/>
    </row>
    <row r="1665" spans="11:11" x14ac:dyDescent="0.25">
      <c r="K1665" s="372"/>
    </row>
    <row r="1666" spans="11:11" x14ac:dyDescent="0.25">
      <c r="K1666" s="372"/>
    </row>
    <row r="1667" spans="11:11" x14ac:dyDescent="0.25">
      <c r="K1667" s="372"/>
    </row>
    <row r="1668" spans="11:11" x14ac:dyDescent="0.25">
      <c r="K1668" s="372"/>
    </row>
    <row r="1669" spans="11:11" x14ac:dyDescent="0.25">
      <c r="K1669" s="372"/>
    </row>
    <row r="1670" spans="11:11" x14ac:dyDescent="0.25">
      <c r="K1670" s="372"/>
    </row>
    <row r="1671" spans="11:11" x14ac:dyDescent="0.25">
      <c r="K1671" s="372"/>
    </row>
    <row r="1672" spans="11:11" x14ac:dyDescent="0.25">
      <c r="K1672" s="372"/>
    </row>
    <row r="1673" spans="11:11" x14ac:dyDescent="0.25">
      <c r="K1673" s="372"/>
    </row>
    <row r="1674" spans="11:11" x14ac:dyDescent="0.25">
      <c r="K1674" s="372"/>
    </row>
    <row r="1675" spans="11:11" x14ac:dyDescent="0.25">
      <c r="K1675" s="372"/>
    </row>
    <row r="1676" spans="11:11" x14ac:dyDescent="0.25">
      <c r="K1676" s="372"/>
    </row>
    <row r="1677" spans="11:11" x14ac:dyDescent="0.25">
      <c r="K1677" s="372"/>
    </row>
    <row r="1678" spans="11:11" x14ac:dyDescent="0.25">
      <c r="K1678" s="372"/>
    </row>
    <row r="1679" spans="11:11" x14ac:dyDescent="0.25">
      <c r="K1679" s="372"/>
    </row>
    <row r="1680" spans="11:11" x14ac:dyDescent="0.25">
      <c r="K1680" s="372"/>
    </row>
    <row r="1681" spans="11:11" x14ac:dyDescent="0.25">
      <c r="K1681" s="372"/>
    </row>
    <row r="1682" spans="11:11" x14ac:dyDescent="0.25">
      <c r="K1682" s="372"/>
    </row>
    <row r="1683" spans="11:11" x14ac:dyDescent="0.25">
      <c r="K1683" s="372"/>
    </row>
    <row r="1684" spans="11:11" x14ac:dyDescent="0.25">
      <c r="K1684" s="372"/>
    </row>
    <row r="1685" spans="11:11" x14ac:dyDescent="0.25">
      <c r="K1685" s="372"/>
    </row>
    <row r="1686" spans="11:11" x14ac:dyDescent="0.25">
      <c r="K1686" s="372"/>
    </row>
    <row r="1687" spans="11:11" x14ac:dyDescent="0.25">
      <c r="K1687" s="372"/>
    </row>
    <row r="1688" spans="11:11" x14ac:dyDescent="0.25">
      <c r="K1688" s="372"/>
    </row>
    <row r="1689" spans="11:11" x14ac:dyDescent="0.25">
      <c r="K1689" s="372"/>
    </row>
    <row r="1690" spans="11:11" x14ac:dyDescent="0.25">
      <c r="K1690" s="372"/>
    </row>
    <row r="1691" spans="11:11" x14ac:dyDescent="0.25">
      <c r="K1691" s="372"/>
    </row>
    <row r="1692" spans="11:11" x14ac:dyDescent="0.25">
      <c r="K1692" s="372"/>
    </row>
    <row r="1693" spans="11:11" x14ac:dyDescent="0.25">
      <c r="K1693" s="372"/>
    </row>
    <row r="1694" spans="11:11" x14ac:dyDescent="0.25">
      <c r="K1694" s="372"/>
    </row>
    <row r="1695" spans="11:11" x14ac:dyDescent="0.25">
      <c r="K1695" s="372"/>
    </row>
    <row r="1696" spans="11:11" x14ac:dyDescent="0.25">
      <c r="K1696" s="372"/>
    </row>
    <row r="1697" spans="11:11" x14ac:dyDescent="0.25">
      <c r="K1697" s="372"/>
    </row>
    <row r="1698" spans="11:11" x14ac:dyDescent="0.25">
      <c r="K1698" s="372"/>
    </row>
    <row r="1699" spans="11:11" x14ac:dyDescent="0.25">
      <c r="K1699" s="372"/>
    </row>
    <row r="1700" spans="11:11" x14ac:dyDescent="0.25">
      <c r="K1700" s="372"/>
    </row>
    <row r="1701" spans="11:11" x14ac:dyDescent="0.25">
      <c r="K1701" s="372"/>
    </row>
    <row r="1702" spans="11:11" x14ac:dyDescent="0.25">
      <c r="K1702" s="372"/>
    </row>
    <row r="1703" spans="11:11" x14ac:dyDescent="0.25">
      <c r="K1703" s="372"/>
    </row>
    <row r="1704" spans="11:11" x14ac:dyDescent="0.25">
      <c r="K1704" s="372"/>
    </row>
    <row r="1705" spans="11:11" x14ac:dyDescent="0.25">
      <c r="K1705" s="372"/>
    </row>
    <row r="1706" spans="11:11" x14ac:dyDescent="0.25">
      <c r="K1706" s="372"/>
    </row>
    <row r="1707" spans="11:11" x14ac:dyDescent="0.25">
      <c r="K1707" s="372"/>
    </row>
    <row r="1708" spans="11:11" x14ac:dyDescent="0.25">
      <c r="K1708" s="372"/>
    </row>
    <row r="1709" spans="11:11" x14ac:dyDescent="0.25">
      <c r="K1709" s="372"/>
    </row>
    <row r="1710" spans="11:11" x14ac:dyDescent="0.25">
      <c r="K1710" s="372"/>
    </row>
    <row r="1711" spans="11:11" x14ac:dyDescent="0.25">
      <c r="K1711" s="372"/>
    </row>
    <row r="1712" spans="11:11" x14ac:dyDescent="0.25">
      <c r="K1712" s="372"/>
    </row>
    <row r="1713" spans="11:11" x14ac:dyDescent="0.25">
      <c r="K1713" s="372"/>
    </row>
    <row r="1714" spans="11:11" x14ac:dyDescent="0.25">
      <c r="K1714" s="372"/>
    </row>
    <row r="1715" spans="11:11" x14ac:dyDescent="0.25">
      <c r="K1715" s="372"/>
    </row>
    <row r="1716" spans="11:11" x14ac:dyDescent="0.25">
      <c r="K1716" s="372"/>
    </row>
    <row r="1717" spans="11:11" x14ac:dyDescent="0.25">
      <c r="K1717" s="372"/>
    </row>
    <row r="1718" spans="11:11" x14ac:dyDescent="0.25">
      <c r="K1718" s="372"/>
    </row>
    <row r="1719" spans="11:11" x14ac:dyDescent="0.25">
      <c r="K1719" s="372"/>
    </row>
    <row r="1720" spans="11:11" x14ac:dyDescent="0.25">
      <c r="K1720" s="372"/>
    </row>
    <row r="1721" spans="11:11" x14ac:dyDescent="0.25">
      <c r="K1721" s="372"/>
    </row>
    <row r="1722" spans="11:11" x14ac:dyDescent="0.25">
      <c r="K1722" s="372"/>
    </row>
    <row r="1723" spans="11:11" x14ac:dyDescent="0.25">
      <c r="K1723" s="372"/>
    </row>
    <row r="1724" spans="11:11" x14ac:dyDescent="0.25">
      <c r="K1724" s="372"/>
    </row>
    <row r="1725" spans="11:11" x14ac:dyDescent="0.25">
      <c r="K1725" s="372"/>
    </row>
    <row r="1726" spans="11:11" x14ac:dyDescent="0.25">
      <c r="K1726" s="372"/>
    </row>
    <row r="1727" spans="11:11" x14ac:dyDescent="0.25">
      <c r="K1727" s="372"/>
    </row>
    <row r="1728" spans="11:11" x14ac:dyDescent="0.25">
      <c r="K1728" s="372"/>
    </row>
    <row r="1729" spans="11:11" x14ac:dyDescent="0.25">
      <c r="K1729" s="372"/>
    </row>
    <row r="1730" spans="11:11" x14ac:dyDescent="0.25">
      <c r="K1730" s="372"/>
    </row>
    <row r="1731" spans="11:11" x14ac:dyDescent="0.25">
      <c r="K1731" s="372"/>
    </row>
    <row r="1732" spans="11:11" x14ac:dyDescent="0.25">
      <c r="K1732" s="372"/>
    </row>
    <row r="1733" spans="11:11" x14ac:dyDescent="0.25">
      <c r="K1733" s="372"/>
    </row>
    <row r="1734" spans="11:11" x14ac:dyDescent="0.25">
      <c r="K1734" s="372"/>
    </row>
    <row r="1735" spans="11:11" x14ac:dyDescent="0.25">
      <c r="K1735" s="372"/>
    </row>
    <row r="1736" spans="11:11" x14ac:dyDescent="0.25">
      <c r="K1736" s="372"/>
    </row>
    <row r="1737" spans="11:11" x14ac:dyDescent="0.25">
      <c r="K1737" s="372"/>
    </row>
    <row r="1738" spans="11:11" x14ac:dyDescent="0.25">
      <c r="K1738" s="372"/>
    </row>
    <row r="1739" spans="11:11" x14ac:dyDescent="0.25">
      <c r="K1739" s="372"/>
    </row>
    <row r="1740" spans="11:11" x14ac:dyDescent="0.25">
      <c r="K1740" s="372"/>
    </row>
    <row r="1741" spans="11:11" x14ac:dyDescent="0.25">
      <c r="K1741" s="372"/>
    </row>
    <row r="1742" spans="11:11" x14ac:dyDescent="0.25">
      <c r="K1742" s="372"/>
    </row>
    <row r="1743" spans="11:11" x14ac:dyDescent="0.25">
      <c r="K1743" s="372"/>
    </row>
    <row r="1744" spans="11:11" x14ac:dyDescent="0.25">
      <c r="K1744" s="372"/>
    </row>
    <row r="1745" spans="11:11" x14ac:dyDescent="0.25">
      <c r="K1745" s="372"/>
    </row>
    <row r="1746" spans="11:11" x14ac:dyDescent="0.25">
      <c r="K1746" s="372"/>
    </row>
    <row r="1747" spans="11:11" x14ac:dyDescent="0.25">
      <c r="K1747" s="372"/>
    </row>
    <row r="1748" spans="11:11" x14ac:dyDescent="0.25">
      <c r="K1748" s="372"/>
    </row>
    <row r="1749" spans="11:11" x14ac:dyDescent="0.25">
      <c r="K1749" s="372"/>
    </row>
    <row r="1750" spans="11:11" x14ac:dyDescent="0.25">
      <c r="K1750" s="372"/>
    </row>
    <row r="1751" spans="11:11" x14ac:dyDescent="0.25">
      <c r="K1751" s="372"/>
    </row>
    <row r="1752" spans="11:11" x14ac:dyDescent="0.25">
      <c r="K1752" s="372"/>
    </row>
    <row r="1753" spans="11:11" x14ac:dyDescent="0.25">
      <c r="K1753" s="372"/>
    </row>
    <row r="1754" spans="11:11" x14ac:dyDescent="0.25">
      <c r="K1754" s="372"/>
    </row>
    <row r="1755" spans="11:11" x14ac:dyDescent="0.25">
      <c r="K1755" s="372"/>
    </row>
    <row r="1756" spans="11:11" x14ac:dyDescent="0.25">
      <c r="K1756" s="372"/>
    </row>
    <row r="1757" spans="11:11" x14ac:dyDescent="0.25">
      <c r="K1757" s="372"/>
    </row>
    <row r="1758" spans="11:11" x14ac:dyDescent="0.25">
      <c r="K1758" s="372"/>
    </row>
    <row r="1759" spans="11:11" x14ac:dyDescent="0.25">
      <c r="K1759" s="372"/>
    </row>
    <row r="1760" spans="11:11" x14ac:dyDescent="0.25">
      <c r="K1760" s="372"/>
    </row>
    <row r="1761" spans="11:11" x14ac:dyDescent="0.25">
      <c r="K1761" s="372"/>
    </row>
    <row r="1762" spans="11:11" x14ac:dyDescent="0.25">
      <c r="K1762" s="372"/>
    </row>
    <row r="1763" spans="11:11" x14ac:dyDescent="0.25">
      <c r="K1763" s="372"/>
    </row>
    <row r="1764" spans="11:11" x14ac:dyDescent="0.25">
      <c r="K1764" s="372"/>
    </row>
    <row r="1765" spans="11:11" x14ac:dyDescent="0.25">
      <c r="K1765" s="372"/>
    </row>
    <row r="1766" spans="11:11" x14ac:dyDescent="0.25">
      <c r="K1766" s="372"/>
    </row>
    <row r="1767" spans="11:11" x14ac:dyDescent="0.25">
      <c r="K1767" s="372"/>
    </row>
    <row r="1768" spans="11:11" x14ac:dyDescent="0.25">
      <c r="K1768" s="372"/>
    </row>
    <row r="1769" spans="11:11" x14ac:dyDescent="0.25">
      <c r="K1769" s="372"/>
    </row>
    <row r="1770" spans="11:11" x14ac:dyDescent="0.25">
      <c r="K1770" s="372"/>
    </row>
    <row r="1771" spans="11:11" x14ac:dyDescent="0.25">
      <c r="K1771" s="372"/>
    </row>
    <row r="1772" spans="11:11" x14ac:dyDescent="0.25">
      <c r="K1772" s="372"/>
    </row>
    <row r="1773" spans="11:11" x14ac:dyDescent="0.25">
      <c r="K1773" s="372"/>
    </row>
    <row r="1774" spans="11:11" x14ac:dyDescent="0.25">
      <c r="K1774" s="372"/>
    </row>
    <row r="1775" spans="11:11" x14ac:dyDescent="0.25">
      <c r="K1775" s="372"/>
    </row>
    <row r="1776" spans="11:11" x14ac:dyDescent="0.25">
      <c r="K1776" s="372"/>
    </row>
    <row r="1777" spans="11:11" x14ac:dyDescent="0.25">
      <c r="K1777" s="372"/>
    </row>
    <row r="1778" spans="11:11" x14ac:dyDescent="0.25">
      <c r="K1778" s="372"/>
    </row>
    <row r="1779" spans="11:11" x14ac:dyDescent="0.25">
      <c r="K1779" s="372"/>
    </row>
    <row r="1780" spans="11:11" x14ac:dyDescent="0.25">
      <c r="K1780" s="372"/>
    </row>
    <row r="1781" spans="11:11" x14ac:dyDescent="0.25">
      <c r="K1781" s="372"/>
    </row>
    <row r="1782" spans="11:11" x14ac:dyDescent="0.25">
      <c r="K1782" s="372"/>
    </row>
    <row r="1783" spans="11:11" x14ac:dyDescent="0.25">
      <c r="K1783" s="372"/>
    </row>
    <row r="1784" spans="11:11" x14ac:dyDescent="0.25">
      <c r="K1784" s="372"/>
    </row>
    <row r="1785" spans="11:11" x14ac:dyDescent="0.25">
      <c r="K1785" s="372"/>
    </row>
    <row r="1786" spans="11:11" x14ac:dyDescent="0.25">
      <c r="K1786" s="372"/>
    </row>
    <row r="1787" spans="11:11" x14ac:dyDescent="0.25">
      <c r="K1787" s="372"/>
    </row>
    <row r="1788" spans="11:11" x14ac:dyDescent="0.25">
      <c r="K1788" s="372"/>
    </row>
    <row r="1789" spans="11:11" x14ac:dyDescent="0.25">
      <c r="K1789" s="372"/>
    </row>
    <row r="1790" spans="11:11" x14ac:dyDescent="0.25">
      <c r="K1790" s="372"/>
    </row>
    <row r="1791" spans="11:11" x14ac:dyDescent="0.25">
      <c r="K1791" s="372"/>
    </row>
    <row r="1792" spans="11:11" x14ac:dyDescent="0.25">
      <c r="K1792" s="372"/>
    </row>
    <row r="1793" spans="11:11" x14ac:dyDescent="0.25">
      <c r="K1793" s="372"/>
    </row>
    <row r="1794" spans="11:11" x14ac:dyDescent="0.25">
      <c r="K1794" s="372"/>
    </row>
    <row r="1795" spans="11:11" x14ac:dyDescent="0.25">
      <c r="K1795" s="372"/>
    </row>
    <row r="1796" spans="11:11" x14ac:dyDescent="0.25">
      <c r="K1796" s="372"/>
    </row>
    <row r="1797" spans="11:11" x14ac:dyDescent="0.25">
      <c r="K1797" s="372"/>
    </row>
    <row r="1798" spans="11:11" x14ac:dyDescent="0.25">
      <c r="K1798" s="372"/>
    </row>
    <row r="1799" spans="11:11" x14ac:dyDescent="0.25">
      <c r="K1799" s="372"/>
    </row>
    <row r="1800" spans="11:11" x14ac:dyDescent="0.25">
      <c r="K1800" s="372"/>
    </row>
    <row r="1801" spans="11:11" x14ac:dyDescent="0.25">
      <c r="K1801" s="372"/>
    </row>
    <row r="1802" spans="11:11" x14ac:dyDescent="0.25">
      <c r="K1802" s="372"/>
    </row>
    <row r="1803" spans="11:11" x14ac:dyDescent="0.25">
      <c r="K1803" s="372"/>
    </row>
    <row r="1804" spans="11:11" x14ac:dyDescent="0.25">
      <c r="K1804" s="372"/>
    </row>
    <row r="1805" spans="11:11" x14ac:dyDescent="0.25">
      <c r="K1805" s="372"/>
    </row>
    <row r="1806" spans="11:11" x14ac:dyDescent="0.25">
      <c r="K1806" s="372"/>
    </row>
    <row r="1807" spans="11:11" x14ac:dyDescent="0.25">
      <c r="K1807" s="372"/>
    </row>
    <row r="1808" spans="11:11" x14ac:dyDescent="0.25">
      <c r="K1808" s="372"/>
    </row>
    <row r="1809" spans="11:11" x14ac:dyDescent="0.25">
      <c r="K1809" s="372"/>
    </row>
    <row r="1810" spans="11:11" x14ac:dyDescent="0.25">
      <c r="K1810" s="372"/>
    </row>
    <row r="1811" spans="11:11" x14ac:dyDescent="0.25">
      <c r="K1811" s="372"/>
    </row>
    <row r="1812" spans="11:11" x14ac:dyDescent="0.25">
      <c r="K1812" s="372"/>
    </row>
    <row r="1813" spans="11:11" x14ac:dyDescent="0.25">
      <c r="K1813" s="372"/>
    </row>
    <row r="1814" spans="11:11" x14ac:dyDescent="0.25">
      <c r="K1814" s="372"/>
    </row>
    <row r="1815" spans="11:11" x14ac:dyDescent="0.25">
      <c r="K1815" s="372"/>
    </row>
    <row r="1816" spans="11:11" x14ac:dyDescent="0.25">
      <c r="K1816" s="372"/>
    </row>
    <row r="1817" spans="11:11" x14ac:dyDescent="0.25">
      <c r="K1817" s="372"/>
    </row>
    <row r="1818" spans="11:11" x14ac:dyDescent="0.25">
      <c r="K1818" s="372"/>
    </row>
    <row r="1819" spans="11:11" x14ac:dyDescent="0.25">
      <c r="K1819" s="372"/>
    </row>
    <row r="1820" spans="11:11" x14ac:dyDescent="0.25">
      <c r="K1820" s="372"/>
    </row>
    <row r="1821" spans="11:11" x14ac:dyDescent="0.25">
      <c r="K1821" s="372"/>
    </row>
    <row r="1822" spans="11:11" x14ac:dyDescent="0.25">
      <c r="K1822" s="372"/>
    </row>
    <row r="1823" spans="11:11" x14ac:dyDescent="0.25">
      <c r="K1823" s="372"/>
    </row>
    <row r="1824" spans="11:11" x14ac:dyDescent="0.25">
      <c r="K1824" s="372"/>
    </row>
    <row r="1825" spans="11:11" x14ac:dyDescent="0.25">
      <c r="K1825" s="372"/>
    </row>
    <row r="1826" spans="11:11" x14ac:dyDescent="0.25">
      <c r="K1826" s="372"/>
    </row>
    <row r="1827" spans="11:11" x14ac:dyDescent="0.25">
      <c r="K1827" s="372"/>
    </row>
    <row r="1828" spans="11:11" x14ac:dyDescent="0.25">
      <c r="K1828" s="372"/>
    </row>
    <row r="1829" spans="11:11" x14ac:dyDescent="0.25">
      <c r="K1829" s="372"/>
    </row>
    <row r="1830" spans="11:11" x14ac:dyDescent="0.25">
      <c r="K1830" s="372"/>
    </row>
    <row r="1831" spans="11:11" x14ac:dyDescent="0.25">
      <c r="K1831" s="372"/>
    </row>
    <row r="1832" spans="11:11" x14ac:dyDescent="0.25">
      <c r="K1832" s="372"/>
    </row>
    <row r="1833" spans="11:11" x14ac:dyDescent="0.25">
      <c r="K1833" s="372"/>
    </row>
    <row r="1834" spans="11:11" x14ac:dyDescent="0.25">
      <c r="K1834" s="372"/>
    </row>
    <row r="1835" spans="11:11" x14ac:dyDescent="0.25">
      <c r="K1835" s="372"/>
    </row>
    <row r="1836" spans="11:11" x14ac:dyDescent="0.25">
      <c r="K1836" s="372"/>
    </row>
    <row r="1837" spans="11:11" x14ac:dyDescent="0.25">
      <c r="K1837" s="372"/>
    </row>
    <row r="1838" spans="11:11" x14ac:dyDescent="0.25">
      <c r="K1838" s="372"/>
    </row>
    <row r="1839" spans="11:11" x14ac:dyDescent="0.25">
      <c r="K1839" s="372"/>
    </row>
    <row r="1840" spans="11:11" x14ac:dyDescent="0.25">
      <c r="K1840" s="372"/>
    </row>
    <row r="1841" spans="11:11" x14ac:dyDescent="0.25">
      <c r="K1841" s="372"/>
    </row>
    <row r="1842" spans="11:11" x14ac:dyDescent="0.25">
      <c r="K1842" s="372"/>
    </row>
    <row r="1843" spans="11:11" x14ac:dyDescent="0.25">
      <c r="K1843" s="372"/>
    </row>
    <row r="1844" spans="11:11" x14ac:dyDescent="0.25">
      <c r="K1844" s="372"/>
    </row>
    <row r="1845" spans="11:11" x14ac:dyDescent="0.25">
      <c r="K1845" s="372"/>
    </row>
    <row r="1846" spans="11:11" x14ac:dyDescent="0.25">
      <c r="K1846" s="372"/>
    </row>
    <row r="1847" spans="11:11" x14ac:dyDescent="0.25">
      <c r="K1847" s="372"/>
    </row>
    <row r="1848" spans="11:11" x14ac:dyDescent="0.25">
      <c r="K1848" s="372"/>
    </row>
    <row r="1849" spans="11:11" x14ac:dyDescent="0.25">
      <c r="K1849" s="372"/>
    </row>
    <row r="1850" spans="11:11" x14ac:dyDescent="0.25">
      <c r="K1850" s="372"/>
    </row>
    <row r="1851" spans="11:11" x14ac:dyDescent="0.25">
      <c r="K1851" s="372"/>
    </row>
    <row r="1852" spans="11:11" x14ac:dyDescent="0.25">
      <c r="K1852" s="372"/>
    </row>
    <row r="1853" spans="11:11" x14ac:dyDescent="0.25">
      <c r="K1853" s="372"/>
    </row>
    <row r="1854" spans="11:11" x14ac:dyDescent="0.25">
      <c r="K1854" s="372"/>
    </row>
    <row r="1855" spans="11:11" x14ac:dyDescent="0.25">
      <c r="K1855" s="372"/>
    </row>
    <row r="1856" spans="11:11" x14ac:dyDescent="0.25">
      <c r="K1856" s="372"/>
    </row>
    <row r="1857" spans="11:11" x14ac:dyDescent="0.25">
      <c r="K1857" s="372"/>
    </row>
    <row r="1858" spans="11:11" x14ac:dyDescent="0.25">
      <c r="K1858" s="372"/>
    </row>
    <row r="1859" spans="11:11" x14ac:dyDescent="0.25">
      <c r="K1859" s="372"/>
    </row>
    <row r="1860" spans="11:11" x14ac:dyDescent="0.25">
      <c r="K1860" s="372"/>
    </row>
    <row r="1861" spans="11:11" x14ac:dyDescent="0.25">
      <c r="K1861" s="372"/>
    </row>
    <row r="1862" spans="11:11" x14ac:dyDescent="0.25">
      <c r="K1862" s="372"/>
    </row>
    <row r="1863" spans="11:11" x14ac:dyDescent="0.25">
      <c r="K1863" s="372"/>
    </row>
    <row r="1864" spans="11:11" x14ac:dyDescent="0.25">
      <c r="K1864" s="372"/>
    </row>
    <row r="1865" spans="11:11" x14ac:dyDescent="0.25">
      <c r="K1865" s="372"/>
    </row>
    <row r="1866" spans="11:11" x14ac:dyDescent="0.25">
      <c r="K1866" s="372"/>
    </row>
    <row r="1867" spans="11:11" x14ac:dyDescent="0.25">
      <c r="K1867" s="372"/>
    </row>
    <row r="1868" spans="11:11" x14ac:dyDescent="0.25">
      <c r="K1868" s="372"/>
    </row>
    <row r="1869" spans="11:11" x14ac:dyDescent="0.25">
      <c r="K1869" s="372"/>
    </row>
    <row r="1870" spans="11:11" x14ac:dyDescent="0.25">
      <c r="K1870" s="372"/>
    </row>
    <row r="1871" spans="11:11" x14ac:dyDescent="0.25">
      <c r="K1871" s="372"/>
    </row>
    <row r="1872" spans="11:11" x14ac:dyDescent="0.25">
      <c r="K1872" s="372"/>
    </row>
    <row r="1873" spans="11:11" x14ac:dyDescent="0.25">
      <c r="K1873" s="372"/>
    </row>
    <row r="1874" spans="11:11" x14ac:dyDescent="0.25">
      <c r="K1874" s="372"/>
    </row>
    <row r="1875" spans="11:11" x14ac:dyDescent="0.25">
      <c r="K1875" s="372"/>
    </row>
    <row r="1876" spans="11:11" x14ac:dyDescent="0.25">
      <c r="K1876" s="372"/>
    </row>
    <row r="1877" spans="11:11" x14ac:dyDescent="0.25">
      <c r="K1877" s="372"/>
    </row>
    <row r="1878" spans="11:11" x14ac:dyDescent="0.25">
      <c r="K1878" s="372"/>
    </row>
    <row r="1879" spans="11:11" x14ac:dyDescent="0.25">
      <c r="K1879" s="372"/>
    </row>
    <row r="1880" spans="11:11" x14ac:dyDescent="0.25">
      <c r="K1880" s="372"/>
    </row>
    <row r="1881" spans="11:11" x14ac:dyDescent="0.25">
      <c r="K1881" s="372"/>
    </row>
    <row r="1882" spans="11:11" x14ac:dyDescent="0.25">
      <c r="K1882" s="372"/>
    </row>
    <row r="1883" spans="11:11" x14ac:dyDescent="0.25">
      <c r="K1883" s="372"/>
    </row>
    <row r="1884" spans="11:11" x14ac:dyDescent="0.25">
      <c r="K1884" s="372"/>
    </row>
    <row r="1885" spans="11:11" x14ac:dyDescent="0.25">
      <c r="K1885" s="372"/>
    </row>
    <row r="1886" spans="11:11" x14ac:dyDescent="0.25">
      <c r="K1886" s="372"/>
    </row>
    <row r="1887" spans="11:11" x14ac:dyDescent="0.25">
      <c r="K1887" s="372"/>
    </row>
    <row r="1888" spans="11:11" x14ac:dyDescent="0.25">
      <c r="K1888" s="372"/>
    </row>
    <row r="1889" spans="11:11" x14ac:dyDescent="0.25">
      <c r="K1889" s="372"/>
    </row>
    <row r="1890" spans="11:11" x14ac:dyDescent="0.25">
      <c r="K1890" s="372"/>
    </row>
    <row r="1891" spans="11:11" x14ac:dyDescent="0.25">
      <c r="K1891" s="372"/>
    </row>
    <row r="1892" spans="11:11" x14ac:dyDescent="0.25">
      <c r="K1892" s="372"/>
    </row>
    <row r="1893" spans="11:11" x14ac:dyDescent="0.25">
      <c r="K1893" s="372"/>
    </row>
    <row r="1894" spans="11:11" x14ac:dyDescent="0.25">
      <c r="K1894" s="372"/>
    </row>
    <row r="1895" spans="11:11" x14ac:dyDescent="0.25">
      <c r="K1895" s="372"/>
    </row>
    <row r="1896" spans="11:11" x14ac:dyDescent="0.25">
      <c r="K1896" s="372"/>
    </row>
    <row r="1897" spans="11:11" x14ac:dyDescent="0.25">
      <c r="K1897" s="372"/>
    </row>
    <row r="1898" spans="11:11" x14ac:dyDescent="0.25">
      <c r="K1898" s="372"/>
    </row>
    <row r="1899" spans="11:11" x14ac:dyDescent="0.25">
      <c r="K1899" s="372"/>
    </row>
    <row r="1900" spans="11:11" x14ac:dyDescent="0.25">
      <c r="K1900" s="372"/>
    </row>
    <row r="1901" spans="11:11" x14ac:dyDescent="0.25">
      <c r="K1901" s="372"/>
    </row>
    <row r="1902" spans="11:11" x14ac:dyDescent="0.25">
      <c r="K1902" s="372"/>
    </row>
    <row r="1903" spans="11:11" x14ac:dyDescent="0.25">
      <c r="K1903" s="372"/>
    </row>
    <row r="1904" spans="11:11" x14ac:dyDescent="0.25">
      <c r="K1904" s="372"/>
    </row>
    <row r="1905" spans="11:11" x14ac:dyDescent="0.25">
      <c r="K1905" s="372"/>
    </row>
    <row r="1906" spans="11:11" x14ac:dyDescent="0.25">
      <c r="K1906" s="372"/>
    </row>
    <row r="1907" spans="11:11" x14ac:dyDescent="0.25">
      <c r="K1907" s="372"/>
    </row>
    <row r="1908" spans="11:11" x14ac:dyDescent="0.25">
      <c r="K1908" s="372"/>
    </row>
    <row r="1909" spans="11:11" x14ac:dyDescent="0.25">
      <c r="K1909" s="372"/>
    </row>
    <row r="1910" spans="11:11" x14ac:dyDescent="0.25">
      <c r="K1910" s="372"/>
    </row>
    <row r="1911" spans="11:11" x14ac:dyDescent="0.25">
      <c r="K1911" s="372"/>
    </row>
    <row r="1912" spans="11:11" x14ac:dyDescent="0.25">
      <c r="K1912" s="372"/>
    </row>
    <row r="1913" spans="11:11" x14ac:dyDescent="0.25">
      <c r="K1913" s="372"/>
    </row>
    <row r="1914" spans="11:11" x14ac:dyDescent="0.25">
      <c r="K1914" s="372"/>
    </row>
    <row r="1915" spans="11:11" x14ac:dyDescent="0.25">
      <c r="K1915" s="372"/>
    </row>
    <row r="1916" spans="11:11" x14ac:dyDescent="0.25">
      <c r="K1916" s="372"/>
    </row>
    <row r="1917" spans="11:11" x14ac:dyDescent="0.25">
      <c r="K1917" s="372"/>
    </row>
    <row r="1918" spans="11:11" x14ac:dyDescent="0.25">
      <c r="K1918" s="372"/>
    </row>
    <row r="1919" spans="11:11" x14ac:dyDescent="0.25">
      <c r="K1919" s="372"/>
    </row>
    <row r="1920" spans="11:11" x14ac:dyDescent="0.25">
      <c r="K1920" s="372"/>
    </row>
    <row r="1921" spans="11:11" x14ac:dyDescent="0.25">
      <c r="K1921" s="372"/>
    </row>
    <row r="1922" spans="11:11" x14ac:dyDescent="0.25">
      <c r="K1922" s="372"/>
    </row>
    <row r="1923" spans="11:11" x14ac:dyDescent="0.25">
      <c r="K1923" s="372"/>
    </row>
    <row r="1924" spans="11:11" x14ac:dyDescent="0.25">
      <c r="K1924" s="372"/>
    </row>
    <row r="1925" spans="11:11" x14ac:dyDescent="0.25">
      <c r="K1925" s="372"/>
    </row>
    <row r="1926" spans="11:11" x14ac:dyDescent="0.25">
      <c r="K1926" s="372"/>
    </row>
    <row r="1927" spans="11:11" x14ac:dyDescent="0.25">
      <c r="K1927" s="372"/>
    </row>
    <row r="1928" spans="11:11" x14ac:dyDescent="0.25">
      <c r="K1928" s="372"/>
    </row>
    <row r="1929" spans="11:11" x14ac:dyDescent="0.25">
      <c r="K1929" s="372"/>
    </row>
    <row r="1930" spans="11:11" x14ac:dyDescent="0.25">
      <c r="K1930" s="372"/>
    </row>
    <row r="1931" spans="11:11" x14ac:dyDescent="0.25">
      <c r="K1931" s="372"/>
    </row>
    <row r="1932" spans="11:11" x14ac:dyDescent="0.25">
      <c r="K1932" s="372"/>
    </row>
    <row r="1933" spans="11:11" x14ac:dyDescent="0.25">
      <c r="K1933" s="372"/>
    </row>
    <row r="1934" spans="11:11" x14ac:dyDescent="0.25">
      <c r="K1934" s="372"/>
    </row>
    <row r="1935" spans="11:11" x14ac:dyDescent="0.25">
      <c r="K1935" s="372"/>
    </row>
    <row r="1936" spans="11:11" x14ac:dyDescent="0.25">
      <c r="K1936" s="372"/>
    </row>
    <row r="1937" spans="11:11" x14ac:dyDescent="0.25">
      <c r="K1937" s="372"/>
    </row>
    <row r="1938" spans="11:11" x14ac:dyDescent="0.25">
      <c r="K1938" s="372"/>
    </row>
    <row r="1939" spans="11:11" x14ac:dyDescent="0.25">
      <c r="K1939" s="372"/>
    </row>
    <row r="1940" spans="11:11" x14ac:dyDescent="0.25">
      <c r="K1940" s="372"/>
    </row>
    <row r="1941" spans="11:11" x14ac:dyDescent="0.25">
      <c r="K1941" s="372"/>
    </row>
    <row r="1942" spans="11:11" x14ac:dyDescent="0.25">
      <c r="K1942" s="372"/>
    </row>
    <row r="1943" spans="11:11" x14ac:dyDescent="0.25">
      <c r="K1943" s="372"/>
    </row>
    <row r="1944" spans="11:11" x14ac:dyDescent="0.25">
      <c r="K1944" s="372"/>
    </row>
    <row r="1945" spans="11:11" x14ac:dyDescent="0.25">
      <c r="K1945" s="372"/>
    </row>
    <row r="1946" spans="11:11" x14ac:dyDescent="0.25">
      <c r="K1946" s="372"/>
    </row>
    <row r="1947" spans="11:11" x14ac:dyDescent="0.25">
      <c r="K1947" s="372"/>
    </row>
    <row r="1948" spans="11:11" x14ac:dyDescent="0.25">
      <c r="K1948" s="372"/>
    </row>
    <row r="1949" spans="11:11" x14ac:dyDescent="0.25">
      <c r="K1949" s="372"/>
    </row>
    <row r="1950" spans="11:11" x14ac:dyDescent="0.25">
      <c r="K1950" s="372"/>
    </row>
    <row r="1951" spans="11:11" x14ac:dyDescent="0.25">
      <c r="K1951" s="372"/>
    </row>
    <row r="1952" spans="11:11" x14ac:dyDescent="0.25">
      <c r="K1952" s="372"/>
    </row>
    <row r="1953" spans="11:11" x14ac:dyDescent="0.25">
      <c r="K1953" s="372"/>
    </row>
    <row r="1954" spans="11:11" x14ac:dyDescent="0.25">
      <c r="K1954" s="372"/>
    </row>
    <row r="1955" spans="11:11" x14ac:dyDescent="0.25">
      <c r="K1955" s="372"/>
    </row>
    <row r="1956" spans="11:11" x14ac:dyDescent="0.25">
      <c r="K1956" s="372"/>
    </row>
    <row r="1957" spans="11:11" x14ac:dyDescent="0.25">
      <c r="K1957" s="372"/>
    </row>
    <row r="1958" spans="11:11" x14ac:dyDescent="0.25">
      <c r="K1958" s="372"/>
    </row>
    <row r="1959" spans="11:11" x14ac:dyDescent="0.25">
      <c r="K1959" s="372"/>
    </row>
    <row r="1960" spans="11:11" x14ac:dyDescent="0.25">
      <c r="K1960" s="372"/>
    </row>
    <row r="1961" spans="11:11" x14ac:dyDescent="0.25">
      <c r="K1961" s="372"/>
    </row>
    <row r="1962" spans="11:11" x14ac:dyDescent="0.25">
      <c r="K1962" s="372"/>
    </row>
    <row r="1963" spans="11:11" x14ac:dyDescent="0.25">
      <c r="K1963" s="372"/>
    </row>
    <row r="1964" spans="11:11" x14ac:dyDescent="0.25">
      <c r="K1964" s="372"/>
    </row>
    <row r="1965" spans="11:11" x14ac:dyDescent="0.25">
      <c r="K1965" s="372"/>
    </row>
    <row r="1966" spans="11:11" x14ac:dyDescent="0.25">
      <c r="K1966" s="372"/>
    </row>
    <row r="1967" spans="11:11" x14ac:dyDescent="0.25">
      <c r="K1967" s="372"/>
    </row>
    <row r="1968" spans="11:11" x14ac:dyDescent="0.25">
      <c r="K1968" s="372"/>
    </row>
    <row r="1969" spans="11:11" x14ac:dyDescent="0.25">
      <c r="K1969" s="372"/>
    </row>
    <row r="1970" spans="11:11" x14ac:dyDescent="0.25">
      <c r="K1970" s="372"/>
    </row>
    <row r="1971" spans="11:11" x14ac:dyDescent="0.25">
      <c r="K1971" s="372"/>
    </row>
    <row r="1972" spans="11:11" x14ac:dyDescent="0.25">
      <c r="K1972" s="372"/>
    </row>
    <row r="1973" spans="11:11" x14ac:dyDescent="0.25">
      <c r="K1973" s="372"/>
    </row>
    <row r="1974" spans="11:11" x14ac:dyDescent="0.25">
      <c r="K1974" s="372"/>
    </row>
    <row r="1975" spans="11:11" x14ac:dyDescent="0.25">
      <c r="K1975" s="372"/>
    </row>
    <row r="1976" spans="11:11" x14ac:dyDescent="0.25">
      <c r="K1976" s="372"/>
    </row>
    <row r="1977" spans="11:11" x14ac:dyDescent="0.25">
      <c r="K1977" s="372"/>
    </row>
    <row r="1978" spans="11:11" x14ac:dyDescent="0.25">
      <c r="K1978" s="372"/>
    </row>
    <row r="1979" spans="11:11" x14ac:dyDescent="0.25">
      <c r="K1979" s="372"/>
    </row>
    <row r="1980" spans="11:11" x14ac:dyDescent="0.25">
      <c r="K1980" s="372"/>
    </row>
    <row r="1981" spans="11:11" x14ac:dyDescent="0.25">
      <c r="K1981" s="372"/>
    </row>
    <row r="1982" spans="11:11" x14ac:dyDescent="0.25">
      <c r="K1982" s="372"/>
    </row>
    <row r="1983" spans="11:11" x14ac:dyDescent="0.25">
      <c r="K1983" s="372"/>
    </row>
    <row r="1984" spans="11:11" x14ac:dyDescent="0.25">
      <c r="K1984" s="372"/>
    </row>
    <row r="1985" spans="11:11" x14ac:dyDescent="0.25">
      <c r="K1985" s="372"/>
    </row>
    <row r="1986" spans="11:11" x14ac:dyDescent="0.25">
      <c r="K1986" s="372"/>
    </row>
    <row r="1987" spans="11:11" x14ac:dyDescent="0.25">
      <c r="K1987" s="372"/>
    </row>
    <row r="1988" spans="11:11" x14ac:dyDescent="0.25">
      <c r="K1988" s="372"/>
    </row>
    <row r="1989" spans="11:11" x14ac:dyDescent="0.25">
      <c r="K1989" s="372"/>
    </row>
    <row r="1990" spans="11:11" x14ac:dyDescent="0.25">
      <c r="K1990" s="372"/>
    </row>
    <row r="1991" spans="11:11" x14ac:dyDescent="0.25">
      <c r="K1991" s="372"/>
    </row>
    <row r="1992" spans="11:11" x14ac:dyDescent="0.25">
      <c r="K1992" s="372"/>
    </row>
    <row r="1993" spans="11:11" x14ac:dyDescent="0.25">
      <c r="K1993" s="372"/>
    </row>
    <row r="1994" spans="11:11" x14ac:dyDescent="0.25">
      <c r="K1994" s="372"/>
    </row>
    <row r="1995" spans="11:11" x14ac:dyDescent="0.25">
      <c r="K1995" s="372"/>
    </row>
    <row r="1996" spans="11:11" x14ac:dyDescent="0.25">
      <c r="K1996" s="372"/>
    </row>
    <row r="1997" spans="11:11" x14ac:dyDescent="0.25">
      <c r="K1997" s="372"/>
    </row>
    <row r="1998" spans="11:11" x14ac:dyDescent="0.25">
      <c r="K1998" s="372"/>
    </row>
    <row r="1999" spans="11:11" x14ac:dyDescent="0.25">
      <c r="K1999" s="372"/>
    </row>
    <row r="2000" spans="11:11" x14ac:dyDescent="0.25">
      <c r="K2000" s="372"/>
    </row>
  </sheetData>
  <sheetProtection algorithmName="SHA-512" hashValue="jvN/9F276xUfPVFVvGBYKV0+owY0vBX0trmFVAjTeG49ezEzQqvWemqYfBAkXORt+6L8tTMWG/JJX3XOsNwRsQ==" saltValue="4MxDtaLaA5qILBb6ae1xfQ==" spinCount="100000" sheet="1" objects="1" scenarios="1" selectLockedCells="1" selectUnlockedCells="1"/>
  <sortState xmlns:xlrd2="http://schemas.microsoft.com/office/spreadsheetml/2017/richdata2" ref="B4:K32">
    <sortCondition ref="C4:C32"/>
  </sortState>
  <phoneticPr fontId="1" type="noConversion"/>
  <conditionalFormatting sqref="AJ12:AJ58 AK4:AL58 AC49:AI58 AC60:AL61">
    <cfRule type="expression" dxfId="195" priority="186">
      <formula>MOD(ROW(),2)&gt;0</formula>
    </cfRule>
  </conditionalFormatting>
  <conditionalFormatting sqref="AC4:AJ11 AC45:AI47 AC21:AI43 AC12:AI19">
    <cfRule type="expression" dxfId="194" priority="123">
      <formula>MOD(ROW(),2)&gt;0</formula>
    </cfRule>
  </conditionalFormatting>
  <conditionalFormatting sqref="AC48:AI48">
    <cfRule type="expression" dxfId="193" priority="122">
      <formula>MOD(ROW(),2)&gt;0</formula>
    </cfRule>
  </conditionalFormatting>
  <conditionalFormatting sqref="AC20:AI20">
    <cfRule type="expression" dxfId="192" priority="120">
      <formula>MOD(ROW(),2)&gt;0</formula>
    </cfRule>
  </conditionalFormatting>
  <conditionalFormatting sqref="AC44:AI44">
    <cfRule type="expression" dxfId="191" priority="119">
      <formula>MOD(ROW(),2)&gt;0</formula>
    </cfRule>
  </conditionalFormatting>
  <conditionalFormatting sqref="AC59:AJ59">
    <cfRule type="expression" dxfId="190" priority="117">
      <formula>MOD(ROW(),2)&gt;0</formula>
    </cfRule>
  </conditionalFormatting>
  <conditionalFormatting sqref="AK59">
    <cfRule type="expression" dxfId="189" priority="93">
      <formula>MOD(ROW(),2)&gt;0</formula>
    </cfRule>
  </conditionalFormatting>
  <conditionalFormatting sqref="AL59">
    <cfRule type="expression" dxfId="188" priority="89">
      <formula>MOD(ROW(),2)&gt;0</formula>
    </cfRule>
  </conditionalFormatting>
  <conditionalFormatting sqref="I4:I117">
    <cfRule type="duplicateValues" dxfId="187" priority="60"/>
    <cfRule type="duplicateValues" dxfId="186" priority="62"/>
    <cfRule type="duplicateValues" dxfId="185" priority="64"/>
    <cfRule type="duplicateValues" dxfId="184" priority="66"/>
    <cfRule type="duplicateValues" dxfId="183" priority="68"/>
    <cfRule type="duplicateValues" dxfId="182" priority="70"/>
    <cfRule type="duplicateValues" dxfId="181" priority="72"/>
    <cfRule type="duplicateValues" dxfId="180" priority="74"/>
    <cfRule type="duplicateValues" dxfId="179" priority="76"/>
    <cfRule type="duplicateValues" dxfId="178" priority="78"/>
    <cfRule type="duplicateValues" dxfId="177" priority="34"/>
    <cfRule type="duplicateValues" dxfId="176" priority="32"/>
  </conditionalFormatting>
  <conditionalFormatting sqref="K4:K117">
    <cfRule type="duplicateValues" dxfId="175" priority="59"/>
    <cfRule type="duplicateValues" dxfId="174" priority="61"/>
    <cfRule type="duplicateValues" dxfId="173" priority="63"/>
    <cfRule type="duplicateValues" dxfId="172" priority="65"/>
    <cfRule type="duplicateValues" dxfId="171" priority="67"/>
    <cfRule type="duplicateValues" dxfId="170" priority="69"/>
    <cfRule type="duplicateValues" dxfId="169" priority="71"/>
    <cfRule type="duplicateValues" dxfId="168" priority="73"/>
    <cfRule type="duplicateValues" dxfId="167" priority="75"/>
    <cfRule type="duplicateValues" dxfId="166" priority="77"/>
    <cfRule type="duplicateValues" dxfId="165" priority="33"/>
    <cfRule type="duplicateValues" dxfId="164" priority="31"/>
  </conditionalFormatting>
  <conditionalFormatting sqref="I4:I118">
    <cfRule type="duplicateValues" dxfId="163" priority="52"/>
    <cfRule type="duplicateValues" dxfId="162" priority="54"/>
    <cfRule type="duplicateValues" dxfId="161" priority="56"/>
    <cfRule type="duplicateValues" dxfId="160" priority="58"/>
    <cfRule type="duplicateValues" dxfId="159" priority="50"/>
    <cfRule type="duplicateValues" dxfId="158" priority="48"/>
    <cfRule type="duplicateValues" dxfId="157" priority="46"/>
    <cfRule type="duplicateValues" dxfId="156" priority="44"/>
    <cfRule type="duplicateValues" dxfId="155" priority="42"/>
    <cfRule type="duplicateValues" dxfId="154" priority="40"/>
    <cfRule type="duplicateValues" dxfId="153" priority="38"/>
    <cfRule type="duplicateValues" dxfId="152" priority="36"/>
  </conditionalFormatting>
  <conditionalFormatting sqref="K4:K118">
    <cfRule type="duplicateValues" dxfId="151" priority="51"/>
    <cfRule type="duplicateValues" dxfId="150" priority="53"/>
    <cfRule type="duplicateValues" dxfId="149" priority="55"/>
    <cfRule type="duplicateValues" dxfId="148" priority="57"/>
    <cfRule type="duplicateValues" dxfId="147" priority="49"/>
    <cfRule type="duplicateValues" dxfId="146" priority="47"/>
    <cfRule type="duplicateValues" dxfId="145" priority="45"/>
    <cfRule type="duplicateValues" dxfId="144" priority="43"/>
    <cfRule type="duplicateValues" dxfId="143" priority="41"/>
    <cfRule type="duplicateValues" dxfId="142" priority="39"/>
    <cfRule type="duplicateValues" dxfId="141" priority="37"/>
    <cfRule type="duplicateValues" dxfId="140" priority="35"/>
  </conditionalFormatting>
  <conditionalFormatting sqref="I4:I115">
    <cfRule type="duplicateValues" dxfId="139" priority="30"/>
    <cfRule type="duplicateValues" dxfId="138" priority="28"/>
  </conditionalFormatting>
  <conditionalFormatting sqref="K4:K115">
    <cfRule type="duplicateValues" dxfId="137" priority="29"/>
    <cfRule type="duplicateValues" dxfId="136" priority="27"/>
  </conditionalFormatting>
  <conditionalFormatting sqref="I4:I125">
    <cfRule type="duplicateValues" dxfId="135" priority="26"/>
    <cfRule type="duplicateValues" dxfId="134" priority="24"/>
    <cfRule type="duplicateValues" dxfId="133" priority="22"/>
  </conditionalFormatting>
  <conditionalFormatting sqref="K4:K125">
    <cfRule type="duplicateValues" dxfId="132" priority="25"/>
    <cfRule type="duplicateValues" dxfId="131" priority="23"/>
    <cfRule type="duplicateValues" dxfId="130" priority="21"/>
  </conditionalFormatting>
  <conditionalFormatting sqref="I4:I127">
    <cfRule type="duplicateValues" dxfId="129" priority="20"/>
  </conditionalFormatting>
  <conditionalFormatting sqref="K4:K127">
    <cfRule type="duplicateValues" dxfId="128" priority="19"/>
  </conditionalFormatting>
  <conditionalFormatting sqref="I4:I130">
    <cfRule type="duplicateValues" dxfId="127" priority="18"/>
    <cfRule type="duplicateValues" dxfId="126" priority="16"/>
    <cfRule type="duplicateValues" dxfId="125" priority="14"/>
  </conditionalFormatting>
  <conditionalFormatting sqref="K4:K130">
    <cfRule type="duplicateValues" dxfId="124" priority="17"/>
    <cfRule type="duplicateValues" dxfId="123" priority="15"/>
    <cfRule type="duplicateValues" dxfId="122" priority="13"/>
  </conditionalFormatting>
  <conditionalFormatting sqref="I4:I131">
    <cfRule type="duplicateValues" dxfId="121" priority="12"/>
    <cfRule type="duplicateValues" dxfId="120" priority="10"/>
    <cfRule type="duplicateValues" dxfId="119" priority="8"/>
    <cfRule type="duplicateValues" dxfId="118" priority="6"/>
    <cfRule type="duplicateValues" dxfId="117" priority="4"/>
  </conditionalFormatting>
  <conditionalFormatting sqref="K4:K131">
    <cfRule type="duplicateValues" dxfId="116" priority="11"/>
    <cfRule type="duplicateValues" dxfId="115" priority="9"/>
    <cfRule type="duplicateValues" dxfId="114" priority="7"/>
    <cfRule type="duplicateValues" dxfId="113" priority="5"/>
    <cfRule type="duplicateValues" dxfId="112" priority="3"/>
  </conditionalFormatting>
  <conditionalFormatting sqref="I4:I132">
    <cfRule type="duplicateValues" dxfId="111" priority="2"/>
  </conditionalFormatting>
  <conditionalFormatting sqref="K4:K132">
    <cfRule type="duplicateValues" dxfId="110" priority="1"/>
  </conditionalFormatting>
  <pageMargins left="0.7" right="0.7" top="0.75" bottom="0.75" header="0.3" footer="0.3"/>
  <pageSetup paperSize="9" orientation="portrait" horizontalDpi="300" verticalDpi="300" r:id="rId1"/>
  <ignoredErrors>
    <ignoredError sqref="M7:M9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1"/>
  <dimension ref="A1:M66"/>
  <sheetViews>
    <sheetView zoomScaleNormal="100" workbookViewId="0">
      <pane ySplit="3" topLeftCell="A4" activePane="bottomLeft" state="frozen"/>
      <selection pane="bottomLeft" activeCell="K4" sqref="K4:L63"/>
    </sheetView>
  </sheetViews>
  <sheetFormatPr defaultColWidth="9.140625" defaultRowHeight="15.75" x14ac:dyDescent="0.25"/>
  <cols>
    <col min="1" max="1" width="7.7109375" style="104" customWidth="1"/>
    <col min="2" max="2" width="25.85546875" style="1" customWidth="1"/>
    <col min="3" max="4" width="12.140625" style="159" customWidth="1"/>
    <col min="5" max="5" width="23" style="1" customWidth="1"/>
    <col min="6" max="7" width="14.42578125" style="1" customWidth="1"/>
    <col min="8" max="8" width="23.7109375" style="1" customWidth="1"/>
    <col min="9" max="10" width="12.42578125" style="1" customWidth="1"/>
    <col min="11" max="11" width="24.140625" style="1" customWidth="1"/>
    <col min="12" max="12" width="11.28515625" style="1" customWidth="1"/>
    <col min="13" max="13" width="13" style="73" customWidth="1"/>
    <col min="14" max="16384" width="9.140625" style="73"/>
  </cols>
  <sheetData>
    <row r="1" spans="1:13" s="7" customFormat="1" ht="15" customHeight="1" x14ac:dyDescent="0.25">
      <c r="A1" s="102"/>
      <c r="B1" s="24"/>
      <c r="C1" s="153"/>
      <c r="D1" s="153"/>
      <c r="E1" s="132"/>
      <c r="F1" s="24"/>
      <c r="G1" s="24"/>
      <c r="H1" s="24"/>
      <c r="I1" s="24"/>
      <c r="J1" s="24"/>
      <c r="K1" s="24"/>
      <c r="L1" s="24"/>
    </row>
    <row r="2" spans="1:13" s="72" customFormat="1" ht="15" customHeight="1" x14ac:dyDescent="0.25">
      <c r="A2" s="98"/>
      <c r="B2" s="22"/>
      <c r="C2" s="22"/>
      <c r="D2" s="22" t="str">
        <f>IFERROR(VLOOKUP(C2,C4:D1002,2,FALSE),"")</f>
        <v/>
      </c>
      <c r="E2" s="22"/>
      <c r="F2" s="22" t="str">
        <f>IFERROR(VLOOKUP(E2,E4:F1002,2,FALSE),"")</f>
        <v/>
      </c>
      <c r="G2" s="22"/>
      <c r="H2" s="22" t="str">
        <f>IFERROR(VLOOKUP(G2,G4:H1002,2,FALSE),"")</f>
        <v/>
      </c>
      <c r="I2" s="22"/>
      <c r="J2" s="22" t="str">
        <f>IFERROR(VLOOKUP(I2,I4:J1002,2,FALSE),"")</f>
        <v/>
      </c>
      <c r="K2" s="22"/>
      <c r="L2" s="22"/>
      <c r="M2" s="161" t="s">
        <v>185</v>
      </c>
    </row>
    <row r="3" spans="1:13" s="78" customFormat="1" ht="18" customHeight="1" x14ac:dyDescent="0.25">
      <c r="A3" s="101"/>
      <c r="B3" s="100" t="s">
        <v>7</v>
      </c>
      <c r="C3" s="157" t="s">
        <v>494</v>
      </c>
      <c r="D3" s="163"/>
      <c r="E3" s="100" t="s">
        <v>58</v>
      </c>
      <c r="F3" s="157" t="s">
        <v>495</v>
      </c>
      <c r="G3" s="163"/>
      <c r="H3" s="100" t="s">
        <v>492</v>
      </c>
      <c r="I3" s="157" t="s">
        <v>496</v>
      </c>
      <c r="J3" s="163"/>
      <c r="K3" s="100" t="s">
        <v>493</v>
      </c>
      <c r="L3" s="157" t="s">
        <v>497</v>
      </c>
      <c r="M3" s="162" t="s">
        <v>184</v>
      </c>
    </row>
    <row r="4" spans="1:13" ht="15.75" customHeight="1" x14ac:dyDescent="0.25">
      <c r="A4" s="74"/>
      <c r="B4" s="1" t="str">
        <f>IFERROR(VLOOKUP(A4,A6:B1004,2,FALSE),"")</f>
        <v/>
      </c>
      <c r="C4" s="159" t="s">
        <v>5</v>
      </c>
      <c r="E4" s="1" t="str">
        <f>IFERROR(VLOOKUP(D4,D6:E1004,2,FALSE),"")</f>
        <v/>
      </c>
      <c r="F4" s="1" t="s">
        <v>5</v>
      </c>
      <c r="H4" s="126" t="s">
        <v>5</v>
      </c>
      <c r="I4" s="126" t="s">
        <v>5</v>
      </c>
      <c r="K4" s="126" t="str">
        <f>IFERROR(VLOOKUP(J4,J6:K1004,2,FALSE),"")</f>
        <v/>
      </c>
      <c r="L4" s="126" t="s">
        <v>5</v>
      </c>
    </row>
    <row r="5" spans="1:13" ht="15.75" customHeight="1" x14ac:dyDescent="0.25">
      <c r="A5" s="74"/>
      <c r="B5" s="1" t="s">
        <v>152</v>
      </c>
      <c r="C5" s="159" t="s">
        <v>5</v>
      </c>
      <c r="E5" s="1" t="s">
        <v>5</v>
      </c>
      <c r="F5" s="1" t="s">
        <v>5</v>
      </c>
      <c r="H5" s="126" t="s">
        <v>5</v>
      </c>
      <c r="I5" s="126" t="s">
        <v>5</v>
      </c>
      <c r="K5" s="126" t="s">
        <v>5</v>
      </c>
      <c r="L5" s="126" t="s">
        <v>5</v>
      </c>
    </row>
    <row r="6" spans="1:13" ht="15.75" customHeight="1" x14ac:dyDescent="0.25">
      <c r="A6" s="74"/>
      <c r="B6" s="1" t="s">
        <v>155</v>
      </c>
      <c r="C6" s="159" t="s">
        <v>5</v>
      </c>
      <c r="E6" s="126" t="s">
        <v>815</v>
      </c>
      <c r="F6" s="126" t="s">
        <v>224</v>
      </c>
      <c r="H6" s="126" t="s">
        <v>329</v>
      </c>
      <c r="I6" s="126" t="s">
        <v>330</v>
      </c>
      <c r="K6" s="126" t="s">
        <v>820</v>
      </c>
      <c r="L6" s="126" t="s">
        <v>821</v>
      </c>
    </row>
    <row r="7" spans="1:13" ht="15.75" customHeight="1" x14ac:dyDescent="0.25">
      <c r="A7" s="74"/>
      <c r="B7" s="1" t="s">
        <v>144</v>
      </c>
      <c r="C7" s="159" t="s">
        <v>145</v>
      </c>
      <c r="E7" s="126" t="s">
        <v>816</v>
      </c>
      <c r="F7" s="126" t="s">
        <v>220</v>
      </c>
      <c r="H7" s="1" t="s">
        <v>817</v>
      </c>
      <c r="I7" s="1" t="s">
        <v>818</v>
      </c>
      <c r="K7" s="126" t="s">
        <v>239</v>
      </c>
      <c r="L7" s="126" t="s">
        <v>659</v>
      </c>
    </row>
    <row r="8" spans="1:13" ht="15.75" customHeight="1" x14ac:dyDescent="0.25">
      <c r="A8" s="74"/>
      <c r="B8" s="126" t="s">
        <v>156</v>
      </c>
      <c r="C8" s="126" t="s">
        <v>157</v>
      </c>
      <c r="E8" s="126" t="s">
        <v>824</v>
      </c>
      <c r="F8" s="126" t="s">
        <v>825</v>
      </c>
      <c r="H8" s="126" t="s">
        <v>146</v>
      </c>
      <c r="I8" s="126" t="s">
        <v>819</v>
      </c>
      <c r="K8" s="126" t="s">
        <v>829</v>
      </c>
      <c r="L8" s="126" t="s">
        <v>829</v>
      </c>
    </row>
    <row r="9" spans="1:13" ht="15.75" customHeight="1" x14ac:dyDescent="0.25">
      <c r="A9" s="74"/>
      <c r="B9" s="126" t="s">
        <v>153</v>
      </c>
      <c r="C9" s="126" t="s">
        <v>154</v>
      </c>
      <c r="E9" s="126" t="s">
        <v>158</v>
      </c>
      <c r="F9" s="126" t="s">
        <v>159</v>
      </c>
      <c r="H9" s="126" t="s">
        <v>822</v>
      </c>
      <c r="I9" s="126" t="s">
        <v>823</v>
      </c>
      <c r="K9" s="126" t="s">
        <v>851</v>
      </c>
      <c r="L9" s="126" t="s">
        <v>851</v>
      </c>
    </row>
    <row r="10" spans="1:13" ht="15.75" customHeight="1" x14ac:dyDescent="0.25">
      <c r="A10" s="74"/>
      <c r="B10" s="126" t="s">
        <v>160</v>
      </c>
      <c r="C10" s="126" t="s">
        <v>161</v>
      </c>
      <c r="E10" s="126" t="s">
        <v>830</v>
      </c>
      <c r="F10" s="126" t="s">
        <v>831</v>
      </c>
      <c r="H10" s="126" t="s">
        <v>147</v>
      </c>
      <c r="I10" s="126" t="s">
        <v>148</v>
      </c>
      <c r="K10" s="126" t="s">
        <v>853</v>
      </c>
      <c r="L10" s="126" t="s">
        <v>853</v>
      </c>
    </row>
    <row r="11" spans="1:13" ht="15.75" customHeight="1" x14ac:dyDescent="0.25">
      <c r="A11" s="74"/>
      <c r="B11" s="126" t="s">
        <v>163</v>
      </c>
      <c r="C11" s="126" t="s">
        <v>164</v>
      </c>
      <c r="E11" s="126" t="s">
        <v>833</v>
      </c>
      <c r="F11" s="126" t="s">
        <v>834</v>
      </c>
      <c r="H11" s="126" t="s">
        <v>149</v>
      </c>
      <c r="I11" s="126" t="s">
        <v>150</v>
      </c>
      <c r="K11"/>
      <c r="L11"/>
    </row>
    <row r="12" spans="1:13" ht="15.75" customHeight="1" x14ac:dyDescent="0.25">
      <c r="A12" s="74"/>
      <c r="B12"/>
      <c r="C12"/>
      <c r="E12" s="126" t="s">
        <v>835</v>
      </c>
      <c r="F12" s="126" t="s">
        <v>836</v>
      </c>
      <c r="H12" s="126" t="s">
        <v>826</v>
      </c>
      <c r="I12" s="126" t="s">
        <v>827</v>
      </c>
      <c r="K12"/>
      <c r="L12"/>
    </row>
    <row r="13" spans="1:13" ht="15.75" customHeight="1" x14ac:dyDescent="0.25">
      <c r="A13" s="74"/>
      <c r="B13"/>
      <c r="C13"/>
      <c r="E13" s="126" t="s">
        <v>838</v>
      </c>
      <c r="F13" s="126" t="s">
        <v>839</v>
      </c>
      <c r="H13" t="s">
        <v>82</v>
      </c>
      <c r="I13" t="s">
        <v>85</v>
      </c>
      <c r="K13"/>
      <c r="L13"/>
    </row>
    <row r="14" spans="1:13" ht="15.75" customHeight="1" x14ac:dyDescent="0.25">
      <c r="A14" s="74"/>
      <c r="B14"/>
      <c r="C14"/>
      <c r="E14" s="126" t="s">
        <v>138</v>
      </c>
      <c r="F14" s="126" t="s">
        <v>139</v>
      </c>
      <c r="H14" s="126" t="s">
        <v>828</v>
      </c>
      <c r="I14" s="126" t="s">
        <v>828</v>
      </c>
      <c r="K14"/>
      <c r="L14"/>
    </row>
    <row r="15" spans="1:13" ht="15.75" customHeight="1" x14ac:dyDescent="0.25">
      <c r="A15" s="74"/>
      <c r="B15"/>
      <c r="C15"/>
      <c r="E15" s="126" t="s">
        <v>841</v>
      </c>
      <c r="F15" s="126" t="s">
        <v>842</v>
      </c>
      <c r="H15" t="s">
        <v>832</v>
      </c>
      <c r="I15" t="s">
        <v>832</v>
      </c>
      <c r="K15"/>
      <c r="L15"/>
    </row>
    <row r="16" spans="1:13" ht="15.75" customHeight="1" x14ac:dyDescent="0.25">
      <c r="A16" s="74"/>
      <c r="B16"/>
      <c r="C16"/>
      <c r="E16" s="126" t="s">
        <v>843</v>
      </c>
      <c r="F16" s="126" t="s">
        <v>844</v>
      </c>
      <c r="H16" t="s">
        <v>837</v>
      </c>
      <c r="I16" t="s">
        <v>837</v>
      </c>
      <c r="K16"/>
      <c r="L16"/>
    </row>
    <row r="17" spans="1:12" ht="15.75" customHeight="1" x14ac:dyDescent="0.25">
      <c r="A17" s="74"/>
      <c r="B17"/>
      <c r="C17"/>
      <c r="E17" s="126" t="s">
        <v>845</v>
      </c>
      <c r="F17" s="126" t="s">
        <v>461</v>
      </c>
      <c r="H17" t="s">
        <v>840</v>
      </c>
      <c r="I17" t="s">
        <v>840</v>
      </c>
      <c r="K17"/>
      <c r="L17"/>
    </row>
    <row r="18" spans="1:12" ht="15.75" customHeight="1" x14ac:dyDescent="0.25">
      <c r="A18" s="74"/>
      <c r="B18"/>
      <c r="C18"/>
      <c r="E18" s="126" t="s">
        <v>849</v>
      </c>
      <c r="F18" s="126" t="s">
        <v>233</v>
      </c>
      <c r="H18" t="s">
        <v>140</v>
      </c>
      <c r="I18" t="s">
        <v>141</v>
      </c>
      <c r="K18"/>
      <c r="L18"/>
    </row>
    <row r="19" spans="1:12" ht="15.75" customHeight="1" x14ac:dyDescent="0.25">
      <c r="A19" s="74"/>
      <c r="B19"/>
      <c r="C19"/>
      <c r="E19" s="126" t="s">
        <v>162</v>
      </c>
      <c r="F19" s="126" t="s">
        <v>850</v>
      </c>
      <c r="H19" t="s">
        <v>151</v>
      </c>
      <c r="I19" t="s">
        <v>84</v>
      </c>
      <c r="K19"/>
      <c r="L19"/>
    </row>
    <row r="20" spans="1:12" ht="15.75" customHeight="1" x14ac:dyDescent="0.25">
      <c r="A20" s="74"/>
      <c r="B20"/>
      <c r="C20"/>
      <c r="E20" s="126" t="s">
        <v>854</v>
      </c>
      <c r="F20" s="126" t="s">
        <v>855</v>
      </c>
      <c r="H20" t="s">
        <v>87</v>
      </c>
      <c r="I20" t="s">
        <v>88</v>
      </c>
      <c r="K20"/>
      <c r="L20"/>
    </row>
    <row r="21" spans="1:12" ht="15.75" customHeight="1" x14ac:dyDescent="0.25">
      <c r="A21" s="74"/>
      <c r="B21"/>
      <c r="C21"/>
      <c r="E21" s="126" t="s">
        <v>858</v>
      </c>
      <c r="F21" s="126" t="s">
        <v>859</v>
      </c>
      <c r="H21" t="s">
        <v>688</v>
      </c>
      <c r="I21" t="s">
        <v>846</v>
      </c>
      <c r="K21"/>
      <c r="L21"/>
    </row>
    <row r="22" spans="1:12" ht="15.75" customHeight="1" x14ac:dyDescent="0.25">
      <c r="A22" s="74"/>
      <c r="B22"/>
      <c r="C22"/>
      <c r="E22" s="126" t="s">
        <v>860</v>
      </c>
      <c r="F22" s="126" t="s">
        <v>861</v>
      </c>
      <c r="H22" t="s">
        <v>847</v>
      </c>
      <c r="I22" t="s">
        <v>848</v>
      </c>
      <c r="K22"/>
      <c r="L22"/>
    </row>
    <row r="23" spans="1:12" ht="15.75" customHeight="1" x14ac:dyDescent="0.25">
      <c r="A23" s="74"/>
      <c r="B23"/>
      <c r="C23"/>
      <c r="E23" s="126" t="s">
        <v>862</v>
      </c>
      <c r="F23" s="126" t="s">
        <v>462</v>
      </c>
      <c r="H23" t="s">
        <v>49</v>
      </c>
      <c r="I23" t="s">
        <v>51</v>
      </c>
      <c r="K23"/>
      <c r="L23"/>
    </row>
    <row r="24" spans="1:12" ht="15.75" customHeight="1" x14ac:dyDescent="0.25">
      <c r="A24" s="74"/>
      <c r="B24"/>
      <c r="C24"/>
      <c r="E24" s="126" t="s">
        <v>863</v>
      </c>
      <c r="F24" s="126" t="s">
        <v>864</v>
      </c>
      <c r="H24" t="s">
        <v>506</v>
      </c>
      <c r="I24" t="s">
        <v>852</v>
      </c>
      <c r="K24"/>
      <c r="L24"/>
    </row>
    <row r="25" spans="1:12" ht="15.75" customHeight="1" x14ac:dyDescent="0.25">
      <c r="A25" s="74"/>
      <c r="B25"/>
      <c r="C25"/>
      <c r="E25" s="126" t="s">
        <v>865</v>
      </c>
      <c r="F25" s="126" t="s">
        <v>866</v>
      </c>
      <c r="H25" t="s">
        <v>856</v>
      </c>
      <c r="I25" t="s">
        <v>857</v>
      </c>
      <c r="K25"/>
      <c r="L25"/>
    </row>
    <row r="26" spans="1:12" ht="15.75" customHeight="1" x14ac:dyDescent="0.25">
      <c r="A26" s="74"/>
      <c r="B26"/>
      <c r="C26"/>
      <c r="E26" s="126" t="s">
        <v>867</v>
      </c>
      <c r="F26" s="126" t="s">
        <v>868</v>
      </c>
      <c r="H26" t="s">
        <v>853</v>
      </c>
      <c r="I26" t="s">
        <v>853</v>
      </c>
      <c r="K26"/>
      <c r="L26"/>
    </row>
    <row r="27" spans="1:12" ht="15.75" customHeight="1" x14ac:dyDescent="0.25">
      <c r="A27" s="74"/>
      <c r="B27"/>
      <c r="C27"/>
      <c r="E27" s="126" t="s">
        <v>869</v>
      </c>
      <c r="F27" s="126" t="s">
        <v>870</v>
      </c>
      <c r="H27" t="s">
        <v>879</v>
      </c>
      <c r="I27" t="s">
        <v>880</v>
      </c>
      <c r="K27"/>
      <c r="L27"/>
    </row>
    <row r="28" spans="1:12" ht="15.75" customHeight="1" x14ac:dyDescent="0.25">
      <c r="A28" s="74"/>
      <c r="B28"/>
      <c r="C28"/>
      <c r="E28" s="126" t="s">
        <v>871</v>
      </c>
      <c r="F28" s="126" t="s">
        <v>872</v>
      </c>
      <c r="H28"/>
      <c r="I28"/>
      <c r="K28"/>
      <c r="L28"/>
    </row>
    <row r="29" spans="1:12" ht="15.75" customHeight="1" x14ac:dyDescent="0.25">
      <c r="A29" s="74"/>
      <c r="B29"/>
      <c r="C29"/>
      <c r="E29" t="s">
        <v>873</v>
      </c>
      <c r="F29" t="s">
        <v>874</v>
      </c>
      <c r="H29"/>
      <c r="I29"/>
      <c r="K29"/>
      <c r="L29"/>
    </row>
    <row r="30" spans="1:12" ht="15.75" customHeight="1" x14ac:dyDescent="0.25">
      <c r="A30" s="74"/>
      <c r="B30"/>
      <c r="C30"/>
      <c r="E30" s="126" t="s">
        <v>875</v>
      </c>
      <c r="F30" s="126" t="s">
        <v>876</v>
      </c>
      <c r="H30"/>
      <c r="I30"/>
      <c r="K30"/>
      <c r="L30"/>
    </row>
    <row r="31" spans="1:12" ht="15.75" customHeight="1" x14ac:dyDescent="0.25">
      <c r="A31" s="74"/>
      <c r="B31"/>
      <c r="C31"/>
      <c r="E31" t="s">
        <v>877</v>
      </c>
      <c r="F31" t="s">
        <v>878</v>
      </c>
      <c r="H31"/>
      <c r="I31"/>
      <c r="K31"/>
      <c r="L31"/>
    </row>
    <row r="32" spans="1:12" ht="15.75" customHeight="1" x14ac:dyDescent="0.25">
      <c r="A32" s="74"/>
      <c r="B32"/>
      <c r="C32"/>
      <c r="E32" t="s">
        <v>881</v>
      </c>
      <c r="F32" t="s">
        <v>882</v>
      </c>
      <c r="H32"/>
      <c r="I32"/>
      <c r="K32"/>
      <c r="L32"/>
    </row>
    <row r="33" spans="1:12" ht="15.75" customHeight="1" x14ac:dyDescent="0.25">
      <c r="A33" s="74"/>
      <c r="B33"/>
      <c r="C33"/>
      <c r="E33" t="s">
        <v>883</v>
      </c>
      <c r="F33" t="s">
        <v>884</v>
      </c>
      <c r="H33"/>
      <c r="I33"/>
      <c r="K33"/>
      <c r="L33"/>
    </row>
    <row r="34" spans="1:12" ht="15.75" customHeight="1" x14ac:dyDescent="0.25">
      <c r="A34" s="74"/>
      <c r="B34"/>
      <c r="C34"/>
      <c r="E34" t="s">
        <v>885</v>
      </c>
      <c r="F34" t="s">
        <v>886</v>
      </c>
      <c r="H34"/>
      <c r="I34"/>
      <c r="K34"/>
      <c r="L34"/>
    </row>
    <row r="35" spans="1:12" ht="15.75" customHeight="1" x14ac:dyDescent="0.25">
      <c r="A35" s="74"/>
      <c r="B35"/>
      <c r="C35"/>
      <c r="E35" t="s">
        <v>887</v>
      </c>
      <c r="F35" t="s">
        <v>888</v>
      </c>
      <c r="H35"/>
      <c r="I35"/>
      <c r="K35"/>
      <c r="L35"/>
    </row>
    <row r="36" spans="1:12" ht="15.75" customHeight="1" x14ac:dyDescent="0.25">
      <c r="B36"/>
      <c r="C36"/>
      <c r="E36" t="s">
        <v>889</v>
      </c>
      <c r="F36" t="s">
        <v>890</v>
      </c>
      <c r="H36"/>
      <c r="I36"/>
      <c r="K36"/>
      <c r="L36"/>
    </row>
    <row r="37" spans="1:12" ht="15.75" customHeight="1" x14ac:dyDescent="0.25">
      <c r="B37"/>
      <c r="C37"/>
      <c r="E37" t="s">
        <v>891</v>
      </c>
      <c r="F37" t="s">
        <v>892</v>
      </c>
      <c r="H37"/>
      <c r="I37"/>
      <c r="K37"/>
      <c r="L37"/>
    </row>
    <row r="38" spans="1:12" ht="15.75" customHeight="1" x14ac:dyDescent="0.25">
      <c r="B38"/>
      <c r="C38"/>
      <c r="E38" t="s">
        <v>893</v>
      </c>
      <c r="F38" t="s">
        <v>894</v>
      </c>
      <c r="H38"/>
      <c r="I38"/>
      <c r="K38"/>
      <c r="L38"/>
    </row>
    <row r="39" spans="1:12" x14ac:dyDescent="0.25">
      <c r="B39"/>
      <c r="C39"/>
      <c r="E39" t="s">
        <v>895</v>
      </c>
      <c r="F39" t="s">
        <v>896</v>
      </c>
      <c r="H39"/>
      <c r="I39"/>
      <c r="K39"/>
      <c r="L39"/>
    </row>
    <row r="40" spans="1:12" x14ac:dyDescent="0.25">
      <c r="B40"/>
      <c r="C40"/>
      <c r="E40" t="s">
        <v>897</v>
      </c>
      <c r="F40" t="s">
        <v>898</v>
      </c>
      <c r="H40"/>
      <c r="I40"/>
      <c r="K40"/>
      <c r="L40"/>
    </row>
    <row r="41" spans="1:12" x14ac:dyDescent="0.25">
      <c r="B41"/>
      <c r="C41"/>
      <c r="E41" s="126" t="s">
        <v>899</v>
      </c>
      <c r="F41" s="126" t="s">
        <v>900</v>
      </c>
      <c r="H41"/>
      <c r="I41"/>
      <c r="K41"/>
      <c r="L41"/>
    </row>
    <row r="42" spans="1:12" x14ac:dyDescent="0.25">
      <c r="B42"/>
      <c r="C42"/>
      <c r="E42" s="126" t="s">
        <v>901</v>
      </c>
      <c r="F42" s="126" t="s">
        <v>245</v>
      </c>
      <c r="H42"/>
      <c r="I42"/>
      <c r="K42"/>
      <c r="L42"/>
    </row>
    <row r="43" spans="1:12" x14ac:dyDescent="0.25">
      <c r="B43"/>
      <c r="C43"/>
      <c r="E43" s="126" t="s">
        <v>902</v>
      </c>
      <c r="F43" s="126" t="s">
        <v>903</v>
      </c>
      <c r="H43"/>
      <c r="I43"/>
      <c r="K43"/>
      <c r="L43"/>
    </row>
    <row r="44" spans="1:12" x14ac:dyDescent="0.25">
      <c r="B44"/>
      <c r="C44"/>
      <c r="E44" s="126" t="s">
        <v>904</v>
      </c>
      <c r="F44" s="126" t="s">
        <v>905</v>
      </c>
      <c r="H44"/>
      <c r="I44"/>
      <c r="K44"/>
      <c r="L44"/>
    </row>
    <row r="45" spans="1:12" x14ac:dyDescent="0.25">
      <c r="B45"/>
      <c r="C45"/>
      <c r="E45" s="126" t="s">
        <v>906</v>
      </c>
      <c r="F45" s="126" t="s">
        <v>907</v>
      </c>
      <c r="H45"/>
      <c r="I45"/>
      <c r="K45"/>
      <c r="L45"/>
    </row>
    <row r="46" spans="1:12" x14ac:dyDescent="0.25">
      <c r="B46"/>
      <c r="C46"/>
      <c r="E46" s="126"/>
      <c r="F46" s="126"/>
      <c r="H46"/>
      <c r="I46"/>
      <c r="K46"/>
      <c r="L46"/>
    </row>
    <row r="47" spans="1:12" x14ac:dyDescent="0.25">
      <c r="B47"/>
      <c r="C47"/>
      <c r="E47"/>
      <c r="F47"/>
      <c r="H47"/>
      <c r="I47"/>
      <c r="K47"/>
      <c r="L47"/>
    </row>
    <row r="48" spans="1:12" x14ac:dyDescent="0.25">
      <c r="B48"/>
      <c r="C48"/>
      <c r="E48"/>
      <c r="F48"/>
      <c r="H48"/>
      <c r="I48"/>
      <c r="K48"/>
      <c r="L48"/>
    </row>
    <row r="49" spans="2:12" x14ac:dyDescent="0.25">
      <c r="B49"/>
      <c r="C49"/>
      <c r="E49"/>
      <c r="F49"/>
      <c r="H49"/>
      <c r="I49"/>
      <c r="K49"/>
      <c r="L49"/>
    </row>
    <row r="50" spans="2:12" x14ac:dyDescent="0.25">
      <c r="B50"/>
      <c r="C50"/>
      <c r="E50"/>
      <c r="F50"/>
      <c r="H50"/>
      <c r="I50"/>
      <c r="K50"/>
      <c r="L50"/>
    </row>
    <row r="51" spans="2:12" x14ac:dyDescent="0.25">
      <c r="B51"/>
      <c r="C51"/>
      <c r="E51"/>
      <c r="F51"/>
      <c r="H51"/>
      <c r="I51"/>
      <c r="K51"/>
      <c r="L51"/>
    </row>
    <row r="52" spans="2:12" x14ac:dyDescent="0.25">
      <c r="B52"/>
      <c r="C52"/>
      <c r="E52"/>
      <c r="F52"/>
      <c r="H52"/>
      <c r="I52"/>
      <c r="K52"/>
      <c r="L52"/>
    </row>
    <row r="53" spans="2:12" x14ac:dyDescent="0.25">
      <c r="B53"/>
      <c r="C53"/>
      <c r="E53"/>
      <c r="F53"/>
      <c r="H53"/>
      <c r="I53"/>
      <c r="K53"/>
      <c r="L53"/>
    </row>
    <row r="54" spans="2:12" x14ac:dyDescent="0.25">
      <c r="B54"/>
      <c r="C54"/>
      <c r="E54"/>
      <c r="F54"/>
      <c r="H54"/>
      <c r="I54"/>
      <c r="K54"/>
      <c r="L54"/>
    </row>
    <row r="55" spans="2:12" x14ac:dyDescent="0.25">
      <c r="B55"/>
      <c r="C55"/>
      <c r="E55"/>
      <c r="F55"/>
      <c r="H55"/>
      <c r="I55"/>
      <c r="K55"/>
      <c r="L55"/>
    </row>
    <row r="56" spans="2:12" x14ac:dyDescent="0.25">
      <c r="B56"/>
      <c r="C56"/>
      <c r="E56"/>
      <c r="F56"/>
      <c r="H56"/>
      <c r="I56"/>
      <c r="K56"/>
      <c r="L56"/>
    </row>
    <row r="57" spans="2:12" x14ac:dyDescent="0.25">
      <c r="B57"/>
      <c r="C57"/>
      <c r="E57"/>
      <c r="F57"/>
      <c r="H57"/>
      <c r="I57"/>
      <c r="K57"/>
      <c r="L57"/>
    </row>
    <row r="58" spans="2:12" x14ac:dyDescent="0.25">
      <c r="B58"/>
      <c r="C58"/>
      <c r="E58"/>
      <c r="F58"/>
      <c r="H58"/>
      <c r="I58"/>
      <c r="K58"/>
      <c r="L58"/>
    </row>
    <row r="59" spans="2:12" x14ac:dyDescent="0.25">
      <c r="B59"/>
      <c r="C59"/>
      <c r="E59"/>
      <c r="F59"/>
      <c r="H59"/>
      <c r="I59"/>
      <c r="K59"/>
      <c r="L59"/>
    </row>
    <row r="60" spans="2:12" x14ac:dyDescent="0.25">
      <c r="B60"/>
      <c r="C60"/>
      <c r="E60"/>
      <c r="F60"/>
      <c r="H60"/>
      <c r="I60"/>
      <c r="K60"/>
      <c r="L60"/>
    </row>
    <row r="61" spans="2:12" x14ac:dyDescent="0.25">
      <c r="B61"/>
      <c r="C61"/>
      <c r="E61"/>
      <c r="F61"/>
      <c r="H61"/>
      <c r="I61"/>
      <c r="K61"/>
      <c r="L61"/>
    </row>
    <row r="62" spans="2:12" x14ac:dyDescent="0.25">
      <c r="B62"/>
      <c r="C62"/>
      <c r="E62"/>
      <c r="F62"/>
      <c r="H62"/>
      <c r="I62"/>
      <c r="K62"/>
      <c r="L62"/>
    </row>
    <row r="63" spans="2:12" x14ac:dyDescent="0.25">
      <c r="B63"/>
      <c r="C63"/>
      <c r="E63"/>
      <c r="F63"/>
      <c r="H63"/>
      <c r="I63"/>
      <c r="K63"/>
      <c r="L63"/>
    </row>
    <row r="64" spans="2:12" x14ac:dyDescent="0.25">
      <c r="B64"/>
      <c r="C64"/>
      <c r="E64"/>
      <c r="F64"/>
      <c r="H64"/>
      <c r="I64"/>
      <c r="K64"/>
      <c r="L64"/>
    </row>
    <row r="65" spans="2:12" x14ac:dyDescent="0.25">
      <c r="B65"/>
      <c r="C65"/>
      <c r="E65"/>
      <c r="F65"/>
      <c r="H65"/>
      <c r="I65"/>
      <c r="K65"/>
      <c r="L65"/>
    </row>
    <row r="66" spans="2:12" x14ac:dyDescent="0.25">
      <c r="B66" s="1" t="s">
        <v>163</v>
      </c>
      <c r="C66" s="159" t="s">
        <v>164</v>
      </c>
      <c r="E66" s="1" t="s">
        <v>906</v>
      </c>
      <c r="F66" s="1" t="s">
        <v>907</v>
      </c>
      <c r="H66" s="1" t="s">
        <v>5</v>
      </c>
      <c r="I66" s="1" t="s">
        <v>5</v>
      </c>
      <c r="K66" s="1" t="s">
        <v>5</v>
      </c>
      <c r="L66" s="1" t="s">
        <v>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"/>
  <dimension ref="A1:BP2000"/>
  <sheetViews>
    <sheetView zoomScale="90" zoomScaleNormal="90" workbookViewId="0">
      <pane ySplit="3" topLeftCell="A4" activePane="bottomLeft" state="frozen"/>
      <selection pane="bottomLeft" activeCell="M4" sqref="M4:M2000"/>
    </sheetView>
  </sheetViews>
  <sheetFormatPr defaultColWidth="9.140625" defaultRowHeight="15.75" x14ac:dyDescent="0.25"/>
  <cols>
    <col min="1" max="1" width="5.28515625" style="104" customWidth="1"/>
    <col min="2" max="2" width="12.42578125" style="108" customWidth="1"/>
    <col min="3" max="3" width="25.85546875" style="1" customWidth="1"/>
    <col min="4" max="4" width="14.85546875" style="159" customWidth="1"/>
    <col min="5" max="5" width="42.140625" style="1" customWidth="1"/>
    <col min="6" max="6" width="14.42578125" style="1" customWidth="1"/>
    <col min="7" max="7" width="23.7109375" style="1" customWidth="1"/>
    <col min="8" max="8" width="12.42578125" style="1" customWidth="1"/>
    <col min="9" max="9" width="24.140625" style="1" customWidth="1"/>
    <col min="10" max="10" width="11.28515625" style="1" customWidth="1"/>
    <col min="11" max="11" width="35.140625" style="204" customWidth="1"/>
    <col min="12" max="12" width="8.7109375" style="160" customWidth="1"/>
    <col min="13" max="13" width="8.7109375" style="368" customWidth="1"/>
    <col min="14" max="14" width="9.140625" style="210"/>
    <col min="15" max="15" width="24.5703125" style="210" customWidth="1"/>
    <col min="16" max="16" width="12.42578125" style="297" customWidth="1"/>
    <col min="17" max="17" width="25.85546875" style="241" customWidth="1"/>
    <col min="18" max="18" width="14.85546875" style="317" customWidth="1"/>
    <col min="19" max="19" width="34.7109375" style="241" customWidth="1"/>
    <col min="20" max="20" width="14.42578125" style="241" customWidth="1"/>
    <col min="21" max="21" width="23.7109375" style="241" customWidth="1"/>
    <col min="22" max="22" width="12.42578125" style="241" customWidth="1"/>
    <col min="23" max="23" width="24.140625" style="241" customWidth="1"/>
    <col min="24" max="24" width="11.28515625" style="241" customWidth="1"/>
    <col min="25" max="25" width="35.140625" style="265" customWidth="1"/>
    <col min="26" max="27" width="8.7109375" style="318" customWidth="1"/>
    <col min="28" max="28" width="8" style="63" customWidth="1"/>
    <col min="29" max="29" width="12.5703125" style="108" customWidth="1"/>
    <col min="30" max="30" width="25.85546875" style="1" customWidth="1"/>
    <col min="31" max="31" width="12.140625" style="159" customWidth="1"/>
    <col min="32" max="32" width="23" style="1" customWidth="1"/>
    <col min="33" max="33" width="14.42578125" style="1" customWidth="1"/>
    <col min="34" max="34" width="23.7109375" style="1" customWidth="1"/>
    <col min="35" max="35" width="12.42578125" style="1" customWidth="1"/>
    <col min="36" max="36" width="24.140625" style="1" customWidth="1"/>
    <col min="37" max="37" width="11.28515625" style="1" customWidth="1"/>
    <col min="38" max="38" width="30.7109375" style="204" customWidth="1"/>
    <col min="39" max="39" width="8.7109375" style="160" customWidth="1"/>
    <col min="40" max="40" width="5.85546875" style="144" customWidth="1"/>
    <col min="41" max="41" width="9.140625" style="63"/>
    <col min="42" max="42" width="8" style="210" customWidth="1"/>
    <col min="43" max="43" width="43.7109375" style="226" customWidth="1"/>
    <col min="44" max="44" width="9.140625" style="210"/>
    <col min="45" max="45" width="28" style="210" customWidth="1"/>
    <col min="46" max="46" width="9.140625" style="210"/>
    <col min="47" max="47" width="27" style="226" customWidth="1"/>
    <col min="48" max="48" width="9.140625" style="210"/>
    <col min="49" max="49" width="9.140625" style="63"/>
    <col min="50" max="50" width="9.140625" style="273"/>
    <col min="51" max="52" width="9.140625" style="275"/>
    <col min="53" max="53" width="104.140625" style="275" customWidth="1"/>
    <col min="54" max="54" width="37.42578125" style="307" customWidth="1"/>
    <col min="55" max="55" width="9.140625" style="275"/>
    <col min="56" max="16384" width="9.140625" style="73"/>
  </cols>
  <sheetData>
    <row r="1" spans="1:68" s="7" customFormat="1" ht="15" customHeight="1" x14ac:dyDescent="0.25">
      <c r="A1" s="102"/>
      <c r="B1" s="106"/>
      <c r="C1" s="24"/>
      <c r="D1" s="153"/>
      <c r="E1" s="132"/>
      <c r="F1" s="24"/>
      <c r="G1" s="24"/>
      <c r="H1" s="24"/>
      <c r="I1" s="24"/>
      <c r="J1" s="24"/>
      <c r="K1" s="89"/>
      <c r="L1" s="154"/>
      <c r="M1" s="154"/>
      <c r="N1" s="311">
        <f>MAX(AB4:AB2000)</f>
        <v>21</v>
      </c>
      <c r="O1" s="210"/>
      <c r="P1" s="228"/>
      <c r="Q1" s="226"/>
      <c r="R1" s="229"/>
      <c r="S1" s="313"/>
      <c r="T1" s="226"/>
      <c r="U1" s="226"/>
      <c r="V1" s="226"/>
      <c r="W1" s="226"/>
      <c r="X1" s="226"/>
      <c r="Y1" s="230"/>
      <c r="Z1" s="231"/>
      <c r="AA1" s="231"/>
      <c r="AB1" s="52"/>
      <c r="AC1" s="106"/>
      <c r="AD1" s="24"/>
      <c r="AE1" s="153"/>
      <c r="AF1" s="132"/>
      <c r="AG1" s="24"/>
      <c r="AH1" s="24"/>
      <c r="AI1" s="24"/>
      <c r="AJ1" s="24"/>
      <c r="AK1" s="24"/>
      <c r="AL1" s="89"/>
      <c r="AM1" s="154"/>
      <c r="AN1" s="121"/>
      <c r="AO1" s="47"/>
      <c r="AP1" s="207">
        <v>42</v>
      </c>
      <c r="AQ1" s="207"/>
      <c r="AR1" s="207">
        <v>44</v>
      </c>
      <c r="AS1" s="207">
        <v>45</v>
      </c>
      <c r="AT1" s="207">
        <v>46</v>
      </c>
      <c r="AU1" s="258"/>
      <c r="AV1" s="259" t="s">
        <v>1482</v>
      </c>
      <c r="AW1" s="47"/>
      <c r="AX1" s="272"/>
      <c r="AY1" s="272"/>
      <c r="AZ1" s="272"/>
      <c r="BA1" s="272"/>
      <c r="BB1" s="305"/>
      <c r="BC1" s="272"/>
      <c r="BO1" s="7" t="s">
        <v>571</v>
      </c>
      <c r="BP1" s="7" t="s">
        <v>607</v>
      </c>
    </row>
    <row r="2" spans="1:68" s="72" customFormat="1" ht="0.95" customHeight="1" x14ac:dyDescent="0.25">
      <c r="A2" s="98"/>
      <c r="B2" s="107"/>
      <c r="C2" s="53" t="s">
        <v>144</v>
      </c>
      <c r="D2" s="53" t="str">
        <f>IFERROR(VLOOKUP(C2,C4:D1002,2,FALSE),"")</f>
        <v>CAF</v>
      </c>
      <c r="E2" s="53" t="s">
        <v>824</v>
      </c>
      <c r="F2" s="54" t="str">
        <f>IFERROR(VLOOKUP(E2,E4:F1002,2,FALSE),"")</f>
        <v>LAD</v>
      </c>
      <c r="G2" s="53" t="s">
        <v>688</v>
      </c>
      <c r="H2" s="54" t="str">
        <f>IFERROR(VLOOKUP(G2,G4:H1002,2,FALSE),"")</f>
        <v>DOR</v>
      </c>
      <c r="I2" s="53" t="s">
        <v>5</v>
      </c>
      <c r="J2" s="54" t="str">
        <f>IFERROR(VLOOKUP(I2,I4:J1002,2,FALSE),"")</f>
        <v>-</v>
      </c>
      <c r="K2" s="252"/>
      <c r="L2" s="155"/>
      <c r="M2" s="155"/>
      <c r="N2" s="210">
        <f>COUNTA(AA4:AA2000)</f>
        <v>60</v>
      </c>
      <c r="O2" s="230" t="s">
        <v>9</v>
      </c>
      <c r="P2" s="369"/>
      <c r="Q2" s="211"/>
      <c r="R2" s="211"/>
      <c r="S2" s="211"/>
      <c r="T2" s="211"/>
      <c r="U2" s="211"/>
      <c r="V2" s="211"/>
      <c r="W2" s="211"/>
      <c r="X2" s="211"/>
      <c r="Y2" s="265"/>
      <c r="Z2" s="370"/>
      <c r="AA2" s="370"/>
      <c r="AB2" s="63"/>
      <c r="AC2" s="107"/>
      <c r="AD2" s="249" t="s">
        <v>144</v>
      </c>
      <c r="AE2" s="249" t="s">
        <v>145</v>
      </c>
      <c r="AF2" s="249" t="s">
        <v>824</v>
      </c>
      <c r="AG2" s="249" t="s">
        <v>825</v>
      </c>
      <c r="AH2" s="249" t="s">
        <v>688</v>
      </c>
      <c r="AI2" s="249" t="s">
        <v>846</v>
      </c>
      <c r="AJ2" s="249" t="s">
        <v>5</v>
      </c>
      <c r="AK2" s="249" t="s">
        <v>5</v>
      </c>
      <c r="AL2" s="252"/>
      <c r="AM2" s="155"/>
      <c r="AN2" s="137"/>
      <c r="AO2" s="63"/>
      <c r="AP2" s="225">
        <f>COUNT(AP4:AP1000)</f>
        <v>0</v>
      </c>
      <c r="AQ2" s="226"/>
      <c r="AR2" s="210"/>
      <c r="AS2" s="210"/>
      <c r="AT2" s="210"/>
      <c r="AU2" s="226"/>
      <c r="AV2" s="227" t="str">
        <f>AV1&amp;"\"&amp;AS4</f>
        <v>G:\Shared drives\02.Collabo\01.Project Level\0000.Potential Projects\BIM 4D-5D\01. WIP\2D-3D\03. MEP\05. Families\P\Supports_done\</v>
      </c>
      <c r="AW2" s="63"/>
      <c r="AX2" s="272"/>
      <c r="AY2" s="273"/>
      <c r="AZ2" s="273"/>
      <c r="BA2" s="273"/>
      <c r="BB2" s="305"/>
      <c r="BC2" s="273"/>
      <c r="BO2" s="72" t="s">
        <v>604</v>
      </c>
    </row>
    <row r="3" spans="1:68" s="78" customFormat="1" ht="18" customHeight="1" x14ac:dyDescent="0.25">
      <c r="A3" s="101"/>
      <c r="B3" s="156" t="s">
        <v>475</v>
      </c>
      <c r="C3" s="100" t="s">
        <v>7</v>
      </c>
      <c r="D3" s="157" t="s">
        <v>510</v>
      </c>
      <c r="E3" s="100" t="s">
        <v>555</v>
      </c>
      <c r="F3" s="157" t="s">
        <v>495</v>
      </c>
      <c r="G3" s="100" t="s">
        <v>560</v>
      </c>
      <c r="H3" s="157" t="s">
        <v>496</v>
      </c>
      <c r="I3" s="100" t="s">
        <v>561</v>
      </c>
      <c r="J3" s="157" t="s">
        <v>497</v>
      </c>
      <c r="K3" s="100" t="s">
        <v>9</v>
      </c>
      <c r="L3" s="158" t="s">
        <v>499</v>
      </c>
      <c r="M3" s="367" t="s">
        <v>498</v>
      </c>
      <c r="N3" s="312">
        <f>MAX(M:M)</f>
        <v>88</v>
      </c>
      <c r="O3" s="230"/>
      <c r="P3" s="314" t="s">
        <v>475</v>
      </c>
      <c r="Q3" s="265" t="s">
        <v>7</v>
      </c>
      <c r="R3" s="315" t="s">
        <v>510</v>
      </c>
      <c r="S3" s="265" t="s">
        <v>555</v>
      </c>
      <c r="T3" s="315" t="s">
        <v>495</v>
      </c>
      <c r="U3" s="265" t="s">
        <v>560</v>
      </c>
      <c r="V3" s="315" t="s">
        <v>496</v>
      </c>
      <c r="W3" s="265" t="s">
        <v>561</v>
      </c>
      <c r="X3" s="315" t="s">
        <v>497</v>
      </c>
      <c r="Y3" s="265" t="s">
        <v>9</v>
      </c>
      <c r="Z3" s="316" t="s">
        <v>499</v>
      </c>
      <c r="AA3" s="316" t="s">
        <v>498</v>
      </c>
      <c r="AB3" s="63"/>
      <c r="AC3" s="156" t="s">
        <v>475</v>
      </c>
      <c r="AD3" s="100" t="s">
        <v>7</v>
      </c>
      <c r="AE3" s="157" t="s">
        <v>510</v>
      </c>
      <c r="AF3" s="100" t="s">
        <v>555</v>
      </c>
      <c r="AG3" s="157" t="s">
        <v>495</v>
      </c>
      <c r="AH3" s="100" t="s">
        <v>560</v>
      </c>
      <c r="AI3" s="157" t="s">
        <v>496</v>
      </c>
      <c r="AJ3" s="100" t="s">
        <v>561</v>
      </c>
      <c r="AK3" s="157" t="s">
        <v>497</v>
      </c>
      <c r="AL3" s="100" t="s">
        <v>9</v>
      </c>
      <c r="AM3" s="158" t="s">
        <v>499</v>
      </c>
      <c r="AN3" s="139" t="s">
        <v>498</v>
      </c>
      <c r="AO3" s="83"/>
      <c r="AP3" s="260"/>
      <c r="AQ3" s="260"/>
      <c r="AR3" s="260" t="s">
        <v>498</v>
      </c>
      <c r="AS3" s="225" t="s">
        <v>505</v>
      </c>
      <c r="AT3" s="260" t="s">
        <v>498</v>
      </c>
      <c r="AU3" s="230" t="s">
        <v>504</v>
      </c>
      <c r="AV3" s="227" t="str">
        <f>AV1&amp;"\"&amp;AU4</f>
        <v>G:\Shared drives\02.Collabo\01.Project Level\0000.Potential Projects\BIM 4D-5D\01. WIP\2D-3D\03. MEP\05. Families\P\Supports_done\</v>
      </c>
      <c r="AW3" s="83"/>
      <c r="AX3" s="274"/>
      <c r="AY3" s="274"/>
      <c r="AZ3" s="274"/>
      <c r="BA3" s="274"/>
      <c r="BB3" s="304"/>
      <c r="BC3" s="274"/>
      <c r="BO3" s="78" t="s">
        <v>572</v>
      </c>
    </row>
    <row r="4" spans="1:68" ht="15.75" customHeight="1" x14ac:dyDescent="0.25">
      <c r="A4" s="74"/>
      <c r="B4" s="108" t="s">
        <v>185</v>
      </c>
      <c r="C4" s="1" t="s">
        <v>152</v>
      </c>
      <c r="D4" s="159" t="s">
        <v>5</v>
      </c>
      <c r="E4" s="1" t="s">
        <v>5</v>
      </c>
      <c r="F4" s="1" t="s">
        <v>5</v>
      </c>
      <c r="G4" s="1" t="s">
        <v>5</v>
      </c>
      <c r="H4" s="1" t="s">
        <v>5</v>
      </c>
      <c r="I4" s="1" t="s">
        <v>5</v>
      </c>
      <c r="J4" s="1" t="s">
        <v>5</v>
      </c>
      <c r="K4" s="204" t="s">
        <v>459</v>
      </c>
      <c r="L4" s="160" t="s">
        <v>253</v>
      </c>
      <c r="M4" s="375">
        <v>1</v>
      </c>
      <c r="O4" s="210" t="s">
        <v>1504</v>
      </c>
      <c r="P4" s="297" t="s">
        <v>185</v>
      </c>
      <c r="Q4" s="241" t="s">
        <v>152</v>
      </c>
      <c r="R4" s="317" t="s">
        <v>5</v>
      </c>
      <c r="S4" s="241" t="s">
        <v>5</v>
      </c>
      <c r="T4" s="241" t="s">
        <v>5</v>
      </c>
      <c r="U4" s="241" t="s">
        <v>5</v>
      </c>
      <c r="V4" s="241" t="s">
        <v>5</v>
      </c>
      <c r="W4" s="241" t="s">
        <v>5</v>
      </c>
      <c r="X4" s="241" t="s">
        <v>5</v>
      </c>
      <c r="Y4" s="265" t="s">
        <v>459</v>
      </c>
      <c r="Z4" s="318" t="s">
        <v>253</v>
      </c>
      <c r="AA4" s="376">
        <v>1</v>
      </c>
      <c r="AB4" s="63">
        <f>IF(Z4="","",Z4*1)</f>
        <v>1</v>
      </c>
      <c r="AC4" s="108" t="s">
        <v>185</v>
      </c>
      <c r="AD4" s="1" t="s">
        <v>152</v>
      </c>
      <c r="AE4" s="159" t="s">
        <v>5</v>
      </c>
      <c r="AF4" s="1" t="s">
        <v>5</v>
      </c>
      <c r="AG4" s="1" t="s">
        <v>5</v>
      </c>
      <c r="AH4" s="1" t="s">
        <v>5</v>
      </c>
      <c r="AI4" s="1" t="s">
        <v>5</v>
      </c>
      <c r="AJ4" s="1" t="s">
        <v>5</v>
      </c>
      <c r="AK4" s="1" t="s">
        <v>5</v>
      </c>
      <c r="AL4" s="204" t="s">
        <v>459</v>
      </c>
      <c r="AM4" s="160" t="s">
        <v>253</v>
      </c>
      <c r="AN4" s="142">
        <v>1</v>
      </c>
      <c r="AO4" s="83"/>
      <c r="AP4" s="210" t="str">
        <f>IF(AQ4="","",AP3+1)</f>
        <v/>
      </c>
      <c r="AQ4" s="263"/>
      <c r="AR4" s="210" t="str">
        <f>AP4</f>
        <v/>
      </c>
      <c r="AS4" s="267"/>
      <c r="AT4" s="210">
        <v>1</v>
      </c>
      <c r="AU4" s="266"/>
      <c r="AV4" s="227" t="str">
        <f>AV1&amp;"\"&amp;AS5</f>
        <v>G:\Shared drives\02.Collabo\01.Project Level\0000.Potential Projects\BIM 4D-5D\01. WIP\2D-3D\03. MEP\05. Families\P\Supports_done\P_SUP_USM_39.rfa</v>
      </c>
      <c r="AW4" s="83"/>
      <c r="BB4" s="306" t="str">
        <f>IF(AQ4="","",LEFT(AQ4,SEARCH(".",AQ4)-1))</f>
        <v/>
      </c>
      <c r="BO4" s="73" t="s">
        <v>607</v>
      </c>
    </row>
    <row r="5" spans="1:68" ht="15.75" customHeight="1" x14ac:dyDescent="0.25">
      <c r="A5" s="74"/>
      <c r="B5" s="108" t="s">
        <v>185</v>
      </c>
      <c r="C5" s="1" t="s">
        <v>152</v>
      </c>
      <c r="D5" s="159" t="s">
        <v>5</v>
      </c>
      <c r="E5" s="1" t="s">
        <v>5</v>
      </c>
      <c r="F5" s="1" t="s">
        <v>5</v>
      </c>
      <c r="G5" s="1" t="s">
        <v>5</v>
      </c>
      <c r="H5" s="1" t="s">
        <v>5</v>
      </c>
      <c r="I5" s="1" t="s">
        <v>5</v>
      </c>
      <c r="J5" s="1" t="s">
        <v>5</v>
      </c>
      <c r="K5" s="204" t="s">
        <v>460</v>
      </c>
      <c r="L5" s="160" t="s">
        <v>254</v>
      </c>
      <c r="M5" s="375">
        <v>2</v>
      </c>
      <c r="P5" s="297" t="s">
        <v>185</v>
      </c>
      <c r="Q5" s="241" t="s">
        <v>152</v>
      </c>
      <c r="R5" s="317" t="s">
        <v>5</v>
      </c>
      <c r="S5" s="241" t="s">
        <v>5</v>
      </c>
      <c r="T5" s="241" t="s">
        <v>5</v>
      </c>
      <c r="U5" s="241" t="s">
        <v>5</v>
      </c>
      <c r="V5" s="241" t="s">
        <v>5</v>
      </c>
      <c r="W5" s="241" t="s">
        <v>5</v>
      </c>
      <c r="X5" s="241" t="s">
        <v>5</v>
      </c>
      <c r="Y5" s="265" t="s">
        <v>460</v>
      </c>
      <c r="Z5" s="318" t="s">
        <v>254</v>
      </c>
      <c r="AA5" s="376">
        <v>2</v>
      </c>
      <c r="AB5" s="63">
        <f t="shared" ref="AB5:AB68" si="0">IF(Z5="","",Z5*1)</f>
        <v>2</v>
      </c>
      <c r="AC5" s="108" t="s">
        <v>185</v>
      </c>
      <c r="AD5" s="1" t="s">
        <v>152</v>
      </c>
      <c r="AE5" s="159" t="s">
        <v>5</v>
      </c>
      <c r="AF5" s="1" t="s">
        <v>5</v>
      </c>
      <c r="AG5" s="1" t="s">
        <v>5</v>
      </c>
      <c r="AH5" s="1" t="s">
        <v>5</v>
      </c>
      <c r="AI5" s="1" t="s">
        <v>5</v>
      </c>
      <c r="AJ5" s="1" t="s">
        <v>5</v>
      </c>
      <c r="AK5" s="1" t="s">
        <v>5</v>
      </c>
      <c r="AL5" s="204" t="s">
        <v>460</v>
      </c>
      <c r="AM5" s="160" t="s">
        <v>254</v>
      </c>
      <c r="AN5" s="145">
        <v>2</v>
      </c>
      <c r="AP5" s="210" t="str">
        <f>IF(AQ5="","",AP4+1)</f>
        <v/>
      </c>
      <c r="AQ5" s="263"/>
      <c r="AR5" s="210">
        <v>2</v>
      </c>
      <c r="AS5" s="217" t="s">
        <v>1483</v>
      </c>
      <c r="AT5" s="210">
        <v>2</v>
      </c>
      <c r="AU5" s="263" t="s">
        <v>554</v>
      </c>
      <c r="AV5" s="227" t="str">
        <f>AV1&amp;"\"&amp;AU5</f>
        <v>G:\Shared drives\02.Collabo\01.Project Level\0000.Potential Projects\BIM 4D-5D\01. WIP\2D-3D\03. MEP\05. Families\P\Supports_done\P_PIA_WMT_3VA_2ME_5555.txt</v>
      </c>
      <c r="BB5" s="306" t="str">
        <f t="shared" ref="BB5:BB68" si="1">IF(AQ5="","",LEFT(AQ5,SEARCH(".",AQ5)-1))</f>
        <v/>
      </c>
      <c r="BO5" s="73" t="s">
        <v>573</v>
      </c>
    </row>
    <row r="6" spans="1:68" ht="15.75" customHeight="1" x14ac:dyDescent="0.25">
      <c r="A6" s="74"/>
      <c r="B6" s="108" t="s">
        <v>185</v>
      </c>
      <c r="C6" s="1" t="s">
        <v>155</v>
      </c>
      <c r="D6" s="159" t="s">
        <v>5</v>
      </c>
      <c r="E6" s="1" t="s">
        <v>5</v>
      </c>
      <c r="F6" s="1" t="s">
        <v>5</v>
      </c>
      <c r="G6" s="1" t="s">
        <v>5</v>
      </c>
      <c r="H6" s="1" t="s">
        <v>5</v>
      </c>
      <c r="I6" s="1" t="s">
        <v>5</v>
      </c>
      <c r="J6" s="1" t="s">
        <v>5</v>
      </c>
      <c r="K6" s="204" t="s">
        <v>294</v>
      </c>
      <c r="L6" s="160" t="s">
        <v>253</v>
      </c>
      <c r="M6" s="375">
        <v>3</v>
      </c>
      <c r="P6" s="297" t="s">
        <v>185</v>
      </c>
      <c r="Q6" s="241" t="s">
        <v>155</v>
      </c>
      <c r="R6" s="317" t="s">
        <v>5</v>
      </c>
      <c r="S6" s="241" t="s">
        <v>5</v>
      </c>
      <c r="T6" s="241" t="s">
        <v>5</v>
      </c>
      <c r="U6" s="241" t="s">
        <v>5</v>
      </c>
      <c r="V6" s="241" t="s">
        <v>5</v>
      </c>
      <c r="W6" s="241" t="s">
        <v>5</v>
      </c>
      <c r="X6" s="241" t="s">
        <v>5</v>
      </c>
      <c r="Y6" s="265" t="s">
        <v>294</v>
      </c>
      <c r="Z6" s="318" t="s">
        <v>253</v>
      </c>
      <c r="AA6" s="376">
        <v>3</v>
      </c>
      <c r="AB6" s="63">
        <f t="shared" si="0"/>
        <v>1</v>
      </c>
      <c r="AC6" s="108" t="s">
        <v>185</v>
      </c>
      <c r="AD6" s="1" t="s">
        <v>155</v>
      </c>
      <c r="AE6" s="159" t="s">
        <v>5</v>
      </c>
      <c r="AF6" s="1" t="s">
        <v>5</v>
      </c>
      <c r="AG6" s="1" t="s">
        <v>5</v>
      </c>
      <c r="AH6" s="1" t="s">
        <v>5</v>
      </c>
      <c r="AI6" s="1" t="s">
        <v>5</v>
      </c>
      <c r="AJ6" s="1" t="s">
        <v>5</v>
      </c>
      <c r="AK6" s="1" t="s">
        <v>5</v>
      </c>
      <c r="AL6" s="204" t="s">
        <v>294</v>
      </c>
      <c r="AM6" s="160" t="s">
        <v>253</v>
      </c>
      <c r="AN6" s="145">
        <v>3</v>
      </c>
      <c r="AP6" s="210" t="str">
        <f t="shared" ref="AP6:AP69" si="2">IF(AQ6="","",AP5+1)</f>
        <v/>
      </c>
      <c r="AQ6" s="263"/>
      <c r="AR6" s="210" t="str">
        <f t="shared" ref="AR6:AR69" si="3">IF(AP6="","",AP6)</f>
        <v/>
      </c>
      <c r="AS6" s="217"/>
      <c r="AU6" s="263"/>
      <c r="AV6" s="217"/>
      <c r="BB6" s="306" t="str">
        <f t="shared" si="1"/>
        <v/>
      </c>
      <c r="BO6" s="73" t="s">
        <v>605</v>
      </c>
    </row>
    <row r="7" spans="1:68" ht="15.75" customHeight="1" x14ac:dyDescent="0.25">
      <c r="A7" s="74"/>
      <c r="B7" s="108" t="s">
        <v>184</v>
      </c>
      <c r="C7" s="1" t="s">
        <v>144</v>
      </c>
      <c r="D7" s="159" t="s">
        <v>145</v>
      </c>
      <c r="E7" s="1" t="s">
        <v>815</v>
      </c>
      <c r="F7" s="1" t="s">
        <v>224</v>
      </c>
      <c r="G7" s="1" t="s">
        <v>329</v>
      </c>
      <c r="H7" s="1" t="s">
        <v>330</v>
      </c>
      <c r="I7" s="1" t="s">
        <v>5</v>
      </c>
      <c r="J7" s="1" t="s">
        <v>5</v>
      </c>
      <c r="K7" s="94" t="str">
        <f t="shared" ref="K7:K38" si="4">IF(OR(J7="-",J7=""),IF(OR(H7="-",H7=""),CONCATENATE("E","_",D7,"_",F7,"_",TEXT(L7,"00")),CONCATENATE("E","_",D7,"_",F7,"_",H7,"_",TEXT(L7,"00"))),CONCATENATE("E","_",D7,"_",F7,"_",H7,"_",J7,"_",TEXT(L7,"00")))</f>
        <v>E_CAF_CAB_RED_01</v>
      </c>
      <c r="L7" s="160" t="s">
        <v>253</v>
      </c>
      <c r="M7" s="375">
        <v>36</v>
      </c>
      <c r="O7" s="230" t="str">
        <f>K3</f>
        <v>Falimy Name</v>
      </c>
      <c r="P7" s="297" t="s">
        <v>184</v>
      </c>
      <c r="Q7" s="241" t="s">
        <v>144</v>
      </c>
      <c r="R7" s="317" t="s">
        <v>145</v>
      </c>
      <c r="S7" s="241" t="s">
        <v>815</v>
      </c>
      <c r="T7" s="241" t="s">
        <v>224</v>
      </c>
      <c r="U7" s="241" t="s">
        <v>329</v>
      </c>
      <c r="V7" s="241" t="s">
        <v>330</v>
      </c>
      <c r="W7" s="241" t="s">
        <v>5</v>
      </c>
      <c r="X7" s="241" t="s">
        <v>5</v>
      </c>
      <c r="Y7" s="215" t="s">
        <v>908</v>
      </c>
      <c r="Z7" s="318" t="s">
        <v>253</v>
      </c>
      <c r="AA7" s="376">
        <v>36</v>
      </c>
      <c r="AB7" s="63">
        <f t="shared" si="0"/>
        <v>1</v>
      </c>
      <c r="AC7" s="108" t="s">
        <v>184</v>
      </c>
      <c r="AD7" s="1" t="s">
        <v>144</v>
      </c>
      <c r="AE7" s="159" t="s">
        <v>145</v>
      </c>
      <c r="AF7" s="1" t="s">
        <v>815</v>
      </c>
      <c r="AG7" s="1" t="s">
        <v>224</v>
      </c>
      <c r="AH7" s="1" t="s">
        <v>329</v>
      </c>
      <c r="AI7" s="1" t="s">
        <v>330</v>
      </c>
      <c r="AJ7" s="1" t="s">
        <v>5</v>
      </c>
      <c r="AK7" s="1" t="s">
        <v>5</v>
      </c>
      <c r="AL7" s="94" t="s">
        <v>908</v>
      </c>
      <c r="AM7" s="160" t="s">
        <v>253</v>
      </c>
      <c r="AN7" s="145">
        <v>36</v>
      </c>
      <c r="AP7" s="210" t="str">
        <f t="shared" si="2"/>
        <v/>
      </c>
      <c r="AQ7" s="263"/>
      <c r="AR7" s="210" t="str">
        <f t="shared" si="3"/>
        <v/>
      </c>
      <c r="AS7" s="217"/>
      <c r="AU7" s="263"/>
      <c r="AV7" s="217"/>
      <c r="BB7" s="306" t="str">
        <f t="shared" si="1"/>
        <v/>
      </c>
      <c r="BO7" s="73" t="s">
        <v>574</v>
      </c>
    </row>
    <row r="8" spans="1:68" ht="15.75" customHeight="1" x14ac:dyDescent="0.25">
      <c r="A8" s="74"/>
      <c r="B8" s="108" t="s">
        <v>184</v>
      </c>
      <c r="C8" s="1" t="s">
        <v>144</v>
      </c>
      <c r="D8" s="159" t="s">
        <v>145</v>
      </c>
      <c r="E8" s="1" t="s">
        <v>816</v>
      </c>
      <c r="F8" s="1" t="s">
        <v>220</v>
      </c>
      <c r="G8" s="1" t="s">
        <v>817</v>
      </c>
      <c r="H8" s="1" t="s">
        <v>818</v>
      </c>
      <c r="I8" s="1" t="s">
        <v>5</v>
      </c>
      <c r="J8" s="1" t="s">
        <v>5</v>
      </c>
      <c r="K8" s="94" t="str">
        <f t="shared" si="4"/>
        <v>E_CAF_CHA_H4W_03</v>
      </c>
      <c r="L8" s="160" t="s">
        <v>255</v>
      </c>
      <c r="M8" s="375">
        <v>38</v>
      </c>
      <c r="O8" s="230" t="str">
        <f>C3</f>
        <v>Categories</v>
      </c>
      <c r="P8" s="297" t="s">
        <v>184</v>
      </c>
      <c r="Q8" s="241" t="s">
        <v>144</v>
      </c>
      <c r="R8" s="317" t="s">
        <v>145</v>
      </c>
      <c r="S8" s="241" t="s">
        <v>816</v>
      </c>
      <c r="T8" s="241" t="s">
        <v>220</v>
      </c>
      <c r="U8" s="241" t="s">
        <v>817</v>
      </c>
      <c r="V8" s="241" t="s">
        <v>818</v>
      </c>
      <c r="W8" s="241" t="s">
        <v>5</v>
      </c>
      <c r="X8" s="241" t="s">
        <v>5</v>
      </c>
      <c r="Y8" s="215" t="s">
        <v>909</v>
      </c>
      <c r="Z8" s="318" t="s">
        <v>255</v>
      </c>
      <c r="AA8" s="376">
        <v>38</v>
      </c>
      <c r="AB8" s="63">
        <f t="shared" si="0"/>
        <v>3</v>
      </c>
      <c r="AC8" s="108" t="s">
        <v>184</v>
      </c>
      <c r="AD8" s="1" t="s">
        <v>144</v>
      </c>
      <c r="AE8" s="159" t="s">
        <v>145</v>
      </c>
      <c r="AF8" s="1" t="s">
        <v>816</v>
      </c>
      <c r="AG8" s="1" t="s">
        <v>220</v>
      </c>
      <c r="AH8" s="1" t="s">
        <v>817</v>
      </c>
      <c r="AI8" s="1" t="s">
        <v>818</v>
      </c>
      <c r="AJ8" s="1" t="s">
        <v>5</v>
      </c>
      <c r="AK8" s="1" t="s">
        <v>5</v>
      </c>
      <c r="AL8" s="94" t="s">
        <v>909</v>
      </c>
      <c r="AM8" s="160" t="s">
        <v>255</v>
      </c>
      <c r="AN8" s="145">
        <v>38</v>
      </c>
      <c r="AP8" s="210" t="str">
        <f t="shared" si="2"/>
        <v/>
      </c>
      <c r="AQ8" s="263"/>
      <c r="AR8" s="210" t="str">
        <f t="shared" si="3"/>
        <v/>
      </c>
      <c r="AS8" s="217"/>
      <c r="AU8" s="263"/>
      <c r="AV8" s="217"/>
      <c r="BB8" s="306" t="str">
        <f t="shared" si="1"/>
        <v/>
      </c>
      <c r="BO8" s="73" t="s">
        <v>606</v>
      </c>
    </row>
    <row r="9" spans="1:68" ht="15.75" customHeight="1" x14ac:dyDescent="0.25">
      <c r="A9" s="74"/>
      <c r="B9" s="108" t="s">
        <v>184</v>
      </c>
      <c r="C9" s="1" t="s">
        <v>144</v>
      </c>
      <c r="D9" s="159" t="s">
        <v>145</v>
      </c>
      <c r="E9" s="1" t="s">
        <v>816</v>
      </c>
      <c r="F9" s="1" t="s">
        <v>220</v>
      </c>
      <c r="G9" s="1" t="s">
        <v>146</v>
      </c>
      <c r="H9" s="1" t="s">
        <v>819</v>
      </c>
      <c r="I9" s="1" t="s">
        <v>5</v>
      </c>
      <c r="J9" s="1" t="s">
        <v>5</v>
      </c>
      <c r="K9" s="94" t="str">
        <f t="shared" si="4"/>
        <v>E_CAF_CHA_HOB_04</v>
      </c>
      <c r="L9" s="160" t="s">
        <v>256</v>
      </c>
      <c r="M9" s="375">
        <v>39</v>
      </c>
      <c r="O9" s="230" t="str">
        <f>E3</f>
        <v>Types</v>
      </c>
      <c r="P9" s="297" t="s">
        <v>184</v>
      </c>
      <c r="Q9" s="241" t="s">
        <v>144</v>
      </c>
      <c r="R9" s="317" t="s">
        <v>145</v>
      </c>
      <c r="S9" s="241" t="s">
        <v>816</v>
      </c>
      <c r="T9" s="241" t="s">
        <v>220</v>
      </c>
      <c r="U9" s="241" t="s">
        <v>146</v>
      </c>
      <c r="V9" s="241" t="s">
        <v>819</v>
      </c>
      <c r="W9" s="241" t="s">
        <v>5</v>
      </c>
      <c r="X9" s="241" t="s">
        <v>5</v>
      </c>
      <c r="Y9" s="215" t="s">
        <v>910</v>
      </c>
      <c r="Z9" s="318" t="s">
        <v>256</v>
      </c>
      <c r="AA9" s="376">
        <v>39</v>
      </c>
      <c r="AB9" s="63">
        <f t="shared" si="0"/>
        <v>4</v>
      </c>
      <c r="AC9" s="108" t="s">
        <v>184</v>
      </c>
      <c r="AD9" s="1" t="s">
        <v>144</v>
      </c>
      <c r="AE9" s="159" t="s">
        <v>145</v>
      </c>
      <c r="AF9" s="1" t="s">
        <v>816</v>
      </c>
      <c r="AG9" s="1" t="s">
        <v>220</v>
      </c>
      <c r="AH9" s="1" t="s">
        <v>146</v>
      </c>
      <c r="AI9" s="1" t="s">
        <v>819</v>
      </c>
      <c r="AJ9" s="1" t="s">
        <v>5</v>
      </c>
      <c r="AK9" s="1" t="s">
        <v>5</v>
      </c>
      <c r="AL9" s="94" t="s">
        <v>910</v>
      </c>
      <c r="AM9" s="160" t="s">
        <v>256</v>
      </c>
      <c r="AN9" s="145">
        <v>39</v>
      </c>
      <c r="AP9" s="210" t="str">
        <f t="shared" si="2"/>
        <v/>
      </c>
      <c r="AQ9" s="263"/>
      <c r="AR9" s="210" t="str">
        <f t="shared" si="3"/>
        <v/>
      </c>
      <c r="AS9" s="217"/>
      <c r="AU9" s="263"/>
      <c r="AV9" s="217"/>
      <c r="BB9" s="306" t="str">
        <f t="shared" si="1"/>
        <v/>
      </c>
      <c r="BO9" s="73" t="s">
        <v>575</v>
      </c>
    </row>
    <row r="10" spans="1:68" ht="15.75" customHeight="1" x14ac:dyDescent="0.25">
      <c r="A10" s="74"/>
      <c r="B10" s="108" t="s">
        <v>184</v>
      </c>
      <c r="C10" s="1" t="s">
        <v>144</v>
      </c>
      <c r="D10" s="159" t="s">
        <v>145</v>
      </c>
      <c r="E10" s="1" t="s">
        <v>816</v>
      </c>
      <c r="F10" s="1" t="s">
        <v>220</v>
      </c>
      <c r="G10" s="1" t="s">
        <v>146</v>
      </c>
      <c r="H10" s="1" t="s">
        <v>819</v>
      </c>
      <c r="I10" s="1" t="s">
        <v>820</v>
      </c>
      <c r="J10" s="1" t="s">
        <v>821</v>
      </c>
      <c r="K10" s="94" t="str">
        <f t="shared" si="4"/>
        <v>E_CAF_CHA_HOB_PER_02</v>
      </c>
      <c r="L10" s="160" t="s">
        <v>254</v>
      </c>
      <c r="M10" s="375">
        <v>37</v>
      </c>
      <c r="O10" s="230" t="str">
        <f>G3</f>
        <v>Subtypes 1</v>
      </c>
      <c r="P10" s="297" t="s">
        <v>184</v>
      </c>
      <c r="Q10" s="241" t="s">
        <v>144</v>
      </c>
      <c r="R10" s="317" t="s">
        <v>145</v>
      </c>
      <c r="S10" s="241" t="s">
        <v>816</v>
      </c>
      <c r="T10" s="241" t="s">
        <v>220</v>
      </c>
      <c r="U10" s="241" t="s">
        <v>146</v>
      </c>
      <c r="V10" s="241" t="s">
        <v>819</v>
      </c>
      <c r="W10" s="241" t="s">
        <v>820</v>
      </c>
      <c r="X10" s="241" t="s">
        <v>821</v>
      </c>
      <c r="Y10" s="215" t="s">
        <v>911</v>
      </c>
      <c r="Z10" s="318" t="s">
        <v>254</v>
      </c>
      <c r="AA10" s="376">
        <v>37</v>
      </c>
      <c r="AB10" s="63">
        <f t="shared" si="0"/>
        <v>2</v>
      </c>
      <c r="AC10" s="108" t="s">
        <v>184</v>
      </c>
      <c r="AD10" s="1" t="s">
        <v>144</v>
      </c>
      <c r="AE10" s="159" t="s">
        <v>145</v>
      </c>
      <c r="AF10" s="1" t="s">
        <v>816</v>
      </c>
      <c r="AG10" s="1" t="s">
        <v>220</v>
      </c>
      <c r="AH10" s="1" t="s">
        <v>146</v>
      </c>
      <c r="AI10" s="1" t="s">
        <v>819</v>
      </c>
      <c r="AJ10" s="1" t="s">
        <v>820</v>
      </c>
      <c r="AK10" s="1" t="s">
        <v>821</v>
      </c>
      <c r="AL10" s="94" t="s">
        <v>911</v>
      </c>
      <c r="AM10" s="160" t="s">
        <v>254</v>
      </c>
      <c r="AN10" s="145">
        <v>37</v>
      </c>
      <c r="AP10" s="210" t="str">
        <f t="shared" si="2"/>
        <v/>
      </c>
      <c r="AQ10" s="263"/>
      <c r="AR10" s="210" t="str">
        <f t="shared" si="3"/>
        <v/>
      </c>
      <c r="AS10" s="217"/>
      <c r="AU10" s="263"/>
      <c r="AV10" s="217"/>
      <c r="BB10" s="306" t="str">
        <f t="shared" si="1"/>
        <v/>
      </c>
      <c r="BO10" s="73" t="s">
        <v>608</v>
      </c>
    </row>
    <row r="11" spans="1:68" ht="15.75" customHeight="1" x14ac:dyDescent="0.25">
      <c r="A11" s="74"/>
      <c r="B11" s="108" t="s">
        <v>184</v>
      </c>
      <c r="C11" s="1" t="s">
        <v>144</v>
      </c>
      <c r="D11" s="159" t="s">
        <v>145</v>
      </c>
      <c r="E11" s="1" t="s">
        <v>816</v>
      </c>
      <c r="F11" s="1" t="s">
        <v>220</v>
      </c>
      <c r="G11" s="1" t="s">
        <v>822</v>
      </c>
      <c r="H11" s="1" t="s">
        <v>823</v>
      </c>
      <c r="I11" s="1" t="s">
        <v>5</v>
      </c>
      <c r="J11" s="1" t="s">
        <v>5</v>
      </c>
      <c r="K11" s="94" t="str">
        <f t="shared" si="4"/>
        <v>E_CAF_CHA_HTE_05</v>
      </c>
      <c r="L11" s="160" t="s">
        <v>257</v>
      </c>
      <c r="M11" s="375">
        <v>40</v>
      </c>
      <c r="O11" s="230" t="str">
        <f>I3</f>
        <v>Subtypes 2</v>
      </c>
      <c r="P11" s="297" t="s">
        <v>184</v>
      </c>
      <c r="Q11" s="241" t="s">
        <v>144</v>
      </c>
      <c r="R11" s="317" t="s">
        <v>145</v>
      </c>
      <c r="S11" s="241" t="s">
        <v>816</v>
      </c>
      <c r="T11" s="241" t="s">
        <v>220</v>
      </c>
      <c r="U11" s="241" t="s">
        <v>822</v>
      </c>
      <c r="V11" s="241" t="s">
        <v>823</v>
      </c>
      <c r="W11" s="241" t="s">
        <v>5</v>
      </c>
      <c r="X11" s="241" t="s">
        <v>5</v>
      </c>
      <c r="Y11" s="215" t="s">
        <v>912</v>
      </c>
      <c r="Z11" s="318" t="s">
        <v>257</v>
      </c>
      <c r="AA11" s="376">
        <v>40</v>
      </c>
      <c r="AB11" s="63">
        <f t="shared" si="0"/>
        <v>5</v>
      </c>
      <c r="AC11" s="108" t="s">
        <v>184</v>
      </c>
      <c r="AD11" s="1" t="s">
        <v>144</v>
      </c>
      <c r="AE11" s="159" t="s">
        <v>145</v>
      </c>
      <c r="AF11" s="1" t="s">
        <v>816</v>
      </c>
      <c r="AG11" s="1" t="s">
        <v>220</v>
      </c>
      <c r="AH11" s="1" t="s">
        <v>822</v>
      </c>
      <c r="AI11" s="1" t="s">
        <v>823</v>
      </c>
      <c r="AJ11" s="1" t="s">
        <v>5</v>
      </c>
      <c r="AK11" s="1" t="s">
        <v>5</v>
      </c>
      <c r="AL11" s="94" t="s">
        <v>912</v>
      </c>
      <c r="AM11" s="160" t="s">
        <v>257</v>
      </c>
      <c r="AN11" s="145">
        <v>40</v>
      </c>
      <c r="AP11" s="210" t="str">
        <f t="shared" si="2"/>
        <v/>
      </c>
      <c r="AQ11" s="263"/>
      <c r="AR11" s="210" t="str">
        <f t="shared" si="3"/>
        <v/>
      </c>
      <c r="AS11" s="217"/>
      <c r="AU11" s="263"/>
      <c r="AV11" s="217"/>
      <c r="BB11" s="306" t="str">
        <f t="shared" si="1"/>
        <v/>
      </c>
      <c r="BO11" s="73" t="s">
        <v>576</v>
      </c>
    </row>
    <row r="12" spans="1:68" ht="15.75" customHeight="1" x14ac:dyDescent="0.25">
      <c r="A12" s="74"/>
      <c r="B12" s="108" t="s">
        <v>184</v>
      </c>
      <c r="C12" s="1" t="s">
        <v>144</v>
      </c>
      <c r="D12" s="159" t="s">
        <v>145</v>
      </c>
      <c r="E12" s="1" t="s">
        <v>816</v>
      </c>
      <c r="F12" s="1" t="s">
        <v>220</v>
      </c>
      <c r="G12" s="1" t="s">
        <v>329</v>
      </c>
      <c r="H12" s="1" t="s">
        <v>330</v>
      </c>
      <c r="I12" s="1" t="s">
        <v>5</v>
      </c>
      <c r="J12" s="1" t="s">
        <v>5</v>
      </c>
      <c r="K12" s="94" t="str">
        <f t="shared" si="4"/>
        <v>E_CAF_CHA_RED_06</v>
      </c>
      <c r="L12" s="160" t="s">
        <v>258</v>
      </c>
      <c r="M12" s="375">
        <v>41</v>
      </c>
      <c r="O12" s="233" t="str">
        <f>D3</f>
        <v>Abbr Categories</v>
      </c>
      <c r="P12" s="297" t="s">
        <v>184</v>
      </c>
      <c r="Q12" s="241" t="s">
        <v>144</v>
      </c>
      <c r="R12" s="317" t="s">
        <v>145</v>
      </c>
      <c r="S12" s="241" t="s">
        <v>816</v>
      </c>
      <c r="T12" s="241" t="s">
        <v>220</v>
      </c>
      <c r="U12" s="241" t="s">
        <v>329</v>
      </c>
      <c r="V12" s="241" t="s">
        <v>330</v>
      </c>
      <c r="W12" s="241" t="s">
        <v>5</v>
      </c>
      <c r="X12" s="241" t="s">
        <v>5</v>
      </c>
      <c r="Y12" s="215" t="s">
        <v>913</v>
      </c>
      <c r="Z12" s="318" t="s">
        <v>258</v>
      </c>
      <c r="AA12" s="376">
        <v>41</v>
      </c>
      <c r="AB12" s="63">
        <f t="shared" si="0"/>
        <v>6</v>
      </c>
      <c r="AC12" s="108" t="s">
        <v>184</v>
      </c>
      <c r="AD12" s="1" t="s">
        <v>144</v>
      </c>
      <c r="AE12" s="159" t="s">
        <v>145</v>
      </c>
      <c r="AF12" s="1" t="s">
        <v>816</v>
      </c>
      <c r="AG12" s="1" t="s">
        <v>220</v>
      </c>
      <c r="AH12" s="1" t="s">
        <v>329</v>
      </c>
      <c r="AI12" s="1" t="s">
        <v>330</v>
      </c>
      <c r="AJ12" s="1" t="s">
        <v>5</v>
      </c>
      <c r="AK12" s="1" t="s">
        <v>5</v>
      </c>
      <c r="AL12" s="94" t="s">
        <v>913</v>
      </c>
      <c r="AM12" s="160" t="s">
        <v>258</v>
      </c>
      <c r="AN12" s="145">
        <v>41</v>
      </c>
      <c r="AP12" s="210" t="str">
        <f t="shared" si="2"/>
        <v/>
      </c>
      <c r="AQ12" s="263"/>
      <c r="AR12" s="210" t="str">
        <f t="shared" si="3"/>
        <v/>
      </c>
      <c r="AS12" s="217"/>
      <c r="AU12" s="263"/>
      <c r="AV12" s="217"/>
      <c r="BB12" s="306" t="str">
        <f t="shared" si="1"/>
        <v/>
      </c>
      <c r="BO12" s="73" t="s">
        <v>577</v>
      </c>
    </row>
    <row r="13" spans="1:68" ht="15.75" customHeight="1" x14ac:dyDescent="0.25">
      <c r="A13" s="74"/>
      <c r="B13" s="108" t="s">
        <v>184</v>
      </c>
      <c r="C13" s="1" t="s">
        <v>144</v>
      </c>
      <c r="D13" s="159" t="s">
        <v>145</v>
      </c>
      <c r="E13" s="1" t="s">
        <v>816</v>
      </c>
      <c r="F13" s="1" t="s">
        <v>220</v>
      </c>
      <c r="G13" s="1" t="s">
        <v>147</v>
      </c>
      <c r="H13" s="1" t="s">
        <v>148</v>
      </c>
      <c r="I13" s="1" t="s">
        <v>5</v>
      </c>
      <c r="J13" s="1" t="s">
        <v>5</v>
      </c>
      <c r="K13" s="94" t="str">
        <f t="shared" si="4"/>
        <v>E_CAF_CHA_VIB_08</v>
      </c>
      <c r="L13" s="160" t="s">
        <v>260</v>
      </c>
      <c r="M13" s="375">
        <v>43</v>
      </c>
      <c r="O13" s="233" t="str">
        <f>F3</f>
        <v>Abbr Types</v>
      </c>
      <c r="P13" s="297" t="s">
        <v>184</v>
      </c>
      <c r="Q13" s="241" t="s">
        <v>144</v>
      </c>
      <c r="R13" s="317" t="s">
        <v>145</v>
      </c>
      <c r="S13" s="241" t="s">
        <v>816</v>
      </c>
      <c r="T13" s="241" t="s">
        <v>220</v>
      </c>
      <c r="U13" s="241" t="s">
        <v>147</v>
      </c>
      <c r="V13" s="241" t="s">
        <v>148</v>
      </c>
      <c r="W13" s="241" t="s">
        <v>5</v>
      </c>
      <c r="X13" s="241" t="s">
        <v>5</v>
      </c>
      <c r="Y13" s="215" t="s">
        <v>914</v>
      </c>
      <c r="Z13" s="318" t="s">
        <v>260</v>
      </c>
      <c r="AA13" s="376">
        <v>43</v>
      </c>
      <c r="AB13" s="63">
        <f t="shared" si="0"/>
        <v>8</v>
      </c>
      <c r="AC13" s="108" t="s">
        <v>184</v>
      </c>
      <c r="AD13" s="1" t="s">
        <v>144</v>
      </c>
      <c r="AE13" s="159" t="s">
        <v>145</v>
      </c>
      <c r="AF13" s="1" t="s">
        <v>816</v>
      </c>
      <c r="AG13" s="1" t="s">
        <v>220</v>
      </c>
      <c r="AH13" s="1" t="s">
        <v>147</v>
      </c>
      <c r="AI13" s="1" t="s">
        <v>148</v>
      </c>
      <c r="AJ13" s="1" t="s">
        <v>5</v>
      </c>
      <c r="AK13" s="1" t="s">
        <v>5</v>
      </c>
      <c r="AL13" s="94" t="s">
        <v>914</v>
      </c>
      <c r="AM13" s="160" t="s">
        <v>260</v>
      </c>
      <c r="AN13" s="145">
        <v>43</v>
      </c>
      <c r="AP13" s="210" t="str">
        <f t="shared" si="2"/>
        <v/>
      </c>
      <c r="AQ13" s="263"/>
      <c r="AR13" s="210" t="str">
        <f t="shared" si="3"/>
        <v/>
      </c>
      <c r="AS13" s="217"/>
      <c r="AU13" s="263"/>
      <c r="AV13" s="217"/>
      <c r="BB13" s="306" t="str">
        <f t="shared" si="1"/>
        <v/>
      </c>
      <c r="BO13" s="73" t="s">
        <v>1495</v>
      </c>
    </row>
    <row r="14" spans="1:68" ht="15.75" customHeight="1" x14ac:dyDescent="0.25">
      <c r="A14" s="74"/>
      <c r="B14" s="108" t="s">
        <v>184</v>
      </c>
      <c r="C14" s="1" t="s">
        <v>144</v>
      </c>
      <c r="D14" s="159" t="s">
        <v>145</v>
      </c>
      <c r="E14" s="1" t="s">
        <v>816</v>
      </c>
      <c r="F14" s="1" t="s">
        <v>220</v>
      </c>
      <c r="G14" s="1" t="s">
        <v>147</v>
      </c>
      <c r="H14" s="1" t="s">
        <v>148</v>
      </c>
      <c r="I14" s="1" t="s">
        <v>239</v>
      </c>
      <c r="J14" s="1" t="s">
        <v>659</v>
      </c>
      <c r="K14" s="94" t="str">
        <f t="shared" si="4"/>
        <v>E_CAF_CHA_VIB_WAL_07</v>
      </c>
      <c r="L14" s="160" t="s">
        <v>259</v>
      </c>
      <c r="M14" s="375">
        <v>42</v>
      </c>
      <c r="O14" s="233" t="str">
        <f>H3</f>
        <v>Abbr Sub 1</v>
      </c>
      <c r="P14" s="297" t="s">
        <v>184</v>
      </c>
      <c r="Q14" s="241" t="s">
        <v>144</v>
      </c>
      <c r="R14" s="317" t="s">
        <v>145</v>
      </c>
      <c r="S14" s="241" t="s">
        <v>816</v>
      </c>
      <c r="T14" s="241" t="s">
        <v>220</v>
      </c>
      <c r="U14" s="241" t="s">
        <v>147</v>
      </c>
      <c r="V14" s="241" t="s">
        <v>148</v>
      </c>
      <c r="W14" s="241" t="s">
        <v>239</v>
      </c>
      <c r="X14" s="241" t="s">
        <v>659</v>
      </c>
      <c r="Y14" s="215" t="s">
        <v>915</v>
      </c>
      <c r="Z14" s="318" t="s">
        <v>259</v>
      </c>
      <c r="AA14" s="376">
        <v>42</v>
      </c>
      <c r="AB14" s="63">
        <f t="shared" si="0"/>
        <v>7</v>
      </c>
      <c r="AC14" s="108" t="s">
        <v>184</v>
      </c>
      <c r="AD14" s="1" t="s">
        <v>144</v>
      </c>
      <c r="AE14" s="159" t="s">
        <v>145</v>
      </c>
      <c r="AF14" s="1" t="s">
        <v>816</v>
      </c>
      <c r="AG14" s="1" t="s">
        <v>220</v>
      </c>
      <c r="AH14" s="1" t="s">
        <v>147</v>
      </c>
      <c r="AI14" s="1" t="s">
        <v>148</v>
      </c>
      <c r="AJ14" s="1" t="s">
        <v>239</v>
      </c>
      <c r="AK14" s="1" t="s">
        <v>659</v>
      </c>
      <c r="AL14" s="94" t="s">
        <v>915</v>
      </c>
      <c r="AM14" s="160" t="s">
        <v>259</v>
      </c>
      <c r="AN14" s="145">
        <v>42</v>
      </c>
      <c r="AP14" s="210" t="str">
        <f t="shared" si="2"/>
        <v/>
      </c>
      <c r="AQ14" s="263"/>
      <c r="AR14" s="210" t="str">
        <f t="shared" si="3"/>
        <v/>
      </c>
      <c r="AS14" s="217"/>
      <c r="AU14" s="263"/>
      <c r="AV14" s="217"/>
      <c r="BB14" s="306" t="str">
        <f t="shared" si="1"/>
        <v/>
      </c>
    </row>
    <row r="15" spans="1:68" ht="15.75" customHeight="1" x14ac:dyDescent="0.25">
      <c r="A15" s="74"/>
      <c r="B15" s="108" t="s">
        <v>184</v>
      </c>
      <c r="C15" s="1" t="s">
        <v>144</v>
      </c>
      <c r="D15" s="159" t="s">
        <v>145</v>
      </c>
      <c r="E15" s="1" t="s">
        <v>816</v>
      </c>
      <c r="F15" s="1" t="s">
        <v>220</v>
      </c>
      <c r="G15" s="1" t="s">
        <v>149</v>
      </c>
      <c r="H15" s="1" t="s">
        <v>150</v>
      </c>
      <c r="I15" s="1" t="s">
        <v>5</v>
      </c>
      <c r="J15" s="1" t="s">
        <v>5</v>
      </c>
      <c r="K15" s="94" t="str">
        <f t="shared" si="4"/>
        <v>E_CAF_CHA_VOB_09</v>
      </c>
      <c r="L15" s="160" t="s">
        <v>261</v>
      </c>
      <c r="M15" s="375">
        <v>44</v>
      </c>
      <c r="O15" s="233" t="str">
        <f>J3</f>
        <v>Abbr Sub 2</v>
      </c>
      <c r="P15" s="297" t="s">
        <v>184</v>
      </c>
      <c r="Q15" s="241" t="s">
        <v>144</v>
      </c>
      <c r="R15" s="317" t="s">
        <v>145</v>
      </c>
      <c r="S15" s="241" t="s">
        <v>816</v>
      </c>
      <c r="T15" s="241" t="s">
        <v>220</v>
      </c>
      <c r="U15" s="241" t="s">
        <v>149</v>
      </c>
      <c r="V15" s="241" t="s">
        <v>150</v>
      </c>
      <c r="W15" s="241" t="s">
        <v>5</v>
      </c>
      <c r="X15" s="241" t="s">
        <v>5</v>
      </c>
      <c r="Y15" s="215" t="s">
        <v>916</v>
      </c>
      <c r="Z15" s="318" t="s">
        <v>261</v>
      </c>
      <c r="AA15" s="376">
        <v>44</v>
      </c>
      <c r="AB15" s="63">
        <f t="shared" si="0"/>
        <v>9</v>
      </c>
      <c r="AC15" s="108" t="s">
        <v>184</v>
      </c>
      <c r="AD15" s="1" t="s">
        <v>144</v>
      </c>
      <c r="AE15" s="159" t="s">
        <v>145</v>
      </c>
      <c r="AF15" s="1" t="s">
        <v>816</v>
      </c>
      <c r="AG15" s="1" t="s">
        <v>220</v>
      </c>
      <c r="AH15" s="1" t="s">
        <v>149</v>
      </c>
      <c r="AI15" s="1" t="s">
        <v>150</v>
      </c>
      <c r="AJ15" s="1" t="s">
        <v>5</v>
      </c>
      <c r="AK15" s="1" t="s">
        <v>5</v>
      </c>
      <c r="AL15" s="94" t="s">
        <v>916</v>
      </c>
      <c r="AM15" s="160" t="s">
        <v>261</v>
      </c>
      <c r="AN15" s="145">
        <v>44</v>
      </c>
      <c r="AP15" s="210" t="str">
        <f t="shared" si="2"/>
        <v/>
      </c>
      <c r="AQ15" s="263"/>
      <c r="AR15" s="210" t="str">
        <f t="shared" si="3"/>
        <v/>
      </c>
      <c r="AS15" s="217"/>
      <c r="AT15" s="210" t="s">
        <v>503</v>
      </c>
      <c r="AU15" s="263"/>
      <c r="AV15" s="217"/>
      <c r="BB15" s="306" t="str">
        <f t="shared" si="1"/>
        <v/>
      </c>
    </row>
    <row r="16" spans="1:68" ht="15.75" customHeight="1" x14ac:dyDescent="0.25">
      <c r="A16" s="74"/>
      <c r="B16" s="108" t="s">
        <v>184</v>
      </c>
      <c r="C16" s="1" t="s">
        <v>144</v>
      </c>
      <c r="D16" s="159" t="s">
        <v>145</v>
      </c>
      <c r="E16" s="1" t="s">
        <v>824</v>
      </c>
      <c r="F16" s="1" t="s">
        <v>825</v>
      </c>
      <c r="G16" s="1" t="s">
        <v>146</v>
      </c>
      <c r="H16" s="1" t="s">
        <v>819</v>
      </c>
      <c r="I16" s="1" t="s">
        <v>5</v>
      </c>
      <c r="J16" s="1" t="s">
        <v>5</v>
      </c>
      <c r="K16" s="94" t="str">
        <f t="shared" si="4"/>
        <v>E_CAF_LAD_HOB_10</v>
      </c>
      <c r="L16" s="160" t="s">
        <v>262</v>
      </c>
      <c r="M16" s="375">
        <v>45</v>
      </c>
      <c r="P16" s="297" t="s">
        <v>184</v>
      </c>
      <c r="Q16" s="241" t="s">
        <v>144</v>
      </c>
      <c r="R16" s="317" t="s">
        <v>145</v>
      </c>
      <c r="S16" s="241" t="s">
        <v>824</v>
      </c>
      <c r="T16" s="241" t="s">
        <v>825</v>
      </c>
      <c r="U16" s="241" t="s">
        <v>146</v>
      </c>
      <c r="V16" s="241" t="s">
        <v>819</v>
      </c>
      <c r="W16" s="241" t="s">
        <v>5</v>
      </c>
      <c r="X16" s="241" t="s">
        <v>5</v>
      </c>
      <c r="Y16" s="215" t="s">
        <v>917</v>
      </c>
      <c r="Z16" s="318" t="s">
        <v>262</v>
      </c>
      <c r="AA16" s="376">
        <v>45</v>
      </c>
      <c r="AB16" s="63">
        <f t="shared" si="0"/>
        <v>10</v>
      </c>
      <c r="AC16" s="108" t="s">
        <v>184</v>
      </c>
      <c r="AD16" s="1" t="s">
        <v>144</v>
      </c>
      <c r="AE16" s="159" t="s">
        <v>145</v>
      </c>
      <c r="AF16" s="1" t="s">
        <v>824</v>
      </c>
      <c r="AG16" s="1" t="s">
        <v>825</v>
      </c>
      <c r="AH16" s="1" t="s">
        <v>146</v>
      </c>
      <c r="AI16" s="1" t="s">
        <v>819</v>
      </c>
      <c r="AJ16" s="1" t="s">
        <v>5</v>
      </c>
      <c r="AK16" s="1" t="s">
        <v>5</v>
      </c>
      <c r="AL16" s="94" t="s">
        <v>917</v>
      </c>
      <c r="AM16" s="160" t="s">
        <v>262</v>
      </c>
      <c r="AN16" s="145">
        <v>45</v>
      </c>
      <c r="AP16" s="210" t="str">
        <f t="shared" si="2"/>
        <v/>
      </c>
      <c r="AQ16" s="263"/>
      <c r="AR16" s="210" t="str">
        <f t="shared" si="3"/>
        <v/>
      </c>
      <c r="AS16" s="217"/>
      <c r="AT16" s="210" t="s">
        <v>503</v>
      </c>
      <c r="AU16" s="263"/>
      <c r="AV16" s="217"/>
      <c r="BB16" s="306" t="str">
        <f t="shared" si="1"/>
        <v/>
      </c>
    </row>
    <row r="17" spans="1:54" ht="15.75" customHeight="1" x14ac:dyDescent="0.25">
      <c r="A17" s="74"/>
      <c r="B17" s="108" t="s">
        <v>184</v>
      </c>
      <c r="C17" s="1" t="s">
        <v>144</v>
      </c>
      <c r="D17" s="159" t="s">
        <v>145</v>
      </c>
      <c r="E17" s="1" t="s">
        <v>824</v>
      </c>
      <c r="F17" s="1" t="s">
        <v>825</v>
      </c>
      <c r="G17" s="1" t="s">
        <v>826</v>
      </c>
      <c r="H17" s="1" t="s">
        <v>827</v>
      </c>
      <c r="I17" s="1" t="s">
        <v>5</v>
      </c>
      <c r="J17" s="1" t="s">
        <v>5</v>
      </c>
      <c r="K17" s="94" t="str">
        <f t="shared" si="4"/>
        <v>E_CAF_LAD_HOC_11</v>
      </c>
      <c r="L17" s="160" t="s">
        <v>263</v>
      </c>
      <c r="M17" s="375">
        <v>46</v>
      </c>
      <c r="P17" s="297" t="s">
        <v>184</v>
      </c>
      <c r="Q17" s="241" t="s">
        <v>144</v>
      </c>
      <c r="R17" s="317" t="s">
        <v>145</v>
      </c>
      <c r="S17" s="241" t="s">
        <v>824</v>
      </c>
      <c r="T17" s="241" t="s">
        <v>825</v>
      </c>
      <c r="U17" s="241" t="s">
        <v>826</v>
      </c>
      <c r="V17" s="241" t="s">
        <v>827</v>
      </c>
      <c r="W17" s="241" t="s">
        <v>5</v>
      </c>
      <c r="X17" s="241" t="s">
        <v>5</v>
      </c>
      <c r="Y17" s="215" t="s">
        <v>918</v>
      </c>
      <c r="Z17" s="318" t="s">
        <v>263</v>
      </c>
      <c r="AA17" s="376">
        <v>46</v>
      </c>
      <c r="AB17" s="63">
        <f t="shared" si="0"/>
        <v>11</v>
      </c>
      <c r="AC17" s="108" t="s">
        <v>184</v>
      </c>
      <c r="AD17" s="1" t="s">
        <v>144</v>
      </c>
      <c r="AE17" s="159" t="s">
        <v>145</v>
      </c>
      <c r="AF17" s="1" t="s">
        <v>824</v>
      </c>
      <c r="AG17" s="1" t="s">
        <v>825</v>
      </c>
      <c r="AH17" s="1" t="s">
        <v>826</v>
      </c>
      <c r="AI17" s="1" t="s">
        <v>827</v>
      </c>
      <c r="AJ17" s="1" t="s">
        <v>5</v>
      </c>
      <c r="AK17" s="1" t="s">
        <v>5</v>
      </c>
      <c r="AL17" s="94" t="s">
        <v>918</v>
      </c>
      <c r="AM17" s="160" t="s">
        <v>263</v>
      </c>
      <c r="AN17" s="145">
        <v>46</v>
      </c>
      <c r="AP17" s="210" t="str">
        <f t="shared" si="2"/>
        <v/>
      </c>
      <c r="AQ17" s="263"/>
      <c r="AR17" s="210" t="str">
        <f t="shared" si="3"/>
        <v/>
      </c>
      <c r="AS17" s="217"/>
      <c r="AT17" s="210" t="s">
        <v>503</v>
      </c>
      <c r="AU17" s="263"/>
      <c r="AV17" s="217"/>
      <c r="BB17" s="306" t="str">
        <f t="shared" si="1"/>
        <v/>
      </c>
    </row>
    <row r="18" spans="1:54" ht="15.75" customHeight="1" x14ac:dyDescent="0.25">
      <c r="A18" s="74"/>
      <c r="B18" s="108" t="s">
        <v>184</v>
      </c>
      <c r="C18" s="1" t="s">
        <v>144</v>
      </c>
      <c r="D18" s="159" t="s">
        <v>145</v>
      </c>
      <c r="E18" s="1" t="s">
        <v>824</v>
      </c>
      <c r="F18" s="1" t="s">
        <v>825</v>
      </c>
      <c r="G18" s="1" t="s">
        <v>822</v>
      </c>
      <c r="H18" s="1" t="s">
        <v>823</v>
      </c>
      <c r="I18" s="1" t="s">
        <v>5</v>
      </c>
      <c r="J18" s="1" t="s">
        <v>5</v>
      </c>
      <c r="K18" s="94" t="str">
        <f t="shared" si="4"/>
        <v>E_CAF_LAD_HTE_12</v>
      </c>
      <c r="L18" s="160" t="s">
        <v>264</v>
      </c>
      <c r="M18" s="375">
        <v>47</v>
      </c>
      <c r="P18" s="297" t="s">
        <v>184</v>
      </c>
      <c r="Q18" s="241" t="s">
        <v>144</v>
      </c>
      <c r="R18" s="317" t="s">
        <v>145</v>
      </c>
      <c r="S18" s="241" t="s">
        <v>824</v>
      </c>
      <c r="T18" s="241" t="s">
        <v>825</v>
      </c>
      <c r="U18" s="241" t="s">
        <v>822</v>
      </c>
      <c r="V18" s="241" t="s">
        <v>823</v>
      </c>
      <c r="W18" s="241" t="s">
        <v>5</v>
      </c>
      <c r="X18" s="241" t="s">
        <v>5</v>
      </c>
      <c r="Y18" s="215" t="s">
        <v>919</v>
      </c>
      <c r="Z18" s="318" t="s">
        <v>264</v>
      </c>
      <c r="AA18" s="376">
        <v>47</v>
      </c>
      <c r="AB18" s="63">
        <f t="shared" si="0"/>
        <v>12</v>
      </c>
      <c r="AC18" s="108" t="s">
        <v>184</v>
      </c>
      <c r="AD18" s="1" t="s">
        <v>144</v>
      </c>
      <c r="AE18" s="159" t="s">
        <v>145</v>
      </c>
      <c r="AF18" s="1" t="s">
        <v>824</v>
      </c>
      <c r="AG18" s="1" t="s">
        <v>825</v>
      </c>
      <c r="AH18" s="1" t="s">
        <v>822</v>
      </c>
      <c r="AI18" s="1" t="s">
        <v>823</v>
      </c>
      <c r="AJ18" s="1" t="s">
        <v>5</v>
      </c>
      <c r="AK18" s="1" t="s">
        <v>5</v>
      </c>
      <c r="AL18" s="94" t="s">
        <v>919</v>
      </c>
      <c r="AM18" s="160" t="s">
        <v>264</v>
      </c>
      <c r="AN18" s="145">
        <v>47</v>
      </c>
      <c r="AP18" s="210" t="str">
        <f t="shared" si="2"/>
        <v/>
      </c>
      <c r="AQ18" s="266"/>
      <c r="AR18" s="210" t="str">
        <f t="shared" si="3"/>
        <v/>
      </c>
      <c r="AS18" s="217"/>
      <c r="AT18" s="210" t="s">
        <v>503</v>
      </c>
      <c r="AU18" s="263"/>
      <c r="AV18" s="217"/>
      <c r="BB18" s="306" t="str">
        <f t="shared" si="1"/>
        <v/>
      </c>
    </row>
    <row r="19" spans="1:54" ht="15.75" customHeight="1" x14ac:dyDescent="0.25">
      <c r="A19" s="74"/>
      <c r="B19" s="108" t="s">
        <v>184</v>
      </c>
      <c r="C19" s="1" t="s">
        <v>144</v>
      </c>
      <c r="D19" s="159" t="s">
        <v>145</v>
      </c>
      <c r="E19" s="1" t="s">
        <v>824</v>
      </c>
      <c r="F19" s="1" t="s">
        <v>825</v>
      </c>
      <c r="G19" s="1" t="s">
        <v>329</v>
      </c>
      <c r="H19" s="1" t="s">
        <v>330</v>
      </c>
      <c r="I19" s="1" t="s">
        <v>5</v>
      </c>
      <c r="J19" s="1" t="s">
        <v>5</v>
      </c>
      <c r="K19" s="94" t="str">
        <f t="shared" si="4"/>
        <v>E_CAF_LAD_RED_13</v>
      </c>
      <c r="L19" s="160" t="s">
        <v>265</v>
      </c>
      <c r="M19" s="375">
        <v>48</v>
      </c>
      <c r="P19" s="297" t="s">
        <v>184</v>
      </c>
      <c r="Q19" s="241" t="s">
        <v>144</v>
      </c>
      <c r="R19" s="317" t="s">
        <v>145</v>
      </c>
      <c r="S19" s="241" t="s">
        <v>824</v>
      </c>
      <c r="T19" s="241" t="s">
        <v>825</v>
      </c>
      <c r="U19" s="241" t="s">
        <v>329</v>
      </c>
      <c r="V19" s="241" t="s">
        <v>330</v>
      </c>
      <c r="W19" s="241" t="s">
        <v>5</v>
      </c>
      <c r="X19" s="241" t="s">
        <v>5</v>
      </c>
      <c r="Y19" s="215" t="s">
        <v>920</v>
      </c>
      <c r="Z19" s="318" t="s">
        <v>265</v>
      </c>
      <c r="AA19" s="376">
        <v>48</v>
      </c>
      <c r="AB19" s="63">
        <f t="shared" si="0"/>
        <v>13</v>
      </c>
      <c r="AC19" s="108" t="s">
        <v>184</v>
      </c>
      <c r="AD19" s="1" t="s">
        <v>144</v>
      </c>
      <c r="AE19" s="159" t="s">
        <v>145</v>
      </c>
      <c r="AF19" s="1" t="s">
        <v>824</v>
      </c>
      <c r="AG19" s="1" t="s">
        <v>825</v>
      </c>
      <c r="AH19" s="1" t="s">
        <v>329</v>
      </c>
      <c r="AI19" s="1" t="s">
        <v>330</v>
      </c>
      <c r="AJ19" s="1" t="s">
        <v>5</v>
      </c>
      <c r="AK19" s="1" t="s">
        <v>5</v>
      </c>
      <c r="AL19" s="94" t="s">
        <v>920</v>
      </c>
      <c r="AM19" s="160" t="s">
        <v>265</v>
      </c>
      <c r="AN19" s="145">
        <v>48</v>
      </c>
      <c r="AP19" s="210" t="str">
        <f t="shared" si="2"/>
        <v/>
      </c>
      <c r="AQ19" s="263"/>
      <c r="AR19" s="210" t="str">
        <f t="shared" si="3"/>
        <v/>
      </c>
      <c r="AS19" s="217"/>
      <c r="AT19" s="210" t="s">
        <v>503</v>
      </c>
      <c r="AU19" s="263"/>
      <c r="AV19" s="217"/>
      <c r="BB19" s="306" t="str">
        <f t="shared" si="1"/>
        <v/>
      </c>
    </row>
    <row r="20" spans="1:54" ht="15.75" customHeight="1" x14ac:dyDescent="0.25">
      <c r="A20" s="74"/>
      <c r="B20" s="108" t="s">
        <v>184</v>
      </c>
      <c r="C20" s="1" t="s">
        <v>144</v>
      </c>
      <c r="D20" s="159" t="s">
        <v>145</v>
      </c>
      <c r="E20" s="1" t="s">
        <v>824</v>
      </c>
      <c r="F20" s="1" t="s">
        <v>825</v>
      </c>
      <c r="G20" s="1" t="s">
        <v>82</v>
      </c>
      <c r="H20" s="1" t="s">
        <v>85</v>
      </c>
      <c r="I20" s="1" t="s">
        <v>5</v>
      </c>
      <c r="J20" s="1" t="s">
        <v>5</v>
      </c>
      <c r="K20" s="94" t="str">
        <f t="shared" si="4"/>
        <v>E_CAF_LAD_UNI_14</v>
      </c>
      <c r="L20" s="160" t="s">
        <v>266</v>
      </c>
      <c r="M20" s="375">
        <v>49</v>
      </c>
      <c r="P20" s="297" t="s">
        <v>184</v>
      </c>
      <c r="Q20" s="241" t="s">
        <v>144</v>
      </c>
      <c r="R20" s="317" t="s">
        <v>145</v>
      </c>
      <c r="S20" s="241" t="s">
        <v>824</v>
      </c>
      <c r="T20" s="241" t="s">
        <v>825</v>
      </c>
      <c r="U20" s="241" t="s">
        <v>82</v>
      </c>
      <c r="V20" s="241" t="s">
        <v>85</v>
      </c>
      <c r="W20" s="241" t="s">
        <v>5</v>
      </c>
      <c r="X20" s="241" t="s">
        <v>5</v>
      </c>
      <c r="Y20" s="215" t="s">
        <v>921</v>
      </c>
      <c r="Z20" s="318" t="s">
        <v>266</v>
      </c>
      <c r="AA20" s="376">
        <v>49</v>
      </c>
      <c r="AB20" s="63">
        <f t="shared" si="0"/>
        <v>14</v>
      </c>
      <c r="AC20" s="108" t="s">
        <v>184</v>
      </c>
      <c r="AD20" s="1" t="s">
        <v>144</v>
      </c>
      <c r="AE20" s="159" t="s">
        <v>145</v>
      </c>
      <c r="AF20" s="1" t="s">
        <v>824</v>
      </c>
      <c r="AG20" s="1" t="s">
        <v>825</v>
      </c>
      <c r="AH20" s="1" t="s">
        <v>82</v>
      </c>
      <c r="AI20" s="1" t="s">
        <v>85</v>
      </c>
      <c r="AJ20" s="1" t="s">
        <v>5</v>
      </c>
      <c r="AK20" s="1" t="s">
        <v>5</v>
      </c>
      <c r="AL20" s="94" t="s">
        <v>921</v>
      </c>
      <c r="AM20" s="160" t="s">
        <v>266</v>
      </c>
      <c r="AN20" s="145">
        <v>49</v>
      </c>
      <c r="AP20" s="210" t="str">
        <f t="shared" si="2"/>
        <v/>
      </c>
      <c r="AQ20" s="263"/>
      <c r="AR20" s="210" t="str">
        <f t="shared" si="3"/>
        <v/>
      </c>
      <c r="AS20" s="217"/>
      <c r="AT20" s="210" t="s">
        <v>503</v>
      </c>
      <c r="AU20" s="263"/>
      <c r="AV20" s="217"/>
      <c r="BB20" s="306" t="str">
        <f t="shared" si="1"/>
        <v/>
      </c>
    </row>
    <row r="21" spans="1:54" ht="15.75" customHeight="1" x14ac:dyDescent="0.25">
      <c r="A21" s="74"/>
      <c r="B21" s="108" t="s">
        <v>184</v>
      </c>
      <c r="C21" s="1" t="s">
        <v>144</v>
      </c>
      <c r="D21" s="159" t="s">
        <v>145</v>
      </c>
      <c r="E21" s="1" t="s">
        <v>824</v>
      </c>
      <c r="F21" s="1" t="s">
        <v>825</v>
      </c>
      <c r="G21" s="1" t="s">
        <v>147</v>
      </c>
      <c r="H21" s="1" t="s">
        <v>148</v>
      </c>
      <c r="I21" s="1" t="s">
        <v>5</v>
      </c>
      <c r="J21" s="1" t="s">
        <v>5</v>
      </c>
      <c r="K21" s="204" t="str">
        <f t="shared" si="4"/>
        <v>E_CAF_LAD_VIB_15</v>
      </c>
      <c r="L21" s="160" t="s">
        <v>267</v>
      </c>
      <c r="M21" s="375">
        <v>50</v>
      </c>
      <c r="P21" s="297" t="s">
        <v>184</v>
      </c>
      <c r="Q21" s="241" t="s">
        <v>144</v>
      </c>
      <c r="R21" s="317" t="s">
        <v>145</v>
      </c>
      <c r="S21" s="241" t="s">
        <v>824</v>
      </c>
      <c r="T21" s="241" t="s">
        <v>825</v>
      </c>
      <c r="U21" s="241" t="s">
        <v>147</v>
      </c>
      <c r="V21" s="241" t="s">
        <v>148</v>
      </c>
      <c r="W21" s="241" t="s">
        <v>5</v>
      </c>
      <c r="X21" s="241" t="s">
        <v>5</v>
      </c>
      <c r="Y21" s="265" t="s">
        <v>922</v>
      </c>
      <c r="Z21" s="318" t="s">
        <v>267</v>
      </c>
      <c r="AA21" s="376">
        <v>50</v>
      </c>
      <c r="AB21" s="63">
        <f t="shared" si="0"/>
        <v>15</v>
      </c>
      <c r="AC21" s="108" t="s">
        <v>184</v>
      </c>
      <c r="AD21" s="1" t="s">
        <v>144</v>
      </c>
      <c r="AE21" s="159" t="s">
        <v>145</v>
      </c>
      <c r="AF21" s="1" t="s">
        <v>824</v>
      </c>
      <c r="AG21" s="1" t="s">
        <v>825</v>
      </c>
      <c r="AH21" s="1" t="s">
        <v>147</v>
      </c>
      <c r="AI21" s="1" t="s">
        <v>148</v>
      </c>
      <c r="AJ21" s="1" t="s">
        <v>5</v>
      </c>
      <c r="AK21" s="1" t="s">
        <v>5</v>
      </c>
      <c r="AL21" s="94" t="s">
        <v>922</v>
      </c>
      <c r="AM21" s="160" t="s">
        <v>267</v>
      </c>
      <c r="AN21" s="145">
        <v>50</v>
      </c>
      <c r="AP21" s="210" t="str">
        <f t="shared" si="2"/>
        <v/>
      </c>
      <c r="AQ21" s="263"/>
      <c r="AR21" s="210" t="str">
        <f t="shared" si="3"/>
        <v/>
      </c>
      <c r="AS21" s="217"/>
      <c r="AT21" s="210" t="s">
        <v>503</v>
      </c>
      <c r="AU21" s="263"/>
      <c r="AV21" s="217"/>
      <c r="BB21" s="306" t="str">
        <f t="shared" si="1"/>
        <v/>
      </c>
    </row>
    <row r="22" spans="1:54" ht="15.75" customHeight="1" x14ac:dyDescent="0.25">
      <c r="A22" s="74"/>
      <c r="B22" s="108" t="s">
        <v>184</v>
      </c>
      <c r="C22" s="1" t="s">
        <v>144</v>
      </c>
      <c r="D22" s="159" t="s">
        <v>145</v>
      </c>
      <c r="E22" s="1" t="s">
        <v>824</v>
      </c>
      <c r="F22" s="1" t="s">
        <v>825</v>
      </c>
      <c r="G22" s="1" t="s">
        <v>149</v>
      </c>
      <c r="H22" s="1" t="s">
        <v>150</v>
      </c>
      <c r="I22" s="1" t="s">
        <v>5</v>
      </c>
      <c r="J22" s="1" t="s">
        <v>5</v>
      </c>
      <c r="K22" s="204" t="str">
        <f t="shared" si="4"/>
        <v>E_CAF_LAD_VOB_16</v>
      </c>
      <c r="L22" s="160" t="s">
        <v>609</v>
      </c>
      <c r="M22" s="375">
        <v>51</v>
      </c>
      <c r="P22" s="297" t="s">
        <v>184</v>
      </c>
      <c r="Q22" s="241" t="s">
        <v>144</v>
      </c>
      <c r="R22" s="317" t="s">
        <v>145</v>
      </c>
      <c r="S22" s="241" t="s">
        <v>824</v>
      </c>
      <c r="T22" s="241" t="s">
        <v>825</v>
      </c>
      <c r="U22" s="241" t="s">
        <v>149</v>
      </c>
      <c r="V22" s="241" t="s">
        <v>150</v>
      </c>
      <c r="W22" s="241" t="s">
        <v>5</v>
      </c>
      <c r="X22" s="241" t="s">
        <v>5</v>
      </c>
      <c r="Y22" s="265" t="s">
        <v>923</v>
      </c>
      <c r="Z22" s="318" t="s">
        <v>609</v>
      </c>
      <c r="AA22" s="376">
        <v>51</v>
      </c>
      <c r="AB22" s="63">
        <f t="shared" si="0"/>
        <v>16</v>
      </c>
      <c r="AC22" s="108" t="s">
        <v>184</v>
      </c>
      <c r="AD22" s="1" t="s">
        <v>144</v>
      </c>
      <c r="AE22" s="159" t="s">
        <v>145</v>
      </c>
      <c r="AF22" s="1" t="s">
        <v>824</v>
      </c>
      <c r="AG22" s="1" t="s">
        <v>825</v>
      </c>
      <c r="AH22" s="1" t="s">
        <v>149</v>
      </c>
      <c r="AI22" s="1" t="s">
        <v>150</v>
      </c>
      <c r="AJ22" s="1" t="s">
        <v>5</v>
      </c>
      <c r="AK22" s="1" t="s">
        <v>5</v>
      </c>
      <c r="AL22" s="94" t="s">
        <v>923</v>
      </c>
      <c r="AM22" s="160" t="s">
        <v>609</v>
      </c>
      <c r="AN22" s="145">
        <v>51</v>
      </c>
      <c r="AP22" s="210" t="str">
        <f t="shared" si="2"/>
        <v/>
      </c>
      <c r="AQ22" s="263"/>
      <c r="AR22" s="210" t="str">
        <f t="shared" si="3"/>
        <v/>
      </c>
      <c r="AS22" s="217"/>
      <c r="AT22" s="210" t="s">
        <v>503</v>
      </c>
      <c r="AU22" s="263"/>
      <c r="AV22" s="217"/>
      <c r="BB22" s="306" t="str">
        <f t="shared" si="1"/>
        <v/>
      </c>
    </row>
    <row r="23" spans="1:54" ht="15.75" customHeight="1" x14ac:dyDescent="0.25">
      <c r="A23" s="74"/>
      <c r="B23" s="108" t="s">
        <v>184</v>
      </c>
      <c r="C23" s="1" t="s">
        <v>156</v>
      </c>
      <c r="D23" s="159" t="s">
        <v>157</v>
      </c>
      <c r="E23" s="1" t="s">
        <v>158</v>
      </c>
      <c r="F23" s="1" t="s">
        <v>159</v>
      </c>
      <c r="G23" s="1" t="s">
        <v>828</v>
      </c>
      <c r="H23" s="1" t="s">
        <v>828</v>
      </c>
      <c r="I23" s="1" t="s">
        <v>829</v>
      </c>
      <c r="J23" s="1" t="s">
        <v>829</v>
      </c>
      <c r="K23" s="204" t="str">
        <f t="shared" si="4"/>
        <v>E_COD_ANT_OMMI_360-800_01</v>
      </c>
      <c r="L23" s="160" t="s">
        <v>253</v>
      </c>
      <c r="M23" s="375">
        <v>52</v>
      </c>
      <c r="P23" s="297" t="s">
        <v>184</v>
      </c>
      <c r="Q23" s="241" t="s">
        <v>156</v>
      </c>
      <c r="R23" s="317" t="s">
        <v>157</v>
      </c>
      <c r="S23" s="241" t="s">
        <v>158</v>
      </c>
      <c r="T23" s="241" t="s">
        <v>159</v>
      </c>
      <c r="U23" s="241" t="s">
        <v>828</v>
      </c>
      <c r="V23" s="241" t="s">
        <v>828</v>
      </c>
      <c r="W23" s="241" t="s">
        <v>829</v>
      </c>
      <c r="X23" s="241" t="s">
        <v>829</v>
      </c>
      <c r="Y23" s="265" t="s">
        <v>924</v>
      </c>
      <c r="Z23" s="318" t="s">
        <v>253</v>
      </c>
      <c r="AA23" s="376">
        <v>52</v>
      </c>
      <c r="AB23" s="63">
        <f t="shared" si="0"/>
        <v>1</v>
      </c>
      <c r="AC23" s="108" t="s">
        <v>184</v>
      </c>
      <c r="AD23" s="1" t="s">
        <v>156</v>
      </c>
      <c r="AE23" s="159" t="s">
        <v>157</v>
      </c>
      <c r="AF23" s="1" t="s">
        <v>158</v>
      </c>
      <c r="AG23" s="1" t="s">
        <v>159</v>
      </c>
      <c r="AH23" s="1" t="s">
        <v>828</v>
      </c>
      <c r="AI23" s="1" t="s">
        <v>828</v>
      </c>
      <c r="AJ23" s="1" t="s">
        <v>829</v>
      </c>
      <c r="AK23" s="1" t="s">
        <v>829</v>
      </c>
      <c r="AL23" s="94" t="s">
        <v>924</v>
      </c>
      <c r="AM23" s="160" t="s">
        <v>253</v>
      </c>
      <c r="AN23" s="145">
        <v>52</v>
      </c>
      <c r="AP23" s="210" t="str">
        <f t="shared" si="2"/>
        <v/>
      </c>
      <c r="AQ23" s="263"/>
      <c r="AR23" s="210" t="str">
        <f t="shared" si="3"/>
        <v/>
      </c>
      <c r="AS23" s="217"/>
      <c r="AT23" s="210" t="s">
        <v>503</v>
      </c>
      <c r="AU23" s="263"/>
      <c r="AV23" s="217"/>
      <c r="BB23" s="306" t="str">
        <f t="shared" si="1"/>
        <v/>
      </c>
    </row>
    <row r="24" spans="1:54" ht="15.75" customHeight="1" x14ac:dyDescent="0.25">
      <c r="A24" s="74"/>
      <c r="B24" s="108" t="s">
        <v>184</v>
      </c>
      <c r="C24" s="1" t="s">
        <v>156</v>
      </c>
      <c r="D24" s="159" t="s">
        <v>157</v>
      </c>
      <c r="E24" s="1" t="s">
        <v>830</v>
      </c>
      <c r="F24" s="1" t="s">
        <v>831</v>
      </c>
      <c r="G24" s="1" t="s">
        <v>832</v>
      </c>
      <c r="H24" s="1" t="s">
        <v>832</v>
      </c>
      <c r="I24" s="1" t="s">
        <v>5</v>
      </c>
      <c r="J24" s="1" t="s">
        <v>5</v>
      </c>
      <c r="K24" s="204" t="str">
        <f t="shared" si="4"/>
        <v>E_COD_BOS_3W_02</v>
      </c>
      <c r="L24" s="160" t="s">
        <v>254</v>
      </c>
      <c r="M24" s="375">
        <v>53</v>
      </c>
      <c r="P24" s="297" t="s">
        <v>184</v>
      </c>
      <c r="Q24" s="241" t="s">
        <v>156</v>
      </c>
      <c r="R24" s="317" t="s">
        <v>157</v>
      </c>
      <c r="S24" s="241" t="s">
        <v>830</v>
      </c>
      <c r="T24" s="241" t="s">
        <v>831</v>
      </c>
      <c r="U24" s="241" t="s">
        <v>832</v>
      </c>
      <c r="V24" s="241" t="s">
        <v>832</v>
      </c>
      <c r="W24" s="241" t="s">
        <v>5</v>
      </c>
      <c r="X24" s="241" t="s">
        <v>5</v>
      </c>
      <c r="Y24" s="265" t="s">
        <v>925</v>
      </c>
      <c r="Z24" s="318" t="s">
        <v>254</v>
      </c>
      <c r="AA24" s="376">
        <v>53</v>
      </c>
      <c r="AB24" s="63">
        <f t="shared" si="0"/>
        <v>2</v>
      </c>
      <c r="AC24" s="108" t="s">
        <v>184</v>
      </c>
      <c r="AD24" s="1" t="s">
        <v>156</v>
      </c>
      <c r="AE24" s="159" t="s">
        <v>157</v>
      </c>
      <c r="AF24" s="1" t="s">
        <v>830</v>
      </c>
      <c r="AG24" s="1" t="s">
        <v>831</v>
      </c>
      <c r="AH24" s="1" t="s">
        <v>832</v>
      </c>
      <c r="AI24" s="1" t="s">
        <v>832</v>
      </c>
      <c r="AJ24" s="1" t="s">
        <v>5</v>
      </c>
      <c r="AK24" s="1" t="s">
        <v>5</v>
      </c>
      <c r="AL24" s="94" t="s">
        <v>925</v>
      </c>
      <c r="AM24" s="160" t="s">
        <v>254</v>
      </c>
      <c r="AN24" s="145">
        <v>53</v>
      </c>
      <c r="AP24" s="210" t="str">
        <f t="shared" si="2"/>
        <v/>
      </c>
      <c r="AQ24" s="266"/>
      <c r="AR24" s="210" t="str">
        <f t="shared" si="3"/>
        <v/>
      </c>
      <c r="AS24" s="217"/>
      <c r="AT24" s="210" t="s">
        <v>503</v>
      </c>
      <c r="AU24" s="263"/>
      <c r="AV24" s="217"/>
      <c r="BB24" s="306" t="str">
        <f t="shared" si="1"/>
        <v/>
      </c>
    </row>
    <row r="25" spans="1:54" ht="15.75" customHeight="1" x14ac:dyDescent="0.25">
      <c r="A25" s="74"/>
      <c r="B25" s="108" t="s">
        <v>184</v>
      </c>
      <c r="C25" s="1" t="s">
        <v>156</v>
      </c>
      <c r="D25" s="159" t="s">
        <v>157</v>
      </c>
      <c r="E25" s="1" t="s">
        <v>833</v>
      </c>
      <c r="F25" s="1" t="s">
        <v>834</v>
      </c>
      <c r="G25" s="1" t="s">
        <v>832</v>
      </c>
      <c r="H25" s="1" t="s">
        <v>832</v>
      </c>
      <c r="I25" s="1" t="s">
        <v>5</v>
      </c>
      <c r="J25" s="1" t="s">
        <v>5</v>
      </c>
      <c r="K25" s="94" t="str">
        <f t="shared" si="4"/>
        <v>E_COD_CES_3W_03</v>
      </c>
      <c r="L25" s="160" t="s">
        <v>255</v>
      </c>
      <c r="M25" s="375">
        <v>54</v>
      </c>
      <c r="P25" s="297" t="s">
        <v>184</v>
      </c>
      <c r="Q25" s="241" t="s">
        <v>156</v>
      </c>
      <c r="R25" s="317" t="s">
        <v>157</v>
      </c>
      <c r="S25" s="241" t="s">
        <v>833</v>
      </c>
      <c r="T25" s="241" t="s">
        <v>834</v>
      </c>
      <c r="U25" s="241" t="s">
        <v>832</v>
      </c>
      <c r="V25" s="241" t="s">
        <v>832</v>
      </c>
      <c r="W25" s="241" t="s">
        <v>5</v>
      </c>
      <c r="X25" s="241" t="s">
        <v>5</v>
      </c>
      <c r="Y25" s="215" t="s">
        <v>926</v>
      </c>
      <c r="Z25" s="318" t="s">
        <v>255</v>
      </c>
      <c r="AA25" s="376">
        <v>54</v>
      </c>
      <c r="AB25" s="63">
        <f t="shared" si="0"/>
        <v>3</v>
      </c>
      <c r="AC25" s="108" t="s">
        <v>184</v>
      </c>
      <c r="AD25" s="1" t="s">
        <v>156</v>
      </c>
      <c r="AE25" s="159" t="s">
        <v>157</v>
      </c>
      <c r="AF25" s="1" t="s">
        <v>833</v>
      </c>
      <c r="AG25" s="1" t="s">
        <v>834</v>
      </c>
      <c r="AH25" s="1" t="s">
        <v>832</v>
      </c>
      <c r="AI25" s="1" t="s">
        <v>832</v>
      </c>
      <c r="AJ25" s="1" t="s">
        <v>5</v>
      </c>
      <c r="AK25" s="1" t="s">
        <v>5</v>
      </c>
      <c r="AL25" s="94" t="s">
        <v>926</v>
      </c>
      <c r="AM25" s="160" t="s">
        <v>255</v>
      </c>
      <c r="AN25" s="145">
        <v>54</v>
      </c>
      <c r="AP25" s="210" t="str">
        <f t="shared" si="2"/>
        <v/>
      </c>
      <c r="AQ25" s="263"/>
      <c r="AR25" s="210" t="str">
        <f t="shared" si="3"/>
        <v/>
      </c>
      <c r="AS25" s="217"/>
      <c r="AT25" s="210" t="s">
        <v>503</v>
      </c>
      <c r="AU25" s="263"/>
      <c r="AV25" s="217"/>
      <c r="BB25" s="306" t="str">
        <f t="shared" si="1"/>
        <v/>
      </c>
    </row>
    <row r="26" spans="1:54" ht="15.75" customHeight="1" x14ac:dyDescent="0.25">
      <c r="A26" s="74"/>
      <c r="B26" s="108" t="s">
        <v>184</v>
      </c>
      <c r="C26" s="1" t="s">
        <v>156</v>
      </c>
      <c r="D26" s="159" t="s">
        <v>157</v>
      </c>
      <c r="E26" s="1" t="s">
        <v>835</v>
      </c>
      <c r="F26" s="1" t="s">
        <v>836</v>
      </c>
      <c r="G26" s="1" t="s">
        <v>837</v>
      </c>
      <c r="H26" s="1" t="s">
        <v>837</v>
      </c>
      <c r="I26" s="1" t="s">
        <v>5</v>
      </c>
      <c r="J26" s="1" t="s">
        <v>5</v>
      </c>
      <c r="K26" s="94" t="str">
        <f t="shared" si="4"/>
        <v>E_COD_LOS_15W_04</v>
      </c>
      <c r="L26" s="160" t="s">
        <v>256</v>
      </c>
      <c r="M26" s="375">
        <v>55</v>
      </c>
      <c r="P26" s="297" t="s">
        <v>184</v>
      </c>
      <c r="Q26" s="241" t="s">
        <v>156</v>
      </c>
      <c r="R26" s="317" t="s">
        <v>157</v>
      </c>
      <c r="S26" s="241" t="s">
        <v>835</v>
      </c>
      <c r="T26" s="241" t="s">
        <v>836</v>
      </c>
      <c r="U26" s="241" t="s">
        <v>837</v>
      </c>
      <c r="V26" s="241" t="s">
        <v>837</v>
      </c>
      <c r="W26" s="241" t="s">
        <v>5</v>
      </c>
      <c r="X26" s="241" t="s">
        <v>5</v>
      </c>
      <c r="Y26" s="215" t="s">
        <v>927</v>
      </c>
      <c r="Z26" s="318" t="s">
        <v>256</v>
      </c>
      <c r="AA26" s="376">
        <v>55</v>
      </c>
      <c r="AB26" s="63">
        <f t="shared" si="0"/>
        <v>4</v>
      </c>
      <c r="AC26" s="108" t="s">
        <v>184</v>
      </c>
      <c r="AD26" s="1" t="s">
        <v>156</v>
      </c>
      <c r="AE26" s="159" t="s">
        <v>157</v>
      </c>
      <c r="AF26" s="1" t="s">
        <v>835</v>
      </c>
      <c r="AG26" s="1" t="s">
        <v>836</v>
      </c>
      <c r="AH26" s="1" t="s">
        <v>837</v>
      </c>
      <c r="AI26" s="1" t="s">
        <v>837</v>
      </c>
      <c r="AJ26" s="1" t="s">
        <v>5</v>
      </c>
      <c r="AK26" s="1" t="s">
        <v>5</v>
      </c>
      <c r="AL26" s="94" t="s">
        <v>927</v>
      </c>
      <c r="AM26" s="160" t="s">
        <v>256</v>
      </c>
      <c r="AN26" s="145">
        <v>55</v>
      </c>
      <c r="AP26" s="210" t="str">
        <f t="shared" si="2"/>
        <v/>
      </c>
      <c r="AQ26" s="263"/>
      <c r="AR26" s="210" t="str">
        <f t="shared" si="3"/>
        <v/>
      </c>
      <c r="AS26" s="217"/>
      <c r="AT26" s="210" t="s">
        <v>503</v>
      </c>
      <c r="AU26" s="263"/>
      <c r="AV26" s="217"/>
      <c r="BB26" s="306" t="str">
        <f t="shared" si="1"/>
        <v/>
      </c>
    </row>
    <row r="27" spans="1:54" ht="15.75" customHeight="1" x14ac:dyDescent="0.25">
      <c r="A27" s="74"/>
      <c r="B27" s="108" t="s">
        <v>184</v>
      </c>
      <c r="C27" s="1" t="s">
        <v>153</v>
      </c>
      <c r="D27" s="159" t="s">
        <v>154</v>
      </c>
      <c r="E27" s="1" t="s">
        <v>838</v>
      </c>
      <c r="F27" s="1" t="s">
        <v>839</v>
      </c>
      <c r="G27" s="1" t="s">
        <v>840</v>
      </c>
      <c r="H27" s="1" t="s">
        <v>840</v>
      </c>
      <c r="I27" s="1" t="s">
        <v>5</v>
      </c>
      <c r="J27" s="1" t="s">
        <v>5</v>
      </c>
      <c r="K27" s="94" t="str">
        <f t="shared" si="4"/>
        <v>E_COF_COU_PVC_01</v>
      </c>
      <c r="L27" s="160" t="s">
        <v>253</v>
      </c>
      <c r="M27" s="375">
        <v>13</v>
      </c>
      <c r="P27" s="297" t="s">
        <v>184</v>
      </c>
      <c r="Q27" s="241" t="s">
        <v>153</v>
      </c>
      <c r="R27" s="317" t="s">
        <v>154</v>
      </c>
      <c r="S27" s="241" t="s">
        <v>838</v>
      </c>
      <c r="T27" s="241" t="s">
        <v>839</v>
      </c>
      <c r="U27" s="241" t="s">
        <v>840</v>
      </c>
      <c r="V27" s="241" t="s">
        <v>840</v>
      </c>
      <c r="W27" s="241" t="s">
        <v>5</v>
      </c>
      <c r="X27" s="241" t="s">
        <v>5</v>
      </c>
      <c r="Y27" s="215" t="s">
        <v>928</v>
      </c>
      <c r="Z27" s="318" t="s">
        <v>253</v>
      </c>
      <c r="AA27" s="376">
        <v>13</v>
      </c>
      <c r="AB27" s="63">
        <f t="shared" si="0"/>
        <v>1</v>
      </c>
      <c r="AC27" s="108" t="s">
        <v>184</v>
      </c>
      <c r="AD27" s="1" t="s">
        <v>153</v>
      </c>
      <c r="AE27" s="159" t="s">
        <v>154</v>
      </c>
      <c r="AF27" s="1" t="s">
        <v>838</v>
      </c>
      <c r="AG27" s="1" t="s">
        <v>839</v>
      </c>
      <c r="AH27" s="1" t="s">
        <v>840</v>
      </c>
      <c r="AI27" s="1" t="s">
        <v>840</v>
      </c>
      <c r="AJ27" s="1" t="s">
        <v>5</v>
      </c>
      <c r="AK27" s="1" t="s">
        <v>5</v>
      </c>
      <c r="AL27" s="94" t="s">
        <v>928</v>
      </c>
      <c r="AM27" s="160" t="s">
        <v>253</v>
      </c>
      <c r="AN27" s="145">
        <v>13</v>
      </c>
      <c r="AP27" s="210" t="str">
        <f t="shared" si="2"/>
        <v/>
      </c>
      <c r="AQ27" s="263"/>
      <c r="AR27" s="210" t="str">
        <f t="shared" si="3"/>
        <v/>
      </c>
      <c r="AS27" s="217"/>
      <c r="AT27" s="210" t="s">
        <v>503</v>
      </c>
      <c r="AU27" s="263"/>
      <c r="AV27" s="217"/>
      <c r="BB27" s="306" t="str">
        <f t="shared" si="1"/>
        <v/>
      </c>
    </row>
    <row r="28" spans="1:54" ht="15.75" customHeight="1" x14ac:dyDescent="0.25">
      <c r="A28" s="74"/>
      <c r="B28" s="108" t="s">
        <v>184</v>
      </c>
      <c r="C28" s="1" t="s">
        <v>153</v>
      </c>
      <c r="D28" s="159" t="s">
        <v>154</v>
      </c>
      <c r="E28" s="1" t="s">
        <v>138</v>
      </c>
      <c r="F28" s="1" t="s">
        <v>139</v>
      </c>
      <c r="G28" s="1" t="s">
        <v>840</v>
      </c>
      <c r="H28" s="1" t="s">
        <v>840</v>
      </c>
      <c r="I28" s="1" t="s">
        <v>5</v>
      </c>
      <c r="J28" s="1" t="s">
        <v>5</v>
      </c>
      <c r="K28" s="94" t="str">
        <f t="shared" si="4"/>
        <v>E_COF_ELB_PVC_02</v>
      </c>
      <c r="L28" s="160" t="s">
        <v>254</v>
      </c>
      <c r="M28" s="375">
        <v>56</v>
      </c>
      <c r="P28" s="297" t="s">
        <v>184</v>
      </c>
      <c r="Q28" s="241" t="s">
        <v>153</v>
      </c>
      <c r="R28" s="317" t="s">
        <v>154</v>
      </c>
      <c r="S28" s="241" t="s">
        <v>138</v>
      </c>
      <c r="T28" s="241" t="s">
        <v>139</v>
      </c>
      <c r="U28" s="241" t="s">
        <v>840</v>
      </c>
      <c r="V28" s="241" t="s">
        <v>840</v>
      </c>
      <c r="W28" s="241" t="s">
        <v>5</v>
      </c>
      <c r="X28" s="241" t="s">
        <v>5</v>
      </c>
      <c r="Y28" s="215" t="s">
        <v>929</v>
      </c>
      <c r="Z28" s="318" t="s">
        <v>254</v>
      </c>
      <c r="AA28" s="376">
        <v>56</v>
      </c>
      <c r="AB28" s="63">
        <f t="shared" si="0"/>
        <v>2</v>
      </c>
      <c r="AC28" s="108" t="s">
        <v>184</v>
      </c>
      <c r="AD28" s="1" t="s">
        <v>153</v>
      </c>
      <c r="AE28" s="159" t="s">
        <v>154</v>
      </c>
      <c r="AF28" s="1" t="s">
        <v>138</v>
      </c>
      <c r="AG28" s="1" t="s">
        <v>139</v>
      </c>
      <c r="AH28" s="1" t="s">
        <v>840</v>
      </c>
      <c r="AI28" s="1" t="s">
        <v>840</v>
      </c>
      <c r="AJ28" s="1" t="s">
        <v>5</v>
      </c>
      <c r="AK28" s="1" t="s">
        <v>5</v>
      </c>
      <c r="AL28" s="94" t="s">
        <v>929</v>
      </c>
      <c r="AM28" s="160" t="s">
        <v>254</v>
      </c>
      <c r="AN28" s="145">
        <v>56</v>
      </c>
      <c r="AP28" s="210" t="str">
        <f t="shared" si="2"/>
        <v/>
      </c>
      <c r="AQ28" s="263"/>
      <c r="AR28" s="210" t="str">
        <f t="shared" si="3"/>
        <v/>
      </c>
      <c r="AS28" s="217"/>
      <c r="AT28" s="210" t="s">
        <v>503</v>
      </c>
      <c r="AU28" s="263"/>
      <c r="AV28" s="217"/>
      <c r="BB28" s="306" t="str">
        <f t="shared" si="1"/>
        <v/>
      </c>
    </row>
    <row r="29" spans="1:54" ht="15.75" customHeight="1" x14ac:dyDescent="0.25">
      <c r="A29" s="74"/>
      <c r="B29" s="108" t="s">
        <v>184</v>
      </c>
      <c r="C29" s="1" t="s">
        <v>153</v>
      </c>
      <c r="D29" s="159" t="s">
        <v>154</v>
      </c>
      <c r="E29" s="1" t="s">
        <v>841</v>
      </c>
      <c r="F29" s="1" t="s">
        <v>842</v>
      </c>
      <c r="G29" s="1" t="s">
        <v>140</v>
      </c>
      <c r="H29" s="1" t="s">
        <v>141</v>
      </c>
      <c r="I29" s="1" t="s">
        <v>5</v>
      </c>
      <c r="J29" s="1" t="s">
        <v>5</v>
      </c>
      <c r="K29" s="94" t="str">
        <f t="shared" si="4"/>
        <v>E_COF_JBX_CRS_03</v>
      </c>
      <c r="L29" s="160" t="s">
        <v>255</v>
      </c>
      <c r="M29" s="375">
        <v>15</v>
      </c>
      <c r="P29" s="297" t="s">
        <v>184</v>
      </c>
      <c r="Q29" s="241" t="s">
        <v>153</v>
      </c>
      <c r="R29" s="317" t="s">
        <v>154</v>
      </c>
      <c r="S29" s="241" t="s">
        <v>841</v>
      </c>
      <c r="T29" s="241" t="s">
        <v>842</v>
      </c>
      <c r="U29" s="241" t="s">
        <v>140</v>
      </c>
      <c r="V29" s="241" t="s">
        <v>141</v>
      </c>
      <c r="W29" s="241" t="s">
        <v>5</v>
      </c>
      <c r="X29" s="241" t="s">
        <v>5</v>
      </c>
      <c r="Y29" s="215" t="s">
        <v>930</v>
      </c>
      <c r="Z29" s="318" t="s">
        <v>255</v>
      </c>
      <c r="AA29" s="376">
        <v>15</v>
      </c>
      <c r="AB29" s="63">
        <f t="shared" si="0"/>
        <v>3</v>
      </c>
      <c r="AC29" s="108" t="s">
        <v>184</v>
      </c>
      <c r="AD29" s="1" t="s">
        <v>153</v>
      </c>
      <c r="AE29" s="159" t="s">
        <v>154</v>
      </c>
      <c r="AF29" s="1" t="s">
        <v>841</v>
      </c>
      <c r="AG29" s="1" t="s">
        <v>842</v>
      </c>
      <c r="AH29" s="1" t="s">
        <v>140</v>
      </c>
      <c r="AI29" s="1" t="s">
        <v>141</v>
      </c>
      <c r="AJ29" s="1" t="s">
        <v>5</v>
      </c>
      <c r="AK29" s="1" t="s">
        <v>5</v>
      </c>
      <c r="AL29" s="94" t="s">
        <v>930</v>
      </c>
      <c r="AM29" s="160" t="s">
        <v>255</v>
      </c>
      <c r="AN29" s="145">
        <v>15</v>
      </c>
      <c r="AP29" s="210" t="str">
        <f t="shared" si="2"/>
        <v/>
      </c>
      <c r="AQ29" s="263"/>
      <c r="AR29" s="210" t="str">
        <f t="shared" si="3"/>
        <v/>
      </c>
      <c r="AS29" s="217"/>
      <c r="AT29" s="210" t="s">
        <v>503</v>
      </c>
      <c r="AU29" s="263"/>
      <c r="AV29" s="217"/>
      <c r="BB29" s="306" t="str">
        <f t="shared" si="1"/>
        <v/>
      </c>
    </row>
    <row r="30" spans="1:54" ht="15.75" customHeight="1" x14ac:dyDescent="0.25">
      <c r="A30" s="74"/>
      <c r="B30" s="108" t="s">
        <v>184</v>
      </c>
      <c r="C30" s="1" t="s">
        <v>153</v>
      </c>
      <c r="D30" s="159" t="s">
        <v>154</v>
      </c>
      <c r="E30" s="1" t="s">
        <v>841</v>
      </c>
      <c r="F30" s="1" t="s">
        <v>842</v>
      </c>
      <c r="G30" s="1" t="s">
        <v>151</v>
      </c>
      <c r="H30" s="1" t="s">
        <v>84</v>
      </c>
      <c r="I30" s="1" t="s">
        <v>5</v>
      </c>
      <c r="J30" s="1" t="s">
        <v>5</v>
      </c>
      <c r="K30" s="94" t="str">
        <f t="shared" si="4"/>
        <v>E_COF_JBX_TEE_04</v>
      </c>
      <c r="L30" s="160" t="s">
        <v>256</v>
      </c>
      <c r="M30" s="375">
        <v>57</v>
      </c>
      <c r="P30" s="297" t="s">
        <v>184</v>
      </c>
      <c r="Q30" s="241" t="s">
        <v>153</v>
      </c>
      <c r="R30" s="317" t="s">
        <v>154</v>
      </c>
      <c r="S30" s="241" t="s">
        <v>841</v>
      </c>
      <c r="T30" s="241" t="s">
        <v>842</v>
      </c>
      <c r="U30" s="241" t="s">
        <v>151</v>
      </c>
      <c r="V30" s="241" t="s">
        <v>84</v>
      </c>
      <c r="W30" s="241" t="s">
        <v>5</v>
      </c>
      <c r="X30" s="241" t="s">
        <v>5</v>
      </c>
      <c r="Y30" s="215" t="s">
        <v>931</v>
      </c>
      <c r="Z30" s="318" t="s">
        <v>256</v>
      </c>
      <c r="AA30" s="376">
        <v>57</v>
      </c>
      <c r="AB30" s="63">
        <f t="shared" si="0"/>
        <v>4</v>
      </c>
      <c r="AC30" s="108" t="s">
        <v>184</v>
      </c>
      <c r="AD30" s="1" t="s">
        <v>153</v>
      </c>
      <c r="AE30" s="159" t="s">
        <v>154</v>
      </c>
      <c r="AF30" s="1" t="s">
        <v>841</v>
      </c>
      <c r="AG30" s="1" t="s">
        <v>842</v>
      </c>
      <c r="AH30" s="1" t="s">
        <v>151</v>
      </c>
      <c r="AI30" s="1" t="s">
        <v>84</v>
      </c>
      <c r="AJ30" s="1" t="s">
        <v>5</v>
      </c>
      <c r="AK30" s="1" t="s">
        <v>5</v>
      </c>
      <c r="AL30" s="94" t="s">
        <v>931</v>
      </c>
      <c r="AM30" s="160" t="s">
        <v>256</v>
      </c>
      <c r="AN30" s="145">
        <v>57</v>
      </c>
      <c r="AP30" s="210" t="str">
        <f t="shared" si="2"/>
        <v/>
      </c>
      <c r="AQ30" s="263"/>
      <c r="AR30" s="210" t="str">
        <f t="shared" si="3"/>
        <v/>
      </c>
      <c r="AS30" s="217"/>
      <c r="AT30" s="210" t="s">
        <v>503</v>
      </c>
      <c r="AU30" s="263"/>
      <c r="AV30" s="217"/>
      <c r="BB30" s="306" t="str">
        <f t="shared" si="1"/>
        <v/>
      </c>
    </row>
    <row r="31" spans="1:54" ht="15.75" customHeight="1" x14ac:dyDescent="0.25">
      <c r="A31" s="74"/>
      <c r="B31" s="108" t="s">
        <v>184</v>
      </c>
      <c r="C31" s="1" t="s">
        <v>153</v>
      </c>
      <c r="D31" s="159" t="s">
        <v>154</v>
      </c>
      <c r="E31" s="1" t="s">
        <v>841</v>
      </c>
      <c r="F31" s="1" t="s">
        <v>842</v>
      </c>
      <c r="G31" s="1" t="s">
        <v>87</v>
      </c>
      <c r="H31" s="1" t="s">
        <v>88</v>
      </c>
      <c r="I31" s="1" t="s">
        <v>5</v>
      </c>
      <c r="J31" s="1" t="s">
        <v>5</v>
      </c>
      <c r="K31" s="94" t="str">
        <f t="shared" si="4"/>
        <v>E_COF_JBX_TRA_05</v>
      </c>
      <c r="L31" s="160" t="s">
        <v>257</v>
      </c>
      <c r="M31" s="375">
        <v>17</v>
      </c>
      <c r="P31" s="297" t="s">
        <v>184</v>
      </c>
      <c r="Q31" s="241" t="s">
        <v>153</v>
      </c>
      <c r="R31" s="317" t="s">
        <v>154</v>
      </c>
      <c r="S31" s="241" t="s">
        <v>841</v>
      </c>
      <c r="T31" s="241" t="s">
        <v>842</v>
      </c>
      <c r="U31" s="241" t="s">
        <v>87</v>
      </c>
      <c r="V31" s="241" t="s">
        <v>88</v>
      </c>
      <c r="W31" s="241" t="s">
        <v>5</v>
      </c>
      <c r="X31" s="241" t="s">
        <v>5</v>
      </c>
      <c r="Y31" s="215" t="s">
        <v>932</v>
      </c>
      <c r="Z31" s="318" t="s">
        <v>257</v>
      </c>
      <c r="AA31" s="376">
        <v>17</v>
      </c>
      <c r="AB31" s="63">
        <f t="shared" si="0"/>
        <v>5</v>
      </c>
      <c r="AC31" s="108" t="s">
        <v>184</v>
      </c>
      <c r="AD31" s="1" t="s">
        <v>153</v>
      </c>
      <c r="AE31" s="159" t="s">
        <v>154</v>
      </c>
      <c r="AF31" s="1" t="s">
        <v>841</v>
      </c>
      <c r="AG31" s="1" t="s">
        <v>842</v>
      </c>
      <c r="AH31" s="1" t="s">
        <v>87</v>
      </c>
      <c r="AI31" s="1" t="s">
        <v>88</v>
      </c>
      <c r="AJ31" s="1" t="s">
        <v>5</v>
      </c>
      <c r="AK31" s="1" t="s">
        <v>5</v>
      </c>
      <c r="AL31" s="94" t="s">
        <v>932</v>
      </c>
      <c r="AM31" s="160" t="s">
        <v>257</v>
      </c>
      <c r="AN31" s="145">
        <v>17</v>
      </c>
      <c r="AP31" s="210" t="str">
        <f t="shared" si="2"/>
        <v/>
      </c>
      <c r="AQ31" s="263"/>
      <c r="AR31" s="210" t="str">
        <f t="shared" si="3"/>
        <v/>
      </c>
      <c r="AS31" s="217"/>
      <c r="AT31" s="210" t="s">
        <v>503</v>
      </c>
      <c r="AU31" s="263"/>
      <c r="AV31" s="217"/>
      <c r="BB31" s="306" t="str">
        <f t="shared" si="1"/>
        <v/>
      </c>
    </row>
    <row r="32" spans="1:54" ht="15.75" customHeight="1" x14ac:dyDescent="0.25">
      <c r="A32" s="74"/>
      <c r="B32" s="108" t="s">
        <v>184</v>
      </c>
      <c r="C32" s="1" t="s">
        <v>160</v>
      </c>
      <c r="D32" s="159" t="s">
        <v>161</v>
      </c>
      <c r="E32" s="1" t="s">
        <v>843</v>
      </c>
      <c r="F32" s="1" t="s">
        <v>844</v>
      </c>
      <c r="G32" s="1" t="s">
        <v>5</v>
      </c>
      <c r="H32" s="1" t="s">
        <v>5</v>
      </c>
      <c r="I32" s="1" t="s">
        <v>5</v>
      </c>
      <c r="J32" s="1" t="s">
        <v>5</v>
      </c>
      <c r="K32" s="94" t="str">
        <f t="shared" si="4"/>
        <v>E_DAD_BBG_01</v>
      </c>
      <c r="L32" s="160" t="s">
        <v>253</v>
      </c>
      <c r="M32" s="375">
        <v>18</v>
      </c>
      <c r="P32" s="297" t="s">
        <v>184</v>
      </c>
      <c r="Q32" s="241" t="s">
        <v>160</v>
      </c>
      <c r="R32" s="317" t="s">
        <v>161</v>
      </c>
      <c r="S32" s="241" t="s">
        <v>843</v>
      </c>
      <c r="T32" s="241" t="s">
        <v>844</v>
      </c>
      <c r="U32" s="241" t="s">
        <v>5</v>
      </c>
      <c r="V32" s="241" t="s">
        <v>5</v>
      </c>
      <c r="W32" s="241" t="s">
        <v>5</v>
      </c>
      <c r="X32" s="241" t="s">
        <v>5</v>
      </c>
      <c r="Y32" s="215" t="s">
        <v>933</v>
      </c>
      <c r="Z32" s="318" t="s">
        <v>253</v>
      </c>
      <c r="AA32" s="376">
        <v>18</v>
      </c>
      <c r="AB32" s="63">
        <f t="shared" si="0"/>
        <v>1</v>
      </c>
      <c r="AC32" s="108" t="s">
        <v>184</v>
      </c>
      <c r="AD32" s="1" t="s">
        <v>160</v>
      </c>
      <c r="AE32" s="159" t="s">
        <v>161</v>
      </c>
      <c r="AF32" s="1" t="s">
        <v>843</v>
      </c>
      <c r="AG32" s="1" t="s">
        <v>844</v>
      </c>
      <c r="AH32" s="1" t="s">
        <v>5</v>
      </c>
      <c r="AI32" s="1" t="s">
        <v>5</v>
      </c>
      <c r="AJ32" s="1" t="s">
        <v>5</v>
      </c>
      <c r="AK32" s="1" t="s">
        <v>5</v>
      </c>
      <c r="AL32" s="94" t="s">
        <v>933</v>
      </c>
      <c r="AM32" s="160" t="s">
        <v>253</v>
      </c>
      <c r="AN32" s="145">
        <v>18</v>
      </c>
      <c r="AP32" s="210" t="str">
        <f t="shared" si="2"/>
        <v/>
      </c>
      <c r="AQ32" s="263"/>
      <c r="AR32" s="210" t="str">
        <f t="shared" si="3"/>
        <v/>
      </c>
      <c r="AS32" s="217"/>
      <c r="AT32" s="210" t="s">
        <v>503</v>
      </c>
      <c r="AU32" s="263"/>
      <c r="AV32" s="217"/>
      <c r="BB32" s="306" t="str">
        <f t="shared" si="1"/>
        <v/>
      </c>
    </row>
    <row r="33" spans="1:54" ht="15.75" customHeight="1" x14ac:dyDescent="0.25">
      <c r="A33" s="74"/>
      <c r="B33" s="108" t="s">
        <v>184</v>
      </c>
      <c r="C33" s="1" t="s">
        <v>160</v>
      </c>
      <c r="D33" s="159" t="s">
        <v>161</v>
      </c>
      <c r="E33" s="1" t="s">
        <v>845</v>
      </c>
      <c r="F33" s="1" t="s">
        <v>461</v>
      </c>
      <c r="G33" s="1" t="s">
        <v>688</v>
      </c>
      <c r="H33" s="1" t="s">
        <v>846</v>
      </c>
      <c r="I33" s="1" t="s">
        <v>5</v>
      </c>
      <c r="J33" s="1" t="s">
        <v>5</v>
      </c>
      <c r="K33" s="94" t="str">
        <f t="shared" si="4"/>
        <v>E_DAD_BEL_DOR_03</v>
      </c>
      <c r="L33" s="160" t="s">
        <v>255</v>
      </c>
      <c r="M33" s="375">
        <v>58</v>
      </c>
      <c r="P33" s="297" t="s">
        <v>184</v>
      </c>
      <c r="Q33" s="241" t="s">
        <v>160</v>
      </c>
      <c r="R33" s="317" t="s">
        <v>161</v>
      </c>
      <c r="S33" s="241" t="s">
        <v>845</v>
      </c>
      <c r="T33" s="241" t="s">
        <v>461</v>
      </c>
      <c r="U33" s="241" t="s">
        <v>688</v>
      </c>
      <c r="V33" s="241" t="s">
        <v>846</v>
      </c>
      <c r="W33" s="241" t="s">
        <v>5</v>
      </c>
      <c r="X33" s="241" t="s">
        <v>5</v>
      </c>
      <c r="Y33" s="215" t="s">
        <v>934</v>
      </c>
      <c r="Z33" s="318" t="s">
        <v>255</v>
      </c>
      <c r="AA33" s="376">
        <v>58</v>
      </c>
      <c r="AB33" s="63">
        <f t="shared" si="0"/>
        <v>3</v>
      </c>
      <c r="AC33" s="108" t="s">
        <v>184</v>
      </c>
      <c r="AD33" s="1" t="s">
        <v>160</v>
      </c>
      <c r="AE33" s="159" t="s">
        <v>161</v>
      </c>
      <c r="AF33" s="1" t="s">
        <v>845</v>
      </c>
      <c r="AG33" s="1" t="s">
        <v>461</v>
      </c>
      <c r="AH33" s="1" t="s">
        <v>688</v>
      </c>
      <c r="AI33" s="1" t="s">
        <v>846</v>
      </c>
      <c r="AJ33" s="1" t="s">
        <v>5</v>
      </c>
      <c r="AK33" s="1" t="s">
        <v>5</v>
      </c>
      <c r="AL33" s="94" t="s">
        <v>934</v>
      </c>
      <c r="AM33" s="160" t="s">
        <v>255</v>
      </c>
      <c r="AN33" s="145">
        <v>58</v>
      </c>
      <c r="AP33" s="210" t="str">
        <f t="shared" si="2"/>
        <v/>
      </c>
      <c r="AQ33" s="266"/>
      <c r="AR33" s="210" t="str">
        <f t="shared" si="3"/>
        <v/>
      </c>
      <c r="AS33" s="217"/>
      <c r="AT33" s="210" t="s">
        <v>503</v>
      </c>
      <c r="AU33" s="263"/>
      <c r="AV33" s="217"/>
      <c r="BB33" s="306" t="str">
        <f t="shared" si="1"/>
        <v/>
      </c>
    </row>
    <row r="34" spans="1:54" ht="15.75" customHeight="1" x14ac:dyDescent="0.25">
      <c r="A34" s="74"/>
      <c r="B34" s="108" t="s">
        <v>184</v>
      </c>
      <c r="C34" s="1" t="s">
        <v>160</v>
      </c>
      <c r="D34" s="159" t="s">
        <v>161</v>
      </c>
      <c r="E34" s="1" t="s">
        <v>845</v>
      </c>
      <c r="F34" s="1" t="s">
        <v>461</v>
      </c>
      <c r="G34" s="1" t="s">
        <v>847</v>
      </c>
      <c r="H34" s="1" t="s">
        <v>848</v>
      </c>
      <c r="I34" s="1" t="s">
        <v>5</v>
      </c>
      <c r="J34" s="1" t="s">
        <v>5</v>
      </c>
      <c r="K34" s="94" t="str">
        <f t="shared" si="4"/>
        <v>E_DAD_BEL_LOB_02</v>
      </c>
      <c r="L34" s="160" t="s">
        <v>254</v>
      </c>
      <c r="M34" s="375">
        <v>59</v>
      </c>
      <c r="P34" s="297" t="s">
        <v>184</v>
      </c>
      <c r="Q34" s="241" t="s">
        <v>160</v>
      </c>
      <c r="R34" s="317" t="s">
        <v>161</v>
      </c>
      <c r="S34" s="241" t="s">
        <v>845</v>
      </c>
      <c r="T34" s="241" t="s">
        <v>461</v>
      </c>
      <c r="U34" s="241" t="s">
        <v>847</v>
      </c>
      <c r="V34" s="241" t="s">
        <v>848</v>
      </c>
      <c r="W34" s="241" t="s">
        <v>5</v>
      </c>
      <c r="X34" s="241" t="s">
        <v>5</v>
      </c>
      <c r="Y34" s="215" t="s">
        <v>935</v>
      </c>
      <c r="Z34" s="318" t="s">
        <v>254</v>
      </c>
      <c r="AA34" s="376">
        <v>59</v>
      </c>
      <c r="AB34" s="63">
        <f t="shared" si="0"/>
        <v>2</v>
      </c>
      <c r="AC34" s="108" t="s">
        <v>184</v>
      </c>
      <c r="AD34" s="1" t="s">
        <v>160</v>
      </c>
      <c r="AE34" s="159" t="s">
        <v>161</v>
      </c>
      <c r="AF34" s="1" t="s">
        <v>845</v>
      </c>
      <c r="AG34" s="1" t="s">
        <v>461</v>
      </c>
      <c r="AH34" s="1" t="s">
        <v>847</v>
      </c>
      <c r="AI34" s="1" t="s">
        <v>848</v>
      </c>
      <c r="AJ34" s="1" t="s">
        <v>5</v>
      </c>
      <c r="AK34" s="1" t="s">
        <v>5</v>
      </c>
      <c r="AL34" s="94" t="s">
        <v>935</v>
      </c>
      <c r="AM34" s="160" t="s">
        <v>254</v>
      </c>
      <c r="AN34" s="145">
        <v>59</v>
      </c>
      <c r="AP34" s="210" t="str">
        <f t="shared" si="2"/>
        <v/>
      </c>
      <c r="AQ34" s="266"/>
      <c r="AR34" s="210" t="str">
        <f t="shared" si="3"/>
        <v/>
      </c>
      <c r="AS34" s="217"/>
      <c r="AT34" s="210" t="s">
        <v>503</v>
      </c>
      <c r="AU34" s="263"/>
      <c r="AV34" s="217"/>
      <c r="BB34" s="306" t="str">
        <f t="shared" si="1"/>
        <v/>
      </c>
    </row>
    <row r="35" spans="1:54" ht="15.75" customHeight="1" x14ac:dyDescent="0.25">
      <c r="A35" s="74"/>
      <c r="B35" s="108" t="s">
        <v>184</v>
      </c>
      <c r="C35" s="1" t="s">
        <v>160</v>
      </c>
      <c r="D35" s="159" t="s">
        <v>161</v>
      </c>
      <c r="E35" s="1" t="s">
        <v>849</v>
      </c>
      <c r="F35" s="1" t="s">
        <v>233</v>
      </c>
      <c r="G35" s="1" t="s">
        <v>5</v>
      </c>
      <c r="H35" s="1" t="s">
        <v>5</v>
      </c>
      <c r="I35" s="1" t="s">
        <v>5</v>
      </c>
      <c r="J35" s="1" t="s">
        <v>5</v>
      </c>
      <c r="K35" s="94" t="str">
        <f t="shared" si="4"/>
        <v>E_DAD_ELL_05</v>
      </c>
      <c r="L35" s="160" t="s">
        <v>257</v>
      </c>
      <c r="M35" s="375">
        <v>61</v>
      </c>
      <c r="P35" s="297" t="s">
        <v>184</v>
      </c>
      <c r="Q35" s="241" t="s">
        <v>160</v>
      </c>
      <c r="R35" s="317" t="s">
        <v>161</v>
      </c>
      <c r="S35" s="241" t="s">
        <v>849</v>
      </c>
      <c r="T35" s="241" t="s">
        <v>233</v>
      </c>
      <c r="U35" s="241" t="s">
        <v>5</v>
      </c>
      <c r="V35" s="241" t="s">
        <v>5</v>
      </c>
      <c r="W35" s="241" t="s">
        <v>5</v>
      </c>
      <c r="X35" s="241" t="s">
        <v>5</v>
      </c>
      <c r="Y35" s="215" t="s">
        <v>936</v>
      </c>
      <c r="Z35" s="318" t="s">
        <v>257</v>
      </c>
      <c r="AA35" s="376">
        <v>61</v>
      </c>
      <c r="AB35" s="63">
        <f t="shared" si="0"/>
        <v>5</v>
      </c>
      <c r="AC35" s="108" t="s">
        <v>184</v>
      </c>
      <c r="AD35" s="1" t="s">
        <v>160</v>
      </c>
      <c r="AE35" s="159" t="s">
        <v>161</v>
      </c>
      <c r="AF35" s="1" t="s">
        <v>849</v>
      </c>
      <c r="AG35" s="1" t="s">
        <v>233</v>
      </c>
      <c r="AH35" s="1" t="s">
        <v>5</v>
      </c>
      <c r="AI35" s="1" t="s">
        <v>5</v>
      </c>
      <c r="AJ35" s="1" t="s">
        <v>5</v>
      </c>
      <c r="AK35" s="1" t="s">
        <v>5</v>
      </c>
      <c r="AL35" s="94" t="s">
        <v>936</v>
      </c>
      <c r="AM35" s="160" t="s">
        <v>257</v>
      </c>
      <c r="AN35" s="145">
        <v>61</v>
      </c>
      <c r="AP35" s="210" t="str">
        <f t="shared" si="2"/>
        <v/>
      </c>
      <c r="AQ35" s="266"/>
      <c r="AR35" s="210" t="str">
        <f t="shared" si="3"/>
        <v/>
      </c>
      <c r="AS35" s="217"/>
      <c r="AT35" s="210" t="s">
        <v>503</v>
      </c>
      <c r="AU35" s="263"/>
      <c r="AV35" s="217"/>
      <c r="BB35" s="306" t="str">
        <f t="shared" si="1"/>
        <v/>
      </c>
    </row>
    <row r="36" spans="1:54" ht="15.75" customHeight="1" x14ac:dyDescent="0.25">
      <c r="B36" s="108" t="s">
        <v>184</v>
      </c>
      <c r="C36" s="1" t="s">
        <v>160</v>
      </c>
      <c r="D36" s="159" t="s">
        <v>161</v>
      </c>
      <c r="E36" s="1" t="s">
        <v>162</v>
      </c>
      <c r="F36" s="1" t="s">
        <v>850</v>
      </c>
      <c r="G36" s="1" t="s">
        <v>49</v>
      </c>
      <c r="H36" s="1" t="s">
        <v>51</v>
      </c>
      <c r="I36" s="1" t="s">
        <v>851</v>
      </c>
      <c r="J36" s="1" t="s">
        <v>851</v>
      </c>
      <c r="K36" s="94" t="str">
        <f t="shared" si="4"/>
        <v>E_DAD_LSK_DOU_2xRJ15_04</v>
      </c>
      <c r="L36" s="160" t="s">
        <v>256</v>
      </c>
      <c r="M36" s="375">
        <v>60</v>
      </c>
      <c r="P36" s="297" t="s">
        <v>184</v>
      </c>
      <c r="Q36" s="241" t="s">
        <v>160</v>
      </c>
      <c r="R36" s="317" t="s">
        <v>161</v>
      </c>
      <c r="S36" s="241" t="s">
        <v>162</v>
      </c>
      <c r="T36" s="241" t="s">
        <v>850</v>
      </c>
      <c r="U36" s="241" t="s">
        <v>49</v>
      </c>
      <c r="V36" s="241" t="s">
        <v>51</v>
      </c>
      <c r="W36" s="241" t="s">
        <v>851</v>
      </c>
      <c r="X36" s="241" t="s">
        <v>851</v>
      </c>
      <c r="Y36" s="215" t="s">
        <v>937</v>
      </c>
      <c r="Z36" s="318" t="s">
        <v>256</v>
      </c>
      <c r="AA36" s="376">
        <v>60</v>
      </c>
      <c r="AB36" s="63">
        <f t="shared" si="0"/>
        <v>4</v>
      </c>
      <c r="AC36" s="108" t="s">
        <v>184</v>
      </c>
      <c r="AD36" s="1" t="s">
        <v>160</v>
      </c>
      <c r="AE36" s="159" t="s">
        <v>161</v>
      </c>
      <c r="AF36" s="1" t="s">
        <v>162</v>
      </c>
      <c r="AG36" s="1" t="s">
        <v>850</v>
      </c>
      <c r="AH36" s="1" t="s">
        <v>49</v>
      </c>
      <c r="AI36" s="1" t="s">
        <v>51</v>
      </c>
      <c r="AJ36" s="1" t="s">
        <v>851</v>
      </c>
      <c r="AK36" s="1" t="s">
        <v>851</v>
      </c>
      <c r="AL36" s="204" t="s">
        <v>937</v>
      </c>
      <c r="AM36" s="160" t="s">
        <v>256</v>
      </c>
      <c r="AN36" s="145">
        <v>60</v>
      </c>
      <c r="AP36" s="210" t="str">
        <f t="shared" si="2"/>
        <v/>
      </c>
      <c r="AQ36" s="266"/>
      <c r="AR36" s="210" t="str">
        <f t="shared" si="3"/>
        <v/>
      </c>
      <c r="AS36" s="217"/>
      <c r="AT36" s="210" t="s">
        <v>503</v>
      </c>
      <c r="AU36" s="263"/>
      <c r="AV36" s="217"/>
      <c r="BB36" s="306" t="str">
        <f t="shared" si="1"/>
        <v/>
      </c>
    </row>
    <row r="37" spans="1:54" ht="15.75" customHeight="1" x14ac:dyDescent="0.25">
      <c r="B37" s="108" t="s">
        <v>184</v>
      </c>
      <c r="C37" s="1" t="s">
        <v>160</v>
      </c>
      <c r="D37" s="159" t="s">
        <v>161</v>
      </c>
      <c r="E37" s="1" t="s">
        <v>162</v>
      </c>
      <c r="F37" s="1" t="s">
        <v>850</v>
      </c>
      <c r="G37" s="1" t="s">
        <v>506</v>
      </c>
      <c r="H37" s="1" t="s">
        <v>852</v>
      </c>
      <c r="I37" s="1" t="s">
        <v>853</v>
      </c>
      <c r="J37" s="1" t="s">
        <v>853</v>
      </c>
      <c r="K37" s="94" t="str">
        <f t="shared" si="4"/>
        <v>E_DAD_LSK_SIG_1xRJ15_08</v>
      </c>
      <c r="L37" s="160" t="s">
        <v>260</v>
      </c>
      <c r="M37" s="375">
        <v>64</v>
      </c>
      <c r="P37" s="297" t="s">
        <v>184</v>
      </c>
      <c r="Q37" s="241" t="s">
        <v>160</v>
      </c>
      <c r="R37" s="317" t="s">
        <v>161</v>
      </c>
      <c r="S37" s="241" t="s">
        <v>162</v>
      </c>
      <c r="T37" s="241" t="s">
        <v>850</v>
      </c>
      <c r="U37" s="241" t="s">
        <v>506</v>
      </c>
      <c r="V37" s="241" t="s">
        <v>852</v>
      </c>
      <c r="W37" s="241" t="s">
        <v>853</v>
      </c>
      <c r="X37" s="241" t="s">
        <v>853</v>
      </c>
      <c r="Y37" s="215" t="s">
        <v>938</v>
      </c>
      <c r="Z37" s="318" t="s">
        <v>260</v>
      </c>
      <c r="AA37" s="376">
        <v>64</v>
      </c>
      <c r="AB37" s="63">
        <f t="shared" si="0"/>
        <v>8</v>
      </c>
      <c r="AC37" s="108" t="s">
        <v>184</v>
      </c>
      <c r="AD37" s="1" t="s">
        <v>160</v>
      </c>
      <c r="AE37" s="159" t="s">
        <v>161</v>
      </c>
      <c r="AF37" s="1" t="s">
        <v>162</v>
      </c>
      <c r="AG37" s="1" t="s">
        <v>850</v>
      </c>
      <c r="AH37" s="1" t="s">
        <v>506</v>
      </c>
      <c r="AI37" s="1" t="s">
        <v>852</v>
      </c>
      <c r="AJ37" s="1" t="s">
        <v>853</v>
      </c>
      <c r="AK37" s="1" t="s">
        <v>853</v>
      </c>
      <c r="AL37" s="204" t="s">
        <v>938</v>
      </c>
      <c r="AM37" s="160" t="s">
        <v>260</v>
      </c>
      <c r="AN37" s="145">
        <v>64</v>
      </c>
      <c r="AP37" s="210" t="str">
        <f t="shared" si="2"/>
        <v/>
      </c>
      <c r="AQ37" s="263"/>
      <c r="AR37" s="210" t="str">
        <f t="shared" si="3"/>
        <v/>
      </c>
      <c r="AS37" s="217"/>
      <c r="AT37" s="210" t="s">
        <v>503</v>
      </c>
      <c r="AU37" s="263"/>
      <c r="AV37" s="217"/>
      <c r="BB37" s="306" t="str">
        <f t="shared" si="1"/>
        <v/>
      </c>
    </row>
    <row r="38" spans="1:54" ht="15.75" customHeight="1" x14ac:dyDescent="0.25">
      <c r="B38" s="108" t="s">
        <v>184</v>
      </c>
      <c r="C38" s="1" t="s">
        <v>160</v>
      </c>
      <c r="D38" s="159" t="s">
        <v>161</v>
      </c>
      <c r="E38" s="1" t="s">
        <v>854</v>
      </c>
      <c r="F38" s="1" t="s">
        <v>855</v>
      </c>
      <c r="G38" s="1" t="s">
        <v>856</v>
      </c>
      <c r="H38" s="1" t="s">
        <v>857</v>
      </c>
      <c r="I38" s="1" t="s">
        <v>5</v>
      </c>
      <c r="J38" s="1" t="s">
        <v>5</v>
      </c>
      <c r="K38" s="94" t="str">
        <f t="shared" si="4"/>
        <v>E_DAD_MON_IAM_06</v>
      </c>
      <c r="L38" s="160" t="s">
        <v>258</v>
      </c>
      <c r="M38" s="375">
        <v>62</v>
      </c>
      <c r="P38" s="297" t="s">
        <v>184</v>
      </c>
      <c r="Q38" s="241" t="s">
        <v>160</v>
      </c>
      <c r="R38" s="317" t="s">
        <v>161</v>
      </c>
      <c r="S38" s="241" t="s">
        <v>854</v>
      </c>
      <c r="T38" s="241" t="s">
        <v>855</v>
      </c>
      <c r="U38" s="241" t="s">
        <v>856</v>
      </c>
      <c r="V38" s="241" t="s">
        <v>857</v>
      </c>
      <c r="W38" s="241" t="s">
        <v>5</v>
      </c>
      <c r="X38" s="241" t="s">
        <v>5</v>
      </c>
      <c r="Y38" s="215" t="s">
        <v>939</v>
      </c>
      <c r="Z38" s="318" t="s">
        <v>258</v>
      </c>
      <c r="AA38" s="376">
        <v>62</v>
      </c>
      <c r="AB38" s="63">
        <f t="shared" si="0"/>
        <v>6</v>
      </c>
      <c r="AC38" s="108" t="s">
        <v>184</v>
      </c>
      <c r="AD38" s="1" t="s">
        <v>160</v>
      </c>
      <c r="AE38" s="159" t="s">
        <v>161</v>
      </c>
      <c r="AF38" s="1" t="s">
        <v>854</v>
      </c>
      <c r="AG38" s="1" t="s">
        <v>855</v>
      </c>
      <c r="AH38" s="1" t="s">
        <v>856</v>
      </c>
      <c r="AI38" s="1" t="s">
        <v>857</v>
      </c>
      <c r="AJ38" s="1" t="s">
        <v>5</v>
      </c>
      <c r="AK38" s="1" t="s">
        <v>5</v>
      </c>
      <c r="AL38" s="204" t="s">
        <v>939</v>
      </c>
      <c r="AM38" s="160" t="s">
        <v>258</v>
      </c>
      <c r="AN38" s="145">
        <v>62</v>
      </c>
      <c r="AP38" s="210" t="str">
        <f t="shared" si="2"/>
        <v/>
      </c>
      <c r="AQ38" s="263"/>
      <c r="AR38" s="210" t="str">
        <f t="shared" si="3"/>
        <v/>
      </c>
      <c r="AS38" s="217"/>
      <c r="AT38" s="210" t="s">
        <v>503</v>
      </c>
      <c r="AU38" s="263"/>
      <c r="AV38" s="217"/>
      <c r="BB38" s="306" t="str">
        <f t="shared" si="1"/>
        <v/>
      </c>
    </row>
    <row r="39" spans="1:54" x14ac:dyDescent="0.25">
      <c r="B39" s="108" t="s">
        <v>184</v>
      </c>
      <c r="C39" s="1" t="s">
        <v>160</v>
      </c>
      <c r="D39" s="159" t="s">
        <v>161</v>
      </c>
      <c r="E39" s="1" t="s">
        <v>858</v>
      </c>
      <c r="F39" s="1" t="s">
        <v>859</v>
      </c>
      <c r="G39" s="1" t="s">
        <v>5</v>
      </c>
      <c r="H39" s="1" t="s">
        <v>5</v>
      </c>
      <c r="I39" s="1" t="s">
        <v>5</v>
      </c>
      <c r="J39" s="1" t="s">
        <v>5</v>
      </c>
      <c r="K39" s="94" t="str">
        <f t="shared" ref="K39:K63" si="5">IF(OR(J39="-",J39=""),IF(OR(H39="-",H39=""),CONCATENATE("E","_",D39,"_",F39,"_",TEXT(L39,"00")),CONCATENATE("E","_",D39,"_",F39,"_",H39,"_",TEXT(L39,"00"))),CONCATENATE("E","_",D39,"_",F39,"_",H39,"_",J39,"_",TEXT(L39,"00")))</f>
        <v>E_DAD_ODB_07</v>
      </c>
      <c r="L39" s="160" t="s">
        <v>259</v>
      </c>
      <c r="M39" s="375">
        <v>63</v>
      </c>
      <c r="P39" s="297" t="s">
        <v>184</v>
      </c>
      <c r="Q39" s="241" t="s">
        <v>160</v>
      </c>
      <c r="R39" s="317" t="s">
        <v>161</v>
      </c>
      <c r="S39" s="241" t="s">
        <v>858</v>
      </c>
      <c r="T39" s="241" t="s">
        <v>859</v>
      </c>
      <c r="U39" s="241" t="s">
        <v>5</v>
      </c>
      <c r="V39" s="241" t="s">
        <v>5</v>
      </c>
      <c r="W39" s="241" t="s">
        <v>5</v>
      </c>
      <c r="X39" s="241" t="s">
        <v>5</v>
      </c>
      <c r="Y39" s="215" t="s">
        <v>940</v>
      </c>
      <c r="Z39" s="318" t="s">
        <v>259</v>
      </c>
      <c r="AA39" s="376">
        <v>63</v>
      </c>
      <c r="AB39" s="63">
        <f t="shared" si="0"/>
        <v>7</v>
      </c>
      <c r="AC39" s="108" t="s">
        <v>184</v>
      </c>
      <c r="AD39" s="1" t="s">
        <v>160</v>
      </c>
      <c r="AE39" s="159" t="s">
        <v>161</v>
      </c>
      <c r="AF39" s="1" t="s">
        <v>858</v>
      </c>
      <c r="AG39" s="1" t="s">
        <v>859</v>
      </c>
      <c r="AH39" s="1" t="s">
        <v>5</v>
      </c>
      <c r="AI39" s="1" t="s">
        <v>5</v>
      </c>
      <c r="AJ39" s="1" t="s">
        <v>5</v>
      </c>
      <c r="AK39" s="1" t="s">
        <v>5</v>
      </c>
      <c r="AL39" s="204" t="s">
        <v>940</v>
      </c>
      <c r="AM39" s="160" t="s">
        <v>259</v>
      </c>
      <c r="AN39" s="145">
        <v>63</v>
      </c>
      <c r="AP39" s="210" t="str">
        <f t="shared" si="2"/>
        <v/>
      </c>
      <c r="AQ39" s="263"/>
      <c r="AR39" s="210" t="str">
        <f t="shared" si="3"/>
        <v/>
      </c>
      <c r="AS39" s="217"/>
      <c r="AT39" s="210" t="s">
        <v>503</v>
      </c>
      <c r="AU39" s="263"/>
      <c r="AV39" s="217"/>
      <c r="BB39" s="306" t="str">
        <f t="shared" si="1"/>
        <v/>
      </c>
    </row>
    <row r="40" spans="1:54" x14ac:dyDescent="0.25">
      <c r="B40" s="108" t="s">
        <v>184</v>
      </c>
      <c r="C40" s="1" t="s">
        <v>160</v>
      </c>
      <c r="D40" s="159" t="s">
        <v>161</v>
      </c>
      <c r="E40" s="1" t="s">
        <v>860</v>
      </c>
      <c r="F40" s="1" t="s">
        <v>861</v>
      </c>
      <c r="G40" s="1" t="s">
        <v>853</v>
      </c>
      <c r="H40" s="1" t="s">
        <v>853</v>
      </c>
      <c r="I40" s="1" t="s">
        <v>5</v>
      </c>
      <c r="J40" s="1" t="s">
        <v>5</v>
      </c>
      <c r="K40" s="94" t="str">
        <f t="shared" si="5"/>
        <v>E_DAD_TES_1xRJ15_09</v>
      </c>
      <c r="L40" s="160" t="s">
        <v>261</v>
      </c>
      <c r="M40" s="375">
        <v>65</v>
      </c>
      <c r="P40" s="297" t="s">
        <v>184</v>
      </c>
      <c r="Q40" s="241" t="s">
        <v>160</v>
      </c>
      <c r="R40" s="317" t="s">
        <v>161</v>
      </c>
      <c r="S40" s="241" t="s">
        <v>860</v>
      </c>
      <c r="T40" s="241" t="s">
        <v>861</v>
      </c>
      <c r="U40" s="241" t="s">
        <v>853</v>
      </c>
      <c r="V40" s="241" t="s">
        <v>853</v>
      </c>
      <c r="W40" s="241" t="s">
        <v>5</v>
      </c>
      <c r="X40" s="241" t="s">
        <v>5</v>
      </c>
      <c r="Y40" s="215" t="s">
        <v>941</v>
      </c>
      <c r="Z40" s="318" t="s">
        <v>261</v>
      </c>
      <c r="AA40" s="376">
        <v>65</v>
      </c>
      <c r="AB40" s="63">
        <f t="shared" si="0"/>
        <v>9</v>
      </c>
      <c r="AC40" s="108" t="s">
        <v>184</v>
      </c>
      <c r="AD40" s="1" t="s">
        <v>160</v>
      </c>
      <c r="AE40" s="159" t="s">
        <v>161</v>
      </c>
      <c r="AF40" s="1" t="s">
        <v>860</v>
      </c>
      <c r="AG40" s="1" t="s">
        <v>861</v>
      </c>
      <c r="AH40" s="1" t="s">
        <v>853</v>
      </c>
      <c r="AI40" s="1" t="s">
        <v>853</v>
      </c>
      <c r="AJ40" s="1" t="s">
        <v>5</v>
      </c>
      <c r="AK40" s="1" t="s">
        <v>5</v>
      </c>
      <c r="AL40" s="204" t="s">
        <v>941</v>
      </c>
      <c r="AM40" s="160" t="s">
        <v>261</v>
      </c>
      <c r="AN40" s="145">
        <v>65</v>
      </c>
      <c r="AP40" s="210" t="str">
        <f t="shared" si="2"/>
        <v/>
      </c>
      <c r="AQ40" s="263"/>
      <c r="AR40" s="210" t="str">
        <f t="shared" si="3"/>
        <v/>
      </c>
      <c r="AS40" s="217"/>
      <c r="AT40" s="210" t="s">
        <v>503</v>
      </c>
      <c r="AU40" s="263"/>
      <c r="AV40" s="217"/>
      <c r="BB40" s="306" t="str">
        <f t="shared" si="1"/>
        <v/>
      </c>
    </row>
    <row r="41" spans="1:54" x14ac:dyDescent="0.25">
      <c r="B41" s="108" t="s">
        <v>184</v>
      </c>
      <c r="C41" s="1" t="s">
        <v>160</v>
      </c>
      <c r="D41" s="159" t="s">
        <v>161</v>
      </c>
      <c r="E41" s="1" t="s">
        <v>862</v>
      </c>
      <c r="F41" s="1" t="s">
        <v>462</v>
      </c>
      <c r="G41" s="1" t="s">
        <v>5</v>
      </c>
      <c r="H41" s="1" t="s">
        <v>5</v>
      </c>
      <c r="I41" s="1" t="s">
        <v>5</v>
      </c>
      <c r="J41" s="1" t="s">
        <v>5</v>
      </c>
      <c r="K41" s="94" t="str">
        <f t="shared" si="5"/>
        <v>E_DAD_TVS_10</v>
      </c>
      <c r="L41" s="160" t="s">
        <v>262</v>
      </c>
      <c r="M41" s="375">
        <v>66</v>
      </c>
      <c r="P41" s="297" t="s">
        <v>184</v>
      </c>
      <c r="Q41" s="241" t="s">
        <v>160</v>
      </c>
      <c r="R41" s="317" t="s">
        <v>161</v>
      </c>
      <c r="S41" s="241" t="s">
        <v>862</v>
      </c>
      <c r="T41" s="241" t="s">
        <v>462</v>
      </c>
      <c r="U41" s="241" t="s">
        <v>5</v>
      </c>
      <c r="V41" s="241" t="s">
        <v>5</v>
      </c>
      <c r="W41" s="241" t="s">
        <v>5</v>
      </c>
      <c r="X41" s="241" t="s">
        <v>5</v>
      </c>
      <c r="Y41" s="215" t="s">
        <v>942</v>
      </c>
      <c r="Z41" s="318" t="s">
        <v>262</v>
      </c>
      <c r="AA41" s="376">
        <v>66</v>
      </c>
      <c r="AB41" s="63">
        <f t="shared" si="0"/>
        <v>10</v>
      </c>
      <c r="AC41" s="108" t="s">
        <v>184</v>
      </c>
      <c r="AD41" s="1" t="s">
        <v>160</v>
      </c>
      <c r="AE41" s="159" t="s">
        <v>161</v>
      </c>
      <c r="AF41" s="1" t="s">
        <v>862</v>
      </c>
      <c r="AG41" s="1" t="s">
        <v>462</v>
      </c>
      <c r="AH41" s="1" t="s">
        <v>5</v>
      </c>
      <c r="AI41" s="1" t="s">
        <v>5</v>
      </c>
      <c r="AJ41" s="1" t="s">
        <v>5</v>
      </c>
      <c r="AK41" s="1" t="s">
        <v>5</v>
      </c>
      <c r="AL41" s="204" t="s">
        <v>942</v>
      </c>
      <c r="AM41" s="160" t="s">
        <v>262</v>
      </c>
      <c r="AN41" s="145">
        <v>66</v>
      </c>
      <c r="AP41" s="210" t="str">
        <f t="shared" si="2"/>
        <v/>
      </c>
      <c r="AQ41" s="263"/>
      <c r="AR41" s="210" t="str">
        <f t="shared" si="3"/>
        <v/>
      </c>
      <c r="AS41" s="217"/>
      <c r="AT41" s="210" t="s">
        <v>503</v>
      </c>
      <c r="AU41" s="263"/>
      <c r="AV41" s="217"/>
      <c r="BB41" s="306" t="str">
        <f t="shared" si="1"/>
        <v/>
      </c>
    </row>
    <row r="42" spans="1:54" x14ac:dyDescent="0.25">
      <c r="B42" s="108" t="s">
        <v>184</v>
      </c>
      <c r="C42" s="1" t="s">
        <v>160</v>
      </c>
      <c r="D42" s="159" t="s">
        <v>161</v>
      </c>
      <c r="E42" s="1" t="s">
        <v>863</v>
      </c>
      <c r="F42" s="1" t="s">
        <v>864</v>
      </c>
      <c r="G42" s="1" t="s">
        <v>5</v>
      </c>
      <c r="H42" s="1" t="s">
        <v>5</v>
      </c>
      <c r="I42" s="1" t="s">
        <v>5</v>
      </c>
      <c r="J42" s="1" t="s">
        <v>5</v>
      </c>
      <c r="K42" s="204" t="str">
        <f t="shared" si="5"/>
        <v>E_DAD_WFA_11</v>
      </c>
      <c r="L42" s="160" t="s">
        <v>263</v>
      </c>
      <c r="M42" s="375">
        <v>67</v>
      </c>
      <c r="P42" s="297" t="s">
        <v>184</v>
      </c>
      <c r="Q42" s="241" t="s">
        <v>160</v>
      </c>
      <c r="R42" s="317" t="s">
        <v>161</v>
      </c>
      <c r="S42" s="241" t="s">
        <v>863</v>
      </c>
      <c r="T42" s="241" t="s">
        <v>864</v>
      </c>
      <c r="U42" s="241" t="s">
        <v>5</v>
      </c>
      <c r="V42" s="241" t="s">
        <v>5</v>
      </c>
      <c r="W42" s="241" t="s">
        <v>5</v>
      </c>
      <c r="X42" s="241" t="s">
        <v>5</v>
      </c>
      <c r="Y42" s="265" t="s">
        <v>943</v>
      </c>
      <c r="Z42" s="318" t="s">
        <v>263</v>
      </c>
      <c r="AA42" s="376">
        <v>67</v>
      </c>
      <c r="AB42" s="63">
        <f t="shared" si="0"/>
        <v>11</v>
      </c>
      <c r="AC42" s="108" t="s">
        <v>184</v>
      </c>
      <c r="AD42" s="1" t="s">
        <v>160</v>
      </c>
      <c r="AE42" s="159" t="s">
        <v>161</v>
      </c>
      <c r="AF42" s="1" t="s">
        <v>863</v>
      </c>
      <c r="AG42" s="1" t="s">
        <v>864</v>
      </c>
      <c r="AH42" s="1" t="s">
        <v>5</v>
      </c>
      <c r="AI42" s="1" t="s">
        <v>5</v>
      </c>
      <c r="AJ42" s="1" t="s">
        <v>5</v>
      </c>
      <c r="AK42" s="1" t="s">
        <v>5</v>
      </c>
      <c r="AL42" s="204" t="s">
        <v>943</v>
      </c>
      <c r="AM42" s="160" t="s">
        <v>263</v>
      </c>
      <c r="AN42" s="145">
        <v>67</v>
      </c>
      <c r="AP42" s="210" t="str">
        <f t="shared" si="2"/>
        <v/>
      </c>
      <c r="AQ42" s="263"/>
      <c r="AR42" s="210" t="str">
        <f t="shared" si="3"/>
        <v/>
      </c>
      <c r="AS42" s="217"/>
      <c r="AT42" s="210" t="s">
        <v>503</v>
      </c>
      <c r="AU42" s="263"/>
      <c r="AV42" s="217"/>
      <c r="BB42" s="306" t="str">
        <f t="shared" si="1"/>
        <v/>
      </c>
    </row>
    <row r="43" spans="1:54" x14ac:dyDescent="0.25">
      <c r="B43" s="108" t="s">
        <v>184</v>
      </c>
      <c r="C43" s="1" t="s">
        <v>163</v>
      </c>
      <c r="D43" s="159" t="s">
        <v>164</v>
      </c>
      <c r="E43" s="1" t="s">
        <v>865</v>
      </c>
      <c r="F43" s="1" t="s">
        <v>866</v>
      </c>
      <c r="G43" s="1" t="s">
        <v>5</v>
      </c>
      <c r="H43" s="1" t="s">
        <v>5</v>
      </c>
      <c r="I43" s="1" t="s">
        <v>5</v>
      </c>
      <c r="J43" s="1" t="s">
        <v>5</v>
      </c>
      <c r="K43" s="204" t="str">
        <f t="shared" si="5"/>
        <v>E_EEQ_ABC_04</v>
      </c>
      <c r="L43" s="160" t="s">
        <v>256</v>
      </c>
      <c r="M43" s="375">
        <v>71</v>
      </c>
      <c r="P43" s="297" t="s">
        <v>184</v>
      </c>
      <c r="Q43" s="241" t="s">
        <v>163</v>
      </c>
      <c r="R43" s="317" t="s">
        <v>164</v>
      </c>
      <c r="S43" s="241" t="s">
        <v>865</v>
      </c>
      <c r="T43" s="241" t="s">
        <v>866</v>
      </c>
      <c r="U43" s="241" t="s">
        <v>5</v>
      </c>
      <c r="V43" s="241" t="s">
        <v>5</v>
      </c>
      <c r="W43" s="241" t="s">
        <v>5</v>
      </c>
      <c r="X43" s="241" t="s">
        <v>5</v>
      </c>
      <c r="Y43" s="265" t="s">
        <v>944</v>
      </c>
      <c r="Z43" s="318" t="s">
        <v>256</v>
      </c>
      <c r="AA43" s="376">
        <v>71</v>
      </c>
      <c r="AB43" s="63">
        <f t="shared" si="0"/>
        <v>4</v>
      </c>
      <c r="AC43" s="108" t="s">
        <v>184</v>
      </c>
      <c r="AD43" s="1" t="s">
        <v>163</v>
      </c>
      <c r="AE43" s="159" t="s">
        <v>164</v>
      </c>
      <c r="AF43" s="1" t="s">
        <v>865</v>
      </c>
      <c r="AG43" s="1" t="s">
        <v>866</v>
      </c>
      <c r="AH43" s="1" t="s">
        <v>5</v>
      </c>
      <c r="AI43" s="1" t="s">
        <v>5</v>
      </c>
      <c r="AJ43" s="1" t="s">
        <v>5</v>
      </c>
      <c r="AK43" s="1" t="s">
        <v>5</v>
      </c>
      <c r="AL43" s="204" t="s">
        <v>944</v>
      </c>
      <c r="AM43" s="160" t="s">
        <v>256</v>
      </c>
      <c r="AN43" s="145">
        <v>71</v>
      </c>
      <c r="AP43" s="210" t="str">
        <f t="shared" si="2"/>
        <v/>
      </c>
      <c r="AQ43" s="263"/>
      <c r="AR43" s="210" t="str">
        <f t="shared" si="3"/>
        <v/>
      </c>
      <c r="AS43" s="217"/>
      <c r="AT43" s="210" t="s">
        <v>503</v>
      </c>
      <c r="AU43" s="263"/>
      <c r="AV43" s="217"/>
      <c r="BB43" s="306" t="str">
        <f t="shared" si="1"/>
        <v/>
      </c>
    </row>
    <row r="44" spans="1:54" x14ac:dyDescent="0.25">
      <c r="B44" s="108" t="s">
        <v>184</v>
      </c>
      <c r="C44" s="1" t="s">
        <v>163</v>
      </c>
      <c r="D44" s="159" t="s">
        <v>164</v>
      </c>
      <c r="E44" s="1" t="s">
        <v>867</v>
      </c>
      <c r="F44" s="1" t="s">
        <v>868</v>
      </c>
      <c r="G44" s="1" t="s">
        <v>5</v>
      </c>
      <c r="H44" s="1" t="s">
        <v>5</v>
      </c>
      <c r="I44" s="1" t="s">
        <v>5</v>
      </c>
      <c r="J44" s="1" t="s">
        <v>5</v>
      </c>
      <c r="K44" s="204" t="str">
        <f t="shared" si="5"/>
        <v>E_EEQ_ACP_01</v>
      </c>
      <c r="L44" s="160" t="s">
        <v>253</v>
      </c>
      <c r="M44" s="375">
        <v>68</v>
      </c>
      <c r="P44" s="297" t="s">
        <v>184</v>
      </c>
      <c r="Q44" s="241" t="s">
        <v>163</v>
      </c>
      <c r="R44" s="317" t="s">
        <v>164</v>
      </c>
      <c r="S44" s="241" t="s">
        <v>867</v>
      </c>
      <c r="T44" s="241" t="s">
        <v>868</v>
      </c>
      <c r="U44" s="241" t="s">
        <v>5</v>
      </c>
      <c r="V44" s="241" t="s">
        <v>5</v>
      </c>
      <c r="W44" s="241" t="s">
        <v>5</v>
      </c>
      <c r="X44" s="241" t="s">
        <v>5</v>
      </c>
      <c r="Y44" s="265" t="s">
        <v>945</v>
      </c>
      <c r="Z44" s="318" t="s">
        <v>253</v>
      </c>
      <c r="AA44" s="376">
        <v>68</v>
      </c>
      <c r="AB44" s="63">
        <f t="shared" si="0"/>
        <v>1</v>
      </c>
      <c r="AC44" s="108" t="s">
        <v>184</v>
      </c>
      <c r="AD44" s="1" t="s">
        <v>163</v>
      </c>
      <c r="AE44" s="159" t="s">
        <v>164</v>
      </c>
      <c r="AF44" s="1" t="s">
        <v>867</v>
      </c>
      <c r="AG44" s="1" t="s">
        <v>868</v>
      </c>
      <c r="AH44" s="1" t="s">
        <v>5</v>
      </c>
      <c r="AI44" s="1" t="s">
        <v>5</v>
      </c>
      <c r="AJ44" s="1" t="s">
        <v>5</v>
      </c>
      <c r="AK44" s="1" t="s">
        <v>5</v>
      </c>
      <c r="AL44" s="204" t="s">
        <v>945</v>
      </c>
      <c r="AM44" s="160" t="s">
        <v>253</v>
      </c>
      <c r="AN44" s="145">
        <v>68</v>
      </c>
      <c r="AP44" s="210" t="str">
        <f t="shared" si="2"/>
        <v/>
      </c>
      <c r="AQ44" s="263"/>
      <c r="AR44" s="210" t="str">
        <f t="shared" si="3"/>
        <v/>
      </c>
      <c r="AS44" s="217"/>
      <c r="AT44" s="210" t="s">
        <v>503</v>
      </c>
      <c r="AU44" s="263"/>
      <c r="AV44" s="217"/>
      <c r="BB44" s="306" t="str">
        <f t="shared" si="1"/>
        <v/>
      </c>
    </row>
    <row r="45" spans="1:54" x14ac:dyDescent="0.25">
      <c r="B45" s="108" t="s">
        <v>184</v>
      </c>
      <c r="C45" s="1" t="s">
        <v>163</v>
      </c>
      <c r="D45" s="159" t="s">
        <v>164</v>
      </c>
      <c r="E45" s="1" t="s">
        <v>869</v>
      </c>
      <c r="F45" s="1" t="s">
        <v>870</v>
      </c>
      <c r="G45" s="1" t="s">
        <v>5</v>
      </c>
      <c r="H45" s="1" t="s">
        <v>5</v>
      </c>
      <c r="I45" s="1" t="s">
        <v>5</v>
      </c>
      <c r="J45" s="1" t="s">
        <v>5</v>
      </c>
      <c r="K45" s="204" t="str">
        <f t="shared" si="5"/>
        <v>E_EEQ_AMP_02</v>
      </c>
      <c r="L45" s="160" t="s">
        <v>254</v>
      </c>
      <c r="M45" s="375">
        <v>69</v>
      </c>
      <c r="P45" s="297" t="s">
        <v>184</v>
      </c>
      <c r="Q45" s="241" t="s">
        <v>163</v>
      </c>
      <c r="R45" s="317" t="s">
        <v>164</v>
      </c>
      <c r="S45" s="241" t="s">
        <v>869</v>
      </c>
      <c r="T45" s="241" t="s">
        <v>870</v>
      </c>
      <c r="U45" s="241" t="s">
        <v>5</v>
      </c>
      <c r="V45" s="241" t="s">
        <v>5</v>
      </c>
      <c r="W45" s="241" t="s">
        <v>5</v>
      </c>
      <c r="X45" s="241" t="s">
        <v>5</v>
      </c>
      <c r="Y45" s="265" t="s">
        <v>946</v>
      </c>
      <c r="Z45" s="318" t="s">
        <v>254</v>
      </c>
      <c r="AA45" s="376">
        <v>69</v>
      </c>
      <c r="AB45" s="63">
        <f t="shared" si="0"/>
        <v>2</v>
      </c>
      <c r="AC45" s="108" t="s">
        <v>184</v>
      </c>
      <c r="AD45" s="1" t="s">
        <v>163</v>
      </c>
      <c r="AE45" s="159" t="s">
        <v>164</v>
      </c>
      <c r="AF45" s="1" t="s">
        <v>869</v>
      </c>
      <c r="AG45" s="1" t="s">
        <v>870</v>
      </c>
      <c r="AH45" s="1" t="s">
        <v>5</v>
      </c>
      <c r="AI45" s="1" t="s">
        <v>5</v>
      </c>
      <c r="AJ45" s="1" t="s">
        <v>5</v>
      </c>
      <c r="AK45" s="1" t="s">
        <v>5</v>
      </c>
      <c r="AL45" s="204" t="s">
        <v>946</v>
      </c>
      <c r="AM45" s="160" t="s">
        <v>254</v>
      </c>
      <c r="AN45" s="145">
        <v>69</v>
      </c>
      <c r="AP45" s="210" t="str">
        <f t="shared" si="2"/>
        <v/>
      </c>
      <c r="AQ45" s="263"/>
      <c r="AR45" s="210" t="str">
        <f t="shared" si="3"/>
        <v/>
      </c>
      <c r="AS45" s="217"/>
      <c r="AT45" s="210" t="s">
        <v>503</v>
      </c>
      <c r="AU45" s="263"/>
      <c r="AV45" s="217"/>
      <c r="BB45" s="306" t="str">
        <f t="shared" si="1"/>
        <v/>
      </c>
    </row>
    <row r="46" spans="1:54" x14ac:dyDescent="0.25">
      <c r="B46" s="108" t="s">
        <v>184</v>
      </c>
      <c r="C46" s="1" t="s">
        <v>163</v>
      </c>
      <c r="D46" s="159" t="s">
        <v>164</v>
      </c>
      <c r="E46" s="1" t="s">
        <v>871</v>
      </c>
      <c r="F46" s="1" t="s">
        <v>872</v>
      </c>
      <c r="G46" s="1" t="s">
        <v>5</v>
      </c>
      <c r="H46" s="1" t="s">
        <v>5</v>
      </c>
      <c r="I46" s="1" t="s">
        <v>5</v>
      </c>
      <c r="J46" s="1" t="s">
        <v>5</v>
      </c>
      <c r="K46" s="204" t="str">
        <f t="shared" si="5"/>
        <v>E_EEQ_AOP_18</v>
      </c>
      <c r="L46" s="160" t="s">
        <v>611</v>
      </c>
      <c r="M46" s="375">
        <v>85</v>
      </c>
      <c r="P46" s="297" t="s">
        <v>184</v>
      </c>
      <c r="Q46" s="241" t="s">
        <v>163</v>
      </c>
      <c r="R46" s="317" t="s">
        <v>164</v>
      </c>
      <c r="S46" s="241" t="s">
        <v>871</v>
      </c>
      <c r="T46" s="241" t="s">
        <v>872</v>
      </c>
      <c r="U46" s="241" t="s">
        <v>5</v>
      </c>
      <c r="V46" s="241" t="s">
        <v>5</v>
      </c>
      <c r="W46" s="241" t="s">
        <v>5</v>
      </c>
      <c r="X46" s="241" t="s">
        <v>5</v>
      </c>
      <c r="Y46" s="265" t="s">
        <v>947</v>
      </c>
      <c r="Z46" s="318" t="s">
        <v>611</v>
      </c>
      <c r="AA46" s="376">
        <v>85</v>
      </c>
      <c r="AB46" s="63">
        <f t="shared" si="0"/>
        <v>18</v>
      </c>
      <c r="AC46" s="108" t="s">
        <v>184</v>
      </c>
      <c r="AD46" s="1" t="s">
        <v>163</v>
      </c>
      <c r="AE46" s="159" t="s">
        <v>164</v>
      </c>
      <c r="AF46" s="1" t="s">
        <v>871</v>
      </c>
      <c r="AG46" s="1" t="s">
        <v>872</v>
      </c>
      <c r="AH46" s="1" t="s">
        <v>5</v>
      </c>
      <c r="AI46" s="1" t="s">
        <v>5</v>
      </c>
      <c r="AJ46" s="1" t="s">
        <v>5</v>
      </c>
      <c r="AK46" s="1" t="s">
        <v>5</v>
      </c>
      <c r="AL46" s="204" t="s">
        <v>947</v>
      </c>
      <c r="AM46" s="160" t="s">
        <v>611</v>
      </c>
      <c r="AN46" s="145">
        <v>85</v>
      </c>
      <c r="AP46" s="210" t="str">
        <f t="shared" si="2"/>
        <v/>
      </c>
      <c r="AQ46" s="263"/>
      <c r="AR46" s="210" t="str">
        <f t="shared" si="3"/>
        <v/>
      </c>
      <c r="AS46" s="217"/>
      <c r="AT46" s="210" t="s">
        <v>503</v>
      </c>
      <c r="AU46" s="263"/>
      <c r="AV46" s="217"/>
      <c r="BB46" s="306" t="str">
        <f t="shared" si="1"/>
        <v/>
      </c>
    </row>
    <row r="47" spans="1:54" x14ac:dyDescent="0.25">
      <c r="B47" s="108" t="s">
        <v>184</v>
      </c>
      <c r="C47" s="1" t="s">
        <v>163</v>
      </c>
      <c r="D47" s="159" t="s">
        <v>164</v>
      </c>
      <c r="E47" s="1" t="s">
        <v>873</v>
      </c>
      <c r="F47" s="1" t="s">
        <v>874</v>
      </c>
      <c r="G47" s="1" t="s">
        <v>5</v>
      </c>
      <c r="H47" s="1" t="s">
        <v>5</v>
      </c>
      <c r="I47" s="1" t="s">
        <v>5</v>
      </c>
      <c r="J47" s="1" t="s">
        <v>5</v>
      </c>
      <c r="K47" s="204" t="str">
        <f t="shared" si="5"/>
        <v>E_EEQ_ARC_03</v>
      </c>
      <c r="L47" s="160" t="s">
        <v>255</v>
      </c>
      <c r="M47" s="375">
        <v>70</v>
      </c>
      <c r="P47" s="297" t="s">
        <v>184</v>
      </c>
      <c r="Q47" s="241" t="s">
        <v>163</v>
      </c>
      <c r="R47" s="317" t="s">
        <v>164</v>
      </c>
      <c r="S47" s="241" t="s">
        <v>873</v>
      </c>
      <c r="T47" s="241" t="s">
        <v>874</v>
      </c>
      <c r="U47" s="241" t="s">
        <v>5</v>
      </c>
      <c r="V47" s="241" t="s">
        <v>5</v>
      </c>
      <c r="W47" s="241" t="s">
        <v>5</v>
      </c>
      <c r="X47" s="241" t="s">
        <v>5</v>
      </c>
      <c r="Y47" s="265" t="s">
        <v>948</v>
      </c>
      <c r="Z47" s="318" t="s">
        <v>255</v>
      </c>
      <c r="AA47" s="376">
        <v>70</v>
      </c>
      <c r="AB47" s="63">
        <f t="shared" si="0"/>
        <v>3</v>
      </c>
      <c r="AC47" s="108" t="s">
        <v>184</v>
      </c>
      <c r="AD47" s="1" t="s">
        <v>163</v>
      </c>
      <c r="AE47" s="159" t="s">
        <v>164</v>
      </c>
      <c r="AF47" s="1" t="s">
        <v>873</v>
      </c>
      <c r="AG47" s="1" t="s">
        <v>874</v>
      </c>
      <c r="AH47" s="1" t="s">
        <v>5</v>
      </c>
      <c r="AI47" s="1" t="s">
        <v>5</v>
      </c>
      <c r="AJ47" s="1" t="s">
        <v>5</v>
      </c>
      <c r="AK47" s="1" t="s">
        <v>5</v>
      </c>
      <c r="AL47" s="204" t="s">
        <v>948</v>
      </c>
      <c r="AM47" s="160" t="s">
        <v>255</v>
      </c>
      <c r="AN47" s="145">
        <v>70</v>
      </c>
      <c r="AP47" s="210" t="str">
        <f t="shared" si="2"/>
        <v/>
      </c>
      <c r="AQ47" s="263"/>
      <c r="AR47" s="210" t="str">
        <f t="shared" si="3"/>
        <v/>
      </c>
      <c r="AS47" s="217"/>
      <c r="AT47" s="210" t="s">
        <v>503</v>
      </c>
      <c r="AU47" s="263"/>
      <c r="AV47" s="217"/>
      <c r="BB47" s="306" t="str">
        <f t="shared" si="1"/>
        <v/>
      </c>
    </row>
    <row r="48" spans="1:54" x14ac:dyDescent="0.25">
      <c r="B48" s="108" t="s">
        <v>184</v>
      </c>
      <c r="C48" s="1" t="s">
        <v>163</v>
      </c>
      <c r="D48" s="159" t="s">
        <v>164</v>
      </c>
      <c r="E48" s="1" t="s">
        <v>875</v>
      </c>
      <c r="F48" s="1" t="s">
        <v>876</v>
      </c>
      <c r="G48" s="1" t="s">
        <v>5</v>
      </c>
      <c r="H48" s="1" t="s">
        <v>5</v>
      </c>
      <c r="I48" s="1" t="s">
        <v>5</v>
      </c>
      <c r="J48" s="1" t="s">
        <v>5</v>
      </c>
      <c r="K48" s="204" t="str">
        <f t="shared" si="5"/>
        <v>E_EEQ_CEC_05</v>
      </c>
      <c r="L48" s="160" t="s">
        <v>257</v>
      </c>
      <c r="M48" s="375">
        <v>72</v>
      </c>
      <c r="P48" s="297" t="s">
        <v>184</v>
      </c>
      <c r="Q48" s="241" t="s">
        <v>163</v>
      </c>
      <c r="R48" s="317" t="s">
        <v>164</v>
      </c>
      <c r="S48" s="241" t="s">
        <v>875</v>
      </c>
      <c r="T48" s="241" t="s">
        <v>876</v>
      </c>
      <c r="U48" s="241" t="s">
        <v>5</v>
      </c>
      <c r="V48" s="241" t="s">
        <v>5</v>
      </c>
      <c r="W48" s="241" t="s">
        <v>5</v>
      </c>
      <c r="X48" s="241" t="s">
        <v>5</v>
      </c>
      <c r="Y48" s="265" t="s">
        <v>949</v>
      </c>
      <c r="Z48" s="318" t="s">
        <v>257</v>
      </c>
      <c r="AA48" s="376">
        <v>72</v>
      </c>
      <c r="AB48" s="63">
        <f t="shared" si="0"/>
        <v>5</v>
      </c>
      <c r="AC48" s="108" t="s">
        <v>184</v>
      </c>
      <c r="AD48" s="1" t="s">
        <v>163</v>
      </c>
      <c r="AE48" s="159" t="s">
        <v>164</v>
      </c>
      <c r="AF48" s="1" t="s">
        <v>875</v>
      </c>
      <c r="AG48" s="1" t="s">
        <v>876</v>
      </c>
      <c r="AH48" s="1" t="s">
        <v>5</v>
      </c>
      <c r="AI48" s="1" t="s">
        <v>5</v>
      </c>
      <c r="AJ48" s="1" t="s">
        <v>5</v>
      </c>
      <c r="AK48" s="1" t="s">
        <v>5</v>
      </c>
      <c r="AL48" s="204" t="s">
        <v>949</v>
      </c>
      <c r="AM48" s="160" t="s">
        <v>257</v>
      </c>
      <c r="AN48" s="145">
        <v>72</v>
      </c>
      <c r="AP48" s="210" t="str">
        <f t="shared" si="2"/>
        <v/>
      </c>
      <c r="AQ48" s="263"/>
      <c r="AR48" s="210" t="str">
        <f t="shared" si="3"/>
        <v/>
      </c>
      <c r="AS48" s="217"/>
      <c r="AT48" s="210" t="s">
        <v>503</v>
      </c>
      <c r="AU48" s="263"/>
      <c r="AV48" s="217"/>
      <c r="BB48" s="306" t="str">
        <f t="shared" si="1"/>
        <v/>
      </c>
    </row>
    <row r="49" spans="2:54" x14ac:dyDescent="0.25">
      <c r="B49" s="108" t="s">
        <v>184</v>
      </c>
      <c r="C49" s="1" t="s">
        <v>163</v>
      </c>
      <c r="D49" s="159" t="s">
        <v>164</v>
      </c>
      <c r="E49" s="1" t="s">
        <v>877</v>
      </c>
      <c r="F49" s="1" t="s">
        <v>878</v>
      </c>
      <c r="G49" s="1" t="s">
        <v>879</v>
      </c>
      <c r="H49" s="1" t="s">
        <v>880</v>
      </c>
      <c r="I49" s="1" t="s">
        <v>5</v>
      </c>
      <c r="J49" s="1" t="s">
        <v>5</v>
      </c>
      <c r="K49" s="204" t="str">
        <f t="shared" si="5"/>
        <v>E_EEQ_DOC_WCD_06</v>
      </c>
      <c r="L49" s="160" t="s">
        <v>258</v>
      </c>
      <c r="M49" s="375">
        <v>73</v>
      </c>
      <c r="P49" s="297" t="s">
        <v>184</v>
      </c>
      <c r="Q49" s="241" t="s">
        <v>163</v>
      </c>
      <c r="R49" s="317" t="s">
        <v>164</v>
      </c>
      <c r="S49" s="241" t="s">
        <v>877</v>
      </c>
      <c r="T49" s="241" t="s">
        <v>878</v>
      </c>
      <c r="U49" s="241" t="s">
        <v>879</v>
      </c>
      <c r="V49" s="241" t="s">
        <v>880</v>
      </c>
      <c r="W49" s="241" t="s">
        <v>5</v>
      </c>
      <c r="X49" s="241" t="s">
        <v>5</v>
      </c>
      <c r="Y49" s="265" t="s">
        <v>950</v>
      </c>
      <c r="Z49" s="318" t="s">
        <v>258</v>
      </c>
      <c r="AA49" s="376">
        <v>73</v>
      </c>
      <c r="AB49" s="63">
        <f t="shared" si="0"/>
        <v>6</v>
      </c>
      <c r="AC49" s="108" t="s">
        <v>184</v>
      </c>
      <c r="AD49" s="1" t="s">
        <v>163</v>
      </c>
      <c r="AE49" s="159" t="s">
        <v>164</v>
      </c>
      <c r="AF49" s="1" t="s">
        <v>877</v>
      </c>
      <c r="AG49" s="1" t="s">
        <v>878</v>
      </c>
      <c r="AH49" s="1" t="s">
        <v>879</v>
      </c>
      <c r="AI49" s="1" t="s">
        <v>880</v>
      </c>
      <c r="AJ49" s="1" t="s">
        <v>5</v>
      </c>
      <c r="AK49" s="1" t="s">
        <v>5</v>
      </c>
      <c r="AL49" s="204" t="s">
        <v>950</v>
      </c>
      <c r="AM49" s="160" t="s">
        <v>258</v>
      </c>
      <c r="AN49" s="145">
        <v>73</v>
      </c>
      <c r="AP49" s="210" t="str">
        <f t="shared" si="2"/>
        <v/>
      </c>
      <c r="AQ49" s="263"/>
      <c r="AR49" s="210" t="str">
        <f t="shared" si="3"/>
        <v/>
      </c>
      <c r="AS49" s="217"/>
      <c r="AT49" s="210" t="s">
        <v>503</v>
      </c>
      <c r="AU49" s="263"/>
      <c r="AV49" s="217"/>
      <c r="BB49" s="306" t="str">
        <f t="shared" si="1"/>
        <v/>
      </c>
    </row>
    <row r="50" spans="2:54" x14ac:dyDescent="0.25">
      <c r="B50" s="108" t="s">
        <v>184</v>
      </c>
      <c r="C50" s="1" t="s">
        <v>163</v>
      </c>
      <c r="D50" s="159" t="s">
        <v>164</v>
      </c>
      <c r="E50" s="1" t="s">
        <v>881</v>
      </c>
      <c r="F50" s="1" t="s">
        <v>882</v>
      </c>
      <c r="G50" s="1" t="s">
        <v>5</v>
      </c>
      <c r="H50" s="1" t="s">
        <v>5</v>
      </c>
      <c r="I50" s="1" t="s">
        <v>5</v>
      </c>
      <c r="J50" s="1" t="s">
        <v>5</v>
      </c>
      <c r="K50" s="204" t="str">
        <f t="shared" si="5"/>
        <v>E_EEQ_EEL_07</v>
      </c>
      <c r="L50" s="160" t="s">
        <v>259</v>
      </c>
      <c r="M50" s="375">
        <v>74</v>
      </c>
      <c r="P50" s="297" t="s">
        <v>184</v>
      </c>
      <c r="Q50" s="241" t="s">
        <v>163</v>
      </c>
      <c r="R50" s="317" t="s">
        <v>164</v>
      </c>
      <c r="S50" s="241" t="s">
        <v>881</v>
      </c>
      <c r="T50" s="241" t="s">
        <v>882</v>
      </c>
      <c r="U50" s="241" t="s">
        <v>5</v>
      </c>
      <c r="V50" s="241" t="s">
        <v>5</v>
      </c>
      <c r="W50" s="241" t="s">
        <v>5</v>
      </c>
      <c r="X50" s="241" t="s">
        <v>5</v>
      </c>
      <c r="Y50" s="265" t="s">
        <v>951</v>
      </c>
      <c r="Z50" s="318" t="s">
        <v>259</v>
      </c>
      <c r="AA50" s="376">
        <v>74</v>
      </c>
      <c r="AB50" s="63">
        <f t="shared" si="0"/>
        <v>7</v>
      </c>
      <c r="AC50" s="108" t="s">
        <v>184</v>
      </c>
      <c r="AD50" s="1" t="s">
        <v>163</v>
      </c>
      <c r="AE50" s="159" t="s">
        <v>164</v>
      </c>
      <c r="AF50" s="1" t="s">
        <v>881</v>
      </c>
      <c r="AG50" s="1" t="s">
        <v>882</v>
      </c>
      <c r="AH50" s="1" t="s">
        <v>5</v>
      </c>
      <c r="AI50" s="1" t="s">
        <v>5</v>
      </c>
      <c r="AJ50" s="1" t="s">
        <v>5</v>
      </c>
      <c r="AK50" s="1" t="s">
        <v>5</v>
      </c>
      <c r="AL50" s="204" t="s">
        <v>951</v>
      </c>
      <c r="AM50" s="160" t="s">
        <v>259</v>
      </c>
      <c r="AN50" s="145">
        <v>74</v>
      </c>
      <c r="AP50" s="210" t="str">
        <f t="shared" si="2"/>
        <v/>
      </c>
      <c r="AQ50" s="263"/>
      <c r="AR50" s="210" t="str">
        <f t="shared" si="3"/>
        <v/>
      </c>
      <c r="AS50" s="217"/>
      <c r="AT50" s="210" t="s">
        <v>503</v>
      </c>
      <c r="AU50" s="263"/>
      <c r="AV50" s="217"/>
      <c r="BB50" s="306" t="str">
        <f t="shared" si="1"/>
        <v/>
      </c>
    </row>
    <row r="51" spans="2:54" x14ac:dyDescent="0.25">
      <c r="B51" s="108" t="s">
        <v>184</v>
      </c>
      <c r="C51" s="1" t="s">
        <v>163</v>
      </c>
      <c r="D51" s="159" t="s">
        <v>164</v>
      </c>
      <c r="E51" s="1" t="s">
        <v>883</v>
      </c>
      <c r="F51" s="1" t="s">
        <v>884</v>
      </c>
      <c r="G51" s="1" t="s">
        <v>5</v>
      </c>
      <c r="H51" s="1" t="s">
        <v>5</v>
      </c>
      <c r="I51" s="1" t="s">
        <v>5</v>
      </c>
      <c r="J51" s="1" t="s">
        <v>5</v>
      </c>
      <c r="K51" s="204" t="str">
        <f t="shared" si="5"/>
        <v>E_EEQ_FCP_08</v>
      </c>
      <c r="L51" s="160" t="s">
        <v>260</v>
      </c>
      <c r="M51" s="375">
        <v>75</v>
      </c>
      <c r="P51" s="297" t="s">
        <v>184</v>
      </c>
      <c r="Q51" s="241" t="s">
        <v>163</v>
      </c>
      <c r="R51" s="317" t="s">
        <v>164</v>
      </c>
      <c r="S51" s="241" t="s">
        <v>883</v>
      </c>
      <c r="T51" s="241" t="s">
        <v>884</v>
      </c>
      <c r="U51" s="241" t="s">
        <v>5</v>
      </c>
      <c r="V51" s="241" t="s">
        <v>5</v>
      </c>
      <c r="W51" s="241" t="s">
        <v>5</v>
      </c>
      <c r="X51" s="241" t="s">
        <v>5</v>
      </c>
      <c r="Y51" s="265" t="s">
        <v>952</v>
      </c>
      <c r="Z51" s="318" t="s">
        <v>260</v>
      </c>
      <c r="AA51" s="376">
        <v>75</v>
      </c>
      <c r="AB51" s="63">
        <f t="shared" si="0"/>
        <v>8</v>
      </c>
      <c r="AC51" s="108" t="s">
        <v>184</v>
      </c>
      <c r="AD51" s="1" t="s">
        <v>163</v>
      </c>
      <c r="AE51" s="159" t="s">
        <v>164</v>
      </c>
      <c r="AF51" s="1" t="s">
        <v>883</v>
      </c>
      <c r="AG51" s="1" t="s">
        <v>884</v>
      </c>
      <c r="AH51" s="1" t="s">
        <v>5</v>
      </c>
      <c r="AI51" s="1" t="s">
        <v>5</v>
      </c>
      <c r="AJ51" s="1" t="s">
        <v>5</v>
      </c>
      <c r="AK51" s="1" t="s">
        <v>5</v>
      </c>
      <c r="AL51" s="204" t="s">
        <v>952</v>
      </c>
      <c r="AM51" s="160" t="s">
        <v>260</v>
      </c>
      <c r="AN51" s="145">
        <v>75</v>
      </c>
      <c r="AP51" s="210" t="str">
        <f t="shared" si="2"/>
        <v/>
      </c>
      <c r="AQ51" s="263"/>
      <c r="AR51" s="210" t="str">
        <f t="shared" si="3"/>
        <v/>
      </c>
      <c r="AS51" s="217"/>
      <c r="AT51" s="210" t="s">
        <v>503</v>
      </c>
      <c r="AU51" s="263"/>
      <c r="AV51" s="217"/>
      <c r="BB51" s="306" t="str">
        <f t="shared" si="1"/>
        <v/>
      </c>
    </row>
    <row r="52" spans="2:54" x14ac:dyDescent="0.25">
      <c r="B52" s="108" t="s">
        <v>184</v>
      </c>
      <c r="C52" s="1" t="s">
        <v>163</v>
      </c>
      <c r="D52" s="159" t="s">
        <v>164</v>
      </c>
      <c r="E52" s="1" t="s">
        <v>885</v>
      </c>
      <c r="F52" s="1" t="s">
        <v>886</v>
      </c>
      <c r="G52" s="1" t="s">
        <v>5</v>
      </c>
      <c r="H52" s="1" t="s">
        <v>5</v>
      </c>
      <c r="I52" s="1" t="s">
        <v>5</v>
      </c>
      <c r="J52" s="1" t="s">
        <v>5</v>
      </c>
      <c r="K52" s="204" t="str">
        <f t="shared" si="5"/>
        <v>E_EEQ_GEN_09</v>
      </c>
      <c r="L52" s="160" t="s">
        <v>261</v>
      </c>
      <c r="M52" s="375">
        <v>76</v>
      </c>
      <c r="P52" s="297" t="s">
        <v>184</v>
      </c>
      <c r="Q52" s="241" t="s">
        <v>163</v>
      </c>
      <c r="R52" s="317" t="s">
        <v>164</v>
      </c>
      <c r="S52" s="241" t="s">
        <v>885</v>
      </c>
      <c r="T52" s="241" t="s">
        <v>886</v>
      </c>
      <c r="U52" s="241" t="s">
        <v>5</v>
      </c>
      <c r="V52" s="241" t="s">
        <v>5</v>
      </c>
      <c r="W52" s="241" t="s">
        <v>5</v>
      </c>
      <c r="X52" s="241" t="s">
        <v>5</v>
      </c>
      <c r="Y52" s="265" t="s">
        <v>953</v>
      </c>
      <c r="Z52" s="318" t="s">
        <v>261</v>
      </c>
      <c r="AA52" s="376">
        <v>76</v>
      </c>
      <c r="AB52" s="63">
        <f t="shared" si="0"/>
        <v>9</v>
      </c>
      <c r="AC52" s="108" t="s">
        <v>184</v>
      </c>
      <c r="AD52" s="1" t="s">
        <v>163</v>
      </c>
      <c r="AE52" s="159" t="s">
        <v>164</v>
      </c>
      <c r="AF52" s="1" t="s">
        <v>885</v>
      </c>
      <c r="AG52" s="1" t="s">
        <v>886</v>
      </c>
      <c r="AH52" s="1" t="s">
        <v>5</v>
      </c>
      <c r="AI52" s="1" t="s">
        <v>5</v>
      </c>
      <c r="AJ52" s="1" t="s">
        <v>5</v>
      </c>
      <c r="AK52" s="1" t="s">
        <v>5</v>
      </c>
      <c r="AL52" s="204" t="s">
        <v>953</v>
      </c>
      <c r="AM52" s="160" t="s">
        <v>261</v>
      </c>
      <c r="AN52" s="145">
        <v>76</v>
      </c>
      <c r="AP52" s="210" t="str">
        <f t="shared" si="2"/>
        <v/>
      </c>
      <c r="AQ52" s="263"/>
      <c r="AR52" s="210" t="str">
        <f t="shared" si="3"/>
        <v/>
      </c>
      <c r="AS52" s="217"/>
      <c r="AT52" s="210" t="s">
        <v>503</v>
      </c>
      <c r="AU52" s="263"/>
      <c r="AV52" s="217"/>
      <c r="BB52" s="306" t="str">
        <f t="shared" si="1"/>
        <v/>
      </c>
    </row>
    <row r="53" spans="2:54" x14ac:dyDescent="0.25">
      <c r="B53" s="108" t="s">
        <v>184</v>
      </c>
      <c r="C53" s="1" t="s">
        <v>163</v>
      </c>
      <c r="D53" s="159" t="s">
        <v>164</v>
      </c>
      <c r="E53" s="1" t="s">
        <v>887</v>
      </c>
      <c r="F53" s="1" t="s">
        <v>888</v>
      </c>
      <c r="G53" s="1" t="s">
        <v>5</v>
      </c>
      <c r="H53" s="1" t="s">
        <v>5</v>
      </c>
      <c r="I53" s="1" t="s">
        <v>5</v>
      </c>
      <c r="J53" s="1" t="s">
        <v>5</v>
      </c>
      <c r="K53" s="204" t="str">
        <f t="shared" si="5"/>
        <v>E_EEQ_LIP_10</v>
      </c>
      <c r="L53" s="160" t="s">
        <v>262</v>
      </c>
      <c r="M53" s="375">
        <v>77</v>
      </c>
      <c r="P53" s="297" t="s">
        <v>184</v>
      </c>
      <c r="Q53" s="241" t="s">
        <v>163</v>
      </c>
      <c r="R53" s="317" t="s">
        <v>164</v>
      </c>
      <c r="S53" s="241" t="s">
        <v>887</v>
      </c>
      <c r="T53" s="241" t="s">
        <v>888</v>
      </c>
      <c r="U53" s="241" t="s">
        <v>5</v>
      </c>
      <c r="V53" s="241" t="s">
        <v>5</v>
      </c>
      <c r="W53" s="241" t="s">
        <v>5</v>
      </c>
      <c r="X53" s="241" t="s">
        <v>5</v>
      </c>
      <c r="Y53" s="265" t="s">
        <v>954</v>
      </c>
      <c r="Z53" s="318" t="s">
        <v>262</v>
      </c>
      <c r="AA53" s="376">
        <v>77</v>
      </c>
      <c r="AB53" s="63">
        <f t="shared" si="0"/>
        <v>10</v>
      </c>
      <c r="AC53" s="108" t="s">
        <v>184</v>
      </c>
      <c r="AD53" s="1" t="s">
        <v>163</v>
      </c>
      <c r="AE53" s="159" t="s">
        <v>164</v>
      </c>
      <c r="AF53" s="1" t="s">
        <v>887</v>
      </c>
      <c r="AG53" s="1" t="s">
        <v>888</v>
      </c>
      <c r="AH53" s="1" t="s">
        <v>5</v>
      </c>
      <c r="AI53" s="1" t="s">
        <v>5</v>
      </c>
      <c r="AJ53" s="1" t="s">
        <v>5</v>
      </c>
      <c r="AK53" s="1" t="s">
        <v>5</v>
      </c>
      <c r="AL53" s="204" t="s">
        <v>954</v>
      </c>
      <c r="AM53" s="160" t="s">
        <v>262</v>
      </c>
      <c r="AN53" s="145">
        <v>77</v>
      </c>
      <c r="AP53" s="210" t="str">
        <f t="shared" si="2"/>
        <v/>
      </c>
      <c r="AQ53" s="263"/>
      <c r="AR53" s="210" t="str">
        <f t="shared" si="3"/>
        <v/>
      </c>
      <c r="AS53" s="217"/>
      <c r="AT53" s="210" t="s">
        <v>503</v>
      </c>
      <c r="AU53" s="263"/>
      <c r="AV53" s="217"/>
      <c r="BB53" s="306" t="str">
        <f t="shared" si="1"/>
        <v/>
      </c>
    </row>
    <row r="54" spans="2:54" x14ac:dyDescent="0.25">
      <c r="B54" s="108" t="s">
        <v>184</v>
      </c>
      <c r="C54" s="1" t="s">
        <v>163</v>
      </c>
      <c r="D54" s="159" t="s">
        <v>164</v>
      </c>
      <c r="E54" s="1" t="s">
        <v>889</v>
      </c>
      <c r="F54" s="1" t="s">
        <v>890</v>
      </c>
      <c r="G54" s="1" t="s">
        <v>5</v>
      </c>
      <c r="H54" s="1" t="s">
        <v>5</v>
      </c>
      <c r="I54" s="1" t="s">
        <v>5</v>
      </c>
      <c r="J54" s="1" t="s">
        <v>5</v>
      </c>
      <c r="K54" s="204" t="str">
        <f t="shared" si="5"/>
        <v>E_EEQ_MCP_11</v>
      </c>
      <c r="L54" s="160" t="s">
        <v>263</v>
      </c>
      <c r="M54" s="375">
        <v>78</v>
      </c>
      <c r="P54" s="297" t="s">
        <v>184</v>
      </c>
      <c r="Q54" s="241" t="s">
        <v>163</v>
      </c>
      <c r="R54" s="317" t="s">
        <v>164</v>
      </c>
      <c r="S54" s="241" t="s">
        <v>889</v>
      </c>
      <c r="T54" s="241" t="s">
        <v>890</v>
      </c>
      <c r="U54" s="241" t="s">
        <v>5</v>
      </c>
      <c r="V54" s="241" t="s">
        <v>5</v>
      </c>
      <c r="W54" s="241" t="s">
        <v>5</v>
      </c>
      <c r="X54" s="241" t="s">
        <v>5</v>
      </c>
      <c r="Y54" s="265" t="s">
        <v>955</v>
      </c>
      <c r="Z54" s="318" t="s">
        <v>263</v>
      </c>
      <c r="AA54" s="376">
        <v>78</v>
      </c>
      <c r="AB54" s="63">
        <f t="shared" si="0"/>
        <v>11</v>
      </c>
      <c r="AC54" s="108" t="s">
        <v>184</v>
      </c>
      <c r="AD54" s="1" t="s">
        <v>163</v>
      </c>
      <c r="AE54" s="159" t="s">
        <v>164</v>
      </c>
      <c r="AF54" s="1" t="s">
        <v>889</v>
      </c>
      <c r="AG54" s="1" t="s">
        <v>890</v>
      </c>
      <c r="AH54" s="1" t="s">
        <v>5</v>
      </c>
      <c r="AI54" s="1" t="s">
        <v>5</v>
      </c>
      <c r="AJ54" s="1" t="s">
        <v>5</v>
      </c>
      <c r="AK54" s="1" t="s">
        <v>5</v>
      </c>
      <c r="AL54" s="204" t="s">
        <v>955</v>
      </c>
      <c r="AM54" s="160" t="s">
        <v>263</v>
      </c>
      <c r="AN54" s="145">
        <v>78</v>
      </c>
      <c r="AP54" s="210" t="str">
        <f t="shared" si="2"/>
        <v/>
      </c>
      <c r="AQ54" s="263"/>
      <c r="AR54" s="210" t="str">
        <f t="shared" si="3"/>
        <v/>
      </c>
      <c r="AS54" s="217"/>
      <c r="AT54" s="210" t="s">
        <v>503</v>
      </c>
      <c r="AU54" s="263"/>
      <c r="AV54" s="217"/>
      <c r="BB54" s="306" t="str">
        <f t="shared" si="1"/>
        <v/>
      </c>
    </row>
    <row r="55" spans="2:54" x14ac:dyDescent="0.25">
      <c r="B55" s="108" t="s">
        <v>184</v>
      </c>
      <c r="C55" s="1" t="s">
        <v>163</v>
      </c>
      <c r="D55" s="159" t="s">
        <v>164</v>
      </c>
      <c r="E55" s="1" t="s">
        <v>891</v>
      </c>
      <c r="F55" s="1" t="s">
        <v>892</v>
      </c>
      <c r="G55" s="1" t="s">
        <v>5</v>
      </c>
      <c r="H55" s="1" t="s">
        <v>5</v>
      </c>
      <c r="I55" s="1" t="s">
        <v>5</v>
      </c>
      <c r="J55" s="1" t="s">
        <v>5</v>
      </c>
      <c r="K55" s="204" t="str">
        <f t="shared" si="5"/>
        <v>E_EEQ_MOP_12</v>
      </c>
      <c r="L55" s="160" t="s">
        <v>264</v>
      </c>
      <c r="M55" s="375">
        <v>79</v>
      </c>
      <c r="P55" s="297" t="s">
        <v>184</v>
      </c>
      <c r="Q55" s="241" t="s">
        <v>163</v>
      </c>
      <c r="R55" s="317" t="s">
        <v>164</v>
      </c>
      <c r="S55" s="241" t="s">
        <v>891</v>
      </c>
      <c r="T55" s="241" t="s">
        <v>892</v>
      </c>
      <c r="U55" s="241" t="s">
        <v>5</v>
      </c>
      <c r="V55" s="241" t="s">
        <v>5</v>
      </c>
      <c r="W55" s="241" t="s">
        <v>5</v>
      </c>
      <c r="X55" s="241" t="s">
        <v>5</v>
      </c>
      <c r="Y55" s="265" t="s">
        <v>956</v>
      </c>
      <c r="Z55" s="318" t="s">
        <v>264</v>
      </c>
      <c r="AA55" s="376">
        <v>79</v>
      </c>
      <c r="AB55" s="63">
        <f t="shared" si="0"/>
        <v>12</v>
      </c>
      <c r="AC55" s="108" t="s">
        <v>184</v>
      </c>
      <c r="AD55" s="1" t="s">
        <v>163</v>
      </c>
      <c r="AE55" s="159" t="s">
        <v>164</v>
      </c>
      <c r="AF55" s="1" t="s">
        <v>891</v>
      </c>
      <c r="AG55" s="1" t="s">
        <v>892</v>
      </c>
      <c r="AH55" s="1" t="s">
        <v>5</v>
      </c>
      <c r="AI55" s="1" t="s">
        <v>5</v>
      </c>
      <c r="AJ55" s="1" t="s">
        <v>5</v>
      </c>
      <c r="AK55" s="1" t="s">
        <v>5</v>
      </c>
      <c r="AL55" s="204" t="s">
        <v>956</v>
      </c>
      <c r="AM55" s="160" t="s">
        <v>264</v>
      </c>
      <c r="AN55" s="145">
        <v>79</v>
      </c>
      <c r="AP55" s="210" t="str">
        <f t="shared" si="2"/>
        <v/>
      </c>
      <c r="AQ55" s="263"/>
      <c r="AR55" s="210" t="str">
        <f t="shared" si="3"/>
        <v/>
      </c>
      <c r="AS55" s="217"/>
      <c r="AT55" s="210" t="s">
        <v>503</v>
      </c>
      <c r="AU55" s="263"/>
      <c r="AV55" s="217"/>
      <c r="BB55" s="306" t="str">
        <f t="shared" si="1"/>
        <v/>
      </c>
    </row>
    <row r="56" spans="2:54" x14ac:dyDescent="0.25">
      <c r="B56" s="108" t="s">
        <v>184</v>
      </c>
      <c r="C56" s="1" t="s">
        <v>163</v>
      </c>
      <c r="D56" s="159" t="s">
        <v>164</v>
      </c>
      <c r="E56" s="1" t="s">
        <v>893</v>
      </c>
      <c r="F56" s="1" t="s">
        <v>894</v>
      </c>
      <c r="G56" s="1" t="s">
        <v>5</v>
      </c>
      <c r="H56" s="1" t="s">
        <v>5</v>
      </c>
      <c r="I56" s="1" t="s">
        <v>5</v>
      </c>
      <c r="J56" s="1" t="s">
        <v>5</v>
      </c>
      <c r="K56" s="204" t="str">
        <f t="shared" si="5"/>
        <v>E_EEQ_OCAB_13</v>
      </c>
      <c r="L56" s="160" t="s">
        <v>265</v>
      </c>
      <c r="M56" s="375">
        <v>80</v>
      </c>
      <c r="P56" s="297" t="s">
        <v>184</v>
      </c>
      <c r="Q56" s="241" t="s">
        <v>163</v>
      </c>
      <c r="R56" s="317" t="s">
        <v>164</v>
      </c>
      <c r="S56" s="241" t="s">
        <v>893</v>
      </c>
      <c r="T56" s="241" t="s">
        <v>894</v>
      </c>
      <c r="U56" s="241" t="s">
        <v>5</v>
      </c>
      <c r="V56" s="241" t="s">
        <v>5</v>
      </c>
      <c r="W56" s="241" t="s">
        <v>5</v>
      </c>
      <c r="X56" s="241" t="s">
        <v>5</v>
      </c>
      <c r="Y56" s="265" t="s">
        <v>957</v>
      </c>
      <c r="Z56" s="318" t="s">
        <v>265</v>
      </c>
      <c r="AA56" s="376">
        <v>80</v>
      </c>
      <c r="AB56" s="63">
        <f t="shared" si="0"/>
        <v>13</v>
      </c>
      <c r="AC56" s="108" t="s">
        <v>184</v>
      </c>
      <c r="AD56" s="1" t="s">
        <v>163</v>
      </c>
      <c r="AE56" s="159" t="s">
        <v>164</v>
      </c>
      <c r="AF56" s="1" t="s">
        <v>893</v>
      </c>
      <c r="AG56" s="1" t="s">
        <v>894</v>
      </c>
      <c r="AH56" s="1" t="s">
        <v>5</v>
      </c>
      <c r="AI56" s="1" t="s">
        <v>5</v>
      </c>
      <c r="AJ56" s="1" t="s">
        <v>5</v>
      </c>
      <c r="AK56" s="1" t="s">
        <v>5</v>
      </c>
      <c r="AL56" s="204" t="s">
        <v>957</v>
      </c>
      <c r="AM56" s="160" t="s">
        <v>265</v>
      </c>
      <c r="AN56" s="145">
        <v>80</v>
      </c>
      <c r="AP56" s="210" t="str">
        <f t="shared" si="2"/>
        <v/>
      </c>
      <c r="AQ56" s="263"/>
      <c r="AR56" s="210" t="str">
        <f t="shared" si="3"/>
        <v/>
      </c>
      <c r="AS56" s="217"/>
      <c r="AT56" s="210" t="s">
        <v>503</v>
      </c>
      <c r="AU56" s="263"/>
      <c r="AV56" s="217"/>
      <c r="BB56" s="306" t="str">
        <f t="shared" si="1"/>
        <v/>
      </c>
    </row>
    <row r="57" spans="2:54" x14ac:dyDescent="0.25">
      <c r="B57" s="108" t="s">
        <v>184</v>
      </c>
      <c r="C57" s="1" t="s">
        <v>163</v>
      </c>
      <c r="D57" s="159" t="s">
        <v>164</v>
      </c>
      <c r="E57" s="1" t="s">
        <v>895</v>
      </c>
      <c r="F57" s="1" t="s">
        <v>896</v>
      </c>
      <c r="G57" s="1" t="s">
        <v>5</v>
      </c>
      <c r="H57" s="1" t="s">
        <v>5</v>
      </c>
      <c r="I57" s="1" t="s">
        <v>5</v>
      </c>
      <c r="J57" s="1" t="s">
        <v>5</v>
      </c>
      <c r="K57" s="204" t="str">
        <f t="shared" si="5"/>
        <v>E_EEQ_OCVB_14</v>
      </c>
      <c r="L57" s="160" t="s">
        <v>266</v>
      </c>
      <c r="M57" s="375">
        <v>81</v>
      </c>
      <c r="P57" s="297" t="s">
        <v>184</v>
      </c>
      <c r="Q57" s="241" t="s">
        <v>163</v>
      </c>
      <c r="R57" s="317" t="s">
        <v>164</v>
      </c>
      <c r="S57" s="241" t="s">
        <v>895</v>
      </c>
      <c r="T57" s="241" t="s">
        <v>896</v>
      </c>
      <c r="U57" s="241" t="s">
        <v>5</v>
      </c>
      <c r="V57" s="241" t="s">
        <v>5</v>
      </c>
      <c r="W57" s="241" t="s">
        <v>5</v>
      </c>
      <c r="X57" s="241" t="s">
        <v>5</v>
      </c>
      <c r="Y57" s="265" t="s">
        <v>958</v>
      </c>
      <c r="Z57" s="318" t="s">
        <v>266</v>
      </c>
      <c r="AA57" s="376">
        <v>81</v>
      </c>
      <c r="AB57" s="63">
        <f t="shared" si="0"/>
        <v>14</v>
      </c>
      <c r="AC57" s="108" t="s">
        <v>184</v>
      </c>
      <c r="AD57" s="1" t="s">
        <v>163</v>
      </c>
      <c r="AE57" s="159" t="s">
        <v>164</v>
      </c>
      <c r="AF57" s="1" t="s">
        <v>895</v>
      </c>
      <c r="AG57" s="1" t="s">
        <v>896</v>
      </c>
      <c r="AH57" s="1" t="s">
        <v>5</v>
      </c>
      <c r="AI57" s="1" t="s">
        <v>5</v>
      </c>
      <c r="AJ57" s="1" t="s">
        <v>5</v>
      </c>
      <c r="AK57" s="1" t="s">
        <v>5</v>
      </c>
      <c r="AL57" s="204" t="s">
        <v>958</v>
      </c>
      <c r="AM57" s="160" t="s">
        <v>266</v>
      </c>
      <c r="AN57" s="145">
        <v>81</v>
      </c>
      <c r="AP57" s="210" t="str">
        <f t="shared" si="2"/>
        <v/>
      </c>
      <c r="AQ57" s="263"/>
      <c r="AR57" s="210" t="str">
        <f t="shared" si="3"/>
        <v/>
      </c>
      <c r="AS57" s="217"/>
      <c r="AT57" s="210" t="s">
        <v>503</v>
      </c>
      <c r="AU57" s="263"/>
      <c r="AV57" s="217"/>
      <c r="BB57" s="306" t="str">
        <f t="shared" si="1"/>
        <v/>
      </c>
    </row>
    <row r="58" spans="2:54" x14ac:dyDescent="0.25">
      <c r="B58" s="108" t="s">
        <v>184</v>
      </c>
      <c r="C58" s="1" t="s">
        <v>163</v>
      </c>
      <c r="D58" s="159" t="s">
        <v>164</v>
      </c>
      <c r="E58" s="1" t="s">
        <v>897</v>
      </c>
      <c r="F58" s="1" t="s">
        <v>898</v>
      </c>
      <c r="G58" s="1" t="s">
        <v>5</v>
      </c>
      <c r="H58" s="1" t="s">
        <v>5</v>
      </c>
      <c r="I58" s="1" t="s">
        <v>5</v>
      </c>
      <c r="J58" s="1" t="s">
        <v>5</v>
      </c>
      <c r="K58" s="204" t="str">
        <f t="shared" si="5"/>
        <v>E_EEQ_PDB_15</v>
      </c>
      <c r="L58" s="160" t="s">
        <v>267</v>
      </c>
      <c r="M58" s="375">
        <v>82</v>
      </c>
      <c r="P58" s="297" t="s">
        <v>184</v>
      </c>
      <c r="Q58" s="241" t="s">
        <v>163</v>
      </c>
      <c r="R58" s="317" t="s">
        <v>164</v>
      </c>
      <c r="S58" s="241" t="s">
        <v>897</v>
      </c>
      <c r="T58" s="241" t="s">
        <v>898</v>
      </c>
      <c r="U58" s="241" t="s">
        <v>5</v>
      </c>
      <c r="V58" s="241" t="s">
        <v>5</v>
      </c>
      <c r="W58" s="241" t="s">
        <v>5</v>
      </c>
      <c r="X58" s="241" t="s">
        <v>5</v>
      </c>
      <c r="Y58" s="265" t="s">
        <v>959</v>
      </c>
      <c r="Z58" s="318" t="s">
        <v>267</v>
      </c>
      <c r="AA58" s="376">
        <v>82</v>
      </c>
      <c r="AB58" s="63">
        <f t="shared" si="0"/>
        <v>15</v>
      </c>
      <c r="AC58" s="108" t="s">
        <v>184</v>
      </c>
      <c r="AD58" s="1" t="s">
        <v>163</v>
      </c>
      <c r="AE58" s="159" t="s">
        <v>164</v>
      </c>
      <c r="AF58" s="1" t="s">
        <v>897</v>
      </c>
      <c r="AG58" s="1" t="s">
        <v>898</v>
      </c>
      <c r="AH58" s="1" t="s">
        <v>5</v>
      </c>
      <c r="AI58" s="1" t="s">
        <v>5</v>
      </c>
      <c r="AJ58" s="1" t="s">
        <v>5</v>
      </c>
      <c r="AK58" s="1" t="s">
        <v>5</v>
      </c>
      <c r="AL58" s="204" t="s">
        <v>959</v>
      </c>
      <c r="AM58" s="160" t="s">
        <v>267</v>
      </c>
      <c r="AN58" s="145">
        <v>82</v>
      </c>
      <c r="AP58" s="210" t="str">
        <f t="shared" si="2"/>
        <v/>
      </c>
      <c r="AQ58" s="263"/>
      <c r="AR58" s="210" t="str">
        <f t="shared" si="3"/>
        <v/>
      </c>
      <c r="AS58" s="217"/>
      <c r="AT58" s="210" t="s">
        <v>503</v>
      </c>
      <c r="AU58" s="263"/>
      <c r="AV58" s="217"/>
      <c r="BB58" s="306" t="str">
        <f t="shared" si="1"/>
        <v/>
      </c>
    </row>
    <row r="59" spans="2:54" x14ac:dyDescent="0.25">
      <c r="B59" s="108" t="s">
        <v>184</v>
      </c>
      <c r="C59" s="1" t="s">
        <v>163</v>
      </c>
      <c r="D59" s="159" t="s">
        <v>164</v>
      </c>
      <c r="E59" s="1" t="s">
        <v>899</v>
      </c>
      <c r="F59" s="1" t="s">
        <v>900</v>
      </c>
      <c r="G59" s="1" t="s">
        <v>5</v>
      </c>
      <c r="H59" s="1" t="s">
        <v>5</v>
      </c>
      <c r="I59" s="1" t="s">
        <v>5</v>
      </c>
      <c r="J59" s="1" t="s">
        <v>5</v>
      </c>
      <c r="K59" s="204" t="str">
        <f t="shared" si="5"/>
        <v>E_EEQ_RAP_16</v>
      </c>
      <c r="L59" s="160" t="s">
        <v>609</v>
      </c>
      <c r="M59" s="375">
        <v>83</v>
      </c>
      <c r="P59" s="297" t="s">
        <v>184</v>
      </c>
      <c r="Q59" s="241" t="s">
        <v>163</v>
      </c>
      <c r="R59" s="317" t="s">
        <v>164</v>
      </c>
      <c r="S59" s="241" t="s">
        <v>899</v>
      </c>
      <c r="T59" s="241" t="s">
        <v>900</v>
      </c>
      <c r="U59" s="241" t="s">
        <v>5</v>
      </c>
      <c r="V59" s="241" t="s">
        <v>5</v>
      </c>
      <c r="W59" s="241" t="s">
        <v>5</v>
      </c>
      <c r="X59" s="241" t="s">
        <v>5</v>
      </c>
      <c r="Y59" s="265" t="s">
        <v>960</v>
      </c>
      <c r="Z59" s="318" t="s">
        <v>609</v>
      </c>
      <c r="AA59" s="376">
        <v>83</v>
      </c>
      <c r="AB59" s="63">
        <f t="shared" si="0"/>
        <v>16</v>
      </c>
      <c r="AC59" s="108" t="s">
        <v>184</v>
      </c>
      <c r="AD59" s="1" t="s">
        <v>163</v>
      </c>
      <c r="AE59" s="159" t="s">
        <v>164</v>
      </c>
      <c r="AF59" s="1" t="s">
        <v>899</v>
      </c>
      <c r="AG59" s="1" t="s">
        <v>900</v>
      </c>
      <c r="AH59" s="1" t="s">
        <v>5</v>
      </c>
      <c r="AI59" s="1" t="s">
        <v>5</v>
      </c>
      <c r="AJ59" s="1" t="s">
        <v>5</v>
      </c>
      <c r="AK59" s="1" t="s">
        <v>5</v>
      </c>
      <c r="AL59" s="204" t="s">
        <v>960</v>
      </c>
      <c r="AM59" s="160" t="s">
        <v>609</v>
      </c>
      <c r="AN59" s="145">
        <v>83</v>
      </c>
      <c r="AP59" s="210" t="str">
        <f t="shared" si="2"/>
        <v/>
      </c>
      <c r="AQ59" s="263"/>
      <c r="AR59" s="210" t="str">
        <f t="shared" si="3"/>
        <v/>
      </c>
      <c r="AS59" s="217"/>
      <c r="AT59" s="210" t="s">
        <v>503</v>
      </c>
      <c r="AU59" s="263"/>
      <c r="AV59" s="217"/>
      <c r="BB59" s="306" t="str">
        <f t="shared" si="1"/>
        <v/>
      </c>
    </row>
    <row r="60" spans="2:54" x14ac:dyDescent="0.25">
      <c r="B60" s="108" t="s">
        <v>184</v>
      </c>
      <c r="C60" s="1" t="s">
        <v>163</v>
      </c>
      <c r="D60" s="159" t="s">
        <v>164</v>
      </c>
      <c r="E60" s="1" t="s">
        <v>901</v>
      </c>
      <c r="F60" s="1" t="s">
        <v>245</v>
      </c>
      <c r="G60" s="1" t="s">
        <v>5</v>
      </c>
      <c r="H60" s="1" t="s">
        <v>5</v>
      </c>
      <c r="I60" s="1" t="s">
        <v>5</v>
      </c>
      <c r="J60" s="1" t="s">
        <v>5</v>
      </c>
      <c r="K60" s="204" t="str">
        <f t="shared" si="5"/>
        <v>E_EEQ_SPL_17</v>
      </c>
      <c r="L60" s="160" t="s">
        <v>610</v>
      </c>
      <c r="M60" s="375">
        <v>84</v>
      </c>
      <c r="P60" s="297" t="s">
        <v>184</v>
      </c>
      <c r="Q60" s="241" t="s">
        <v>163</v>
      </c>
      <c r="R60" s="317" t="s">
        <v>164</v>
      </c>
      <c r="S60" s="241" t="s">
        <v>901</v>
      </c>
      <c r="T60" s="241" t="s">
        <v>245</v>
      </c>
      <c r="U60" s="241" t="s">
        <v>5</v>
      </c>
      <c r="V60" s="241" t="s">
        <v>5</v>
      </c>
      <c r="W60" s="241" t="s">
        <v>5</v>
      </c>
      <c r="X60" s="241" t="s">
        <v>5</v>
      </c>
      <c r="Y60" s="265" t="s">
        <v>961</v>
      </c>
      <c r="Z60" s="318" t="s">
        <v>610</v>
      </c>
      <c r="AA60" s="376">
        <v>84</v>
      </c>
      <c r="AB60" s="63">
        <f t="shared" si="0"/>
        <v>17</v>
      </c>
      <c r="AC60" s="108" t="s">
        <v>184</v>
      </c>
      <c r="AD60" s="1" t="s">
        <v>163</v>
      </c>
      <c r="AE60" s="159" t="s">
        <v>164</v>
      </c>
      <c r="AF60" s="1" t="s">
        <v>901</v>
      </c>
      <c r="AG60" s="1" t="s">
        <v>245</v>
      </c>
      <c r="AH60" s="1" t="s">
        <v>5</v>
      </c>
      <c r="AI60" s="1" t="s">
        <v>5</v>
      </c>
      <c r="AJ60" s="1" t="s">
        <v>5</v>
      </c>
      <c r="AK60" s="1" t="s">
        <v>5</v>
      </c>
      <c r="AL60" s="204" t="s">
        <v>961</v>
      </c>
      <c r="AM60" s="160" t="s">
        <v>610</v>
      </c>
      <c r="AN60" s="145">
        <v>84</v>
      </c>
      <c r="AP60" s="210" t="str">
        <f t="shared" si="2"/>
        <v/>
      </c>
      <c r="AQ60" s="263"/>
      <c r="AR60" s="210" t="str">
        <f t="shared" si="3"/>
        <v/>
      </c>
      <c r="AS60" s="217"/>
      <c r="AT60" s="210" t="s">
        <v>503</v>
      </c>
      <c r="AU60" s="263"/>
      <c r="AV60" s="217"/>
      <c r="BB60" s="306" t="str">
        <f t="shared" si="1"/>
        <v/>
      </c>
    </row>
    <row r="61" spans="2:54" x14ac:dyDescent="0.25">
      <c r="B61" s="108" t="s">
        <v>184</v>
      </c>
      <c r="C61" s="1" t="s">
        <v>163</v>
      </c>
      <c r="D61" s="159" t="s">
        <v>164</v>
      </c>
      <c r="E61" s="1" t="s">
        <v>902</v>
      </c>
      <c r="F61" s="1" t="s">
        <v>903</v>
      </c>
      <c r="G61" s="1" t="s">
        <v>5</v>
      </c>
      <c r="H61" s="1" t="s">
        <v>5</v>
      </c>
      <c r="I61" s="1" t="s">
        <v>5</v>
      </c>
      <c r="J61" s="1" t="s">
        <v>5</v>
      </c>
      <c r="K61" s="204" t="str">
        <f t="shared" si="5"/>
        <v>E_EEQ_TSP_20</v>
      </c>
      <c r="L61" s="160" t="s">
        <v>613</v>
      </c>
      <c r="M61" s="375">
        <v>87</v>
      </c>
      <c r="P61" s="297" t="s">
        <v>184</v>
      </c>
      <c r="Q61" s="241" t="s">
        <v>163</v>
      </c>
      <c r="R61" s="317" t="s">
        <v>164</v>
      </c>
      <c r="S61" s="241" t="s">
        <v>902</v>
      </c>
      <c r="T61" s="241" t="s">
        <v>903</v>
      </c>
      <c r="U61" s="241" t="s">
        <v>5</v>
      </c>
      <c r="V61" s="241" t="s">
        <v>5</v>
      </c>
      <c r="W61" s="241" t="s">
        <v>5</v>
      </c>
      <c r="X61" s="241" t="s">
        <v>5</v>
      </c>
      <c r="Y61" s="265" t="s">
        <v>962</v>
      </c>
      <c r="Z61" s="318" t="s">
        <v>613</v>
      </c>
      <c r="AA61" s="376">
        <v>87</v>
      </c>
      <c r="AB61" s="63">
        <f t="shared" si="0"/>
        <v>20</v>
      </c>
      <c r="AC61" s="108" t="s">
        <v>184</v>
      </c>
      <c r="AD61" s="1" t="s">
        <v>163</v>
      </c>
      <c r="AE61" s="159" t="s">
        <v>164</v>
      </c>
      <c r="AF61" s="1" t="s">
        <v>902</v>
      </c>
      <c r="AG61" s="1" t="s">
        <v>903</v>
      </c>
      <c r="AH61" s="1" t="s">
        <v>5</v>
      </c>
      <c r="AI61" s="1" t="s">
        <v>5</v>
      </c>
      <c r="AJ61" s="1" t="s">
        <v>5</v>
      </c>
      <c r="AK61" s="1" t="s">
        <v>5</v>
      </c>
      <c r="AL61" s="204" t="s">
        <v>962</v>
      </c>
      <c r="AM61" s="160" t="s">
        <v>613</v>
      </c>
      <c r="AN61" s="145">
        <v>87</v>
      </c>
      <c r="AP61" s="210" t="str">
        <f t="shared" si="2"/>
        <v/>
      </c>
      <c r="AQ61" s="263"/>
      <c r="AR61" s="210" t="str">
        <f t="shared" si="3"/>
        <v/>
      </c>
      <c r="AS61" s="217"/>
      <c r="AT61" s="210" t="s">
        <v>503</v>
      </c>
      <c r="AU61" s="263"/>
      <c r="AV61" s="217"/>
      <c r="BB61" s="306" t="str">
        <f t="shared" si="1"/>
        <v/>
      </c>
    </row>
    <row r="62" spans="2:54" x14ac:dyDescent="0.25">
      <c r="B62" s="108" t="s">
        <v>184</v>
      </c>
      <c r="C62" s="1" t="s">
        <v>163</v>
      </c>
      <c r="D62" s="159" t="s">
        <v>164</v>
      </c>
      <c r="E62" s="1" t="s">
        <v>904</v>
      </c>
      <c r="F62" s="1" t="s">
        <v>905</v>
      </c>
      <c r="G62" s="1" t="s">
        <v>5</v>
      </c>
      <c r="H62" s="1" t="s">
        <v>5</v>
      </c>
      <c r="I62" s="1" t="s">
        <v>5</v>
      </c>
      <c r="J62" s="1" t="s">
        <v>5</v>
      </c>
      <c r="K62" s="204" t="str">
        <f t="shared" si="5"/>
        <v>E_EEQ_VPP_21</v>
      </c>
      <c r="L62" s="160" t="s">
        <v>614</v>
      </c>
      <c r="M62" s="375">
        <v>88</v>
      </c>
      <c r="P62" s="297" t="s">
        <v>184</v>
      </c>
      <c r="Q62" s="241" t="s">
        <v>163</v>
      </c>
      <c r="R62" s="317" t="s">
        <v>164</v>
      </c>
      <c r="S62" s="241" t="s">
        <v>904</v>
      </c>
      <c r="T62" s="241" t="s">
        <v>905</v>
      </c>
      <c r="U62" s="241" t="s">
        <v>5</v>
      </c>
      <c r="V62" s="241" t="s">
        <v>5</v>
      </c>
      <c r="W62" s="241" t="s">
        <v>5</v>
      </c>
      <c r="X62" s="241" t="s">
        <v>5</v>
      </c>
      <c r="Y62" s="265" t="s">
        <v>963</v>
      </c>
      <c r="Z62" s="318" t="s">
        <v>614</v>
      </c>
      <c r="AA62" s="376">
        <v>88</v>
      </c>
      <c r="AB62" s="63">
        <f t="shared" si="0"/>
        <v>21</v>
      </c>
      <c r="AC62" s="108" t="s">
        <v>184</v>
      </c>
      <c r="AD62" s="1" t="s">
        <v>163</v>
      </c>
      <c r="AE62" s="159" t="s">
        <v>164</v>
      </c>
      <c r="AF62" s="1" t="s">
        <v>904</v>
      </c>
      <c r="AG62" s="1" t="s">
        <v>905</v>
      </c>
      <c r="AH62" s="1" t="s">
        <v>5</v>
      </c>
      <c r="AI62" s="1" t="s">
        <v>5</v>
      </c>
      <c r="AJ62" s="1" t="s">
        <v>5</v>
      </c>
      <c r="AK62" s="1" t="s">
        <v>5</v>
      </c>
      <c r="AL62" s="204" t="s">
        <v>963</v>
      </c>
      <c r="AM62" s="160" t="s">
        <v>614</v>
      </c>
      <c r="AN62" s="145">
        <v>88</v>
      </c>
      <c r="AP62" s="210" t="str">
        <f t="shared" si="2"/>
        <v/>
      </c>
      <c r="AQ62" s="263"/>
      <c r="AR62" s="210" t="str">
        <f t="shared" si="3"/>
        <v/>
      </c>
      <c r="AS62" s="217"/>
      <c r="AT62" s="210" t="s">
        <v>503</v>
      </c>
      <c r="AU62" s="263"/>
      <c r="AV62" s="217"/>
      <c r="BB62" s="306" t="str">
        <f t="shared" si="1"/>
        <v/>
      </c>
    </row>
    <row r="63" spans="2:54" x14ac:dyDescent="0.25">
      <c r="B63" s="108" t="s">
        <v>184</v>
      </c>
      <c r="C63" s="1" t="s">
        <v>163</v>
      </c>
      <c r="D63" s="159" t="s">
        <v>164</v>
      </c>
      <c r="E63" s="1" t="s">
        <v>906</v>
      </c>
      <c r="F63" s="1" t="s">
        <v>907</v>
      </c>
      <c r="G63" s="1" t="s">
        <v>5</v>
      </c>
      <c r="H63" s="1" t="s">
        <v>5</v>
      </c>
      <c r="I63" s="1" t="s">
        <v>5</v>
      </c>
      <c r="J63" s="1" t="s">
        <v>5</v>
      </c>
      <c r="K63" s="204" t="str">
        <f t="shared" si="5"/>
        <v>E_EEQ_WMP_19</v>
      </c>
      <c r="L63" s="160" t="s">
        <v>612</v>
      </c>
      <c r="M63" s="375">
        <v>86</v>
      </c>
      <c r="P63" s="297" t="s">
        <v>184</v>
      </c>
      <c r="Q63" s="241" t="s">
        <v>163</v>
      </c>
      <c r="R63" s="317" t="s">
        <v>164</v>
      </c>
      <c r="S63" s="241" t="s">
        <v>906</v>
      </c>
      <c r="T63" s="241" t="s">
        <v>907</v>
      </c>
      <c r="U63" s="241" t="s">
        <v>5</v>
      </c>
      <c r="V63" s="241" t="s">
        <v>5</v>
      </c>
      <c r="W63" s="241" t="s">
        <v>5</v>
      </c>
      <c r="X63" s="241" t="s">
        <v>5</v>
      </c>
      <c r="Y63" s="265" t="s">
        <v>964</v>
      </c>
      <c r="Z63" s="318" t="s">
        <v>612</v>
      </c>
      <c r="AA63" s="376">
        <v>86</v>
      </c>
      <c r="AB63" s="63">
        <f t="shared" si="0"/>
        <v>19</v>
      </c>
      <c r="AC63" s="108" t="s">
        <v>184</v>
      </c>
      <c r="AD63" s="1" t="s">
        <v>163</v>
      </c>
      <c r="AE63" s="159" t="s">
        <v>164</v>
      </c>
      <c r="AF63" s="1" t="s">
        <v>906</v>
      </c>
      <c r="AG63" s="1" t="s">
        <v>907</v>
      </c>
      <c r="AH63" s="1" t="s">
        <v>5</v>
      </c>
      <c r="AI63" s="1" t="s">
        <v>5</v>
      </c>
      <c r="AJ63" s="1" t="s">
        <v>5</v>
      </c>
      <c r="AK63" s="1" t="s">
        <v>5</v>
      </c>
      <c r="AL63" s="204" t="s">
        <v>964</v>
      </c>
      <c r="AM63" s="160" t="s">
        <v>612</v>
      </c>
      <c r="AN63" s="148">
        <v>86</v>
      </c>
      <c r="AP63" s="210" t="str">
        <f t="shared" si="2"/>
        <v/>
      </c>
      <c r="AQ63" s="263"/>
      <c r="AR63" s="210" t="str">
        <f t="shared" si="3"/>
        <v/>
      </c>
      <c r="AS63" s="217"/>
      <c r="AT63" s="210" t="s">
        <v>503</v>
      </c>
      <c r="AU63" s="263"/>
      <c r="AV63" s="217"/>
      <c r="BB63" s="306" t="str">
        <f t="shared" si="1"/>
        <v/>
      </c>
    </row>
    <row r="64" spans="2:54" x14ac:dyDescent="0.25">
      <c r="M64" s="375"/>
      <c r="AB64" s="63" t="str">
        <f t="shared" si="0"/>
        <v/>
      </c>
      <c r="AP64" s="210" t="str">
        <f t="shared" si="2"/>
        <v/>
      </c>
      <c r="AQ64" s="263"/>
      <c r="AR64" s="210" t="str">
        <f t="shared" si="3"/>
        <v/>
      </c>
      <c r="AS64" s="217"/>
      <c r="AT64" s="210" t="s">
        <v>503</v>
      </c>
      <c r="AU64" s="263"/>
      <c r="AV64" s="217"/>
      <c r="BB64" s="306" t="str">
        <f t="shared" si="1"/>
        <v/>
      </c>
    </row>
    <row r="65" spans="12:54" x14ac:dyDescent="0.25">
      <c r="M65" s="375"/>
      <c r="AB65" s="63" t="str">
        <f t="shared" si="0"/>
        <v/>
      </c>
      <c r="AP65" s="210" t="str">
        <f t="shared" si="2"/>
        <v/>
      </c>
      <c r="AQ65" s="263"/>
      <c r="AR65" s="210" t="str">
        <f t="shared" si="3"/>
        <v/>
      </c>
      <c r="AS65" s="217"/>
      <c r="AT65" s="210" t="s">
        <v>503</v>
      </c>
      <c r="AU65" s="263"/>
      <c r="AV65" s="217"/>
      <c r="BB65" s="306" t="str">
        <f t="shared" si="1"/>
        <v/>
      </c>
    </row>
    <row r="66" spans="12:54" x14ac:dyDescent="0.25">
      <c r="L66" s="160" t="s">
        <v>503</v>
      </c>
      <c r="M66" s="375" t="s">
        <v>503</v>
      </c>
      <c r="AB66" s="63" t="str">
        <f t="shared" si="0"/>
        <v/>
      </c>
      <c r="AM66" s="160" t="s">
        <v>503</v>
      </c>
      <c r="AN66" s="144" t="s">
        <v>503</v>
      </c>
      <c r="AP66" s="210" t="str">
        <f t="shared" si="2"/>
        <v/>
      </c>
      <c r="AQ66" s="263"/>
      <c r="AR66" s="210" t="str">
        <f t="shared" si="3"/>
        <v/>
      </c>
      <c r="AS66" s="217"/>
      <c r="AT66" s="210" t="s">
        <v>503</v>
      </c>
      <c r="AU66" s="263"/>
      <c r="AV66" s="217"/>
      <c r="BB66" s="306" t="str">
        <f t="shared" si="1"/>
        <v/>
      </c>
    </row>
    <row r="67" spans="12:54" x14ac:dyDescent="0.25">
      <c r="M67" s="375"/>
      <c r="AB67" s="63" t="str">
        <f t="shared" si="0"/>
        <v/>
      </c>
      <c r="AP67" s="210" t="str">
        <f t="shared" si="2"/>
        <v/>
      </c>
      <c r="AQ67" s="263"/>
      <c r="AR67" s="210" t="str">
        <f t="shared" si="3"/>
        <v/>
      </c>
      <c r="AS67" s="217"/>
      <c r="AT67" s="210" t="s">
        <v>503</v>
      </c>
      <c r="AU67" s="263"/>
      <c r="AV67" s="217"/>
      <c r="BB67" s="306" t="str">
        <f t="shared" si="1"/>
        <v/>
      </c>
    </row>
    <row r="68" spans="12:54" x14ac:dyDescent="0.25">
      <c r="M68" s="375"/>
      <c r="AB68" s="63" t="str">
        <f t="shared" si="0"/>
        <v/>
      </c>
      <c r="AP68" s="210" t="str">
        <f t="shared" si="2"/>
        <v/>
      </c>
      <c r="AQ68" s="263"/>
      <c r="AR68" s="210" t="str">
        <f t="shared" si="3"/>
        <v/>
      </c>
      <c r="AS68" s="217"/>
      <c r="AT68" s="210" t="s">
        <v>503</v>
      </c>
      <c r="AU68" s="263"/>
      <c r="AV68" s="217"/>
      <c r="BB68" s="306" t="str">
        <f t="shared" si="1"/>
        <v/>
      </c>
    </row>
    <row r="69" spans="12:54" x14ac:dyDescent="0.25">
      <c r="M69" s="375"/>
      <c r="AB69" s="63" t="str">
        <f t="shared" ref="AB69:AB132" si="6">IF(Z69="","",Z69*1)</f>
        <v/>
      </c>
      <c r="AP69" s="210" t="str">
        <f t="shared" si="2"/>
        <v/>
      </c>
      <c r="AQ69" s="263"/>
      <c r="AR69" s="210" t="str">
        <f t="shared" si="3"/>
        <v/>
      </c>
      <c r="AS69" s="217"/>
      <c r="AT69" s="210" t="s">
        <v>503</v>
      </c>
      <c r="AU69" s="263"/>
      <c r="AV69" s="217"/>
      <c r="BB69" s="306" t="str">
        <f t="shared" ref="BB69:BB132" si="7">IF(AQ69="","",LEFT(AQ69,SEARCH(".",AQ69)-1))</f>
        <v/>
      </c>
    </row>
    <row r="70" spans="12:54" x14ac:dyDescent="0.25">
      <c r="M70" s="375"/>
      <c r="AB70" s="63" t="str">
        <f t="shared" si="6"/>
        <v/>
      </c>
      <c r="AP70" s="210" t="str">
        <f t="shared" ref="AP70:AP133" si="8">IF(AQ70="","",AP69+1)</f>
        <v/>
      </c>
      <c r="AQ70" s="263"/>
      <c r="AR70" s="210" t="str">
        <f t="shared" ref="AR70:AR133" si="9">IF(AP70="","",AP70)</f>
        <v/>
      </c>
      <c r="AS70" s="217"/>
      <c r="AT70" s="210" t="s">
        <v>503</v>
      </c>
      <c r="AU70" s="263"/>
      <c r="AV70" s="217"/>
      <c r="BB70" s="306" t="str">
        <f t="shared" si="7"/>
        <v/>
      </c>
    </row>
    <row r="71" spans="12:54" x14ac:dyDescent="0.25">
      <c r="M71" s="375"/>
      <c r="AB71" s="63" t="str">
        <f t="shared" si="6"/>
        <v/>
      </c>
      <c r="AP71" s="210" t="str">
        <f t="shared" si="8"/>
        <v/>
      </c>
      <c r="AQ71" s="263"/>
      <c r="AR71" s="210" t="str">
        <f t="shared" si="9"/>
        <v/>
      </c>
      <c r="AS71" s="217"/>
      <c r="AT71" s="210" t="s">
        <v>503</v>
      </c>
      <c r="AU71" s="263"/>
      <c r="AV71" s="217"/>
      <c r="BB71" s="306" t="str">
        <f t="shared" si="7"/>
        <v/>
      </c>
    </row>
    <row r="72" spans="12:54" x14ac:dyDescent="0.25">
      <c r="M72" s="375"/>
      <c r="AB72" s="63" t="str">
        <f t="shared" si="6"/>
        <v/>
      </c>
      <c r="AP72" s="210" t="str">
        <f t="shared" si="8"/>
        <v/>
      </c>
      <c r="AQ72" s="263"/>
      <c r="AR72" s="210" t="str">
        <f t="shared" si="9"/>
        <v/>
      </c>
      <c r="AS72" s="217"/>
      <c r="AT72" s="210" t="s">
        <v>503</v>
      </c>
      <c r="AU72" s="263"/>
      <c r="AV72" s="217"/>
      <c r="BB72" s="306" t="str">
        <f t="shared" si="7"/>
        <v/>
      </c>
    </row>
    <row r="73" spans="12:54" x14ac:dyDescent="0.25">
      <c r="M73" s="375"/>
      <c r="AB73" s="63" t="str">
        <f t="shared" si="6"/>
        <v/>
      </c>
      <c r="AP73" s="210" t="str">
        <f t="shared" si="8"/>
        <v/>
      </c>
      <c r="AQ73" s="263"/>
      <c r="AR73" s="210" t="str">
        <f t="shared" si="9"/>
        <v/>
      </c>
      <c r="AS73" s="217"/>
      <c r="AT73" s="210" t="s">
        <v>503</v>
      </c>
      <c r="AU73" s="263"/>
      <c r="AV73" s="217"/>
      <c r="BB73" s="306" t="str">
        <f t="shared" si="7"/>
        <v/>
      </c>
    </row>
    <row r="74" spans="12:54" x14ac:dyDescent="0.25">
      <c r="M74" s="375"/>
      <c r="AB74" s="63" t="str">
        <f t="shared" si="6"/>
        <v/>
      </c>
      <c r="AP74" s="210" t="str">
        <f t="shared" si="8"/>
        <v/>
      </c>
      <c r="AQ74" s="263"/>
      <c r="AR74" s="210" t="str">
        <f t="shared" si="9"/>
        <v/>
      </c>
      <c r="AS74" s="217"/>
      <c r="AT74" s="210" t="s">
        <v>503</v>
      </c>
      <c r="AU74" s="263"/>
      <c r="AV74" s="217"/>
      <c r="BB74" s="306" t="str">
        <f t="shared" si="7"/>
        <v/>
      </c>
    </row>
    <row r="75" spans="12:54" x14ac:dyDescent="0.25">
      <c r="M75" s="375"/>
      <c r="AB75" s="63" t="str">
        <f t="shared" si="6"/>
        <v/>
      </c>
      <c r="AP75" s="210" t="str">
        <f t="shared" si="8"/>
        <v/>
      </c>
      <c r="AQ75" s="263"/>
      <c r="AR75" s="210" t="str">
        <f t="shared" si="9"/>
        <v/>
      </c>
      <c r="AS75" s="217"/>
      <c r="AT75" s="210" t="s">
        <v>503</v>
      </c>
      <c r="AU75" s="263"/>
      <c r="AV75" s="217"/>
      <c r="BB75" s="306" t="str">
        <f t="shared" si="7"/>
        <v/>
      </c>
    </row>
    <row r="76" spans="12:54" x14ac:dyDescent="0.25">
      <c r="M76" s="375"/>
      <c r="AB76" s="63" t="str">
        <f t="shared" si="6"/>
        <v/>
      </c>
      <c r="AP76" s="210" t="str">
        <f t="shared" si="8"/>
        <v/>
      </c>
      <c r="AQ76" s="263"/>
      <c r="AR76" s="210" t="str">
        <f t="shared" si="9"/>
        <v/>
      </c>
      <c r="AS76" s="217"/>
      <c r="AT76" s="210" t="s">
        <v>503</v>
      </c>
      <c r="AU76" s="263"/>
      <c r="AV76" s="217"/>
      <c r="BB76" s="306" t="str">
        <f t="shared" si="7"/>
        <v/>
      </c>
    </row>
    <row r="77" spans="12:54" x14ac:dyDescent="0.25">
      <c r="M77" s="375"/>
      <c r="AB77" s="63" t="str">
        <f t="shared" si="6"/>
        <v/>
      </c>
      <c r="AP77" s="210" t="str">
        <f t="shared" si="8"/>
        <v/>
      </c>
      <c r="AQ77" s="263"/>
      <c r="AR77" s="210" t="str">
        <f t="shared" si="9"/>
        <v/>
      </c>
      <c r="AS77" s="217"/>
      <c r="AT77" s="210" t="s">
        <v>503</v>
      </c>
      <c r="AU77" s="263"/>
      <c r="AV77" s="217"/>
      <c r="BB77" s="306" t="str">
        <f t="shared" si="7"/>
        <v/>
      </c>
    </row>
    <row r="78" spans="12:54" x14ac:dyDescent="0.25">
      <c r="M78" s="375"/>
      <c r="AB78" s="63" t="str">
        <f t="shared" si="6"/>
        <v/>
      </c>
      <c r="AP78" s="210" t="str">
        <f t="shared" si="8"/>
        <v/>
      </c>
      <c r="AQ78" s="263"/>
      <c r="AR78" s="210" t="str">
        <f t="shared" si="9"/>
        <v/>
      </c>
      <c r="AS78" s="217"/>
      <c r="AT78" s="210" t="s">
        <v>503</v>
      </c>
      <c r="AU78" s="263"/>
      <c r="AV78" s="217"/>
      <c r="BB78" s="306" t="str">
        <f t="shared" si="7"/>
        <v/>
      </c>
    </row>
    <row r="79" spans="12:54" x14ac:dyDescent="0.25">
      <c r="M79" s="375"/>
      <c r="AB79" s="63" t="str">
        <f t="shared" si="6"/>
        <v/>
      </c>
      <c r="AP79" s="210" t="str">
        <f t="shared" si="8"/>
        <v/>
      </c>
      <c r="AQ79" s="263"/>
      <c r="AR79" s="210" t="str">
        <f t="shared" si="9"/>
        <v/>
      </c>
      <c r="AS79" s="217"/>
      <c r="AT79" s="210" t="s">
        <v>503</v>
      </c>
      <c r="AU79" s="263"/>
      <c r="AV79" s="217"/>
      <c r="BB79" s="306" t="str">
        <f t="shared" si="7"/>
        <v/>
      </c>
    </row>
    <row r="80" spans="12:54" x14ac:dyDescent="0.25">
      <c r="M80" s="375"/>
      <c r="AB80" s="63" t="str">
        <f t="shared" si="6"/>
        <v/>
      </c>
      <c r="AP80" s="210" t="str">
        <f t="shared" si="8"/>
        <v/>
      </c>
      <c r="AQ80" s="263"/>
      <c r="AR80" s="210" t="str">
        <f t="shared" si="9"/>
        <v/>
      </c>
      <c r="AS80" s="217"/>
      <c r="AT80" s="210" t="s">
        <v>503</v>
      </c>
      <c r="AU80" s="263"/>
      <c r="AV80" s="217"/>
      <c r="BB80" s="306" t="str">
        <f t="shared" si="7"/>
        <v/>
      </c>
    </row>
    <row r="81" spans="13:54" x14ac:dyDescent="0.25">
      <c r="M81" s="375"/>
      <c r="AB81" s="63" t="str">
        <f t="shared" si="6"/>
        <v/>
      </c>
      <c r="AP81" s="210" t="str">
        <f t="shared" si="8"/>
        <v/>
      </c>
      <c r="AQ81" s="263"/>
      <c r="AR81" s="210" t="str">
        <f t="shared" si="9"/>
        <v/>
      </c>
      <c r="AS81" s="217"/>
      <c r="AT81" s="210" t="s">
        <v>503</v>
      </c>
      <c r="AU81" s="263"/>
      <c r="AV81" s="217"/>
      <c r="BB81" s="306" t="str">
        <f t="shared" si="7"/>
        <v/>
      </c>
    </row>
    <row r="82" spans="13:54" x14ac:dyDescent="0.25">
      <c r="M82" s="375"/>
      <c r="AB82" s="63" t="str">
        <f t="shared" si="6"/>
        <v/>
      </c>
      <c r="AP82" s="210" t="str">
        <f t="shared" si="8"/>
        <v/>
      </c>
      <c r="AQ82" s="263"/>
      <c r="AR82" s="210" t="str">
        <f t="shared" si="9"/>
        <v/>
      </c>
      <c r="AS82" s="217"/>
      <c r="AT82" s="210" t="s">
        <v>503</v>
      </c>
      <c r="AU82" s="263"/>
      <c r="AV82" s="217"/>
      <c r="BB82" s="306" t="str">
        <f t="shared" si="7"/>
        <v/>
      </c>
    </row>
    <row r="83" spans="13:54" x14ac:dyDescent="0.25">
      <c r="M83" s="375"/>
      <c r="AB83" s="63" t="str">
        <f t="shared" si="6"/>
        <v/>
      </c>
      <c r="AP83" s="210" t="str">
        <f t="shared" si="8"/>
        <v/>
      </c>
      <c r="AQ83" s="263"/>
      <c r="AR83" s="210" t="str">
        <f t="shared" si="9"/>
        <v/>
      </c>
      <c r="AS83" s="217"/>
      <c r="AT83" s="210" t="s">
        <v>503</v>
      </c>
      <c r="AU83" s="263"/>
      <c r="AV83" s="217"/>
      <c r="BB83" s="306" t="str">
        <f t="shared" si="7"/>
        <v/>
      </c>
    </row>
    <row r="84" spans="13:54" x14ac:dyDescent="0.25">
      <c r="M84" s="375"/>
      <c r="AB84" s="63" t="str">
        <f t="shared" si="6"/>
        <v/>
      </c>
      <c r="AP84" s="210" t="str">
        <f t="shared" si="8"/>
        <v/>
      </c>
      <c r="AQ84" s="263"/>
      <c r="AR84" s="210" t="str">
        <f t="shared" si="9"/>
        <v/>
      </c>
      <c r="AS84" s="217"/>
      <c r="AT84" s="210" t="s">
        <v>503</v>
      </c>
      <c r="AU84" s="263"/>
      <c r="AV84" s="217"/>
      <c r="BB84" s="306" t="str">
        <f t="shared" si="7"/>
        <v/>
      </c>
    </row>
    <row r="85" spans="13:54" x14ac:dyDescent="0.25">
      <c r="M85" s="375"/>
      <c r="AB85" s="63" t="str">
        <f t="shared" si="6"/>
        <v/>
      </c>
      <c r="AP85" s="210" t="str">
        <f t="shared" si="8"/>
        <v/>
      </c>
      <c r="AQ85" s="263"/>
      <c r="AR85" s="210" t="str">
        <f t="shared" si="9"/>
        <v/>
      </c>
      <c r="AS85" s="217"/>
      <c r="AT85" s="210" t="s">
        <v>503</v>
      </c>
      <c r="AU85" s="263"/>
      <c r="AV85" s="217"/>
      <c r="BB85" s="306" t="str">
        <f t="shared" si="7"/>
        <v/>
      </c>
    </row>
    <row r="86" spans="13:54" x14ac:dyDescent="0.25">
      <c r="M86" s="375"/>
      <c r="AB86" s="63" t="str">
        <f t="shared" si="6"/>
        <v/>
      </c>
      <c r="AP86" s="210" t="str">
        <f t="shared" si="8"/>
        <v/>
      </c>
      <c r="AQ86" s="263"/>
      <c r="AR86" s="210" t="str">
        <f t="shared" si="9"/>
        <v/>
      </c>
      <c r="AS86" s="217"/>
      <c r="AT86" s="210" t="s">
        <v>503</v>
      </c>
      <c r="AU86" s="263"/>
      <c r="AV86" s="217"/>
      <c r="BB86" s="306" t="str">
        <f t="shared" si="7"/>
        <v/>
      </c>
    </row>
    <row r="87" spans="13:54" x14ac:dyDescent="0.25">
      <c r="M87" s="375"/>
      <c r="AB87" s="63" t="str">
        <f t="shared" si="6"/>
        <v/>
      </c>
      <c r="AP87" s="210" t="str">
        <f t="shared" si="8"/>
        <v/>
      </c>
      <c r="AQ87" s="263"/>
      <c r="AR87" s="210" t="str">
        <f t="shared" si="9"/>
        <v/>
      </c>
      <c r="AS87" s="217"/>
      <c r="AT87" s="210" t="s">
        <v>503</v>
      </c>
      <c r="AU87" s="263"/>
      <c r="AV87" s="217"/>
      <c r="BB87" s="306" t="str">
        <f t="shared" si="7"/>
        <v/>
      </c>
    </row>
    <row r="88" spans="13:54" x14ac:dyDescent="0.25">
      <c r="M88" s="375"/>
      <c r="AB88" s="63" t="str">
        <f t="shared" si="6"/>
        <v/>
      </c>
      <c r="AP88" s="210" t="str">
        <f t="shared" si="8"/>
        <v/>
      </c>
      <c r="AQ88" s="263"/>
      <c r="AR88" s="210" t="str">
        <f t="shared" si="9"/>
        <v/>
      </c>
      <c r="AS88" s="217"/>
      <c r="AT88" s="210" t="s">
        <v>503</v>
      </c>
      <c r="AU88" s="263"/>
      <c r="AV88" s="217"/>
      <c r="BB88" s="306" t="str">
        <f t="shared" si="7"/>
        <v/>
      </c>
    </row>
    <row r="89" spans="13:54" x14ac:dyDescent="0.25">
      <c r="M89" s="375"/>
      <c r="AB89" s="63" t="str">
        <f t="shared" si="6"/>
        <v/>
      </c>
      <c r="AP89" s="210" t="str">
        <f t="shared" si="8"/>
        <v/>
      </c>
      <c r="AQ89" s="263"/>
      <c r="AR89" s="210" t="str">
        <f t="shared" si="9"/>
        <v/>
      </c>
      <c r="AS89" s="217"/>
      <c r="AT89" s="210" t="s">
        <v>503</v>
      </c>
      <c r="AU89" s="263"/>
      <c r="AV89" s="217"/>
      <c r="BB89" s="306" t="str">
        <f t="shared" si="7"/>
        <v/>
      </c>
    </row>
    <row r="90" spans="13:54" x14ac:dyDescent="0.25">
      <c r="M90" s="375"/>
      <c r="AB90" s="63" t="str">
        <f t="shared" si="6"/>
        <v/>
      </c>
      <c r="AP90" s="210" t="str">
        <f t="shared" si="8"/>
        <v/>
      </c>
      <c r="AQ90" s="263"/>
      <c r="AR90" s="210" t="str">
        <f t="shared" si="9"/>
        <v/>
      </c>
      <c r="AS90" s="217"/>
      <c r="AT90" s="210" t="s">
        <v>503</v>
      </c>
      <c r="AU90" s="263"/>
      <c r="AV90" s="217"/>
      <c r="BB90" s="306" t="str">
        <f t="shared" si="7"/>
        <v/>
      </c>
    </row>
    <row r="91" spans="13:54" x14ac:dyDescent="0.25">
      <c r="M91" s="375"/>
      <c r="AB91" s="63" t="str">
        <f t="shared" si="6"/>
        <v/>
      </c>
      <c r="AP91" s="210" t="str">
        <f t="shared" si="8"/>
        <v/>
      </c>
      <c r="AQ91" s="263"/>
      <c r="AR91" s="210" t="str">
        <f t="shared" si="9"/>
        <v/>
      </c>
      <c r="AS91" s="217"/>
      <c r="AT91" s="210" t="s">
        <v>503</v>
      </c>
      <c r="AU91" s="263"/>
      <c r="AV91" s="217"/>
      <c r="BB91" s="306" t="str">
        <f t="shared" si="7"/>
        <v/>
      </c>
    </row>
    <row r="92" spans="13:54" x14ac:dyDescent="0.25">
      <c r="M92" s="375"/>
      <c r="AB92" s="63" t="str">
        <f t="shared" si="6"/>
        <v/>
      </c>
      <c r="AP92" s="210" t="str">
        <f t="shared" si="8"/>
        <v/>
      </c>
      <c r="AQ92" s="263"/>
      <c r="AR92" s="210" t="str">
        <f t="shared" si="9"/>
        <v/>
      </c>
      <c r="AS92" s="217"/>
      <c r="AT92" s="210" t="s">
        <v>503</v>
      </c>
      <c r="AU92" s="263"/>
      <c r="AV92" s="217"/>
      <c r="BB92" s="306" t="str">
        <f t="shared" si="7"/>
        <v/>
      </c>
    </row>
    <row r="93" spans="13:54" x14ac:dyDescent="0.25">
      <c r="M93" s="375"/>
      <c r="AB93" s="63" t="str">
        <f t="shared" si="6"/>
        <v/>
      </c>
      <c r="AP93" s="210" t="str">
        <f t="shared" si="8"/>
        <v/>
      </c>
      <c r="AQ93" s="263"/>
      <c r="AR93" s="210" t="str">
        <f t="shared" si="9"/>
        <v/>
      </c>
      <c r="AS93" s="217"/>
      <c r="AT93" s="210" t="s">
        <v>503</v>
      </c>
      <c r="AU93" s="263"/>
      <c r="AV93" s="217"/>
      <c r="BB93" s="306" t="str">
        <f t="shared" si="7"/>
        <v/>
      </c>
    </row>
    <row r="94" spans="13:54" x14ac:dyDescent="0.25">
      <c r="M94" s="375"/>
      <c r="AB94" s="63" t="str">
        <f t="shared" si="6"/>
        <v/>
      </c>
      <c r="AP94" s="210" t="str">
        <f t="shared" si="8"/>
        <v/>
      </c>
      <c r="AQ94" s="263"/>
      <c r="AR94" s="210" t="str">
        <f t="shared" si="9"/>
        <v/>
      </c>
      <c r="AS94" s="217"/>
      <c r="AT94" s="210" t="s">
        <v>503</v>
      </c>
      <c r="AU94" s="263"/>
      <c r="AV94" s="217"/>
      <c r="BB94" s="306" t="str">
        <f t="shared" si="7"/>
        <v/>
      </c>
    </row>
    <row r="95" spans="13:54" x14ac:dyDescent="0.25">
      <c r="M95" s="375"/>
      <c r="AB95" s="63" t="str">
        <f t="shared" si="6"/>
        <v/>
      </c>
      <c r="AP95" s="210" t="str">
        <f t="shared" si="8"/>
        <v/>
      </c>
      <c r="AQ95" s="263"/>
      <c r="AR95" s="210" t="str">
        <f t="shared" si="9"/>
        <v/>
      </c>
      <c r="AS95" s="217"/>
      <c r="AT95" s="210" t="s">
        <v>503</v>
      </c>
      <c r="AU95" s="263"/>
      <c r="AV95" s="217"/>
      <c r="BB95" s="306" t="str">
        <f t="shared" si="7"/>
        <v/>
      </c>
    </row>
    <row r="96" spans="13:54" x14ac:dyDescent="0.25">
      <c r="M96" s="375"/>
      <c r="AB96" s="63" t="str">
        <f t="shared" si="6"/>
        <v/>
      </c>
      <c r="AP96" s="210" t="str">
        <f t="shared" si="8"/>
        <v/>
      </c>
      <c r="AQ96" s="263"/>
      <c r="AR96" s="210" t="str">
        <f t="shared" si="9"/>
        <v/>
      </c>
      <c r="AS96" s="217"/>
      <c r="AT96" s="210" t="s">
        <v>503</v>
      </c>
      <c r="AU96" s="263"/>
      <c r="AV96" s="217"/>
      <c r="BB96" s="306" t="str">
        <f t="shared" si="7"/>
        <v/>
      </c>
    </row>
    <row r="97" spans="13:54" x14ac:dyDescent="0.25">
      <c r="M97" s="375"/>
      <c r="AB97" s="63" t="str">
        <f t="shared" si="6"/>
        <v/>
      </c>
      <c r="AP97" s="210" t="str">
        <f t="shared" si="8"/>
        <v/>
      </c>
      <c r="AQ97" s="263"/>
      <c r="AR97" s="210" t="str">
        <f t="shared" si="9"/>
        <v/>
      </c>
      <c r="AS97" s="217"/>
      <c r="AT97" s="210" t="s">
        <v>503</v>
      </c>
      <c r="AU97" s="263"/>
      <c r="AV97" s="217"/>
      <c r="BB97" s="306" t="str">
        <f t="shared" si="7"/>
        <v/>
      </c>
    </row>
    <row r="98" spans="13:54" x14ac:dyDescent="0.25">
      <c r="M98" s="375"/>
      <c r="AB98" s="63" t="str">
        <f t="shared" si="6"/>
        <v/>
      </c>
      <c r="AP98" s="210" t="str">
        <f t="shared" si="8"/>
        <v/>
      </c>
      <c r="AQ98" s="263"/>
      <c r="AR98" s="210" t="str">
        <f t="shared" si="9"/>
        <v/>
      </c>
      <c r="AS98" s="217"/>
      <c r="AT98" s="210" t="s">
        <v>503</v>
      </c>
      <c r="AU98" s="263"/>
      <c r="AV98" s="217"/>
      <c r="BB98" s="306" t="str">
        <f t="shared" si="7"/>
        <v/>
      </c>
    </row>
    <row r="99" spans="13:54" x14ac:dyDescent="0.25">
      <c r="M99" s="375"/>
      <c r="AB99" s="63" t="str">
        <f t="shared" si="6"/>
        <v/>
      </c>
      <c r="AP99" s="210" t="str">
        <f t="shared" si="8"/>
        <v/>
      </c>
      <c r="AQ99" s="263"/>
      <c r="AR99" s="210" t="str">
        <f t="shared" si="9"/>
        <v/>
      </c>
      <c r="AS99" s="217"/>
      <c r="AT99" s="210" t="s">
        <v>503</v>
      </c>
      <c r="AU99" s="263"/>
      <c r="AV99" s="217"/>
      <c r="BB99" s="306" t="str">
        <f t="shared" si="7"/>
        <v/>
      </c>
    </row>
    <row r="100" spans="13:54" x14ac:dyDescent="0.25">
      <c r="M100" s="375"/>
      <c r="AB100" s="63" t="str">
        <f t="shared" si="6"/>
        <v/>
      </c>
      <c r="AP100" s="210" t="str">
        <f t="shared" si="8"/>
        <v/>
      </c>
      <c r="AQ100" s="263"/>
      <c r="AR100" s="210" t="str">
        <f t="shared" si="9"/>
        <v/>
      </c>
      <c r="AS100" s="217"/>
      <c r="AT100" s="210" t="s">
        <v>503</v>
      </c>
      <c r="AU100" s="263"/>
      <c r="AV100" s="217"/>
      <c r="BB100" s="306" t="str">
        <f t="shared" si="7"/>
        <v/>
      </c>
    </row>
    <row r="101" spans="13:54" x14ac:dyDescent="0.25">
      <c r="M101" s="375"/>
      <c r="AB101" s="63" t="str">
        <f t="shared" si="6"/>
        <v/>
      </c>
      <c r="AP101" s="210" t="str">
        <f t="shared" si="8"/>
        <v/>
      </c>
      <c r="AQ101" s="263"/>
      <c r="AR101" s="210" t="str">
        <f t="shared" si="9"/>
        <v/>
      </c>
      <c r="AS101" s="217"/>
      <c r="AT101" s="210" t="s">
        <v>503</v>
      </c>
      <c r="AU101" s="263"/>
      <c r="AV101" s="217"/>
      <c r="BB101" s="306" t="str">
        <f t="shared" si="7"/>
        <v/>
      </c>
    </row>
    <row r="102" spans="13:54" x14ac:dyDescent="0.25">
      <c r="M102" s="375"/>
      <c r="AB102" s="63" t="str">
        <f t="shared" si="6"/>
        <v/>
      </c>
      <c r="AP102" s="210" t="str">
        <f t="shared" si="8"/>
        <v/>
      </c>
      <c r="AQ102" s="263"/>
      <c r="AR102" s="210" t="str">
        <f t="shared" si="9"/>
        <v/>
      </c>
      <c r="AS102" s="217"/>
      <c r="AT102" s="210" t="s">
        <v>503</v>
      </c>
      <c r="AU102" s="263"/>
      <c r="AV102" s="217"/>
      <c r="BB102" s="306" t="str">
        <f t="shared" si="7"/>
        <v/>
      </c>
    </row>
    <row r="103" spans="13:54" x14ac:dyDescent="0.25">
      <c r="M103" s="375"/>
      <c r="AB103" s="63" t="str">
        <f t="shared" si="6"/>
        <v/>
      </c>
      <c r="AP103" s="210" t="str">
        <f t="shared" si="8"/>
        <v/>
      </c>
      <c r="AQ103" s="263"/>
      <c r="AR103" s="210" t="str">
        <f t="shared" si="9"/>
        <v/>
      </c>
      <c r="AS103" s="217"/>
      <c r="AT103" s="210" t="s">
        <v>503</v>
      </c>
      <c r="AU103" s="263"/>
      <c r="AV103" s="217"/>
      <c r="BB103" s="306" t="str">
        <f t="shared" si="7"/>
        <v/>
      </c>
    </row>
    <row r="104" spans="13:54" x14ac:dyDescent="0.25">
      <c r="M104" s="375"/>
      <c r="AB104" s="63" t="str">
        <f t="shared" si="6"/>
        <v/>
      </c>
      <c r="AP104" s="210" t="str">
        <f t="shared" si="8"/>
        <v/>
      </c>
      <c r="AQ104" s="263"/>
      <c r="AR104" s="210" t="str">
        <f t="shared" si="9"/>
        <v/>
      </c>
      <c r="AS104" s="217"/>
      <c r="AT104" s="210" t="s">
        <v>503</v>
      </c>
      <c r="AU104" s="263"/>
      <c r="AV104" s="217"/>
      <c r="BB104" s="306" t="str">
        <f t="shared" si="7"/>
        <v/>
      </c>
    </row>
    <row r="105" spans="13:54" x14ac:dyDescent="0.25">
      <c r="M105" s="375"/>
      <c r="AB105" s="63" t="str">
        <f t="shared" si="6"/>
        <v/>
      </c>
      <c r="AP105" s="210" t="str">
        <f t="shared" si="8"/>
        <v/>
      </c>
      <c r="AQ105" s="263"/>
      <c r="AR105" s="210" t="str">
        <f t="shared" si="9"/>
        <v/>
      </c>
      <c r="AS105" s="217"/>
      <c r="AT105" s="210" t="s">
        <v>503</v>
      </c>
      <c r="AU105" s="263"/>
      <c r="AV105" s="217"/>
      <c r="BB105" s="306" t="str">
        <f t="shared" si="7"/>
        <v/>
      </c>
    </row>
    <row r="106" spans="13:54" x14ac:dyDescent="0.25">
      <c r="M106" s="375"/>
      <c r="AB106" s="63" t="str">
        <f t="shared" si="6"/>
        <v/>
      </c>
      <c r="AP106" s="210" t="str">
        <f t="shared" si="8"/>
        <v/>
      </c>
      <c r="AQ106" s="263"/>
      <c r="AR106" s="210" t="str">
        <f t="shared" si="9"/>
        <v/>
      </c>
      <c r="AS106" s="217"/>
      <c r="AT106" s="210" t="s">
        <v>503</v>
      </c>
      <c r="AU106" s="263"/>
      <c r="AV106" s="217"/>
      <c r="BB106" s="306" t="str">
        <f t="shared" si="7"/>
        <v/>
      </c>
    </row>
    <row r="107" spans="13:54" x14ac:dyDescent="0.25">
      <c r="M107" s="375"/>
      <c r="AB107" s="63" t="str">
        <f t="shared" si="6"/>
        <v/>
      </c>
      <c r="AP107" s="210" t="str">
        <f t="shared" si="8"/>
        <v/>
      </c>
      <c r="AQ107" s="263"/>
      <c r="AR107" s="210" t="str">
        <f t="shared" si="9"/>
        <v/>
      </c>
      <c r="AS107" s="217"/>
      <c r="AT107" s="210" t="s">
        <v>503</v>
      </c>
      <c r="AU107" s="263"/>
      <c r="AV107" s="217"/>
      <c r="BB107" s="306" t="str">
        <f t="shared" si="7"/>
        <v/>
      </c>
    </row>
    <row r="108" spans="13:54" x14ac:dyDescent="0.25">
      <c r="M108" s="375"/>
      <c r="AB108" s="63" t="str">
        <f t="shared" si="6"/>
        <v/>
      </c>
      <c r="AP108" s="210" t="str">
        <f t="shared" si="8"/>
        <v/>
      </c>
      <c r="AQ108" s="263"/>
      <c r="AR108" s="210" t="str">
        <f t="shared" si="9"/>
        <v/>
      </c>
      <c r="AS108" s="217"/>
      <c r="AT108" s="210" t="s">
        <v>503</v>
      </c>
      <c r="AU108" s="263"/>
      <c r="AV108" s="217"/>
      <c r="BB108" s="306" t="str">
        <f t="shared" si="7"/>
        <v/>
      </c>
    </row>
    <row r="109" spans="13:54" x14ac:dyDescent="0.25">
      <c r="M109" s="375"/>
      <c r="AB109" s="63" t="str">
        <f t="shared" si="6"/>
        <v/>
      </c>
      <c r="AP109" s="210" t="str">
        <f t="shared" si="8"/>
        <v/>
      </c>
      <c r="AQ109" s="263"/>
      <c r="AR109" s="210" t="str">
        <f t="shared" si="9"/>
        <v/>
      </c>
      <c r="AS109" s="217"/>
      <c r="AT109" s="210" t="s">
        <v>503</v>
      </c>
      <c r="AU109" s="263"/>
      <c r="AV109" s="217"/>
      <c r="BB109" s="306" t="str">
        <f t="shared" si="7"/>
        <v/>
      </c>
    </row>
    <row r="110" spans="13:54" x14ac:dyDescent="0.25">
      <c r="M110" s="375"/>
      <c r="AB110" s="63" t="str">
        <f t="shared" si="6"/>
        <v/>
      </c>
      <c r="AP110" s="210" t="str">
        <f t="shared" si="8"/>
        <v/>
      </c>
      <c r="AQ110" s="263"/>
      <c r="AR110" s="210" t="str">
        <f t="shared" si="9"/>
        <v/>
      </c>
      <c r="AS110" s="217"/>
      <c r="AT110" s="210" t="s">
        <v>503</v>
      </c>
      <c r="AU110" s="263"/>
      <c r="AV110" s="217"/>
      <c r="BB110" s="306" t="str">
        <f t="shared" si="7"/>
        <v/>
      </c>
    </row>
    <row r="111" spans="13:54" x14ac:dyDescent="0.25">
      <c r="M111" s="375"/>
      <c r="AB111" s="63" t="str">
        <f t="shared" si="6"/>
        <v/>
      </c>
      <c r="AP111" s="210" t="str">
        <f t="shared" si="8"/>
        <v/>
      </c>
      <c r="AQ111" s="263"/>
      <c r="AR111" s="210" t="str">
        <f t="shared" si="9"/>
        <v/>
      </c>
      <c r="AS111" s="217"/>
      <c r="AT111" s="210" t="s">
        <v>503</v>
      </c>
      <c r="AU111" s="263"/>
      <c r="AV111" s="217"/>
      <c r="BB111" s="306" t="str">
        <f t="shared" si="7"/>
        <v/>
      </c>
    </row>
    <row r="112" spans="13:54" x14ac:dyDescent="0.25">
      <c r="M112" s="375"/>
      <c r="AB112" s="63" t="str">
        <f t="shared" si="6"/>
        <v/>
      </c>
      <c r="AP112" s="210" t="str">
        <f t="shared" si="8"/>
        <v/>
      </c>
      <c r="AQ112" s="263"/>
      <c r="AR112" s="210" t="str">
        <f t="shared" si="9"/>
        <v/>
      </c>
      <c r="AS112" s="217"/>
      <c r="AT112" s="210" t="s">
        <v>503</v>
      </c>
      <c r="AU112" s="263"/>
      <c r="AV112" s="217"/>
      <c r="BB112" s="306" t="str">
        <f t="shared" si="7"/>
        <v/>
      </c>
    </row>
    <row r="113" spans="13:54" x14ac:dyDescent="0.25">
      <c r="M113" s="375"/>
      <c r="AB113" s="63" t="str">
        <f t="shared" si="6"/>
        <v/>
      </c>
      <c r="AP113" s="210" t="str">
        <f t="shared" si="8"/>
        <v/>
      </c>
      <c r="AQ113" s="263"/>
      <c r="AR113" s="210" t="str">
        <f t="shared" si="9"/>
        <v/>
      </c>
      <c r="AS113" s="217"/>
      <c r="AT113" s="210" t="s">
        <v>503</v>
      </c>
      <c r="AU113" s="263"/>
      <c r="AV113" s="217"/>
      <c r="BB113" s="306" t="str">
        <f t="shared" si="7"/>
        <v/>
      </c>
    </row>
    <row r="114" spans="13:54" x14ac:dyDescent="0.25">
      <c r="M114" s="375"/>
      <c r="AB114" s="63" t="str">
        <f t="shared" si="6"/>
        <v/>
      </c>
      <c r="AP114" s="210" t="str">
        <f t="shared" si="8"/>
        <v/>
      </c>
      <c r="AQ114" s="263"/>
      <c r="AR114" s="210" t="str">
        <f t="shared" si="9"/>
        <v/>
      </c>
      <c r="AS114" s="217"/>
      <c r="AT114" s="210" t="s">
        <v>503</v>
      </c>
      <c r="AU114" s="263"/>
      <c r="AV114" s="217"/>
      <c r="BB114" s="306" t="str">
        <f t="shared" si="7"/>
        <v/>
      </c>
    </row>
    <row r="115" spans="13:54" x14ac:dyDescent="0.25">
      <c r="M115" s="375"/>
      <c r="AB115" s="63" t="str">
        <f t="shared" si="6"/>
        <v/>
      </c>
      <c r="AP115" s="210" t="str">
        <f t="shared" si="8"/>
        <v/>
      </c>
      <c r="AQ115" s="263"/>
      <c r="AR115" s="210" t="str">
        <f t="shared" si="9"/>
        <v/>
      </c>
      <c r="AS115" s="217"/>
      <c r="AT115" s="210" t="s">
        <v>503</v>
      </c>
      <c r="AU115" s="263"/>
      <c r="AV115" s="217"/>
      <c r="BB115" s="306" t="str">
        <f t="shared" si="7"/>
        <v/>
      </c>
    </row>
    <row r="116" spans="13:54" x14ac:dyDescent="0.25">
      <c r="M116" s="375"/>
      <c r="AB116" s="63" t="str">
        <f t="shared" si="6"/>
        <v/>
      </c>
      <c r="AP116" s="210" t="str">
        <f t="shared" si="8"/>
        <v/>
      </c>
      <c r="AQ116" s="263"/>
      <c r="AR116" s="210" t="str">
        <f t="shared" si="9"/>
        <v/>
      </c>
      <c r="AS116" s="217"/>
      <c r="AT116" s="210" t="s">
        <v>503</v>
      </c>
      <c r="AU116" s="263"/>
      <c r="AV116" s="217"/>
      <c r="BB116" s="306" t="str">
        <f t="shared" si="7"/>
        <v/>
      </c>
    </row>
    <row r="117" spans="13:54" x14ac:dyDescent="0.25">
      <c r="M117" s="375"/>
      <c r="AB117" s="63" t="str">
        <f t="shared" si="6"/>
        <v/>
      </c>
      <c r="AP117" s="210" t="str">
        <f t="shared" si="8"/>
        <v/>
      </c>
      <c r="AQ117" s="263"/>
      <c r="AR117" s="210" t="str">
        <f t="shared" si="9"/>
        <v/>
      </c>
      <c r="AS117" s="217"/>
      <c r="AT117" s="210" t="s">
        <v>503</v>
      </c>
      <c r="AU117" s="263"/>
      <c r="AV117" s="217"/>
      <c r="BB117" s="306" t="str">
        <f t="shared" si="7"/>
        <v/>
      </c>
    </row>
    <row r="118" spans="13:54" x14ac:dyDescent="0.25">
      <c r="M118" s="375"/>
      <c r="AB118" s="63" t="str">
        <f t="shared" si="6"/>
        <v/>
      </c>
      <c r="AP118" s="210" t="str">
        <f t="shared" si="8"/>
        <v/>
      </c>
      <c r="AQ118" s="263"/>
      <c r="AR118" s="210" t="str">
        <f t="shared" si="9"/>
        <v/>
      </c>
      <c r="AS118" s="217"/>
      <c r="AT118" s="210" t="s">
        <v>503</v>
      </c>
      <c r="AU118" s="263"/>
      <c r="AV118" s="217"/>
      <c r="BB118" s="306" t="str">
        <f t="shared" si="7"/>
        <v/>
      </c>
    </row>
    <row r="119" spans="13:54" x14ac:dyDescent="0.25">
      <c r="M119" s="375"/>
      <c r="AB119" s="63" t="str">
        <f t="shared" si="6"/>
        <v/>
      </c>
      <c r="AP119" s="210" t="str">
        <f t="shared" si="8"/>
        <v/>
      </c>
      <c r="AQ119" s="263"/>
      <c r="AR119" s="210" t="str">
        <f t="shared" si="9"/>
        <v/>
      </c>
      <c r="AS119" s="217"/>
      <c r="AT119" s="210" t="s">
        <v>503</v>
      </c>
      <c r="AU119" s="263"/>
      <c r="AV119" s="217"/>
      <c r="BB119" s="306" t="str">
        <f t="shared" si="7"/>
        <v/>
      </c>
    </row>
    <row r="120" spans="13:54" x14ac:dyDescent="0.25">
      <c r="M120" s="375"/>
      <c r="AB120" s="63" t="str">
        <f t="shared" si="6"/>
        <v/>
      </c>
      <c r="AP120" s="210" t="str">
        <f t="shared" si="8"/>
        <v/>
      </c>
      <c r="AQ120" s="263"/>
      <c r="AR120" s="210" t="str">
        <f t="shared" si="9"/>
        <v/>
      </c>
      <c r="AS120" s="217"/>
      <c r="AT120" s="210" t="s">
        <v>503</v>
      </c>
      <c r="AU120" s="263"/>
      <c r="AV120" s="217"/>
      <c r="BB120" s="306" t="str">
        <f t="shared" si="7"/>
        <v/>
      </c>
    </row>
    <row r="121" spans="13:54" x14ac:dyDescent="0.25">
      <c r="M121" s="375"/>
      <c r="AB121" s="63" t="str">
        <f t="shared" si="6"/>
        <v/>
      </c>
      <c r="AP121" s="210" t="str">
        <f t="shared" si="8"/>
        <v/>
      </c>
      <c r="AQ121" s="263"/>
      <c r="AR121" s="210" t="str">
        <f t="shared" si="9"/>
        <v/>
      </c>
      <c r="AS121" s="217"/>
      <c r="AT121" s="210" t="s">
        <v>503</v>
      </c>
      <c r="AU121" s="263"/>
      <c r="AV121" s="217"/>
      <c r="BB121" s="306" t="str">
        <f t="shared" si="7"/>
        <v/>
      </c>
    </row>
    <row r="122" spans="13:54" x14ac:dyDescent="0.25">
      <c r="M122" s="375"/>
      <c r="AB122" s="63" t="str">
        <f t="shared" si="6"/>
        <v/>
      </c>
      <c r="AP122" s="210" t="str">
        <f t="shared" si="8"/>
        <v/>
      </c>
      <c r="AQ122" s="263"/>
      <c r="AR122" s="210" t="str">
        <f t="shared" si="9"/>
        <v/>
      </c>
      <c r="AS122" s="217"/>
      <c r="AT122" s="210" t="s">
        <v>503</v>
      </c>
      <c r="AU122" s="263"/>
      <c r="AV122" s="217"/>
      <c r="BB122" s="306" t="str">
        <f t="shared" si="7"/>
        <v/>
      </c>
    </row>
    <row r="123" spans="13:54" x14ac:dyDescent="0.25">
      <c r="M123" s="375"/>
      <c r="AB123" s="63" t="str">
        <f t="shared" si="6"/>
        <v/>
      </c>
      <c r="AP123" s="210" t="str">
        <f t="shared" si="8"/>
        <v/>
      </c>
      <c r="AQ123" s="263"/>
      <c r="AR123" s="210" t="str">
        <f t="shared" si="9"/>
        <v/>
      </c>
      <c r="AS123" s="217"/>
      <c r="AT123" s="210" t="s">
        <v>503</v>
      </c>
      <c r="AU123" s="263"/>
      <c r="AV123" s="217"/>
      <c r="BB123" s="306" t="str">
        <f t="shared" si="7"/>
        <v/>
      </c>
    </row>
    <row r="124" spans="13:54" x14ac:dyDescent="0.25">
      <c r="M124" s="375"/>
      <c r="AB124" s="63" t="str">
        <f t="shared" si="6"/>
        <v/>
      </c>
      <c r="AP124" s="210" t="str">
        <f t="shared" si="8"/>
        <v/>
      </c>
      <c r="AQ124" s="263"/>
      <c r="AR124" s="210" t="str">
        <f t="shared" si="9"/>
        <v/>
      </c>
      <c r="AS124" s="217"/>
      <c r="AT124" s="210" t="s">
        <v>503</v>
      </c>
      <c r="AU124" s="263"/>
      <c r="AV124" s="217"/>
      <c r="BB124" s="306" t="str">
        <f t="shared" si="7"/>
        <v/>
      </c>
    </row>
    <row r="125" spans="13:54" x14ac:dyDescent="0.25">
      <c r="M125" s="375"/>
      <c r="AB125" s="63" t="str">
        <f t="shared" si="6"/>
        <v/>
      </c>
      <c r="AP125" s="210" t="str">
        <f t="shared" si="8"/>
        <v/>
      </c>
      <c r="AQ125" s="263"/>
      <c r="AR125" s="210" t="str">
        <f t="shared" si="9"/>
        <v/>
      </c>
      <c r="AS125" s="217"/>
      <c r="AT125" s="210" t="s">
        <v>503</v>
      </c>
      <c r="AU125" s="263"/>
      <c r="AV125" s="217"/>
      <c r="BB125" s="306" t="str">
        <f t="shared" si="7"/>
        <v/>
      </c>
    </row>
    <row r="126" spans="13:54" x14ac:dyDescent="0.25">
      <c r="M126" s="375"/>
      <c r="AB126" s="63" t="str">
        <f t="shared" si="6"/>
        <v/>
      </c>
      <c r="AP126" s="210" t="str">
        <f t="shared" si="8"/>
        <v/>
      </c>
      <c r="AQ126" s="263"/>
      <c r="AR126" s="210" t="str">
        <f t="shared" si="9"/>
        <v/>
      </c>
      <c r="AS126" s="217"/>
      <c r="AT126" s="210" t="s">
        <v>503</v>
      </c>
      <c r="AU126" s="263"/>
      <c r="AV126" s="217"/>
      <c r="BB126" s="306" t="str">
        <f t="shared" si="7"/>
        <v/>
      </c>
    </row>
    <row r="127" spans="13:54" x14ac:dyDescent="0.25">
      <c r="M127" s="375"/>
      <c r="AB127" s="63" t="str">
        <f t="shared" si="6"/>
        <v/>
      </c>
      <c r="AP127" s="210" t="str">
        <f t="shared" si="8"/>
        <v/>
      </c>
      <c r="AQ127" s="263"/>
      <c r="AR127" s="210" t="str">
        <f t="shared" si="9"/>
        <v/>
      </c>
      <c r="AS127" s="217"/>
      <c r="AT127" s="210" t="s">
        <v>503</v>
      </c>
      <c r="AU127" s="263"/>
      <c r="AV127" s="217"/>
      <c r="BB127" s="306" t="str">
        <f t="shared" si="7"/>
        <v/>
      </c>
    </row>
    <row r="128" spans="13:54" x14ac:dyDescent="0.25">
      <c r="M128" s="375"/>
      <c r="AB128" s="63" t="str">
        <f t="shared" si="6"/>
        <v/>
      </c>
      <c r="AP128" s="210" t="str">
        <f t="shared" si="8"/>
        <v/>
      </c>
      <c r="AQ128" s="263"/>
      <c r="AR128" s="210" t="str">
        <f t="shared" si="9"/>
        <v/>
      </c>
      <c r="AS128" s="217"/>
      <c r="AT128" s="210" t="s">
        <v>503</v>
      </c>
      <c r="AU128" s="263"/>
      <c r="AV128" s="217"/>
      <c r="BB128" s="306" t="str">
        <f t="shared" si="7"/>
        <v/>
      </c>
    </row>
    <row r="129" spans="13:54" x14ac:dyDescent="0.25">
      <c r="M129" s="375"/>
      <c r="AB129" s="63" t="str">
        <f t="shared" si="6"/>
        <v/>
      </c>
      <c r="AP129" s="210" t="str">
        <f t="shared" si="8"/>
        <v/>
      </c>
      <c r="AQ129" s="263"/>
      <c r="AR129" s="210" t="str">
        <f t="shared" si="9"/>
        <v/>
      </c>
      <c r="AS129" s="217"/>
      <c r="AT129" s="210" t="s">
        <v>503</v>
      </c>
      <c r="AU129" s="263"/>
      <c r="AV129" s="217"/>
      <c r="BB129" s="306" t="str">
        <f t="shared" si="7"/>
        <v/>
      </c>
    </row>
    <row r="130" spans="13:54" x14ac:dyDescent="0.25">
      <c r="M130" s="375"/>
      <c r="AB130" s="63" t="str">
        <f t="shared" si="6"/>
        <v/>
      </c>
      <c r="AP130" s="210" t="str">
        <f t="shared" si="8"/>
        <v/>
      </c>
      <c r="AQ130" s="263"/>
      <c r="AR130" s="210" t="str">
        <f t="shared" si="9"/>
        <v/>
      </c>
      <c r="AS130" s="217"/>
      <c r="AT130" s="210" t="s">
        <v>503</v>
      </c>
      <c r="AU130" s="263"/>
      <c r="AV130" s="217"/>
      <c r="BB130" s="306" t="str">
        <f t="shared" si="7"/>
        <v/>
      </c>
    </row>
    <row r="131" spans="13:54" x14ac:dyDescent="0.25">
      <c r="M131" s="375"/>
      <c r="AB131" s="63" t="str">
        <f t="shared" si="6"/>
        <v/>
      </c>
      <c r="AP131" s="210" t="str">
        <f t="shared" si="8"/>
        <v/>
      </c>
      <c r="AQ131" s="263"/>
      <c r="AR131" s="210" t="str">
        <f t="shared" si="9"/>
        <v/>
      </c>
      <c r="AS131" s="217"/>
      <c r="AT131" s="210" t="s">
        <v>503</v>
      </c>
      <c r="AU131" s="263"/>
      <c r="AV131" s="217"/>
      <c r="BB131" s="306" t="str">
        <f t="shared" si="7"/>
        <v/>
      </c>
    </row>
    <row r="132" spans="13:54" x14ac:dyDescent="0.25">
      <c r="M132" s="375"/>
      <c r="AB132" s="63" t="str">
        <f t="shared" si="6"/>
        <v/>
      </c>
      <c r="AP132" s="210" t="str">
        <f t="shared" si="8"/>
        <v/>
      </c>
      <c r="AQ132" s="263"/>
      <c r="AR132" s="210" t="str">
        <f t="shared" si="9"/>
        <v/>
      </c>
      <c r="AS132" s="217"/>
      <c r="AT132" s="210" t="s">
        <v>503</v>
      </c>
      <c r="AU132" s="263"/>
      <c r="AV132" s="217"/>
      <c r="BB132" s="306" t="str">
        <f t="shared" si="7"/>
        <v/>
      </c>
    </row>
    <row r="133" spans="13:54" x14ac:dyDescent="0.25">
      <c r="M133" s="375"/>
      <c r="AB133" s="63" t="str">
        <f t="shared" ref="AB133:AB196" si="10">IF(Z133="","",Z133*1)</f>
        <v/>
      </c>
      <c r="AP133" s="210" t="str">
        <f t="shared" si="8"/>
        <v/>
      </c>
      <c r="AQ133" s="263"/>
      <c r="AR133" s="210" t="str">
        <f t="shared" si="9"/>
        <v/>
      </c>
      <c r="AS133" s="217"/>
      <c r="AT133" s="210" t="s">
        <v>503</v>
      </c>
      <c r="AU133" s="263"/>
      <c r="AV133" s="217"/>
      <c r="BB133" s="306" t="str">
        <f t="shared" ref="BB133:BB196" si="11">IF(AQ133="","",LEFT(AQ133,SEARCH(".",AQ133)-1))</f>
        <v/>
      </c>
    </row>
    <row r="134" spans="13:54" x14ac:dyDescent="0.25">
      <c r="M134" s="375"/>
      <c r="AB134" s="63" t="str">
        <f t="shared" si="10"/>
        <v/>
      </c>
      <c r="AP134" s="210" t="str">
        <f t="shared" ref="AP134:AP197" si="12">IF(AQ134="","",AP133+1)</f>
        <v/>
      </c>
      <c r="AQ134" s="263"/>
      <c r="AR134" s="210" t="str">
        <f t="shared" ref="AR134:AR197" si="13">IF(AP134="","",AP134)</f>
        <v/>
      </c>
      <c r="AS134" s="217"/>
      <c r="AT134" s="210" t="s">
        <v>503</v>
      </c>
      <c r="AU134" s="263"/>
      <c r="AV134" s="217"/>
      <c r="BB134" s="306" t="str">
        <f t="shared" si="11"/>
        <v/>
      </c>
    </row>
    <row r="135" spans="13:54" x14ac:dyDescent="0.25">
      <c r="M135" s="375"/>
      <c r="AB135" s="63" t="str">
        <f t="shared" si="10"/>
        <v/>
      </c>
      <c r="AP135" s="210" t="str">
        <f t="shared" si="12"/>
        <v/>
      </c>
      <c r="AQ135" s="263"/>
      <c r="AR135" s="210" t="str">
        <f t="shared" si="13"/>
        <v/>
      </c>
      <c r="AS135" s="217"/>
      <c r="AT135" s="210" t="s">
        <v>503</v>
      </c>
      <c r="AU135" s="263"/>
      <c r="AV135" s="217"/>
      <c r="BB135" s="306" t="str">
        <f t="shared" si="11"/>
        <v/>
      </c>
    </row>
    <row r="136" spans="13:54" x14ac:dyDescent="0.25">
      <c r="M136" s="375"/>
      <c r="AB136" s="63" t="str">
        <f t="shared" si="10"/>
        <v/>
      </c>
      <c r="AP136" s="210" t="str">
        <f t="shared" si="12"/>
        <v/>
      </c>
      <c r="AQ136" s="263"/>
      <c r="AR136" s="210" t="str">
        <f t="shared" si="13"/>
        <v/>
      </c>
      <c r="AS136" s="217"/>
      <c r="AT136" s="210" t="s">
        <v>503</v>
      </c>
      <c r="AU136" s="263"/>
      <c r="AV136" s="217"/>
      <c r="BB136" s="306" t="str">
        <f t="shared" si="11"/>
        <v/>
      </c>
    </row>
    <row r="137" spans="13:54" x14ac:dyDescent="0.25">
      <c r="M137" s="375"/>
      <c r="AB137" s="63" t="str">
        <f t="shared" si="10"/>
        <v/>
      </c>
      <c r="AP137" s="210" t="str">
        <f t="shared" si="12"/>
        <v/>
      </c>
      <c r="AQ137" s="263"/>
      <c r="AR137" s="210" t="str">
        <f t="shared" si="13"/>
        <v/>
      </c>
      <c r="AS137" s="217"/>
      <c r="AT137" s="210" t="s">
        <v>503</v>
      </c>
      <c r="AU137" s="263"/>
      <c r="AV137" s="217"/>
      <c r="BB137" s="306" t="str">
        <f t="shared" si="11"/>
        <v/>
      </c>
    </row>
    <row r="138" spans="13:54" x14ac:dyDescent="0.25">
      <c r="M138" s="375"/>
      <c r="AB138" s="63" t="str">
        <f t="shared" si="10"/>
        <v/>
      </c>
      <c r="AP138" s="210" t="str">
        <f t="shared" si="12"/>
        <v/>
      </c>
      <c r="AQ138" s="263"/>
      <c r="AR138" s="210" t="str">
        <f t="shared" si="13"/>
        <v/>
      </c>
      <c r="AS138" s="217"/>
      <c r="AT138" s="210" t="s">
        <v>503</v>
      </c>
      <c r="AU138" s="263"/>
      <c r="AV138" s="217"/>
      <c r="BB138" s="306" t="str">
        <f t="shared" si="11"/>
        <v/>
      </c>
    </row>
    <row r="139" spans="13:54" x14ac:dyDescent="0.25">
      <c r="M139" s="375"/>
      <c r="AB139" s="63" t="str">
        <f t="shared" si="10"/>
        <v/>
      </c>
      <c r="AP139" s="210" t="str">
        <f t="shared" si="12"/>
        <v/>
      </c>
      <c r="AQ139" s="263"/>
      <c r="AR139" s="210" t="str">
        <f t="shared" si="13"/>
        <v/>
      </c>
      <c r="AS139" s="217"/>
      <c r="AT139" s="210" t="s">
        <v>503</v>
      </c>
      <c r="AU139" s="263"/>
      <c r="AV139" s="217"/>
      <c r="BB139" s="306" t="str">
        <f t="shared" si="11"/>
        <v/>
      </c>
    </row>
    <row r="140" spans="13:54" x14ac:dyDescent="0.25">
      <c r="M140" s="375"/>
      <c r="AB140" s="63" t="str">
        <f t="shared" si="10"/>
        <v/>
      </c>
      <c r="AP140" s="210" t="str">
        <f t="shared" si="12"/>
        <v/>
      </c>
      <c r="AQ140" s="263"/>
      <c r="AR140" s="210" t="str">
        <f t="shared" si="13"/>
        <v/>
      </c>
      <c r="AS140" s="217"/>
      <c r="AT140" s="210" t="s">
        <v>503</v>
      </c>
      <c r="AU140" s="263"/>
      <c r="AV140" s="217"/>
      <c r="BB140" s="306" t="str">
        <f t="shared" si="11"/>
        <v/>
      </c>
    </row>
    <row r="141" spans="13:54" x14ac:dyDescent="0.25">
      <c r="M141" s="375"/>
      <c r="AB141" s="63" t="str">
        <f t="shared" si="10"/>
        <v/>
      </c>
      <c r="AP141" s="210" t="str">
        <f t="shared" si="12"/>
        <v/>
      </c>
      <c r="AQ141" s="263"/>
      <c r="AR141" s="210" t="str">
        <f t="shared" si="13"/>
        <v/>
      </c>
      <c r="AS141" s="217"/>
      <c r="AT141" s="210" t="s">
        <v>503</v>
      </c>
      <c r="AU141" s="263"/>
      <c r="AV141" s="217"/>
      <c r="BB141" s="306" t="str">
        <f t="shared" si="11"/>
        <v/>
      </c>
    </row>
    <row r="142" spans="13:54" x14ac:dyDescent="0.25">
      <c r="M142" s="375"/>
      <c r="AB142" s="63" t="str">
        <f t="shared" si="10"/>
        <v/>
      </c>
      <c r="AP142" s="210" t="str">
        <f t="shared" si="12"/>
        <v/>
      </c>
      <c r="AQ142" s="263"/>
      <c r="AR142" s="210" t="str">
        <f t="shared" si="13"/>
        <v/>
      </c>
      <c r="AS142" s="217"/>
      <c r="AT142" s="210" t="s">
        <v>503</v>
      </c>
      <c r="AU142" s="263"/>
      <c r="AV142" s="217"/>
      <c r="BB142" s="306" t="str">
        <f t="shared" si="11"/>
        <v/>
      </c>
    </row>
    <row r="143" spans="13:54" x14ac:dyDescent="0.25">
      <c r="M143" s="375"/>
      <c r="AB143" s="63" t="str">
        <f t="shared" si="10"/>
        <v/>
      </c>
      <c r="AP143" s="210" t="str">
        <f t="shared" si="12"/>
        <v/>
      </c>
      <c r="AQ143" s="263"/>
      <c r="AR143" s="210" t="str">
        <f t="shared" si="13"/>
        <v/>
      </c>
      <c r="AS143" s="217"/>
      <c r="AT143" s="210" t="s">
        <v>503</v>
      </c>
      <c r="AU143" s="263"/>
      <c r="AV143" s="217"/>
      <c r="BB143" s="306" t="str">
        <f t="shared" si="11"/>
        <v/>
      </c>
    </row>
    <row r="144" spans="13:54" x14ac:dyDescent="0.25">
      <c r="M144" s="375"/>
      <c r="AB144" s="63" t="str">
        <f t="shared" si="10"/>
        <v/>
      </c>
      <c r="AP144" s="210" t="str">
        <f t="shared" si="12"/>
        <v/>
      </c>
      <c r="AQ144" s="263"/>
      <c r="AR144" s="210" t="str">
        <f t="shared" si="13"/>
        <v/>
      </c>
      <c r="AS144" s="217"/>
      <c r="AT144" s="210" t="s">
        <v>503</v>
      </c>
      <c r="AU144" s="263"/>
      <c r="AV144" s="217"/>
      <c r="BB144" s="306" t="str">
        <f t="shared" si="11"/>
        <v/>
      </c>
    </row>
    <row r="145" spans="13:54" x14ac:dyDescent="0.25">
      <c r="M145" s="375"/>
      <c r="AB145" s="63" t="str">
        <f t="shared" si="10"/>
        <v/>
      </c>
      <c r="AP145" s="210" t="str">
        <f t="shared" si="12"/>
        <v/>
      </c>
      <c r="AQ145" s="263"/>
      <c r="AR145" s="210" t="str">
        <f t="shared" si="13"/>
        <v/>
      </c>
      <c r="AS145" s="217"/>
      <c r="AT145" s="210" t="s">
        <v>503</v>
      </c>
      <c r="AU145" s="263"/>
      <c r="AV145" s="217"/>
      <c r="BB145" s="306" t="str">
        <f t="shared" si="11"/>
        <v/>
      </c>
    </row>
    <row r="146" spans="13:54" x14ac:dyDescent="0.25">
      <c r="M146" s="375"/>
      <c r="AB146" s="63" t="str">
        <f t="shared" si="10"/>
        <v/>
      </c>
      <c r="AP146" s="210" t="str">
        <f t="shared" si="12"/>
        <v/>
      </c>
      <c r="AQ146" s="263"/>
      <c r="AR146" s="210" t="str">
        <f t="shared" si="13"/>
        <v/>
      </c>
      <c r="AS146" s="217"/>
      <c r="AT146" s="210" t="s">
        <v>503</v>
      </c>
      <c r="AU146" s="263"/>
      <c r="AV146" s="217"/>
      <c r="BB146" s="306" t="str">
        <f t="shared" si="11"/>
        <v/>
      </c>
    </row>
    <row r="147" spans="13:54" x14ac:dyDescent="0.25">
      <c r="M147" s="375"/>
      <c r="AB147" s="63" t="str">
        <f t="shared" si="10"/>
        <v/>
      </c>
      <c r="AP147" s="210" t="str">
        <f t="shared" si="12"/>
        <v/>
      </c>
      <c r="AQ147" s="263"/>
      <c r="AR147" s="210" t="str">
        <f t="shared" si="13"/>
        <v/>
      </c>
      <c r="AS147" s="217"/>
      <c r="AT147" s="210" t="s">
        <v>503</v>
      </c>
      <c r="AU147" s="263"/>
      <c r="AV147" s="217"/>
      <c r="BB147" s="306" t="str">
        <f t="shared" si="11"/>
        <v/>
      </c>
    </row>
    <row r="148" spans="13:54" x14ac:dyDescent="0.25">
      <c r="M148" s="375"/>
      <c r="AB148" s="63" t="str">
        <f t="shared" si="10"/>
        <v/>
      </c>
      <c r="AP148" s="210" t="str">
        <f t="shared" si="12"/>
        <v/>
      </c>
      <c r="AQ148" s="263"/>
      <c r="AR148" s="210" t="str">
        <f t="shared" si="13"/>
        <v/>
      </c>
      <c r="AS148" s="217"/>
      <c r="AT148" s="210" t="s">
        <v>503</v>
      </c>
      <c r="AU148" s="263"/>
      <c r="AV148" s="217"/>
      <c r="BB148" s="306" t="str">
        <f t="shared" si="11"/>
        <v/>
      </c>
    </row>
    <row r="149" spans="13:54" x14ac:dyDescent="0.25">
      <c r="M149" s="375"/>
      <c r="AB149" s="63" t="str">
        <f t="shared" si="10"/>
        <v/>
      </c>
      <c r="AP149" s="210" t="str">
        <f t="shared" si="12"/>
        <v/>
      </c>
      <c r="AQ149" s="263"/>
      <c r="AR149" s="210" t="str">
        <f t="shared" si="13"/>
        <v/>
      </c>
      <c r="AS149" s="217"/>
      <c r="AT149" s="210" t="s">
        <v>503</v>
      </c>
      <c r="AU149" s="263"/>
      <c r="AV149" s="217"/>
      <c r="BB149" s="306" t="str">
        <f t="shared" si="11"/>
        <v/>
      </c>
    </row>
    <row r="150" spans="13:54" x14ac:dyDescent="0.25">
      <c r="M150" s="375"/>
      <c r="AB150" s="63" t="str">
        <f t="shared" si="10"/>
        <v/>
      </c>
      <c r="AP150" s="210" t="str">
        <f t="shared" si="12"/>
        <v/>
      </c>
      <c r="AQ150" s="263"/>
      <c r="AR150" s="210" t="str">
        <f t="shared" si="13"/>
        <v/>
      </c>
      <c r="AS150" s="217"/>
      <c r="AT150" s="210" t="s">
        <v>503</v>
      </c>
      <c r="AU150" s="263"/>
      <c r="AV150" s="217"/>
      <c r="BB150" s="306" t="str">
        <f t="shared" si="11"/>
        <v/>
      </c>
    </row>
    <row r="151" spans="13:54" x14ac:dyDescent="0.25">
      <c r="M151" s="375"/>
      <c r="AB151" s="63" t="str">
        <f t="shared" si="10"/>
        <v/>
      </c>
      <c r="AP151" s="210" t="str">
        <f t="shared" si="12"/>
        <v/>
      </c>
      <c r="AQ151" s="263"/>
      <c r="AR151" s="210" t="str">
        <f t="shared" si="13"/>
        <v/>
      </c>
      <c r="AS151" s="217"/>
      <c r="AT151" s="210" t="s">
        <v>503</v>
      </c>
      <c r="AU151" s="263"/>
      <c r="AV151" s="217"/>
      <c r="BB151" s="306" t="str">
        <f t="shared" si="11"/>
        <v/>
      </c>
    </row>
    <row r="152" spans="13:54" x14ac:dyDescent="0.25">
      <c r="M152" s="375"/>
      <c r="AB152" s="63" t="str">
        <f t="shared" si="10"/>
        <v/>
      </c>
      <c r="AP152" s="210" t="str">
        <f t="shared" si="12"/>
        <v/>
      </c>
      <c r="AQ152" s="263"/>
      <c r="AR152" s="210" t="str">
        <f t="shared" si="13"/>
        <v/>
      </c>
      <c r="AS152" s="217"/>
      <c r="AT152" s="210" t="s">
        <v>503</v>
      </c>
      <c r="AU152" s="263"/>
      <c r="AV152" s="217"/>
      <c r="BB152" s="306" t="str">
        <f t="shared" si="11"/>
        <v/>
      </c>
    </row>
    <row r="153" spans="13:54" x14ac:dyDescent="0.25">
      <c r="M153" s="375"/>
      <c r="AB153" s="63" t="str">
        <f t="shared" si="10"/>
        <v/>
      </c>
      <c r="AP153" s="210" t="str">
        <f t="shared" si="12"/>
        <v/>
      </c>
      <c r="AQ153" s="263"/>
      <c r="AR153" s="210" t="str">
        <f t="shared" si="13"/>
        <v/>
      </c>
      <c r="AS153" s="217"/>
      <c r="AT153" s="210" t="s">
        <v>503</v>
      </c>
      <c r="AU153" s="263"/>
      <c r="AV153" s="217"/>
      <c r="BB153" s="306" t="str">
        <f t="shared" si="11"/>
        <v/>
      </c>
    </row>
    <row r="154" spans="13:54" x14ac:dyDescent="0.25">
      <c r="M154" s="375"/>
      <c r="AB154" s="63" t="str">
        <f t="shared" si="10"/>
        <v/>
      </c>
      <c r="AP154" s="210" t="str">
        <f t="shared" si="12"/>
        <v/>
      </c>
      <c r="AQ154" s="263"/>
      <c r="AR154" s="210" t="str">
        <f t="shared" si="13"/>
        <v/>
      </c>
      <c r="AS154" s="217"/>
      <c r="AT154" s="210" t="s">
        <v>503</v>
      </c>
      <c r="AU154" s="263"/>
      <c r="AV154" s="217"/>
      <c r="BB154" s="306" t="str">
        <f t="shared" si="11"/>
        <v/>
      </c>
    </row>
    <row r="155" spans="13:54" x14ac:dyDescent="0.25">
      <c r="M155" s="375"/>
      <c r="AB155" s="63" t="str">
        <f t="shared" si="10"/>
        <v/>
      </c>
      <c r="AP155" s="210" t="str">
        <f t="shared" si="12"/>
        <v/>
      </c>
      <c r="AQ155" s="263"/>
      <c r="AR155" s="210" t="str">
        <f t="shared" si="13"/>
        <v/>
      </c>
      <c r="AS155" s="217"/>
      <c r="AT155" s="210" t="s">
        <v>503</v>
      </c>
      <c r="AU155" s="263"/>
      <c r="AV155" s="217"/>
      <c r="BB155" s="306" t="str">
        <f t="shared" si="11"/>
        <v/>
      </c>
    </row>
    <row r="156" spans="13:54" x14ac:dyDescent="0.25">
      <c r="M156" s="375"/>
      <c r="AB156" s="63" t="str">
        <f t="shared" si="10"/>
        <v/>
      </c>
      <c r="AP156" s="210" t="str">
        <f t="shared" si="12"/>
        <v/>
      </c>
      <c r="AQ156" s="263"/>
      <c r="AR156" s="210" t="str">
        <f t="shared" si="13"/>
        <v/>
      </c>
      <c r="AS156" s="217"/>
      <c r="AT156" s="210" t="s">
        <v>503</v>
      </c>
      <c r="AU156" s="263"/>
      <c r="AV156" s="217"/>
      <c r="BB156" s="306" t="str">
        <f t="shared" si="11"/>
        <v/>
      </c>
    </row>
    <row r="157" spans="13:54" x14ac:dyDescent="0.25">
      <c r="M157" s="375"/>
      <c r="AB157" s="63" t="str">
        <f t="shared" si="10"/>
        <v/>
      </c>
      <c r="AP157" s="210" t="str">
        <f t="shared" si="12"/>
        <v/>
      </c>
      <c r="AQ157" s="263"/>
      <c r="AR157" s="210" t="str">
        <f t="shared" si="13"/>
        <v/>
      </c>
      <c r="AS157" s="217"/>
      <c r="AT157" s="210" t="s">
        <v>503</v>
      </c>
      <c r="AU157" s="263"/>
      <c r="AV157" s="217"/>
      <c r="BB157" s="306" t="str">
        <f t="shared" si="11"/>
        <v/>
      </c>
    </row>
    <row r="158" spans="13:54" x14ac:dyDescent="0.25">
      <c r="M158" s="375"/>
      <c r="AB158" s="63" t="str">
        <f t="shared" si="10"/>
        <v/>
      </c>
      <c r="AP158" s="210" t="str">
        <f t="shared" si="12"/>
        <v/>
      </c>
      <c r="AQ158" s="263"/>
      <c r="AR158" s="210" t="str">
        <f t="shared" si="13"/>
        <v/>
      </c>
      <c r="AS158" s="217"/>
      <c r="AT158" s="210" t="s">
        <v>503</v>
      </c>
      <c r="AU158" s="263"/>
      <c r="AV158" s="217"/>
      <c r="BB158" s="306" t="str">
        <f t="shared" si="11"/>
        <v/>
      </c>
    </row>
    <row r="159" spans="13:54" x14ac:dyDescent="0.25">
      <c r="M159" s="375"/>
      <c r="AB159" s="63" t="str">
        <f t="shared" si="10"/>
        <v/>
      </c>
      <c r="AP159" s="210" t="str">
        <f t="shared" si="12"/>
        <v/>
      </c>
      <c r="AQ159" s="263"/>
      <c r="AR159" s="210" t="str">
        <f t="shared" si="13"/>
        <v/>
      </c>
      <c r="AS159" s="217"/>
      <c r="AT159" s="210" t="s">
        <v>503</v>
      </c>
      <c r="AU159" s="263"/>
      <c r="AV159" s="217"/>
      <c r="BB159" s="306" t="str">
        <f t="shared" si="11"/>
        <v/>
      </c>
    </row>
    <row r="160" spans="13:54" x14ac:dyDescent="0.25">
      <c r="M160" s="375"/>
      <c r="AB160" s="63" t="str">
        <f t="shared" si="10"/>
        <v/>
      </c>
      <c r="AP160" s="210" t="str">
        <f t="shared" si="12"/>
        <v/>
      </c>
      <c r="AQ160" s="263"/>
      <c r="AR160" s="210" t="str">
        <f t="shared" si="13"/>
        <v/>
      </c>
      <c r="AS160" s="217"/>
      <c r="AT160" s="210" t="s">
        <v>503</v>
      </c>
      <c r="AU160" s="263"/>
      <c r="AV160" s="217"/>
      <c r="BB160" s="306" t="str">
        <f t="shared" si="11"/>
        <v/>
      </c>
    </row>
    <row r="161" spans="13:54" x14ac:dyDescent="0.25">
      <c r="M161" s="375"/>
      <c r="AB161" s="63" t="str">
        <f t="shared" si="10"/>
        <v/>
      </c>
      <c r="AP161" s="210" t="str">
        <f t="shared" si="12"/>
        <v/>
      </c>
      <c r="AQ161" s="263"/>
      <c r="AR161" s="210" t="str">
        <f t="shared" si="13"/>
        <v/>
      </c>
      <c r="AS161" s="217"/>
      <c r="AT161" s="210" t="s">
        <v>503</v>
      </c>
      <c r="AU161" s="263"/>
      <c r="AV161" s="217"/>
      <c r="BB161" s="306" t="str">
        <f t="shared" si="11"/>
        <v/>
      </c>
    </row>
    <row r="162" spans="13:54" x14ac:dyDescent="0.25">
      <c r="M162" s="375"/>
      <c r="AB162" s="63" t="str">
        <f t="shared" si="10"/>
        <v/>
      </c>
      <c r="AP162" s="210" t="str">
        <f t="shared" si="12"/>
        <v/>
      </c>
      <c r="AQ162" s="263"/>
      <c r="AR162" s="210" t="str">
        <f t="shared" si="13"/>
        <v/>
      </c>
      <c r="AS162" s="217"/>
      <c r="AT162" s="210" t="s">
        <v>503</v>
      </c>
      <c r="AU162" s="263"/>
      <c r="AV162" s="217"/>
      <c r="BB162" s="306" t="str">
        <f t="shared" si="11"/>
        <v/>
      </c>
    </row>
    <row r="163" spans="13:54" x14ac:dyDescent="0.25">
      <c r="M163" s="375"/>
      <c r="AB163" s="63" t="str">
        <f t="shared" si="10"/>
        <v/>
      </c>
      <c r="AP163" s="210" t="str">
        <f t="shared" si="12"/>
        <v/>
      </c>
      <c r="AQ163" s="263"/>
      <c r="AR163" s="210" t="str">
        <f t="shared" si="13"/>
        <v/>
      </c>
      <c r="AS163" s="217"/>
      <c r="AT163" s="210" t="s">
        <v>503</v>
      </c>
      <c r="AU163" s="263"/>
      <c r="AV163" s="217"/>
      <c r="BB163" s="306" t="str">
        <f t="shared" si="11"/>
        <v/>
      </c>
    </row>
    <row r="164" spans="13:54" x14ac:dyDescent="0.25">
      <c r="M164" s="375"/>
      <c r="AB164" s="63" t="str">
        <f t="shared" si="10"/>
        <v/>
      </c>
      <c r="AP164" s="210" t="str">
        <f t="shared" si="12"/>
        <v/>
      </c>
      <c r="AQ164" s="263"/>
      <c r="AR164" s="210" t="str">
        <f t="shared" si="13"/>
        <v/>
      </c>
      <c r="AS164" s="217"/>
      <c r="AT164" s="210" t="s">
        <v>503</v>
      </c>
      <c r="AU164" s="263"/>
      <c r="AV164" s="217"/>
      <c r="BB164" s="306" t="str">
        <f t="shared" si="11"/>
        <v/>
      </c>
    </row>
    <row r="165" spans="13:54" x14ac:dyDescent="0.25">
      <c r="M165" s="375"/>
      <c r="AB165" s="63" t="str">
        <f t="shared" si="10"/>
        <v/>
      </c>
      <c r="AP165" s="210" t="str">
        <f t="shared" si="12"/>
        <v/>
      </c>
      <c r="AQ165" s="263"/>
      <c r="AR165" s="210" t="str">
        <f t="shared" si="13"/>
        <v/>
      </c>
      <c r="AS165" s="217"/>
      <c r="AT165" s="210" t="s">
        <v>503</v>
      </c>
      <c r="AU165" s="263"/>
      <c r="AV165" s="217"/>
      <c r="BB165" s="306" t="str">
        <f t="shared" si="11"/>
        <v/>
      </c>
    </row>
    <row r="166" spans="13:54" x14ac:dyDescent="0.25">
      <c r="M166" s="375"/>
      <c r="AB166" s="63" t="str">
        <f t="shared" si="10"/>
        <v/>
      </c>
      <c r="AP166" s="210" t="str">
        <f t="shared" si="12"/>
        <v/>
      </c>
      <c r="AQ166" s="263"/>
      <c r="AR166" s="210" t="str">
        <f t="shared" si="13"/>
        <v/>
      </c>
      <c r="AS166" s="217"/>
      <c r="AT166" s="210" t="s">
        <v>503</v>
      </c>
      <c r="AU166" s="263"/>
      <c r="AV166" s="217"/>
      <c r="BB166" s="306" t="str">
        <f t="shared" si="11"/>
        <v/>
      </c>
    </row>
    <row r="167" spans="13:54" x14ac:dyDescent="0.25">
      <c r="M167" s="375"/>
      <c r="AB167" s="63" t="str">
        <f t="shared" si="10"/>
        <v/>
      </c>
      <c r="AP167" s="210" t="str">
        <f t="shared" si="12"/>
        <v/>
      </c>
      <c r="AQ167" s="263"/>
      <c r="AR167" s="210" t="str">
        <f t="shared" si="13"/>
        <v/>
      </c>
      <c r="AS167" s="217"/>
      <c r="AT167" s="210" t="s">
        <v>503</v>
      </c>
      <c r="AU167" s="263"/>
      <c r="AV167" s="217"/>
      <c r="BB167" s="306" t="str">
        <f t="shared" si="11"/>
        <v/>
      </c>
    </row>
    <row r="168" spans="13:54" x14ac:dyDescent="0.25">
      <c r="M168" s="375"/>
      <c r="AB168" s="63" t="str">
        <f t="shared" si="10"/>
        <v/>
      </c>
      <c r="AP168" s="210" t="str">
        <f t="shared" si="12"/>
        <v/>
      </c>
      <c r="AQ168" s="263"/>
      <c r="AR168" s="210" t="str">
        <f t="shared" si="13"/>
        <v/>
      </c>
      <c r="AS168" s="217"/>
      <c r="AT168" s="210" t="s">
        <v>503</v>
      </c>
      <c r="AU168" s="263"/>
      <c r="AV168" s="217"/>
      <c r="BB168" s="306" t="str">
        <f t="shared" si="11"/>
        <v/>
      </c>
    </row>
    <row r="169" spans="13:54" x14ac:dyDescent="0.25">
      <c r="M169" s="375"/>
      <c r="AB169" s="63" t="str">
        <f t="shared" si="10"/>
        <v/>
      </c>
      <c r="AP169" s="210" t="str">
        <f t="shared" si="12"/>
        <v/>
      </c>
      <c r="AQ169" s="263"/>
      <c r="AR169" s="210" t="str">
        <f t="shared" si="13"/>
        <v/>
      </c>
      <c r="AS169" s="217"/>
      <c r="AT169" s="210" t="s">
        <v>503</v>
      </c>
      <c r="AU169" s="263"/>
      <c r="AV169" s="217"/>
      <c r="BB169" s="306" t="str">
        <f t="shared" si="11"/>
        <v/>
      </c>
    </row>
    <row r="170" spans="13:54" x14ac:dyDescent="0.25">
      <c r="M170" s="375"/>
      <c r="AB170" s="63" t="str">
        <f t="shared" si="10"/>
        <v/>
      </c>
      <c r="AP170" s="210" t="str">
        <f t="shared" si="12"/>
        <v/>
      </c>
      <c r="AQ170" s="263"/>
      <c r="AR170" s="210" t="str">
        <f t="shared" si="13"/>
        <v/>
      </c>
      <c r="AS170" s="217"/>
      <c r="AT170" s="210" t="s">
        <v>503</v>
      </c>
      <c r="AU170" s="263"/>
      <c r="AV170" s="217"/>
      <c r="BB170" s="306" t="str">
        <f t="shared" si="11"/>
        <v/>
      </c>
    </row>
    <row r="171" spans="13:54" x14ac:dyDescent="0.25">
      <c r="M171" s="375"/>
      <c r="AB171" s="63" t="str">
        <f t="shared" si="10"/>
        <v/>
      </c>
      <c r="AP171" s="210" t="str">
        <f t="shared" si="12"/>
        <v/>
      </c>
      <c r="AQ171" s="263"/>
      <c r="AR171" s="210" t="str">
        <f t="shared" si="13"/>
        <v/>
      </c>
      <c r="AS171" s="217"/>
      <c r="AT171" s="210" t="s">
        <v>503</v>
      </c>
      <c r="AU171" s="263"/>
      <c r="AV171" s="217"/>
      <c r="BB171" s="306" t="str">
        <f t="shared" si="11"/>
        <v/>
      </c>
    </row>
    <row r="172" spans="13:54" x14ac:dyDescent="0.25">
      <c r="M172" s="375"/>
      <c r="AB172" s="63" t="str">
        <f t="shared" si="10"/>
        <v/>
      </c>
      <c r="AP172" s="210" t="str">
        <f t="shared" si="12"/>
        <v/>
      </c>
      <c r="AQ172" s="263"/>
      <c r="AR172" s="210" t="str">
        <f t="shared" si="13"/>
        <v/>
      </c>
      <c r="AS172" s="217"/>
      <c r="AT172" s="210" t="s">
        <v>503</v>
      </c>
      <c r="AU172" s="263"/>
      <c r="AV172" s="217"/>
      <c r="BB172" s="306" t="str">
        <f t="shared" si="11"/>
        <v/>
      </c>
    </row>
    <row r="173" spans="13:54" x14ac:dyDescent="0.25">
      <c r="M173" s="375"/>
      <c r="AB173" s="63" t="str">
        <f t="shared" si="10"/>
        <v/>
      </c>
      <c r="AP173" s="210" t="str">
        <f t="shared" si="12"/>
        <v/>
      </c>
      <c r="AQ173" s="263"/>
      <c r="AR173" s="210" t="str">
        <f t="shared" si="13"/>
        <v/>
      </c>
      <c r="AS173" s="217"/>
      <c r="AT173" s="210" t="s">
        <v>503</v>
      </c>
      <c r="AU173" s="263"/>
      <c r="AV173" s="217"/>
      <c r="BB173" s="306" t="str">
        <f t="shared" si="11"/>
        <v/>
      </c>
    </row>
    <row r="174" spans="13:54" x14ac:dyDescent="0.25">
      <c r="M174" s="375"/>
      <c r="AB174" s="63" t="str">
        <f t="shared" si="10"/>
        <v/>
      </c>
      <c r="AP174" s="210" t="str">
        <f t="shared" si="12"/>
        <v/>
      </c>
      <c r="AQ174" s="263"/>
      <c r="AR174" s="210" t="str">
        <f t="shared" si="13"/>
        <v/>
      </c>
      <c r="AS174" s="217"/>
      <c r="AT174" s="210" t="s">
        <v>503</v>
      </c>
      <c r="AU174" s="263"/>
      <c r="AV174" s="217"/>
      <c r="BB174" s="306" t="str">
        <f t="shared" si="11"/>
        <v/>
      </c>
    </row>
    <row r="175" spans="13:54" x14ac:dyDescent="0.25">
      <c r="M175" s="375"/>
      <c r="AB175" s="63" t="str">
        <f t="shared" si="10"/>
        <v/>
      </c>
      <c r="AP175" s="210" t="str">
        <f t="shared" si="12"/>
        <v/>
      </c>
      <c r="AQ175" s="263"/>
      <c r="AR175" s="210" t="str">
        <f t="shared" si="13"/>
        <v/>
      </c>
      <c r="AS175" s="217"/>
      <c r="AT175" s="210" t="s">
        <v>503</v>
      </c>
      <c r="AU175" s="263"/>
      <c r="AV175" s="217"/>
      <c r="BB175" s="306" t="str">
        <f t="shared" si="11"/>
        <v/>
      </c>
    </row>
    <row r="176" spans="13:54" x14ac:dyDescent="0.25">
      <c r="M176" s="375"/>
      <c r="AB176" s="63" t="str">
        <f t="shared" si="10"/>
        <v/>
      </c>
      <c r="AP176" s="210" t="str">
        <f t="shared" si="12"/>
        <v/>
      </c>
      <c r="AQ176" s="263"/>
      <c r="AR176" s="210" t="str">
        <f t="shared" si="13"/>
        <v/>
      </c>
      <c r="AS176" s="217"/>
      <c r="AT176" s="210" t="s">
        <v>503</v>
      </c>
      <c r="AU176" s="263"/>
      <c r="AV176" s="217"/>
      <c r="BB176" s="306" t="str">
        <f t="shared" si="11"/>
        <v/>
      </c>
    </row>
    <row r="177" spans="13:54" x14ac:dyDescent="0.25">
      <c r="M177" s="375"/>
      <c r="AB177" s="63" t="str">
        <f t="shared" si="10"/>
        <v/>
      </c>
      <c r="AP177" s="210" t="str">
        <f t="shared" si="12"/>
        <v/>
      </c>
      <c r="AQ177" s="263"/>
      <c r="AR177" s="210" t="str">
        <f t="shared" si="13"/>
        <v/>
      </c>
      <c r="AS177" s="217"/>
      <c r="AT177" s="210" t="s">
        <v>503</v>
      </c>
      <c r="AU177" s="263"/>
      <c r="AV177" s="217"/>
      <c r="BB177" s="306" t="str">
        <f t="shared" si="11"/>
        <v/>
      </c>
    </row>
    <row r="178" spans="13:54" x14ac:dyDescent="0.25">
      <c r="M178" s="375"/>
      <c r="AB178" s="63" t="str">
        <f t="shared" si="10"/>
        <v/>
      </c>
      <c r="AP178" s="210" t="str">
        <f t="shared" si="12"/>
        <v/>
      </c>
      <c r="AQ178" s="263"/>
      <c r="AR178" s="210" t="str">
        <f t="shared" si="13"/>
        <v/>
      </c>
      <c r="AS178" s="217"/>
      <c r="AT178" s="210" t="s">
        <v>503</v>
      </c>
      <c r="AU178" s="263"/>
      <c r="AV178" s="217"/>
      <c r="BB178" s="306" t="str">
        <f t="shared" si="11"/>
        <v/>
      </c>
    </row>
    <row r="179" spans="13:54" x14ac:dyDescent="0.25">
      <c r="M179" s="375"/>
      <c r="AB179" s="63" t="str">
        <f t="shared" si="10"/>
        <v/>
      </c>
      <c r="AP179" s="210" t="str">
        <f t="shared" si="12"/>
        <v/>
      </c>
      <c r="AQ179" s="263"/>
      <c r="AR179" s="210" t="str">
        <f t="shared" si="13"/>
        <v/>
      </c>
      <c r="AS179" s="217"/>
      <c r="AT179" s="210" t="s">
        <v>503</v>
      </c>
      <c r="AU179" s="263"/>
      <c r="AV179" s="217"/>
      <c r="BB179" s="306" t="str">
        <f t="shared" si="11"/>
        <v/>
      </c>
    </row>
    <row r="180" spans="13:54" x14ac:dyDescent="0.25">
      <c r="M180" s="375"/>
      <c r="AB180" s="63" t="str">
        <f t="shared" si="10"/>
        <v/>
      </c>
      <c r="AP180" s="210" t="str">
        <f t="shared" si="12"/>
        <v/>
      </c>
      <c r="AQ180" s="263"/>
      <c r="AR180" s="210" t="str">
        <f t="shared" si="13"/>
        <v/>
      </c>
      <c r="AS180" s="217"/>
      <c r="AT180" s="210" t="s">
        <v>503</v>
      </c>
      <c r="AU180" s="263"/>
      <c r="AV180" s="217"/>
      <c r="BB180" s="306" t="str">
        <f t="shared" si="11"/>
        <v/>
      </c>
    </row>
    <row r="181" spans="13:54" x14ac:dyDescent="0.25">
      <c r="M181" s="375"/>
      <c r="AB181" s="63" t="str">
        <f t="shared" si="10"/>
        <v/>
      </c>
      <c r="AP181" s="210" t="str">
        <f t="shared" si="12"/>
        <v/>
      </c>
      <c r="AQ181" s="263"/>
      <c r="AR181" s="210" t="str">
        <f t="shared" si="13"/>
        <v/>
      </c>
      <c r="AS181" s="217"/>
      <c r="AT181" s="210" t="s">
        <v>503</v>
      </c>
      <c r="AU181" s="263"/>
      <c r="AV181" s="217"/>
      <c r="BB181" s="306" t="str">
        <f t="shared" si="11"/>
        <v/>
      </c>
    </row>
    <row r="182" spans="13:54" x14ac:dyDescent="0.25">
      <c r="M182" s="375"/>
      <c r="AB182" s="63" t="str">
        <f t="shared" si="10"/>
        <v/>
      </c>
      <c r="AP182" s="210" t="str">
        <f t="shared" si="12"/>
        <v/>
      </c>
      <c r="AQ182" s="263"/>
      <c r="AR182" s="210" t="str">
        <f t="shared" si="13"/>
        <v/>
      </c>
      <c r="AS182" s="217"/>
      <c r="AT182" s="210" t="s">
        <v>503</v>
      </c>
      <c r="AU182" s="263"/>
      <c r="AV182" s="217"/>
      <c r="BB182" s="306" t="str">
        <f t="shared" si="11"/>
        <v/>
      </c>
    </row>
    <row r="183" spans="13:54" x14ac:dyDescent="0.25">
      <c r="M183" s="375"/>
      <c r="AB183" s="63" t="str">
        <f t="shared" si="10"/>
        <v/>
      </c>
      <c r="AP183" s="210" t="str">
        <f t="shared" si="12"/>
        <v/>
      </c>
      <c r="AQ183" s="263"/>
      <c r="AR183" s="210" t="str">
        <f t="shared" si="13"/>
        <v/>
      </c>
      <c r="AS183" s="217"/>
      <c r="AT183" s="210" t="s">
        <v>503</v>
      </c>
      <c r="AU183" s="263"/>
      <c r="AV183" s="217"/>
      <c r="BB183" s="306" t="str">
        <f t="shared" si="11"/>
        <v/>
      </c>
    </row>
    <row r="184" spans="13:54" x14ac:dyDescent="0.25">
      <c r="M184" s="375"/>
      <c r="AB184" s="63" t="str">
        <f t="shared" si="10"/>
        <v/>
      </c>
      <c r="AP184" s="210" t="str">
        <f t="shared" si="12"/>
        <v/>
      </c>
      <c r="AQ184" s="263"/>
      <c r="AR184" s="210" t="str">
        <f t="shared" si="13"/>
        <v/>
      </c>
      <c r="AS184" s="217"/>
      <c r="AT184" s="210" t="s">
        <v>503</v>
      </c>
      <c r="AU184" s="263"/>
      <c r="AV184" s="217"/>
      <c r="BB184" s="306" t="str">
        <f t="shared" si="11"/>
        <v/>
      </c>
    </row>
    <row r="185" spans="13:54" x14ac:dyDescent="0.25">
      <c r="M185" s="375"/>
      <c r="AB185" s="63" t="str">
        <f t="shared" si="10"/>
        <v/>
      </c>
      <c r="AP185" s="210" t="str">
        <f t="shared" si="12"/>
        <v/>
      </c>
      <c r="AQ185" s="263"/>
      <c r="AR185" s="210" t="str">
        <f t="shared" si="13"/>
        <v/>
      </c>
      <c r="AS185" s="217"/>
      <c r="AT185" s="210" t="s">
        <v>503</v>
      </c>
      <c r="AU185" s="263"/>
      <c r="AV185" s="217"/>
      <c r="BB185" s="306" t="str">
        <f t="shared" si="11"/>
        <v/>
      </c>
    </row>
    <row r="186" spans="13:54" x14ac:dyDescent="0.25">
      <c r="M186" s="375"/>
      <c r="AB186" s="63" t="str">
        <f t="shared" si="10"/>
        <v/>
      </c>
      <c r="AP186" s="210" t="str">
        <f t="shared" si="12"/>
        <v/>
      </c>
      <c r="AQ186" s="263"/>
      <c r="AR186" s="210" t="str">
        <f t="shared" si="13"/>
        <v/>
      </c>
      <c r="AS186" s="217"/>
      <c r="AT186" s="210" t="s">
        <v>503</v>
      </c>
      <c r="AU186" s="263"/>
      <c r="AV186" s="217"/>
      <c r="BB186" s="306" t="str">
        <f t="shared" si="11"/>
        <v/>
      </c>
    </row>
    <row r="187" spans="13:54" x14ac:dyDescent="0.25">
      <c r="M187" s="375"/>
      <c r="AB187" s="63" t="str">
        <f t="shared" si="10"/>
        <v/>
      </c>
      <c r="AP187" s="210" t="str">
        <f t="shared" si="12"/>
        <v/>
      </c>
      <c r="AQ187" s="263"/>
      <c r="AR187" s="210" t="str">
        <f t="shared" si="13"/>
        <v/>
      </c>
      <c r="AS187" s="217"/>
      <c r="AT187" s="210" t="s">
        <v>503</v>
      </c>
      <c r="AU187" s="263"/>
      <c r="AV187" s="217"/>
      <c r="BB187" s="306" t="str">
        <f t="shared" si="11"/>
        <v/>
      </c>
    </row>
    <row r="188" spans="13:54" x14ac:dyDescent="0.25">
      <c r="M188" s="375"/>
      <c r="AB188" s="63" t="str">
        <f t="shared" si="10"/>
        <v/>
      </c>
      <c r="AP188" s="210" t="str">
        <f t="shared" si="12"/>
        <v/>
      </c>
      <c r="AQ188" s="263"/>
      <c r="AR188" s="210" t="str">
        <f t="shared" si="13"/>
        <v/>
      </c>
      <c r="AS188" s="217"/>
      <c r="AT188" s="210" t="s">
        <v>503</v>
      </c>
      <c r="AU188" s="263"/>
      <c r="AV188" s="217"/>
      <c r="BB188" s="306" t="str">
        <f t="shared" si="11"/>
        <v/>
      </c>
    </row>
    <row r="189" spans="13:54" x14ac:dyDescent="0.25">
      <c r="M189" s="375"/>
      <c r="AB189" s="63" t="str">
        <f t="shared" si="10"/>
        <v/>
      </c>
      <c r="AP189" s="210" t="str">
        <f t="shared" si="12"/>
        <v/>
      </c>
      <c r="AQ189" s="263"/>
      <c r="AR189" s="210" t="str">
        <f t="shared" si="13"/>
        <v/>
      </c>
      <c r="AS189" s="217"/>
      <c r="AT189" s="210" t="s">
        <v>503</v>
      </c>
      <c r="AU189" s="263"/>
      <c r="AV189" s="217"/>
      <c r="BB189" s="306" t="str">
        <f t="shared" si="11"/>
        <v/>
      </c>
    </row>
    <row r="190" spans="13:54" x14ac:dyDescent="0.25">
      <c r="M190" s="375"/>
      <c r="AB190" s="63" t="str">
        <f t="shared" si="10"/>
        <v/>
      </c>
      <c r="AP190" s="210" t="str">
        <f t="shared" si="12"/>
        <v/>
      </c>
      <c r="AQ190" s="263"/>
      <c r="AR190" s="210" t="str">
        <f t="shared" si="13"/>
        <v/>
      </c>
      <c r="AS190" s="217"/>
      <c r="AT190" s="210" t="s">
        <v>503</v>
      </c>
      <c r="AU190" s="263"/>
      <c r="AV190" s="217"/>
      <c r="BB190" s="306" t="str">
        <f t="shared" si="11"/>
        <v/>
      </c>
    </row>
    <row r="191" spans="13:54" x14ac:dyDescent="0.25">
      <c r="M191" s="375"/>
      <c r="AB191" s="63" t="str">
        <f t="shared" si="10"/>
        <v/>
      </c>
      <c r="AP191" s="210" t="str">
        <f t="shared" si="12"/>
        <v/>
      </c>
      <c r="AR191" s="210" t="str">
        <f t="shared" si="13"/>
        <v/>
      </c>
      <c r="AT191" s="210" t="s">
        <v>503</v>
      </c>
      <c r="BB191" s="306" t="str">
        <f t="shared" si="11"/>
        <v/>
      </c>
    </row>
    <row r="192" spans="13:54" x14ac:dyDescent="0.25">
      <c r="M192" s="375"/>
      <c r="AB192" s="63" t="str">
        <f t="shared" si="10"/>
        <v/>
      </c>
      <c r="AP192" s="210" t="str">
        <f t="shared" si="12"/>
        <v/>
      </c>
      <c r="AR192" s="210" t="str">
        <f t="shared" si="13"/>
        <v/>
      </c>
      <c r="AT192" s="210" t="s">
        <v>503</v>
      </c>
      <c r="BB192" s="306" t="str">
        <f t="shared" si="11"/>
        <v/>
      </c>
    </row>
    <row r="193" spans="13:54" x14ac:dyDescent="0.25">
      <c r="M193" s="375"/>
      <c r="AB193" s="63" t="str">
        <f t="shared" si="10"/>
        <v/>
      </c>
      <c r="AP193" s="210" t="str">
        <f t="shared" si="12"/>
        <v/>
      </c>
      <c r="AR193" s="210" t="str">
        <f t="shared" si="13"/>
        <v/>
      </c>
      <c r="AT193" s="210" t="s">
        <v>503</v>
      </c>
      <c r="BB193" s="306" t="str">
        <f t="shared" si="11"/>
        <v/>
      </c>
    </row>
    <row r="194" spans="13:54" x14ac:dyDescent="0.25">
      <c r="M194" s="375"/>
      <c r="AB194" s="63" t="str">
        <f t="shared" si="10"/>
        <v/>
      </c>
      <c r="AP194" s="210" t="str">
        <f t="shared" si="12"/>
        <v/>
      </c>
      <c r="AR194" s="210" t="str">
        <f t="shared" si="13"/>
        <v/>
      </c>
      <c r="AT194" s="210" t="s">
        <v>503</v>
      </c>
      <c r="BB194" s="306" t="str">
        <f t="shared" si="11"/>
        <v/>
      </c>
    </row>
    <row r="195" spans="13:54" x14ac:dyDescent="0.25">
      <c r="M195" s="375"/>
      <c r="AB195" s="63" t="str">
        <f t="shared" si="10"/>
        <v/>
      </c>
      <c r="AP195" s="210" t="str">
        <f t="shared" si="12"/>
        <v/>
      </c>
      <c r="AR195" s="210" t="str">
        <f t="shared" si="13"/>
        <v/>
      </c>
      <c r="AT195" s="210" t="s">
        <v>503</v>
      </c>
      <c r="BB195" s="306" t="str">
        <f t="shared" si="11"/>
        <v/>
      </c>
    </row>
    <row r="196" spans="13:54" x14ac:dyDescent="0.25">
      <c r="M196" s="375"/>
      <c r="AB196" s="63" t="str">
        <f t="shared" si="10"/>
        <v/>
      </c>
      <c r="AP196" s="210" t="str">
        <f t="shared" si="12"/>
        <v/>
      </c>
      <c r="AR196" s="210" t="str">
        <f t="shared" si="13"/>
        <v/>
      </c>
      <c r="AT196" s="210" t="s">
        <v>503</v>
      </c>
      <c r="BB196" s="306" t="str">
        <f t="shared" si="11"/>
        <v/>
      </c>
    </row>
    <row r="197" spans="13:54" x14ac:dyDescent="0.25">
      <c r="M197" s="375"/>
      <c r="AB197" s="63" t="str">
        <f t="shared" ref="AB197:AB202" si="14">IF(Z197="","",Z197*1)</f>
        <v/>
      </c>
      <c r="AP197" s="210" t="str">
        <f t="shared" si="12"/>
        <v/>
      </c>
      <c r="AR197" s="210" t="str">
        <f t="shared" si="13"/>
        <v/>
      </c>
      <c r="AT197" s="210" t="s">
        <v>503</v>
      </c>
      <c r="BB197" s="306" t="str">
        <f t="shared" ref="BB197:BB260" si="15">IF(AQ197="","",LEFT(AQ197,SEARCH(".",AQ197)-1))</f>
        <v/>
      </c>
    </row>
    <row r="198" spans="13:54" x14ac:dyDescent="0.25">
      <c r="M198" s="375"/>
      <c r="AB198" s="63" t="str">
        <f t="shared" si="14"/>
        <v/>
      </c>
      <c r="AP198" s="210" t="str">
        <f>IF(AQ198="","",AP197+1)</f>
        <v/>
      </c>
      <c r="AR198" s="210" t="str">
        <f>IF(AP198="","",AP198)</f>
        <v/>
      </c>
      <c r="AT198" s="210" t="s">
        <v>503</v>
      </c>
      <c r="BB198" s="306" t="str">
        <f t="shared" si="15"/>
        <v/>
      </c>
    </row>
    <row r="199" spans="13:54" x14ac:dyDescent="0.25">
      <c r="M199" s="375"/>
      <c r="AB199" s="63" t="str">
        <f t="shared" si="14"/>
        <v/>
      </c>
      <c r="AP199" s="210" t="str">
        <f>IF(AQ199="","",AP198+1)</f>
        <v/>
      </c>
      <c r="AR199" s="210" t="str">
        <f>IF(AP199="","",AP199)</f>
        <v/>
      </c>
      <c r="AT199" s="210" t="s">
        <v>503</v>
      </c>
      <c r="BB199" s="306" t="str">
        <f t="shared" si="15"/>
        <v/>
      </c>
    </row>
    <row r="200" spans="13:54" x14ac:dyDescent="0.25">
      <c r="M200" s="375"/>
      <c r="AB200" s="63" t="str">
        <f t="shared" si="14"/>
        <v/>
      </c>
      <c r="AP200" s="210" t="str">
        <f>IF(AQ200="","",AP199+1)</f>
        <v/>
      </c>
      <c r="AR200" s="210" t="str">
        <f>IF(AP200="","",AP200)</f>
        <v/>
      </c>
      <c r="AT200" s="210" t="s">
        <v>503</v>
      </c>
      <c r="BB200" s="306" t="str">
        <f t="shared" si="15"/>
        <v/>
      </c>
    </row>
    <row r="201" spans="13:54" x14ac:dyDescent="0.25">
      <c r="M201" s="375"/>
      <c r="AB201" s="63" t="str">
        <f t="shared" si="14"/>
        <v/>
      </c>
      <c r="AP201" s="210" t="str">
        <f>IF(AQ201="","",AP200+1)</f>
        <v/>
      </c>
      <c r="AR201" s="210" t="str">
        <f>IF(AS201="","",AR200+1)</f>
        <v/>
      </c>
      <c r="AT201" s="210" t="s">
        <v>503</v>
      </c>
      <c r="BB201" s="306" t="str">
        <f t="shared" si="15"/>
        <v/>
      </c>
    </row>
    <row r="202" spans="13:54" x14ac:dyDescent="0.25">
      <c r="M202" s="375"/>
      <c r="AB202" s="63" t="str">
        <f t="shared" si="14"/>
        <v/>
      </c>
      <c r="BB202" s="306" t="str">
        <f t="shared" si="15"/>
        <v/>
      </c>
    </row>
    <row r="203" spans="13:54" x14ac:dyDescent="0.25">
      <c r="M203" s="375"/>
      <c r="BB203" s="306" t="str">
        <f t="shared" si="15"/>
        <v/>
      </c>
    </row>
    <row r="204" spans="13:54" x14ac:dyDescent="0.25">
      <c r="M204" s="375"/>
      <c r="BB204" s="306" t="str">
        <f t="shared" si="15"/>
        <v/>
      </c>
    </row>
    <row r="205" spans="13:54" x14ac:dyDescent="0.25">
      <c r="M205" s="375"/>
      <c r="BB205" s="306" t="str">
        <f t="shared" si="15"/>
        <v/>
      </c>
    </row>
    <row r="206" spans="13:54" x14ac:dyDescent="0.25">
      <c r="M206" s="375"/>
      <c r="BB206" s="306" t="str">
        <f t="shared" si="15"/>
        <v/>
      </c>
    </row>
    <row r="207" spans="13:54" x14ac:dyDescent="0.25">
      <c r="M207" s="375"/>
      <c r="BB207" s="306" t="str">
        <f t="shared" si="15"/>
        <v/>
      </c>
    </row>
    <row r="208" spans="13:54" x14ac:dyDescent="0.25">
      <c r="M208" s="375"/>
      <c r="BB208" s="306" t="str">
        <f t="shared" si="15"/>
        <v/>
      </c>
    </row>
    <row r="209" spans="13:54" x14ac:dyDescent="0.25">
      <c r="M209" s="375"/>
      <c r="BB209" s="306" t="str">
        <f t="shared" si="15"/>
        <v/>
      </c>
    </row>
    <row r="210" spans="13:54" x14ac:dyDescent="0.25">
      <c r="M210" s="375"/>
      <c r="BB210" s="306" t="str">
        <f t="shared" si="15"/>
        <v/>
      </c>
    </row>
    <row r="211" spans="13:54" x14ac:dyDescent="0.25">
      <c r="M211" s="375"/>
      <c r="BB211" s="306" t="str">
        <f t="shared" si="15"/>
        <v/>
      </c>
    </row>
    <row r="212" spans="13:54" x14ac:dyDescent="0.25">
      <c r="M212" s="375"/>
      <c r="BB212" s="306" t="str">
        <f t="shared" si="15"/>
        <v/>
      </c>
    </row>
    <row r="213" spans="13:54" x14ac:dyDescent="0.25">
      <c r="M213" s="375"/>
      <c r="BB213" s="306" t="str">
        <f t="shared" si="15"/>
        <v/>
      </c>
    </row>
    <row r="214" spans="13:54" x14ac:dyDescent="0.25">
      <c r="M214" s="375"/>
      <c r="BB214" s="306" t="str">
        <f t="shared" si="15"/>
        <v/>
      </c>
    </row>
    <row r="215" spans="13:54" x14ac:dyDescent="0.25">
      <c r="M215" s="375"/>
      <c r="BB215" s="306" t="str">
        <f t="shared" si="15"/>
        <v/>
      </c>
    </row>
    <row r="216" spans="13:54" x14ac:dyDescent="0.25">
      <c r="M216" s="375"/>
      <c r="BB216" s="306" t="str">
        <f t="shared" si="15"/>
        <v/>
      </c>
    </row>
    <row r="217" spans="13:54" x14ac:dyDescent="0.25">
      <c r="M217" s="375"/>
      <c r="BB217" s="306" t="str">
        <f t="shared" si="15"/>
        <v/>
      </c>
    </row>
    <row r="218" spans="13:54" x14ac:dyDescent="0.25">
      <c r="M218" s="375"/>
      <c r="BB218" s="306" t="str">
        <f t="shared" si="15"/>
        <v/>
      </c>
    </row>
    <row r="219" spans="13:54" x14ac:dyDescent="0.25">
      <c r="M219" s="375"/>
      <c r="BB219" s="306" t="str">
        <f t="shared" si="15"/>
        <v/>
      </c>
    </row>
    <row r="220" spans="13:54" x14ac:dyDescent="0.25">
      <c r="M220" s="375"/>
      <c r="BB220" s="306" t="str">
        <f t="shared" si="15"/>
        <v/>
      </c>
    </row>
    <row r="221" spans="13:54" x14ac:dyDescent="0.25">
      <c r="M221" s="375"/>
      <c r="BB221" s="306" t="str">
        <f t="shared" si="15"/>
        <v/>
      </c>
    </row>
    <row r="222" spans="13:54" x14ac:dyDescent="0.25">
      <c r="M222" s="375"/>
      <c r="BB222" s="306" t="str">
        <f t="shared" si="15"/>
        <v/>
      </c>
    </row>
    <row r="223" spans="13:54" x14ac:dyDescent="0.25">
      <c r="M223" s="375"/>
      <c r="BB223" s="306" t="str">
        <f t="shared" si="15"/>
        <v/>
      </c>
    </row>
    <row r="224" spans="13:54" x14ac:dyDescent="0.25">
      <c r="M224" s="375"/>
      <c r="BB224" s="306" t="str">
        <f t="shared" si="15"/>
        <v/>
      </c>
    </row>
    <row r="225" spans="13:54" x14ac:dyDescent="0.25">
      <c r="M225" s="375"/>
      <c r="BB225" s="306" t="str">
        <f t="shared" si="15"/>
        <v/>
      </c>
    </row>
    <row r="226" spans="13:54" x14ac:dyDescent="0.25">
      <c r="M226" s="375"/>
      <c r="BB226" s="306" t="str">
        <f t="shared" si="15"/>
        <v/>
      </c>
    </row>
    <row r="227" spans="13:54" x14ac:dyDescent="0.25">
      <c r="M227" s="375"/>
      <c r="BB227" s="306" t="str">
        <f t="shared" si="15"/>
        <v/>
      </c>
    </row>
    <row r="228" spans="13:54" x14ac:dyDescent="0.25">
      <c r="M228" s="375"/>
      <c r="BB228" s="306" t="str">
        <f t="shared" si="15"/>
        <v/>
      </c>
    </row>
    <row r="229" spans="13:54" x14ac:dyDescent="0.25">
      <c r="M229" s="375"/>
      <c r="BB229" s="306" t="str">
        <f t="shared" si="15"/>
        <v/>
      </c>
    </row>
    <row r="230" spans="13:54" x14ac:dyDescent="0.25">
      <c r="M230" s="375"/>
      <c r="BB230" s="306" t="str">
        <f t="shared" si="15"/>
        <v/>
      </c>
    </row>
    <row r="231" spans="13:54" x14ac:dyDescent="0.25">
      <c r="M231" s="375"/>
      <c r="BB231" s="306" t="str">
        <f t="shared" si="15"/>
        <v/>
      </c>
    </row>
    <row r="232" spans="13:54" x14ac:dyDescent="0.25">
      <c r="M232" s="375"/>
      <c r="BB232" s="306" t="str">
        <f t="shared" si="15"/>
        <v/>
      </c>
    </row>
    <row r="233" spans="13:54" x14ac:dyDescent="0.25">
      <c r="M233" s="375"/>
      <c r="BB233" s="306" t="str">
        <f t="shared" si="15"/>
        <v/>
      </c>
    </row>
    <row r="234" spans="13:54" x14ac:dyDescent="0.25">
      <c r="M234" s="375"/>
      <c r="BB234" s="306" t="str">
        <f t="shared" si="15"/>
        <v/>
      </c>
    </row>
    <row r="235" spans="13:54" x14ac:dyDescent="0.25">
      <c r="M235" s="375"/>
      <c r="BB235" s="306" t="str">
        <f t="shared" si="15"/>
        <v/>
      </c>
    </row>
    <row r="236" spans="13:54" x14ac:dyDescent="0.25">
      <c r="M236" s="375"/>
      <c r="BB236" s="306" t="str">
        <f t="shared" si="15"/>
        <v/>
      </c>
    </row>
    <row r="237" spans="13:54" x14ac:dyDescent="0.25">
      <c r="M237" s="375"/>
      <c r="BB237" s="306" t="str">
        <f t="shared" si="15"/>
        <v/>
      </c>
    </row>
    <row r="238" spans="13:54" x14ac:dyDescent="0.25">
      <c r="M238" s="375"/>
      <c r="BB238" s="306" t="str">
        <f t="shared" si="15"/>
        <v/>
      </c>
    </row>
    <row r="239" spans="13:54" x14ac:dyDescent="0.25">
      <c r="M239" s="375"/>
      <c r="BB239" s="306" t="str">
        <f t="shared" si="15"/>
        <v/>
      </c>
    </row>
    <row r="240" spans="13:54" x14ac:dyDescent="0.25">
      <c r="M240" s="375"/>
      <c r="BB240" s="306" t="str">
        <f t="shared" si="15"/>
        <v/>
      </c>
    </row>
    <row r="241" spans="13:54" x14ac:dyDescent="0.25">
      <c r="M241" s="375"/>
      <c r="BB241" s="306" t="str">
        <f t="shared" si="15"/>
        <v/>
      </c>
    </row>
    <row r="242" spans="13:54" x14ac:dyDescent="0.25">
      <c r="M242" s="375"/>
      <c r="BB242" s="306" t="str">
        <f t="shared" si="15"/>
        <v/>
      </c>
    </row>
    <row r="243" spans="13:54" x14ac:dyDescent="0.25">
      <c r="M243" s="375"/>
      <c r="BB243" s="306" t="str">
        <f t="shared" si="15"/>
        <v/>
      </c>
    </row>
    <row r="244" spans="13:54" x14ac:dyDescent="0.25">
      <c r="M244" s="375"/>
      <c r="BB244" s="306" t="str">
        <f t="shared" si="15"/>
        <v/>
      </c>
    </row>
    <row r="245" spans="13:54" x14ac:dyDescent="0.25">
      <c r="M245" s="375"/>
      <c r="BB245" s="306" t="str">
        <f t="shared" si="15"/>
        <v/>
      </c>
    </row>
    <row r="246" spans="13:54" x14ac:dyDescent="0.25">
      <c r="M246" s="375"/>
      <c r="BB246" s="306" t="str">
        <f t="shared" si="15"/>
        <v/>
      </c>
    </row>
    <row r="247" spans="13:54" x14ac:dyDescent="0.25">
      <c r="M247" s="375"/>
      <c r="BB247" s="306" t="str">
        <f t="shared" si="15"/>
        <v/>
      </c>
    </row>
    <row r="248" spans="13:54" x14ac:dyDescent="0.25">
      <c r="M248" s="375"/>
      <c r="BB248" s="306" t="str">
        <f t="shared" si="15"/>
        <v/>
      </c>
    </row>
    <row r="249" spans="13:54" x14ac:dyDescent="0.25">
      <c r="M249" s="375"/>
      <c r="BB249" s="306" t="str">
        <f t="shared" si="15"/>
        <v/>
      </c>
    </row>
    <row r="250" spans="13:54" x14ac:dyDescent="0.25">
      <c r="M250" s="375"/>
      <c r="BB250" s="306" t="str">
        <f t="shared" si="15"/>
        <v/>
      </c>
    </row>
    <row r="251" spans="13:54" x14ac:dyDescent="0.25">
      <c r="M251" s="375"/>
      <c r="BB251" s="306" t="str">
        <f t="shared" si="15"/>
        <v/>
      </c>
    </row>
    <row r="252" spans="13:54" x14ac:dyDescent="0.25">
      <c r="M252" s="375"/>
      <c r="BB252" s="306" t="str">
        <f t="shared" si="15"/>
        <v/>
      </c>
    </row>
    <row r="253" spans="13:54" x14ac:dyDescent="0.25">
      <c r="M253" s="375"/>
      <c r="BB253" s="306" t="str">
        <f t="shared" si="15"/>
        <v/>
      </c>
    </row>
    <row r="254" spans="13:54" x14ac:dyDescent="0.25">
      <c r="M254" s="375"/>
      <c r="BB254" s="306" t="str">
        <f t="shared" si="15"/>
        <v/>
      </c>
    </row>
    <row r="255" spans="13:54" x14ac:dyDescent="0.25">
      <c r="M255" s="375"/>
      <c r="BB255" s="306" t="str">
        <f t="shared" si="15"/>
        <v/>
      </c>
    </row>
    <row r="256" spans="13:54" x14ac:dyDescent="0.25">
      <c r="M256" s="375"/>
      <c r="BB256" s="306" t="str">
        <f t="shared" si="15"/>
        <v/>
      </c>
    </row>
    <row r="257" spans="13:54" x14ac:dyDescent="0.25">
      <c r="M257" s="375"/>
      <c r="BB257" s="306" t="str">
        <f t="shared" si="15"/>
        <v/>
      </c>
    </row>
    <row r="258" spans="13:54" x14ac:dyDescent="0.25">
      <c r="M258" s="375"/>
      <c r="BB258" s="306" t="str">
        <f t="shared" si="15"/>
        <v/>
      </c>
    </row>
    <row r="259" spans="13:54" x14ac:dyDescent="0.25">
      <c r="M259" s="375"/>
      <c r="BB259" s="306" t="str">
        <f t="shared" si="15"/>
        <v/>
      </c>
    </row>
    <row r="260" spans="13:54" x14ac:dyDescent="0.25">
      <c r="M260" s="375"/>
      <c r="BB260" s="306" t="str">
        <f t="shared" si="15"/>
        <v/>
      </c>
    </row>
    <row r="261" spans="13:54" x14ac:dyDescent="0.25">
      <c r="M261" s="375"/>
      <c r="BB261" s="306" t="str">
        <f t="shared" ref="BB261:BB324" si="16">IF(AQ261="","",LEFT(AQ261,SEARCH(".",AQ261)-1))</f>
        <v/>
      </c>
    </row>
    <row r="262" spans="13:54" x14ac:dyDescent="0.25">
      <c r="M262" s="375"/>
      <c r="BB262" s="306" t="str">
        <f t="shared" si="16"/>
        <v/>
      </c>
    </row>
    <row r="263" spans="13:54" x14ac:dyDescent="0.25">
      <c r="M263" s="375"/>
      <c r="BB263" s="306" t="str">
        <f t="shared" si="16"/>
        <v/>
      </c>
    </row>
    <row r="264" spans="13:54" x14ac:dyDescent="0.25">
      <c r="M264" s="375"/>
      <c r="BB264" s="306" t="str">
        <f t="shared" si="16"/>
        <v/>
      </c>
    </row>
    <row r="265" spans="13:54" x14ac:dyDescent="0.25">
      <c r="M265" s="375"/>
      <c r="BB265" s="306" t="str">
        <f t="shared" si="16"/>
        <v/>
      </c>
    </row>
    <row r="266" spans="13:54" x14ac:dyDescent="0.25">
      <c r="M266" s="375"/>
      <c r="BB266" s="306" t="str">
        <f t="shared" si="16"/>
        <v/>
      </c>
    </row>
    <row r="267" spans="13:54" x14ac:dyDescent="0.25">
      <c r="M267" s="375"/>
      <c r="BB267" s="306" t="str">
        <f t="shared" si="16"/>
        <v/>
      </c>
    </row>
    <row r="268" spans="13:54" x14ac:dyDescent="0.25">
      <c r="M268" s="375"/>
      <c r="BB268" s="306" t="str">
        <f t="shared" si="16"/>
        <v/>
      </c>
    </row>
    <row r="269" spans="13:54" x14ac:dyDescent="0.25">
      <c r="M269" s="375"/>
      <c r="BB269" s="306" t="str">
        <f t="shared" si="16"/>
        <v/>
      </c>
    </row>
    <row r="270" spans="13:54" x14ac:dyDescent="0.25">
      <c r="M270" s="375"/>
      <c r="BB270" s="306" t="str">
        <f t="shared" si="16"/>
        <v/>
      </c>
    </row>
    <row r="271" spans="13:54" x14ac:dyDescent="0.25">
      <c r="M271" s="375"/>
      <c r="BB271" s="306" t="str">
        <f t="shared" si="16"/>
        <v/>
      </c>
    </row>
    <row r="272" spans="13:54" x14ac:dyDescent="0.25">
      <c r="M272" s="375"/>
      <c r="BB272" s="306" t="str">
        <f t="shared" si="16"/>
        <v/>
      </c>
    </row>
    <row r="273" spans="13:54" x14ac:dyDescent="0.25">
      <c r="M273" s="375"/>
      <c r="BB273" s="306" t="str">
        <f t="shared" si="16"/>
        <v/>
      </c>
    </row>
    <row r="274" spans="13:54" x14ac:dyDescent="0.25">
      <c r="M274" s="375"/>
      <c r="BB274" s="306" t="str">
        <f t="shared" si="16"/>
        <v/>
      </c>
    </row>
    <row r="275" spans="13:54" x14ac:dyDescent="0.25">
      <c r="M275" s="375"/>
      <c r="BB275" s="306" t="str">
        <f t="shared" si="16"/>
        <v/>
      </c>
    </row>
    <row r="276" spans="13:54" x14ac:dyDescent="0.25">
      <c r="M276" s="375"/>
      <c r="BB276" s="306" t="str">
        <f t="shared" si="16"/>
        <v/>
      </c>
    </row>
    <row r="277" spans="13:54" x14ac:dyDescent="0.25">
      <c r="M277" s="375"/>
      <c r="BB277" s="306" t="str">
        <f t="shared" si="16"/>
        <v/>
      </c>
    </row>
    <row r="278" spans="13:54" x14ac:dyDescent="0.25">
      <c r="M278" s="375"/>
      <c r="BB278" s="306" t="str">
        <f t="shared" si="16"/>
        <v/>
      </c>
    </row>
    <row r="279" spans="13:54" x14ac:dyDescent="0.25">
      <c r="M279" s="375"/>
      <c r="BB279" s="306" t="str">
        <f t="shared" si="16"/>
        <v/>
      </c>
    </row>
    <row r="280" spans="13:54" x14ac:dyDescent="0.25">
      <c r="M280" s="375"/>
      <c r="BB280" s="306" t="str">
        <f t="shared" si="16"/>
        <v/>
      </c>
    </row>
    <row r="281" spans="13:54" x14ac:dyDescent="0.25">
      <c r="M281" s="375"/>
      <c r="BB281" s="306" t="str">
        <f t="shared" si="16"/>
        <v/>
      </c>
    </row>
    <row r="282" spans="13:54" x14ac:dyDescent="0.25">
      <c r="M282" s="375"/>
      <c r="BB282" s="306" t="str">
        <f t="shared" si="16"/>
        <v/>
      </c>
    </row>
    <row r="283" spans="13:54" x14ac:dyDescent="0.25">
      <c r="M283" s="375"/>
      <c r="BB283" s="306" t="str">
        <f t="shared" si="16"/>
        <v/>
      </c>
    </row>
    <row r="284" spans="13:54" x14ac:dyDescent="0.25">
      <c r="M284" s="375"/>
      <c r="BB284" s="306" t="str">
        <f t="shared" si="16"/>
        <v/>
      </c>
    </row>
    <row r="285" spans="13:54" x14ac:dyDescent="0.25">
      <c r="M285" s="375"/>
      <c r="BB285" s="306" t="str">
        <f t="shared" si="16"/>
        <v/>
      </c>
    </row>
    <row r="286" spans="13:54" x14ac:dyDescent="0.25">
      <c r="M286" s="375"/>
      <c r="BB286" s="306" t="str">
        <f t="shared" si="16"/>
        <v/>
      </c>
    </row>
    <row r="287" spans="13:54" x14ac:dyDescent="0.25">
      <c r="M287" s="375"/>
      <c r="BB287" s="306" t="str">
        <f t="shared" si="16"/>
        <v/>
      </c>
    </row>
    <row r="288" spans="13:54" x14ac:dyDescent="0.25">
      <c r="M288" s="375"/>
      <c r="BB288" s="306" t="str">
        <f t="shared" si="16"/>
        <v/>
      </c>
    </row>
    <row r="289" spans="13:54" x14ac:dyDescent="0.25">
      <c r="M289" s="375"/>
      <c r="BB289" s="306" t="str">
        <f t="shared" si="16"/>
        <v/>
      </c>
    </row>
    <row r="290" spans="13:54" x14ac:dyDescent="0.25">
      <c r="M290" s="375"/>
      <c r="BB290" s="306" t="str">
        <f t="shared" si="16"/>
        <v/>
      </c>
    </row>
    <row r="291" spans="13:54" x14ac:dyDescent="0.25">
      <c r="M291" s="375"/>
      <c r="BB291" s="306" t="str">
        <f t="shared" si="16"/>
        <v/>
      </c>
    </row>
    <row r="292" spans="13:54" x14ac:dyDescent="0.25">
      <c r="M292" s="375"/>
      <c r="BB292" s="306" t="str">
        <f t="shared" si="16"/>
        <v/>
      </c>
    </row>
    <row r="293" spans="13:54" x14ac:dyDescent="0.25">
      <c r="M293" s="375"/>
      <c r="BB293" s="306" t="str">
        <f t="shared" si="16"/>
        <v/>
      </c>
    </row>
    <row r="294" spans="13:54" x14ac:dyDescent="0.25">
      <c r="M294" s="375"/>
      <c r="BB294" s="306" t="str">
        <f t="shared" si="16"/>
        <v/>
      </c>
    </row>
    <row r="295" spans="13:54" x14ac:dyDescent="0.25">
      <c r="M295" s="375"/>
      <c r="BB295" s="306" t="str">
        <f t="shared" si="16"/>
        <v/>
      </c>
    </row>
    <row r="296" spans="13:54" x14ac:dyDescent="0.25">
      <c r="M296" s="375"/>
      <c r="BB296" s="306" t="str">
        <f t="shared" si="16"/>
        <v/>
      </c>
    </row>
    <row r="297" spans="13:54" x14ac:dyDescent="0.25">
      <c r="M297" s="375"/>
      <c r="BB297" s="306" t="str">
        <f t="shared" si="16"/>
        <v/>
      </c>
    </row>
    <row r="298" spans="13:54" x14ac:dyDescent="0.25">
      <c r="M298" s="375"/>
      <c r="BB298" s="306" t="str">
        <f t="shared" si="16"/>
        <v/>
      </c>
    </row>
    <row r="299" spans="13:54" x14ac:dyDescent="0.25">
      <c r="M299" s="375"/>
      <c r="BB299" s="306" t="str">
        <f t="shared" si="16"/>
        <v/>
      </c>
    </row>
    <row r="300" spans="13:54" x14ac:dyDescent="0.25">
      <c r="M300" s="375"/>
      <c r="BB300" s="306" t="str">
        <f t="shared" si="16"/>
        <v/>
      </c>
    </row>
    <row r="301" spans="13:54" x14ac:dyDescent="0.25">
      <c r="M301" s="375"/>
      <c r="BB301" s="306" t="str">
        <f t="shared" si="16"/>
        <v/>
      </c>
    </row>
    <row r="302" spans="13:54" x14ac:dyDescent="0.25">
      <c r="M302" s="375"/>
      <c r="BB302" s="306" t="str">
        <f t="shared" si="16"/>
        <v/>
      </c>
    </row>
    <row r="303" spans="13:54" x14ac:dyDescent="0.25">
      <c r="M303" s="375"/>
      <c r="BB303" s="306" t="str">
        <f t="shared" si="16"/>
        <v/>
      </c>
    </row>
    <row r="304" spans="13:54" x14ac:dyDescent="0.25">
      <c r="M304" s="375"/>
      <c r="BB304" s="306" t="str">
        <f t="shared" si="16"/>
        <v/>
      </c>
    </row>
    <row r="305" spans="13:54" x14ac:dyDescent="0.25">
      <c r="M305" s="375"/>
      <c r="BB305" s="306" t="str">
        <f t="shared" si="16"/>
        <v/>
      </c>
    </row>
    <row r="306" spans="13:54" x14ac:dyDescent="0.25">
      <c r="M306" s="375"/>
      <c r="BB306" s="306" t="str">
        <f t="shared" si="16"/>
        <v/>
      </c>
    </row>
    <row r="307" spans="13:54" x14ac:dyDescent="0.25">
      <c r="M307" s="375"/>
      <c r="BB307" s="306" t="str">
        <f t="shared" si="16"/>
        <v/>
      </c>
    </row>
    <row r="308" spans="13:54" x14ac:dyDescent="0.25">
      <c r="M308" s="375"/>
      <c r="BB308" s="306" t="str">
        <f t="shared" si="16"/>
        <v/>
      </c>
    </row>
    <row r="309" spans="13:54" x14ac:dyDescent="0.25">
      <c r="M309" s="375"/>
      <c r="BB309" s="306" t="str">
        <f t="shared" si="16"/>
        <v/>
      </c>
    </row>
    <row r="310" spans="13:54" x14ac:dyDescent="0.25">
      <c r="M310" s="375"/>
      <c r="BB310" s="306" t="str">
        <f t="shared" si="16"/>
        <v/>
      </c>
    </row>
    <row r="311" spans="13:54" x14ac:dyDescent="0.25">
      <c r="M311" s="375"/>
      <c r="BB311" s="306" t="str">
        <f t="shared" si="16"/>
        <v/>
      </c>
    </row>
    <row r="312" spans="13:54" x14ac:dyDescent="0.25">
      <c r="M312" s="375"/>
      <c r="BB312" s="306" t="str">
        <f t="shared" si="16"/>
        <v/>
      </c>
    </row>
    <row r="313" spans="13:54" x14ac:dyDescent="0.25">
      <c r="M313" s="375"/>
      <c r="BB313" s="306" t="str">
        <f t="shared" si="16"/>
        <v/>
      </c>
    </row>
    <row r="314" spans="13:54" x14ac:dyDescent="0.25">
      <c r="M314" s="375"/>
      <c r="BB314" s="306" t="str">
        <f t="shared" si="16"/>
        <v/>
      </c>
    </row>
    <row r="315" spans="13:54" x14ac:dyDescent="0.25">
      <c r="M315" s="375"/>
      <c r="BB315" s="306" t="str">
        <f t="shared" si="16"/>
        <v/>
      </c>
    </row>
    <row r="316" spans="13:54" x14ac:dyDescent="0.25">
      <c r="M316" s="375"/>
      <c r="BB316" s="306" t="str">
        <f t="shared" si="16"/>
        <v/>
      </c>
    </row>
    <row r="317" spans="13:54" x14ac:dyDescent="0.25">
      <c r="M317" s="375"/>
      <c r="BB317" s="306" t="str">
        <f t="shared" si="16"/>
        <v/>
      </c>
    </row>
    <row r="318" spans="13:54" x14ac:dyDescent="0.25">
      <c r="M318" s="375"/>
      <c r="BB318" s="306" t="str">
        <f t="shared" si="16"/>
        <v/>
      </c>
    </row>
    <row r="319" spans="13:54" x14ac:dyDescent="0.25">
      <c r="M319" s="375"/>
      <c r="BB319" s="306" t="str">
        <f t="shared" si="16"/>
        <v/>
      </c>
    </row>
    <row r="320" spans="13:54" x14ac:dyDescent="0.25">
      <c r="M320" s="375"/>
      <c r="BB320" s="306" t="str">
        <f t="shared" si="16"/>
        <v/>
      </c>
    </row>
    <row r="321" spans="13:54" x14ac:dyDescent="0.25">
      <c r="M321" s="375"/>
      <c r="BB321" s="306" t="str">
        <f t="shared" si="16"/>
        <v/>
      </c>
    </row>
    <row r="322" spans="13:54" x14ac:dyDescent="0.25">
      <c r="M322" s="375"/>
      <c r="BB322" s="306" t="str">
        <f t="shared" si="16"/>
        <v/>
      </c>
    </row>
    <row r="323" spans="13:54" x14ac:dyDescent="0.25">
      <c r="M323" s="375"/>
      <c r="BB323" s="306" t="str">
        <f t="shared" si="16"/>
        <v/>
      </c>
    </row>
    <row r="324" spans="13:54" x14ac:dyDescent="0.25">
      <c r="M324" s="375"/>
      <c r="BB324" s="306" t="str">
        <f t="shared" si="16"/>
        <v/>
      </c>
    </row>
    <row r="325" spans="13:54" x14ac:dyDescent="0.25">
      <c r="M325" s="375"/>
      <c r="BB325" s="306" t="str">
        <f t="shared" ref="BB325:BB388" si="17">IF(AQ325="","",LEFT(AQ325,SEARCH(".",AQ325)-1))</f>
        <v/>
      </c>
    </row>
    <row r="326" spans="13:54" x14ac:dyDescent="0.25">
      <c r="M326" s="375"/>
      <c r="BB326" s="306" t="str">
        <f t="shared" si="17"/>
        <v/>
      </c>
    </row>
    <row r="327" spans="13:54" x14ac:dyDescent="0.25">
      <c r="M327" s="375"/>
      <c r="BB327" s="306" t="str">
        <f t="shared" si="17"/>
        <v/>
      </c>
    </row>
    <row r="328" spans="13:54" x14ac:dyDescent="0.25">
      <c r="M328" s="375"/>
      <c r="BB328" s="306" t="str">
        <f t="shared" si="17"/>
        <v/>
      </c>
    </row>
    <row r="329" spans="13:54" x14ac:dyDescent="0.25">
      <c r="M329" s="375"/>
      <c r="BB329" s="306" t="str">
        <f t="shared" si="17"/>
        <v/>
      </c>
    </row>
    <row r="330" spans="13:54" x14ac:dyDescent="0.25">
      <c r="M330" s="375"/>
      <c r="BB330" s="306" t="str">
        <f t="shared" si="17"/>
        <v/>
      </c>
    </row>
    <row r="331" spans="13:54" x14ac:dyDescent="0.25">
      <c r="M331" s="375"/>
      <c r="BB331" s="306" t="str">
        <f t="shared" si="17"/>
        <v/>
      </c>
    </row>
    <row r="332" spans="13:54" x14ac:dyDescent="0.25">
      <c r="M332" s="375"/>
      <c r="BB332" s="306" t="str">
        <f t="shared" si="17"/>
        <v/>
      </c>
    </row>
    <row r="333" spans="13:54" x14ac:dyDescent="0.25">
      <c r="M333" s="375"/>
      <c r="BB333" s="306" t="str">
        <f t="shared" si="17"/>
        <v/>
      </c>
    </row>
    <row r="334" spans="13:54" x14ac:dyDescent="0.25">
      <c r="M334" s="375"/>
      <c r="BB334" s="306" t="str">
        <f t="shared" si="17"/>
        <v/>
      </c>
    </row>
    <row r="335" spans="13:54" x14ac:dyDescent="0.25">
      <c r="M335" s="375"/>
      <c r="BB335" s="306" t="str">
        <f t="shared" si="17"/>
        <v/>
      </c>
    </row>
    <row r="336" spans="13:54" x14ac:dyDescent="0.25">
      <c r="M336" s="375"/>
      <c r="BB336" s="306" t="str">
        <f t="shared" si="17"/>
        <v/>
      </c>
    </row>
    <row r="337" spans="13:54" x14ac:dyDescent="0.25">
      <c r="M337" s="375"/>
      <c r="BB337" s="306" t="str">
        <f t="shared" si="17"/>
        <v/>
      </c>
    </row>
    <row r="338" spans="13:54" x14ac:dyDescent="0.25">
      <c r="M338" s="375"/>
      <c r="BB338" s="306" t="str">
        <f t="shared" si="17"/>
        <v/>
      </c>
    </row>
    <row r="339" spans="13:54" x14ac:dyDescent="0.25">
      <c r="M339" s="375"/>
      <c r="BB339" s="306" t="str">
        <f t="shared" si="17"/>
        <v/>
      </c>
    </row>
    <row r="340" spans="13:54" x14ac:dyDescent="0.25">
      <c r="M340" s="375"/>
      <c r="BB340" s="306" t="str">
        <f t="shared" si="17"/>
        <v/>
      </c>
    </row>
    <row r="341" spans="13:54" x14ac:dyDescent="0.25">
      <c r="M341" s="375"/>
      <c r="BB341" s="306" t="str">
        <f t="shared" si="17"/>
        <v/>
      </c>
    </row>
    <row r="342" spans="13:54" x14ac:dyDescent="0.25">
      <c r="M342" s="375"/>
      <c r="BB342" s="306" t="str">
        <f t="shared" si="17"/>
        <v/>
      </c>
    </row>
    <row r="343" spans="13:54" x14ac:dyDescent="0.25">
      <c r="M343" s="375"/>
      <c r="BB343" s="306" t="str">
        <f t="shared" si="17"/>
        <v/>
      </c>
    </row>
    <row r="344" spans="13:54" x14ac:dyDescent="0.25">
      <c r="M344" s="375"/>
      <c r="BB344" s="306" t="str">
        <f t="shared" si="17"/>
        <v/>
      </c>
    </row>
    <row r="345" spans="13:54" x14ac:dyDescent="0.25">
      <c r="M345" s="375"/>
      <c r="BB345" s="306" t="str">
        <f t="shared" si="17"/>
        <v/>
      </c>
    </row>
    <row r="346" spans="13:54" x14ac:dyDescent="0.25">
      <c r="M346" s="375"/>
      <c r="BB346" s="306" t="str">
        <f t="shared" si="17"/>
        <v/>
      </c>
    </row>
    <row r="347" spans="13:54" x14ac:dyDescent="0.25">
      <c r="M347" s="375"/>
      <c r="BB347" s="306" t="str">
        <f t="shared" si="17"/>
        <v/>
      </c>
    </row>
    <row r="348" spans="13:54" x14ac:dyDescent="0.25">
      <c r="M348" s="375"/>
      <c r="BB348" s="306" t="str">
        <f t="shared" si="17"/>
        <v/>
      </c>
    </row>
    <row r="349" spans="13:54" x14ac:dyDescent="0.25">
      <c r="M349" s="375"/>
      <c r="BB349" s="306" t="str">
        <f t="shared" si="17"/>
        <v/>
      </c>
    </row>
    <row r="350" spans="13:54" x14ac:dyDescent="0.25">
      <c r="M350" s="375"/>
      <c r="BB350" s="306" t="str">
        <f t="shared" si="17"/>
        <v/>
      </c>
    </row>
    <row r="351" spans="13:54" x14ac:dyDescent="0.25">
      <c r="M351" s="375"/>
      <c r="BB351" s="306" t="str">
        <f t="shared" si="17"/>
        <v/>
      </c>
    </row>
    <row r="352" spans="13:54" x14ac:dyDescent="0.25">
      <c r="M352" s="375"/>
      <c r="BB352" s="306" t="str">
        <f t="shared" si="17"/>
        <v/>
      </c>
    </row>
    <row r="353" spans="13:54" x14ac:dyDescent="0.25">
      <c r="M353" s="375"/>
      <c r="BB353" s="306" t="str">
        <f t="shared" si="17"/>
        <v/>
      </c>
    </row>
    <row r="354" spans="13:54" x14ac:dyDescent="0.25">
      <c r="M354" s="375"/>
      <c r="BB354" s="306" t="str">
        <f t="shared" si="17"/>
        <v/>
      </c>
    </row>
    <row r="355" spans="13:54" x14ac:dyDescent="0.25">
      <c r="M355" s="375"/>
      <c r="BB355" s="306" t="str">
        <f t="shared" si="17"/>
        <v/>
      </c>
    </row>
    <row r="356" spans="13:54" x14ac:dyDescent="0.25">
      <c r="M356" s="375"/>
      <c r="BB356" s="306" t="str">
        <f t="shared" si="17"/>
        <v/>
      </c>
    </row>
    <row r="357" spans="13:54" x14ac:dyDescent="0.25">
      <c r="M357" s="375"/>
      <c r="BB357" s="306" t="str">
        <f t="shared" si="17"/>
        <v/>
      </c>
    </row>
    <row r="358" spans="13:54" x14ac:dyDescent="0.25">
      <c r="M358" s="375"/>
      <c r="BB358" s="306" t="str">
        <f t="shared" si="17"/>
        <v/>
      </c>
    </row>
    <row r="359" spans="13:54" x14ac:dyDescent="0.25">
      <c r="M359" s="375"/>
      <c r="BB359" s="306" t="str">
        <f t="shared" si="17"/>
        <v/>
      </c>
    </row>
    <row r="360" spans="13:54" x14ac:dyDescent="0.25">
      <c r="M360" s="375"/>
      <c r="BB360" s="306" t="str">
        <f t="shared" si="17"/>
        <v/>
      </c>
    </row>
    <row r="361" spans="13:54" x14ac:dyDescent="0.25">
      <c r="M361" s="375"/>
      <c r="BB361" s="306" t="str">
        <f t="shared" si="17"/>
        <v/>
      </c>
    </row>
    <row r="362" spans="13:54" x14ac:dyDescent="0.25">
      <c r="M362" s="375"/>
      <c r="BB362" s="306" t="str">
        <f t="shared" si="17"/>
        <v/>
      </c>
    </row>
    <row r="363" spans="13:54" x14ac:dyDescent="0.25">
      <c r="M363" s="375"/>
      <c r="BB363" s="306" t="str">
        <f t="shared" si="17"/>
        <v/>
      </c>
    </row>
    <row r="364" spans="13:54" x14ac:dyDescent="0.25">
      <c r="M364" s="375"/>
      <c r="BB364" s="306" t="str">
        <f t="shared" si="17"/>
        <v/>
      </c>
    </row>
    <row r="365" spans="13:54" x14ac:dyDescent="0.25">
      <c r="M365" s="375"/>
      <c r="BB365" s="306" t="str">
        <f t="shared" si="17"/>
        <v/>
      </c>
    </row>
    <row r="366" spans="13:54" x14ac:dyDescent="0.25">
      <c r="M366" s="375"/>
      <c r="BB366" s="306" t="str">
        <f t="shared" si="17"/>
        <v/>
      </c>
    </row>
    <row r="367" spans="13:54" x14ac:dyDescent="0.25">
      <c r="M367" s="375"/>
      <c r="BB367" s="306" t="str">
        <f t="shared" si="17"/>
        <v/>
      </c>
    </row>
    <row r="368" spans="13:54" x14ac:dyDescent="0.25">
      <c r="M368" s="375"/>
      <c r="BB368" s="306" t="str">
        <f t="shared" si="17"/>
        <v/>
      </c>
    </row>
    <row r="369" spans="13:54" x14ac:dyDescent="0.25">
      <c r="M369" s="375"/>
      <c r="BB369" s="306" t="str">
        <f t="shared" si="17"/>
        <v/>
      </c>
    </row>
    <row r="370" spans="13:54" x14ac:dyDescent="0.25">
      <c r="M370" s="375"/>
      <c r="BB370" s="306" t="str">
        <f t="shared" si="17"/>
        <v/>
      </c>
    </row>
    <row r="371" spans="13:54" x14ac:dyDescent="0.25">
      <c r="M371" s="375"/>
      <c r="BB371" s="306" t="str">
        <f t="shared" si="17"/>
        <v/>
      </c>
    </row>
    <row r="372" spans="13:54" x14ac:dyDescent="0.25">
      <c r="M372" s="375"/>
      <c r="BB372" s="306" t="str">
        <f t="shared" si="17"/>
        <v/>
      </c>
    </row>
    <row r="373" spans="13:54" x14ac:dyDescent="0.25">
      <c r="M373" s="375"/>
      <c r="BB373" s="306" t="str">
        <f t="shared" si="17"/>
        <v/>
      </c>
    </row>
    <row r="374" spans="13:54" x14ac:dyDescent="0.25">
      <c r="M374" s="375"/>
      <c r="BB374" s="306" t="str">
        <f t="shared" si="17"/>
        <v/>
      </c>
    </row>
    <row r="375" spans="13:54" x14ac:dyDescent="0.25">
      <c r="M375" s="375"/>
      <c r="BB375" s="306" t="str">
        <f t="shared" si="17"/>
        <v/>
      </c>
    </row>
    <row r="376" spans="13:54" x14ac:dyDescent="0.25">
      <c r="M376" s="375"/>
      <c r="BB376" s="306" t="str">
        <f t="shared" si="17"/>
        <v/>
      </c>
    </row>
    <row r="377" spans="13:54" x14ac:dyDescent="0.25">
      <c r="M377" s="375"/>
      <c r="BB377" s="306" t="str">
        <f t="shared" si="17"/>
        <v/>
      </c>
    </row>
    <row r="378" spans="13:54" x14ac:dyDescent="0.25">
      <c r="M378" s="375"/>
      <c r="BB378" s="306" t="str">
        <f t="shared" si="17"/>
        <v/>
      </c>
    </row>
    <row r="379" spans="13:54" x14ac:dyDescent="0.25">
      <c r="M379" s="375"/>
      <c r="BB379" s="306" t="str">
        <f t="shared" si="17"/>
        <v/>
      </c>
    </row>
    <row r="380" spans="13:54" x14ac:dyDescent="0.25">
      <c r="M380" s="375"/>
      <c r="BB380" s="306" t="str">
        <f t="shared" si="17"/>
        <v/>
      </c>
    </row>
    <row r="381" spans="13:54" x14ac:dyDescent="0.25">
      <c r="M381" s="375"/>
      <c r="BB381" s="306" t="str">
        <f t="shared" si="17"/>
        <v/>
      </c>
    </row>
    <row r="382" spans="13:54" x14ac:dyDescent="0.25">
      <c r="M382" s="375"/>
      <c r="BB382" s="306" t="str">
        <f t="shared" si="17"/>
        <v/>
      </c>
    </row>
    <row r="383" spans="13:54" x14ac:dyDescent="0.25">
      <c r="M383" s="375"/>
      <c r="BB383" s="306" t="str">
        <f t="shared" si="17"/>
        <v/>
      </c>
    </row>
    <row r="384" spans="13:54" x14ac:dyDescent="0.25">
      <c r="M384" s="375"/>
      <c r="BB384" s="306" t="str">
        <f t="shared" si="17"/>
        <v/>
      </c>
    </row>
    <row r="385" spans="13:54" x14ac:dyDescent="0.25">
      <c r="M385" s="375"/>
      <c r="BB385" s="306" t="str">
        <f t="shared" si="17"/>
        <v/>
      </c>
    </row>
    <row r="386" spans="13:54" x14ac:dyDescent="0.25">
      <c r="M386" s="375"/>
      <c r="BB386" s="306" t="str">
        <f t="shared" si="17"/>
        <v/>
      </c>
    </row>
    <row r="387" spans="13:54" x14ac:dyDescent="0.25">
      <c r="M387" s="375"/>
      <c r="BB387" s="306" t="str">
        <f t="shared" si="17"/>
        <v/>
      </c>
    </row>
    <row r="388" spans="13:54" x14ac:dyDescent="0.25">
      <c r="M388" s="375"/>
      <c r="BB388" s="306" t="str">
        <f t="shared" si="17"/>
        <v/>
      </c>
    </row>
    <row r="389" spans="13:54" x14ac:dyDescent="0.25">
      <c r="M389" s="375"/>
      <c r="BB389" s="306" t="str">
        <f t="shared" ref="BB389:BB452" si="18">IF(AQ389="","",LEFT(AQ389,SEARCH(".",AQ389)-1))</f>
        <v/>
      </c>
    </row>
    <row r="390" spans="13:54" x14ac:dyDescent="0.25">
      <c r="M390" s="375"/>
      <c r="BB390" s="306" t="str">
        <f t="shared" si="18"/>
        <v/>
      </c>
    </row>
    <row r="391" spans="13:54" x14ac:dyDescent="0.25">
      <c r="M391" s="375"/>
      <c r="BB391" s="306" t="str">
        <f t="shared" si="18"/>
        <v/>
      </c>
    </row>
    <row r="392" spans="13:54" x14ac:dyDescent="0.25">
      <c r="M392" s="375"/>
      <c r="BB392" s="306" t="str">
        <f t="shared" si="18"/>
        <v/>
      </c>
    </row>
    <row r="393" spans="13:54" x14ac:dyDescent="0.25">
      <c r="M393" s="375"/>
      <c r="BB393" s="306" t="str">
        <f t="shared" si="18"/>
        <v/>
      </c>
    </row>
    <row r="394" spans="13:54" x14ac:dyDescent="0.25">
      <c r="M394" s="375"/>
      <c r="BB394" s="306" t="str">
        <f t="shared" si="18"/>
        <v/>
      </c>
    </row>
    <row r="395" spans="13:54" x14ac:dyDescent="0.25">
      <c r="M395" s="375"/>
      <c r="BB395" s="306" t="str">
        <f t="shared" si="18"/>
        <v/>
      </c>
    </row>
    <row r="396" spans="13:54" x14ac:dyDescent="0.25">
      <c r="M396" s="375"/>
      <c r="BB396" s="306" t="str">
        <f t="shared" si="18"/>
        <v/>
      </c>
    </row>
    <row r="397" spans="13:54" x14ac:dyDescent="0.25">
      <c r="M397" s="375"/>
      <c r="BB397" s="306" t="str">
        <f t="shared" si="18"/>
        <v/>
      </c>
    </row>
    <row r="398" spans="13:54" x14ac:dyDescent="0.25">
      <c r="M398" s="375"/>
      <c r="BB398" s="306" t="str">
        <f t="shared" si="18"/>
        <v/>
      </c>
    </row>
    <row r="399" spans="13:54" x14ac:dyDescent="0.25">
      <c r="M399" s="375"/>
      <c r="BB399" s="306" t="str">
        <f t="shared" si="18"/>
        <v/>
      </c>
    </row>
    <row r="400" spans="13:54" x14ac:dyDescent="0.25">
      <c r="M400" s="375"/>
      <c r="BB400" s="306" t="str">
        <f t="shared" si="18"/>
        <v/>
      </c>
    </row>
    <row r="401" spans="13:54" x14ac:dyDescent="0.25">
      <c r="M401" s="375"/>
      <c r="BB401" s="306" t="str">
        <f t="shared" si="18"/>
        <v/>
      </c>
    </row>
    <row r="402" spans="13:54" x14ac:dyDescent="0.25">
      <c r="M402" s="375"/>
      <c r="BB402" s="306" t="str">
        <f t="shared" si="18"/>
        <v/>
      </c>
    </row>
    <row r="403" spans="13:54" x14ac:dyDescent="0.25">
      <c r="M403" s="375"/>
      <c r="BB403" s="306" t="str">
        <f t="shared" si="18"/>
        <v/>
      </c>
    </row>
    <row r="404" spans="13:54" x14ac:dyDescent="0.25">
      <c r="M404" s="375"/>
      <c r="BB404" s="306" t="str">
        <f t="shared" si="18"/>
        <v/>
      </c>
    </row>
    <row r="405" spans="13:54" x14ac:dyDescent="0.25">
      <c r="M405" s="375"/>
      <c r="BB405" s="306" t="str">
        <f t="shared" si="18"/>
        <v/>
      </c>
    </row>
    <row r="406" spans="13:54" x14ac:dyDescent="0.25">
      <c r="M406" s="375"/>
      <c r="BB406" s="306" t="str">
        <f t="shared" si="18"/>
        <v/>
      </c>
    </row>
    <row r="407" spans="13:54" x14ac:dyDescent="0.25">
      <c r="M407" s="375"/>
      <c r="BB407" s="306" t="str">
        <f t="shared" si="18"/>
        <v/>
      </c>
    </row>
    <row r="408" spans="13:54" x14ac:dyDescent="0.25">
      <c r="M408" s="375"/>
      <c r="BB408" s="306" t="str">
        <f t="shared" si="18"/>
        <v/>
      </c>
    </row>
    <row r="409" spans="13:54" x14ac:dyDescent="0.25">
      <c r="M409" s="375"/>
      <c r="BB409" s="306" t="str">
        <f t="shared" si="18"/>
        <v/>
      </c>
    </row>
    <row r="410" spans="13:54" x14ac:dyDescent="0.25">
      <c r="M410" s="375"/>
      <c r="BB410" s="306" t="str">
        <f t="shared" si="18"/>
        <v/>
      </c>
    </row>
    <row r="411" spans="13:54" x14ac:dyDescent="0.25">
      <c r="M411" s="375"/>
      <c r="BB411" s="306" t="str">
        <f t="shared" si="18"/>
        <v/>
      </c>
    </row>
    <row r="412" spans="13:54" x14ac:dyDescent="0.25">
      <c r="M412" s="375"/>
      <c r="BB412" s="306" t="str">
        <f t="shared" si="18"/>
        <v/>
      </c>
    </row>
    <row r="413" spans="13:54" x14ac:dyDescent="0.25">
      <c r="M413" s="375"/>
      <c r="BB413" s="306" t="str">
        <f t="shared" si="18"/>
        <v/>
      </c>
    </row>
    <row r="414" spans="13:54" x14ac:dyDescent="0.25">
      <c r="M414" s="375"/>
      <c r="BB414" s="306" t="str">
        <f t="shared" si="18"/>
        <v/>
      </c>
    </row>
    <row r="415" spans="13:54" x14ac:dyDescent="0.25">
      <c r="M415" s="375"/>
      <c r="BB415" s="306" t="str">
        <f t="shared" si="18"/>
        <v/>
      </c>
    </row>
    <row r="416" spans="13:54" x14ac:dyDescent="0.25">
      <c r="M416" s="375"/>
      <c r="BB416" s="306" t="str">
        <f t="shared" si="18"/>
        <v/>
      </c>
    </row>
    <row r="417" spans="13:54" x14ac:dyDescent="0.25">
      <c r="M417" s="375"/>
      <c r="BB417" s="306" t="str">
        <f t="shared" si="18"/>
        <v/>
      </c>
    </row>
    <row r="418" spans="13:54" x14ac:dyDescent="0.25">
      <c r="M418" s="375"/>
      <c r="BB418" s="306" t="str">
        <f t="shared" si="18"/>
        <v/>
      </c>
    </row>
    <row r="419" spans="13:54" x14ac:dyDescent="0.25">
      <c r="M419" s="375"/>
      <c r="BB419" s="306" t="str">
        <f t="shared" si="18"/>
        <v/>
      </c>
    </row>
    <row r="420" spans="13:54" x14ac:dyDescent="0.25">
      <c r="M420" s="375"/>
      <c r="BB420" s="306" t="str">
        <f t="shared" si="18"/>
        <v/>
      </c>
    </row>
    <row r="421" spans="13:54" x14ac:dyDescent="0.25">
      <c r="M421" s="375"/>
      <c r="BB421" s="306" t="str">
        <f t="shared" si="18"/>
        <v/>
      </c>
    </row>
    <row r="422" spans="13:54" x14ac:dyDescent="0.25">
      <c r="M422" s="375"/>
      <c r="BB422" s="306" t="str">
        <f t="shared" si="18"/>
        <v/>
      </c>
    </row>
    <row r="423" spans="13:54" x14ac:dyDescent="0.25">
      <c r="M423" s="375"/>
      <c r="BB423" s="306" t="str">
        <f t="shared" si="18"/>
        <v/>
      </c>
    </row>
    <row r="424" spans="13:54" x14ac:dyDescent="0.25">
      <c r="M424" s="375"/>
      <c r="BB424" s="306" t="str">
        <f t="shared" si="18"/>
        <v/>
      </c>
    </row>
    <row r="425" spans="13:54" x14ac:dyDescent="0.25">
      <c r="M425" s="375"/>
      <c r="BB425" s="306" t="str">
        <f t="shared" si="18"/>
        <v/>
      </c>
    </row>
    <row r="426" spans="13:54" x14ac:dyDescent="0.25">
      <c r="M426" s="375"/>
      <c r="BB426" s="306" t="str">
        <f t="shared" si="18"/>
        <v/>
      </c>
    </row>
    <row r="427" spans="13:54" x14ac:dyDescent="0.25">
      <c r="M427" s="375"/>
      <c r="BB427" s="306" t="str">
        <f t="shared" si="18"/>
        <v/>
      </c>
    </row>
    <row r="428" spans="13:54" x14ac:dyDescent="0.25">
      <c r="M428" s="375"/>
      <c r="BB428" s="306" t="str">
        <f t="shared" si="18"/>
        <v/>
      </c>
    </row>
    <row r="429" spans="13:54" x14ac:dyDescent="0.25">
      <c r="M429" s="375"/>
      <c r="BB429" s="306" t="str">
        <f t="shared" si="18"/>
        <v/>
      </c>
    </row>
    <row r="430" spans="13:54" x14ac:dyDescent="0.25">
      <c r="M430" s="375"/>
      <c r="BB430" s="306" t="str">
        <f t="shared" si="18"/>
        <v/>
      </c>
    </row>
    <row r="431" spans="13:54" x14ac:dyDescent="0.25">
      <c r="M431" s="375"/>
      <c r="BB431" s="306" t="str">
        <f t="shared" si="18"/>
        <v/>
      </c>
    </row>
    <row r="432" spans="13:54" x14ac:dyDescent="0.25">
      <c r="M432" s="375"/>
      <c r="BB432" s="306" t="str">
        <f t="shared" si="18"/>
        <v/>
      </c>
    </row>
    <row r="433" spans="13:54" x14ac:dyDescent="0.25">
      <c r="M433" s="375"/>
      <c r="BB433" s="306" t="str">
        <f t="shared" si="18"/>
        <v/>
      </c>
    </row>
    <row r="434" spans="13:54" x14ac:dyDescent="0.25">
      <c r="M434" s="375"/>
      <c r="BB434" s="306" t="str">
        <f t="shared" si="18"/>
        <v/>
      </c>
    </row>
    <row r="435" spans="13:54" x14ac:dyDescent="0.25">
      <c r="M435" s="375"/>
      <c r="BB435" s="306" t="str">
        <f t="shared" si="18"/>
        <v/>
      </c>
    </row>
    <row r="436" spans="13:54" x14ac:dyDescent="0.25">
      <c r="M436" s="375"/>
      <c r="BB436" s="306" t="str">
        <f t="shared" si="18"/>
        <v/>
      </c>
    </row>
    <row r="437" spans="13:54" x14ac:dyDescent="0.25">
      <c r="M437" s="375"/>
      <c r="BB437" s="306" t="str">
        <f t="shared" si="18"/>
        <v/>
      </c>
    </row>
    <row r="438" spans="13:54" x14ac:dyDescent="0.25">
      <c r="M438" s="375"/>
      <c r="BB438" s="306" t="str">
        <f t="shared" si="18"/>
        <v/>
      </c>
    </row>
    <row r="439" spans="13:54" x14ac:dyDescent="0.25">
      <c r="M439" s="375"/>
      <c r="BB439" s="306" t="str">
        <f t="shared" si="18"/>
        <v/>
      </c>
    </row>
    <row r="440" spans="13:54" x14ac:dyDescent="0.25">
      <c r="M440" s="375"/>
      <c r="BB440" s="306" t="str">
        <f t="shared" si="18"/>
        <v/>
      </c>
    </row>
    <row r="441" spans="13:54" x14ac:dyDescent="0.25">
      <c r="M441" s="375"/>
      <c r="BB441" s="306" t="str">
        <f t="shared" si="18"/>
        <v/>
      </c>
    </row>
    <row r="442" spans="13:54" x14ac:dyDescent="0.25">
      <c r="M442" s="375"/>
      <c r="BB442" s="306" t="str">
        <f t="shared" si="18"/>
        <v/>
      </c>
    </row>
    <row r="443" spans="13:54" x14ac:dyDescent="0.25">
      <c r="M443" s="375"/>
      <c r="BB443" s="306" t="str">
        <f t="shared" si="18"/>
        <v/>
      </c>
    </row>
    <row r="444" spans="13:54" x14ac:dyDescent="0.25">
      <c r="M444" s="375"/>
      <c r="BB444" s="306" t="str">
        <f t="shared" si="18"/>
        <v/>
      </c>
    </row>
    <row r="445" spans="13:54" x14ac:dyDescent="0.25">
      <c r="M445" s="375"/>
      <c r="BB445" s="306" t="str">
        <f t="shared" si="18"/>
        <v/>
      </c>
    </row>
    <row r="446" spans="13:54" x14ac:dyDescent="0.25">
      <c r="M446" s="375"/>
      <c r="BB446" s="306" t="str">
        <f t="shared" si="18"/>
        <v/>
      </c>
    </row>
    <row r="447" spans="13:54" x14ac:dyDescent="0.25">
      <c r="M447" s="375"/>
      <c r="BB447" s="306" t="str">
        <f t="shared" si="18"/>
        <v/>
      </c>
    </row>
    <row r="448" spans="13:54" x14ac:dyDescent="0.25">
      <c r="M448" s="375"/>
      <c r="BB448" s="306" t="str">
        <f t="shared" si="18"/>
        <v/>
      </c>
    </row>
    <row r="449" spans="13:54" x14ac:dyDescent="0.25">
      <c r="M449" s="375"/>
      <c r="BB449" s="306" t="str">
        <f t="shared" si="18"/>
        <v/>
      </c>
    </row>
    <row r="450" spans="13:54" x14ac:dyDescent="0.25">
      <c r="M450" s="375"/>
      <c r="BB450" s="306" t="str">
        <f t="shared" si="18"/>
        <v/>
      </c>
    </row>
    <row r="451" spans="13:54" x14ac:dyDescent="0.25">
      <c r="M451" s="375"/>
      <c r="BB451" s="306" t="str">
        <f t="shared" si="18"/>
        <v/>
      </c>
    </row>
    <row r="452" spans="13:54" x14ac:dyDescent="0.25">
      <c r="M452" s="375"/>
      <c r="BB452" s="306" t="str">
        <f t="shared" si="18"/>
        <v/>
      </c>
    </row>
    <row r="453" spans="13:54" x14ac:dyDescent="0.25">
      <c r="M453" s="375"/>
      <c r="BB453" s="306" t="str">
        <f t="shared" ref="BB453:BB516" si="19">IF(AQ453="","",LEFT(AQ453,SEARCH(".",AQ453)-1))</f>
        <v/>
      </c>
    </row>
    <row r="454" spans="13:54" x14ac:dyDescent="0.25">
      <c r="M454" s="375"/>
      <c r="BB454" s="306" t="str">
        <f t="shared" si="19"/>
        <v/>
      </c>
    </row>
    <row r="455" spans="13:54" x14ac:dyDescent="0.25">
      <c r="M455" s="375"/>
      <c r="BB455" s="306" t="str">
        <f t="shared" si="19"/>
        <v/>
      </c>
    </row>
    <row r="456" spans="13:54" x14ac:dyDescent="0.25">
      <c r="M456" s="375"/>
      <c r="BB456" s="306" t="str">
        <f t="shared" si="19"/>
        <v/>
      </c>
    </row>
    <row r="457" spans="13:54" x14ac:dyDescent="0.25">
      <c r="M457" s="375"/>
      <c r="BB457" s="306" t="str">
        <f t="shared" si="19"/>
        <v/>
      </c>
    </row>
    <row r="458" spans="13:54" x14ac:dyDescent="0.25">
      <c r="M458" s="375"/>
      <c r="BB458" s="306" t="str">
        <f t="shared" si="19"/>
        <v/>
      </c>
    </row>
    <row r="459" spans="13:54" x14ac:dyDescent="0.25">
      <c r="M459" s="375"/>
      <c r="BB459" s="306" t="str">
        <f t="shared" si="19"/>
        <v/>
      </c>
    </row>
    <row r="460" spans="13:54" x14ac:dyDescent="0.25">
      <c r="M460" s="375"/>
      <c r="BB460" s="306" t="str">
        <f t="shared" si="19"/>
        <v/>
      </c>
    </row>
    <row r="461" spans="13:54" x14ac:dyDescent="0.25">
      <c r="M461" s="375"/>
      <c r="BB461" s="306" t="str">
        <f t="shared" si="19"/>
        <v/>
      </c>
    </row>
    <row r="462" spans="13:54" x14ac:dyDescent="0.25">
      <c r="M462" s="375"/>
      <c r="BB462" s="306" t="str">
        <f t="shared" si="19"/>
        <v/>
      </c>
    </row>
    <row r="463" spans="13:54" x14ac:dyDescent="0.25">
      <c r="M463" s="375"/>
      <c r="BB463" s="306" t="str">
        <f t="shared" si="19"/>
        <v/>
      </c>
    </row>
    <row r="464" spans="13:54" x14ac:dyDescent="0.25">
      <c r="M464" s="375"/>
      <c r="BB464" s="306" t="str">
        <f t="shared" si="19"/>
        <v/>
      </c>
    </row>
    <row r="465" spans="13:54" x14ac:dyDescent="0.25">
      <c r="M465" s="375"/>
      <c r="BB465" s="306" t="str">
        <f t="shared" si="19"/>
        <v/>
      </c>
    </row>
    <row r="466" spans="13:54" x14ac:dyDescent="0.25">
      <c r="M466" s="375"/>
      <c r="BB466" s="306" t="str">
        <f t="shared" si="19"/>
        <v/>
      </c>
    </row>
    <row r="467" spans="13:54" x14ac:dyDescent="0.25">
      <c r="M467" s="375"/>
      <c r="BB467" s="306" t="str">
        <f t="shared" si="19"/>
        <v/>
      </c>
    </row>
    <row r="468" spans="13:54" x14ac:dyDescent="0.25">
      <c r="M468" s="375"/>
      <c r="BB468" s="306" t="str">
        <f t="shared" si="19"/>
        <v/>
      </c>
    </row>
    <row r="469" spans="13:54" x14ac:dyDescent="0.25">
      <c r="M469" s="375"/>
      <c r="BB469" s="306" t="str">
        <f t="shared" si="19"/>
        <v/>
      </c>
    </row>
    <row r="470" spans="13:54" x14ac:dyDescent="0.25">
      <c r="M470" s="375"/>
      <c r="BB470" s="306" t="str">
        <f t="shared" si="19"/>
        <v/>
      </c>
    </row>
    <row r="471" spans="13:54" x14ac:dyDescent="0.25">
      <c r="M471" s="375"/>
      <c r="BB471" s="306" t="str">
        <f t="shared" si="19"/>
        <v/>
      </c>
    </row>
    <row r="472" spans="13:54" x14ac:dyDescent="0.25">
      <c r="M472" s="375"/>
      <c r="BB472" s="306" t="str">
        <f t="shared" si="19"/>
        <v/>
      </c>
    </row>
    <row r="473" spans="13:54" x14ac:dyDescent="0.25">
      <c r="M473" s="375"/>
      <c r="BB473" s="306" t="str">
        <f t="shared" si="19"/>
        <v/>
      </c>
    </row>
    <row r="474" spans="13:54" x14ac:dyDescent="0.25">
      <c r="M474" s="375"/>
      <c r="BB474" s="306" t="str">
        <f t="shared" si="19"/>
        <v/>
      </c>
    </row>
    <row r="475" spans="13:54" x14ac:dyDescent="0.25">
      <c r="M475" s="375"/>
      <c r="BB475" s="306" t="str">
        <f t="shared" si="19"/>
        <v/>
      </c>
    </row>
    <row r="476" spans="13:54" x14ac:dyDescent="0.25">
      <c r="M476" s="375"/>
      <c r="BB476" s="306" t="str">
        <f t="shared" si="19"/>
        <v/>
      </c>
    </row>
    <row r="477" spans="13:54" x14ac:dyDescent="0.25">
      <c r="M477" s="375"/>
      <c r="BB477" s="306" t="str">
        <f t="shared" si="19"/>
        <v/>
      </c>
    </row>
    <row r="478" spans="13:54" x14ac:dyDescent="0.25">
      <c r="M478" s="375"/>
      <c r="BB478" s="306" t="str">
        <f t="shared" si="19"/>
        <v/>
      </c>
    </row>
    <row r="479" spans="13:54" x14ac:dyDescent="0.25">
      <c r="M479" s="375"/>
      <c r="BB479" s="306" t="str">
        <f t="shared" si="19"/>
        <v/>
      </c>
    </row>
    <row r="480" spans="13:54" x14ac:dyDescent="0.25">
      <c r="M480" s="375"/>
      <c r="BB480" s="306" t="str">
        <f t="shared" si="19"/>
        <v/>
      </c>
    </row>
    <row r="481" spans="13:54" x14ac:dyDescent="0.25">
      <c r="M481" s="375"/>
      <c r="BB481" s="306" t="str">
        <f t="shared" si="19"/>
        <v/>
      </c>
    </row>
    <row r="482" spans="13:54" x14ac:dyDescent="0.25">
      <c r="M482" s="375"/>
      <c r="BB482" s="306" t="str">
        <f t="shared" si="19"/>
        <v/>
      </c>
    </row>
    <row r="483" spans="13:54" x14ac:dyDescent="0.25">
      <c r="M483" s="375"/>
      <c r="BB483" s="306" t="str">
        <f t="shared" si="19"/>
        <v/>
      </c>
    </row>
    <row r="484" spans="13:54" x14ac:dyDescent="0.25">
      <c r="M484" s="375"/>
      <c r="BB484" s="306" t="str">
        <f t="shared" si="19"/>
        <v/>
      </c>
    </row>
    <row r="485" spans="13:54" x14ac:dyDescent="0.25">
      <c r="M485" s="375"/>
      <c r="BB485" s="306" t="str">
        <f t="shared" si="19"/>
        <v/>
      </c>
    </row>
    <row r="486" spans="13:54" x14ac:dyDescent="0.25">
      <c r="M486" s="375"/>
      <c r="BB486" s="306" t="str">
        <f t="shared" si="19"/>
        <v/>
      </c>
    </row>
    <row r="487" spans="13:54" x14ac:dyDescent="0.25">
      <c r="M487" s="375"/>
      <c r="BB487" s="306" t="str">
        <f t="shared" si="19"/>
        <v/>
      </c>
    </row>
    <row r="488" spans="13:54" x14ac:dyDescent="0.25">
      <c r="M488" s="375"/>
      <c r="BB488" s="306" t="str">
        <f t="shared" si="19"/>
        <v/>
      </c>
    </row>
    <row r="489" spans="13:54" x14ac:dyDescent="0.25">
      <c r="M489" s="375"/>
      <c r="BB489" s="306" t="str">
        <f t="shared" si="19"/>
        <v/>
      </c>
    </row>
    <row r="490" spans="13:54" x14ac:dyDescent="0.25">
      <c r="M490" s="375"/>
      <c r="BB490" s="306" t="str">
        <f t="shared" si="19"/>
        <v/>
      </c>
    </row>
    <row r="491" spans="13:54" x14ac:dyDescent="0.25">
      <c r="M491" s="375"/>
      <c r="BB491" s="306" t="str">
        <f t="shared" si="19"/>
        <v/>
      </c>
    </row>
    <row r="492" spans="13:54" x14ac:dyDescent="0.25">
      <c r="M492" s="375"/>
      <c r="BB492" s="306" t="str">
        <f t="shared" si="19"/>
        <v/>
      </c>
    </row>
    <row r="493" spans="13:54" x14ac:dyDescent="0.25">
      <c r="M493" s="375"/>
      <c r="BB493" s="306" t="str">
        <f t="shared" si="19"/>
        <v/>
      </c>
    </row>
    <row r="494" spans="13:54" x14ac:dyDescent="0.25">
      <c r="M494" s="375"/>
      <c r="BB494" s="306" t="str">
        <f t="shared" si="19"/>
        <v/>
      </c>
    </row>
    <row r="495" spans="13:54" x14ac:dyDescent="0.25">
      <c r="M495" s="375"/>
      <c r="BB495" s="306" t="str">
        <f t="shared" si="19"/>
        <v/>
      </c>
    </row>
    <row r="496" spans="13:54" x14ac:dyDescent="0.25">
      <c r="M496" s="375"/>
      <c r="BB496" s="306" t="str">
        <f t="shared" si="19"/>
        <v/>
      </c>
    </row>
    <row r="497" spans="13:54" x14ac:dyDescent="0.25">
      <c r="M497" s="375"/>
      <c r="BB497" s="306" t="str">
        <f t="shared" si="19"/>
        <v/>
      </c>
    </row>
    <row r="498" spans="13:54" x14ac:dyDescent="0.25">
      <c r="M498" s="375"/>
      <c r="BB498" s="306" t="str">
        <f t="shared" si="19"/>
        <v/>
      </c>
    </row>
    <row r="499" spans="13:54" x14ac:dyDescent="0.25">
      <c r="M499" s="375"/>
      <c r="BB499" s="306" t="str">
        <f t="shared" si="19"/>
        <v/>
      </c>
    </row>
    <row r="500" spans="13:54" x14ac:dyDescent="0.25">
      <c r="M500" s="375"/>
      <c r="BB500" s="306" t="str">
        <f t="shared" si="19"/>
        <v/>
      </c>
    </row>
    <row r="501" spans="13:54" x14ac:dyDescent="0.25">
      <c r="M501" s="375"/>
      <c r="BB501" s="306" t="str">
        <f t="shared" si="19"/>
        <v/>
      </c>
    </row>
    <row r="502" spans="13:54" x14ac:dyDescent="0.25">
      <c r="M502" s="375"/>
      <c r="BB502" s="306" t="str">
        <f t="shared" si="19"/>
        <v/>
      </c>
    </row>
    <row r="503" spans="13:54" x14ac:dyDescent="0.25">
      <c r="M503" s="375"/>
      <c r="BB503" s="306" t="str">
        <f t="shared" si="19"/>
        <v/>
      </c>
    </row>
    <row r="504" spans="13:54" x14ac:dyDescent="0.25">
      <c r="M504" s="375"/>
      <c r="BB504" s="306" t="str">
        <f t="shared" si="19"/>
        <v/>
      </c>
    </row>
    <row r="505" spans="13:54" x14ac:dyDescent="0.25">
      <c r="M505" s="375"/>
      <c r="BB505" s="306" t="str">
        <f t="shared" si="19"/>
        <v/>
      </c>
    </row>
    <row r="506" spans="13:54" x14ac:dyDescent="0.25">
      <c r="M506" s="375"/>
      <c r="BB506" s="306" t="str">
        <f t="shared" si="19"/>
        <v/>
      </c>
    </row>
    <row r="507" spans="13:54" x14ac:dyDescent="0.25">
      <c r="M507" s="375"/>
      <c r="BB507" s="306" t="str">
        <f t="shared" si="19"/>
        <v/>
      </c>
    </row>
    <row r="508" spans="13:54" x14ac:dyDescent="0.25">
      <c r="M508" s="375"/>
      <c r="BB508" s="306" t="str">
        <f t="shared" si="19"/>
        <v/>
      </c>
    </row>
    <row r="509" spans="13:54" x14ac:dyDescent="0.25">
      <c r="M509" s="375"/>
      <c r="BB509" s="306" t="str">
        <f t="shared" si="19"/>
        <v/>
      </c>
    </row>
    <row r="510" spans="13:54" x14ac:dyDescent="0.25">
      <c r="M510" s="375"/>
      <c r="BB510" s="306" t="str">
        <f t="shared" si="19"/>
        <v/>
      </c>
    </row>
    <row r="511" spans="13:54" x14ac:dyDescent="0.25">
      <c r="M511" s="375"/>
      <c r="BB511" s="306" t="str">
        <f t="shared" si="19"/>
        <v/>
      </c>
    </row>
    <row r="512" spans="13:54" x14ac:dyDescent="0.25">
      <c r="M512" s="375"/>
      <c r="BB512" s="306" t="str">
        <f t="shared" si="19"/>
        <v/>
      </c>
    </row>
    <row r="513" spans="13:54" x14ac:dyDescent="0.25">
      <c r="M513" s="375"/>
      <c r="BB513" s="306" t="str">
        <f t="shared" si="19"/>
        <v/>
      </c>
    </row>
    <row r="514" spans="13:54" x14ac:dyDescent="0.25">
      <c r="M514" s="375"/>
      <c r="BB514" s="306" t="str">
        <f t="shared" si="19"/>
        <v/>
      </c>
    </row>
    <row r="515" spans="13:54" x14ac:dyDescent="0.25">
      <c r="M515" s="375"/>
      <c r="BB515" s="306" t="str">
        <f t="shared" si="19"/>
        <v/>
      </c>
    </row>
    <row r="516" spans="13:54" x14ac:dyDescent="0.25">
      <c r="M516" s="375"/>
      <c r="BB516" s="306" t="str">
        <f t="shared" si="19"/>
        <v/>
      </c>
    </row>
    <row r="517" spans="13:54" x14ac:dyDescent="0.25">
      <c r="M517" s="375"/>
      <c r="BB517" s="306" t="str">
        <f t="shared" ref="BB517:BB580" si="20">IF(AQ517="","",LEFT(AQ517,SEARCH(".",AQ517)-1))</f>
        <v/>
      </c>
    </row>
    <row r="518" spans="13:54" x14ac:dyDescent="0.25">
      <c r="M518" s="375"/>
      <c r="BB518" s="306" t="str">
        <f t="shared" si="20"/>
        <v/>
      </c>
    </row>
    <row r="519" spans="13:54" x14ac:dyDescent="0.25">
      <c r="M519" s="375"/>
      <c r="BB519" s="306" t="str">
        <f t="shared" si="20"/>
        <v/>
      </c>
    </row>
    <row r="520" spans="13:54" x14ac:dyDescent="0.25">
      <c r="M520" s="375"/>
      <c r="BB520" s="306" t="str">
        <f t="shared" si="20"/>
        <v/>
      </c>
    </row>
    <row r="521" spans="13:54" x14ac:dyDescent="0.25">
      <c r="M521" s="375"/>
      <c r="BB521" s="306" t="str">
        <f t="shared" si="20"/>
        <v/>
      </c>
    </row>
    <row r="522" spans="13:54" x14ac:dyDescent="0.25">
      <c r="M522" s="375"/>
      <c r="BB522" s="306" t="str">
        <f t="shared" si="20"/>
        <v/>
      </c>
    </row>
    <row r="523" spans="13:54" x14ac:dyDescent="0.25">
      <c r="M523" s="375"/>
      <c r="BB523" s="306" t="str">
        <f t="shared" si="20"/>
        <v/>
      </c>
    </row>
    <row r="524" spans="13:54" x14ac:dyDescent="0.25">
      <c r="M524" s="375"/>
      <c r="BB524" s="306" t="str">
        <f t="shared" si="20"/>
        <v/>
      </c>
    </row>
    <row r="525" spans="13:54" x14ac:dyDescent="0.25">
      <c r="M525" s="375"/>
      <c r="BB525" s="306" t="str">
        <f t="shared" si="20"/>
        <v/>
      </c>
    </row>
    <row r="526" spans="13:54" x14ac:dyDescent="0.25">
      <c r="M526" s="375"/>
      <c r="BB526" s="306" t="str">
        <f t="shared" si="20"/>
        <v/>
      </c>
    </row>
    <row r="527" spans="13:54" x14ac:dyDescent="0.25">
      <c r="M527" s="375"/>
      <c r="BB527" s="306" t="str">
        <f t="shared" si="20"/>
        <v/>
      </c>
    </row>
    <row r="528" spans="13:54" x14ac:dyDescent="0.25">
      <c r="M528" s="375"/>
      <c r="BB528" s="306" t="str">
        <f t="shared" si="20"/>
        <v/>
      </c>
    </row>
    <row r="529" spans="13:54" x14ac:dyDescent="0.25">
      <c r="M529" s="375"/>
      <c r="BB529" s="306" t="str">
        <f t="shared" si="20"/>
        <v/>
      </c>
    </row>
    <row r="530" spans="13:54" x14ac:dyDescent="0.25">
      <c r="M530" s="375"/>
      <c r="BB530" s="306" t="str">
        <f t="shared" si="20"/>
        <v/>
      </c>
    </row>
    <row r="531" spans="13:54" x14ac:dyDescent="0.25">
      <c r="M531" s="375"/>
      <c r="BB531" s="306" t="str">
        <f t="shared" si="20"/>
        <v/>
      </c>
    </row>
    <row r="532" spans="13:54" x14ac:dyDescent="0.25">
      <c r="M532" s="375"/>
      <c r="BB532" s="306" t="str">
        <f t="shared" si="20"/>
        <v/>
      </c>
    </row>
    <row r="533" spans="13:54" x14ac:dyDescent="0.25">
      <c r="M533" s="375"/>
      <c r="BB533" s="306" t="str">
        <f t="shared" si="20"/>
        <v/>
      </c>
    </row>
    <row r="534" spans="13:54" x14ac:dyDescent="0.25">
      <c r="M534" s="375"/>
      <c r="BB534" s="306" t="str">
        <f t="shared" si="20"/>
        <v/>
      </c>
    </row>
    <row r="535" spans="13:54" x14ac:dyDescent="0.25">
      <c r="M535" s="375"/>
      <c r="BB535" s="306" t="str">
        <f t="shared" si="20"/>
        <v/>
      </c>
    </row>
    <row r="536" spans="13:54" x14ac:dyDescent="0.25">
      <c r="M536" s="375"/>
      <c r="BB536" s="306" t="str">
        <f t="shared" si="20"/>
        <v/>
      </c>
    </row>
    <row r="537" spans="13:54" x14ac:dyDescent="0.25">
      <c r="M537" s="375"/>
      <c r="BB537" s="306" t="str">
        <f t="shared" si="20"/>
        <v/>
      </c>
    </row>
    <row r="538" spans="13:54" x14ac:dyDescent="0.25">
      <c r="M538" s="375"/>
      <c r="BB538" s="306" t="str">
        <f t="shared" si="20"/>
        <v/>
      </c>
    </row>
    <row r="539" spans="13:54" x14ac:dyDescent="0.25">
      <c r="M539" s="375"/>
      <c r="BB539" s="306" t="str">
        <f t="shared" si="20"/>
        <v/>
      </c>
    </row>
    <row r="540" spans="13:54" x14ac:dyDescent="0.25">
      <c r="M540" s="375"/>
      <c r="BB540" s="306" t="str">
        <f t="shared" si="20"/>
        <v/>
      </c>
    </row>
    <row r="541" spans="13:54" x14ac:dyDescent="0.25">
      <c r="M541" s="375"/>
      <c r="BB541" s="306" t="str">
        <f t="shared" si="20"/>
        <v/>
      </c>
    </row>
    <row r="542" spans="13:54" x14ac:dyDescent="0.25">
      <c r="M542" s="375"/>
      <c r="BB542" s="306" t="str">
        <f t="shared" si="20"/>
        <v/>
      </c>
    </row>
    <row r="543" spans="13:54" x14ac:dyDescent="0.25">
      <c r="M543" s="375"/>
      <c r="BB543" s="306" t="str">
        <f t="shared" si="20"/>
        <v/>
      </c>
    </row>
    <row r="544" spans="13:54" x14ac:dyDescent="0.25">
      <c r="M544" s="375"/>
      <c r="BB544" s="306" t="str">
        <f t="shared" si="20"/>
        <v/>
      </c>
    </row>
    <row r="545" spans="13:54" x14ac:dyDescent="0.25">
      <c r="M545" s="375"/>
      <c r="BB545" s="306" t="str">
        <f t="shared" si="20"/>
        <v/>
      </c>
    </row>
    <row r="546" spans="13:54" x14ac:dyDescent="0.25">
      <c r="M546" s="375"/>
      <c r="BB546" s="306" t="str">
        <f t="shared" si="20"/>
        <v/>
      </c>
    </row>
    <row r="547" spans="13:54" x14ac:dyDescent="0.25">
      <c r="M547" s="375"/>
      <c r="BB547" s="306" t="str">
        <f t="shared" si="20"/>
        <v/>
      </c>
    </row>
    <row r="548" spans="13:54" x14ac:dyDescent="0.25">
      <c r="M548" s="375"/>
      <c r="BB548" s="306" t="str">
        <f t="shared" si="20"/>
        <v/>
      </c>
    </row>
    <row r="549" spans="13:54" x14ac:dyDescent="0.25">
      <c r="M549" s="375"/>
      <c r="BB549" s="306" t="str">
        <f t="shared" si="20"/>
        <v/>
      </c>
    </row>
    <row r="550" spans="13:54" x14ac:dyDescent="0.25">
      <c r="M550" s="375"/>
      <c r="BB550" s="306" t="str">
        <f t="shared" si="20"/>
        <v/>
      </c>
    </row>
    <row r="551" spans="13:54" x14ac:dyDescent="0.25">
      <c r="M551" s="375"/>
      <c r="BB551" s="306" t="str">
        <f t="shared" si="20"/>
        <v/>
      </c>
    </row>
    <row r="552" spans="13:54" x14ac:dyDescent="0.25">
      <c r="M552" s="375"/>
      <c r="BB552" s="306" t="str">
        <f t="shared" si="20"/>
        <v/>
      </c>
    </row>
    <row r="553" spans="13:54" x14ac:dyDescent="0.25">
      <c r="M553" s="375"/>
      <c r="BB553" s="306" t="str">
        <f t="shared" si="20"/>
        <v/>
      </c>
    </row>
    <row r="554" spans="13:54" x14ac:dyDescent="0.25">
      <c r="M554" s="375"/>
      <c r="BB554" s="306" t="str">
        <f t="shared" si="20"/>
        <v/>
      </c>
    </row>
    <row r="555" spans="13:54" x14ac:dyDescent="0.25">
      <c r="M555" s="375"/>
      <c r="BB555" s="306" t="str">
        <f t="shared" si="20"/>
        <v/>
      </c>
    </row>
    <row r="556" spans="13:54" x14ac:dyDescent="0.25">
      <c r="M556" s="375"/>
      <c r="BB556" s="306" t="str">
        <f t="shared" si="20"/>
        <v/>
      </c>
    </row>
    <row r="557" spans="13:54" x14ac:dyDescent="0.25">
      <c r="M557" s="375"/>
      <c r="BB557" s="306" t="str">
        <f t="shared" si="20"/>
        <v/>
      </c>
    </row>
    <row r="558" spans="13:54" x14ac:dyDescent="0.25">
      <c r="M558" s="375"/>
      <c r="BB558" s="306" t="str">
        <f t="shared" si="20"/>
        <v/>
      </c>
    </row>
    <row r="559" spans="13:54" x14ac:dyDescent="0.25">
      <c r="M559" s="375"/>
      <c r="BB559" s="306" t="str">
        <f t="shared" si="20"/>
        <v/>
      </c>
    </row>
    <row r="560" spans="13:54" x14ac:dyDescent="0.25">
      <c r="M560" s="375"/>
      <c r="BB560" s="306" t="str">
        <f t="shared" si="20"/>
        <v/>
      </c>
    </row>
    <row r="561" spans="13:54" x14ac:dyDescent="0.25">
      <c r="M561" s="375"/>
      <c r="BB561" s="306" t="str">
        <f t="shared" si="20"/>
        <v/>
      </c>
    </row>
    <row r="562" spans="13:54" x14ac:dyDescent="0.25">
      <c r="M562" s="375"/>
      <c r="BB562" s="306" t="str">
        <f t="shared" si="20"/>
        <v/>
      </c>
    </row>
    <row r="563" spans="13:54" x14ac:dyDescent="0.25">
      <c r="M563" s="375"/>
      <c r="BB563" s="306" t="str">
        <f t="shared" si="20"/>
        <v/>
      </c>
    </row>
    <row r="564" spans="13:54" x14ac:dyDescent="0.25">
      <c r="M564" s="375"/>
      <c r="BB564" s="306" t="str">
        <f t="shared" si="20"/>
        <v/>
      </c>
    </row>
    <row r="565" spans="13:54" x14ac:dyDescent="0.25">
      <c r="M565" s="375"/>
      <c r="BB565" s="306" t="str">
        <f t="shared" si="20"/>
        <v/>
      </c>
    </row>
    <row r="566" spans="13:54" x14ac:dyDescent="0.25">
      <c r="M566" s="375"/>
      <c r="BB566" s="306" t="str">
        <f t="shared" si="20"/>
        <v/>
      </c>
    </row>
    <row r="567" spans="13:54" x14ac:dyDescent="0.25">
      <c r="M567" s="375"/>
      <c r="BB567" s="306" t="str">
        <f t="shared" si="20"/>
        <v/>
      </c>
    </row>
    <row r="568" spans="13:54" x14ac:dyDescent="0.25">
      <c r="M568" s="375"/>
      <c r="BB568" s="306" t="str">
        <f t="shared" si="20"/>
        <v/>
      </c>
    </row>
    <row r="569" spans="13:54" x14ac:dyDescent="0.25">
      <c r="M569" s="375"/>
      <c r="BB569" s="306" t="str">
        <f t="shared" si="20"/>
        <v/>
      </c>
    </row>
    <row r="570" spans="13:54" x14ac:dyDescent="0.25">
      <c r="M570" s="375"/>
      <c r="BB570" s="306" t="str">
        <f t="shared" si="20"/>
        <v/>
      </c>
    </row>
    <row r="571" spans="13:54" x14ac:dyDescent="0.25">
      <c r="M571" s="375"/>
      <c r="BB571" s="306" t="str">
        <f t="shared" si="20"/>
        <v/>
      </c>
    </row>
    <row r="572" spans="13:54" x14ac:dyDescent="0.25">
      <c r="M572" s="375"/>
      <c r="BB572" s="306" t="str">
        <f t="shared" si="20"/>
        <v/>
      </c>
    </row>
    <row r="573" spans="13:54" x14ac:dyDescent="0.25">
      <c r="M573" s="375"/>
      <c r="BB573" s="306" t="str">
        <f t="shared" si="20"/>
        <v/>
      </c>
    </row>
    <row r="574" spans="13:54" x14ac:dyDescent="0.25">
      <c r="M574" s="375"/>
      <c r="BB574" s="306" t="str">
        <f t="shared" si="20"/>
        <v/>
      </c>
    </row>
    <row r="575" spans="13:54" x14ac:dyDescent="0.25">
      <c r="M575" s="375"/>
      <c r="BB575" s="306" t="str">
        <f t="shared" si="20"/>
        <v/>
      </c>
    </row>
    <row r="576" spans="13:54" x14ac:dyDescent="0.25">
      <c r="M576" s="375"/>
      <c r="BB576" s="306" t="str">
        <f t="shared" si="20"/>
        <v/>
      </c>
    </row>
    <row r="577" spans="13:54" x14ac:dyDescent="0.25">
      <c r="M577" s="375"/>
      <c r="BB577" s="306" t="str">
        <f t="shared" si="20"/>
        <v/>
      </c>
    </row>
    <row r="578" spans="13:54" x14ac:dyDescent="0.25">
      <c r="M578" s="375"/>
      <c r="BB578" s="306" t="str">
        <f t="shared" si="20"/>
        <v/>
      </c>
    </row>
    <row r="579" spans="13:54" x14ac:dyDescent="0.25">
      <c r="M579" s="375"/>
      <c r="BB579" s="306" t="str">
        <f t="shared" si="20"/>
        <v/>
      </c>
    </row>
    <row r="580" spans="13:54" x14ac:dyDescent="0.25">
      <c r="M580" s="375"/>
      <c r="BB580" s="306" t="str">
        <f t="shared" si="20"/>
        <v/>
      </c>
    </row>
    <row r="581" spans="13:54" x14ac:dyDescent="0.25">
      <c r="M581" s="375"/>
      <c r="BB581" s="306" t="str">
        <f t="shared" ref="BB581:BB644" si="21">IF(AQ581="","",LEFT(AQ581,SEARCH(".",AQ581)-1))</f>
        <v/>
      </c>
    </row>
    <row r="582" spans="13:54" x14ac:dyDescent="0.25">
      <c r="M582" s="375"/>
      <c r="BB582" s="306" t="str">
        <f t="shared" si="21"/>
        <v/>
      </c>
    </row>
    <row r="583" spans="13:54" x14ac:dyDescent="0.25">
      <c r="M583" s="375"/>
      <c r="BB583" s="306" t="str">
        <f t="shared" si="21"/>
        <v/>
      </c>
    </row>
    <row r="584" spans="13:54" x14ac:dyDescent="0.25">
      <c r="M584" s="375"/>
      <c r="BB584" s="306" t="str">
        <f t="shared" si="21"/>
        <v/>
      </c>
    </row>
    <row r="585" spans="13:54" x14ac:dyDescent="0.25">
      <c r="M585" s="375"/>
      <c r="BB585" s="306" t="str">
        <f t="shared" si="21"/>
        <v/>
      </c>
    </row>
    <row r="586" spans="13:54" x14ac:dyDescent="0.25">
      <c r="M586" s="375"/>
      <c r="BB586" s="306" t="str">
        <f t="shared" si="21"/>
        <v/>
      </c>
    </row>
    <row r="587" spans="13:54" x14ac:dyDescent="0.25">
      <c r="M587" s="375"/>
      <c r="BB587" s="306" t="str">
        <f t="shared" si="21"/>
        <v/>
      </c>
    </row>
    <row r="588" spans="13:54" x14ac:dyDescent="0.25">
      <c r="M588" s="375"/>
      <c r="BB588" s="306" t="str">
        <f t="shared" si="21"/>
        <v/>
      </c>
    </row>
    <row r="589" spans="13:54" x14ac:dyDescent="0.25">
      <c r="M589" s="375"/>
      <c r="BB589" s="306" t="str">
        <f t="shared" si="21"/>
        <v/>
      </c>
    </row>
    <row r="590" spans="13:54" x14ac:dyDescent="0.25">
      <c r="M590" s="375"/>
      <c r="BB590" s="306" t="str">
        <f t="shared" si="21"/>
        <v/>
      </c>
    </row>
    <row r="591" spans="13:54" x14ac:dyDescent="0.25">
      <c r="M591" s="375"/>
      <c r="BB591" s="306" t="str">
        <f t="shared" si="21"/>
        <v/>
      </c>
    </row>
    <row r="592" spans="13:54" x14ac:dyDescent="0.25">
      <c r="M592" s="375"/>
      <c r="BB592" s="306" t="str">
        <f t="shared" si="21"/>
        <v/>
      </c>
    </row>
    <row r="593" spans="13:54" x14ac:dyDescent="0.25">
      <c r="M593" s="375"/>
      <c r="BB593" s="306" t="str">
        <f t="shared" si="21"/>
        <v/>
      </c>
    </row>
    <row r="594" spans="13:54" x14ac:dyDescent="0.25">
      <c r="M594" s="375"/>
      <c r="BB594" s="306" t="str">
        <f t="shared" si="21"/>
        <v/>
      </c>
    </row>
    <row r="595" spans="13:54" x14ac:dyDescent="0.25">
      <c r="M595" s="375"/>
      <c r="BB595" s="306" t="str">
        <f t="shared" si="21"/>
        <v/>
      </c>
    </row>
    <row r="596" spans="13:54" x14ac:dyDescent="0.25">
      <c r="M596" s="375"/>
      <c r="BB596" s="306" t="str">
        <f t="shared" si="21"/>
        <v/>
      </c>
    </row>
    <row r="597" spans="13:54" x14ac:dyDescent="0.25">
      <c r="M597" s="375"/>
      <c r="BB597" s="306" t="str">
        <f t="shared" si="21"/>
        <v/>
      </c>
    </row>
    <row r="598" spans="13:54" x14ac:dyDescent="0.25">
      <c r="M598" s="375"/>
      <c r="BB598" s="306" t="str">
        <f t="shared" si="21"/>
        <v/>
      </c>
    </row>
    <row r="599" spans="13:54" x14ac:dyDescent="0.25">
      <c r="M599" s="375"/>
      <c r="BB599" s="306" t="str">
        <f t="shared" si="21"/>
        <v/>
      </c>
    </row>
    <row r="600" spans="13:54" x14ac:dyDescent="0.25">
      <c r="M600" s="375"/>
      <c r="BB600" s="306" t="str">
        <f t="shared" si="21"/>
        <v/>
      </c>
    </row>
    <row r="601" spans="13:54" x14ac:dyDescent="0.25">
      <c r="M601" s="375"/>
      <c r="BB601" s="306" t="str">
        <f t="shared" si="21"/>
        <v/>
      </c>
    </row>
    <row r="602" spans="13:54" x14ac:dyDescent="0.25">
      <c r="M602" s="375"/>
      <c r="BB602" s="306" t="str">
        <f t="shared" si="21"/>
        <v/>
      </c>
    </row>
    <row r="603" spans="13:54" x14ac:dyDescent="0.25">
      <c r="M603" s="375"/>
      <c r="BB603" s="306" t="str">
        <f t="shared" si="21"/>
        <v/>
      </c>
    </row>
    <row r="604" spans="13:54" x14ac:dyDescent="0.25">
      <c r="M604" s="375"/>
      <c r="BB604" s="306" t="str">
        <f t="shared" si="21"/>
        <v/>
      </c>
    </row>
    <row r="605" spans="13:54" x14ac:dyDescent="0.25">
      <c r="M605" s="375"/>
      <c r="BB605" s="306" t="str">
        <f t="shared" si="21"/>
        <v/>
      </c>
    </row>
    <row r="606" spans="13:54" x14ac:dyDescent="0.25">
      <c r="M606" s="375"/>
      <c r="BB606" s="306" t="str">
        <f t="shared" si="21"/>
        <v/>
      </c>
    </row>
    <row r="607" spans="13:54" x14ac:dyDescent="0.25">
      <c r="M607" s="375"/>
      <c r="BB607" s="306" t="str">
        <f t="shared" si="21"/>
        <v/>
      </c>
    </row>
    <row r="608" spans="13:54" x14ac:dyDescent="0.25">
      <c r="M608" s="375"/>
      <c r="BB608" s="306" t="str">
        <f t="shared" si="21"/>
        <v/>
      </c>
    </row>
    <row r="609" spans="13:54" x14ac:dyDescent="0.25">
      <c r="M609" s="375"/>
      <c r="BB609" s="306" t="str">
        <f t="shared" si="21"/>
        <v/>
      </c>
    </row>
    <row r="610" spans="13:54" x14ac:dyDescent="0.25">
      <c r="M610" s="375"/>
      <c r="BB610" s="306" t="str">
        <f t="shared" si="21"/>
        <v/>
      </c>
    </row>
    <row r="611" spans="13:54" x14ac:dyDescent="0.25">
      <c r="M611" s="375"/>
      <c r="BB611" s="306" t="str">
        <f t="shared" si="21"/>
        <v/>
      </c>
    </row>
    <row r="612" spans="13:54" x14ac:dyDescent="0.25">
      <c r="M612" s="375"/>
      <c r="BB612" s="306" t="str">
        <f t="shared" si="21"/>
        <v/>
      </c>
    </row>
    <row r="613" spans="13:54" x14ac:dyDescent="0.25">
      <c r="M613" s="375"/>
      <c r="BB613" s="306" t="str">
        <f t="shared" si="21"/>
        <v/>
      </c>
    </row>
    <row r="614" spans="13:54" x14ac:dyDescent="0.25">
      <c r="M614" s="375"/>
      <c r="BB614" s="306" t="str">
        <f t="shared" si="21"/>
        <v/>
      </c>
    </row>
    <row r="615" spans="13:54" x14ac:dyDescent="0.25">
      <c r="M615" s="375"/>
      <c r="BB615" s="306" t="str">
        <f t="shared" si="21"/>
        <v/>
      </c>
    </row>
    <row r="616" spans="13:54" x14ac:dyDescent="0.25">
      <c r="M616" s="375"/>
      <c r="BB616" s="306" t="str">
        <f t="shared" si="21"/>
        <v/>
      </c>
    </row>
    <row r="617" spans="13:54" x14ac:dyDescent="0.25">
      <c r="M617" s="375"/>
      <c r="BB617" s="306" t="str">
        <f t="shared" si="21"/>
        <v/>
      </c>
    </row>
    <row r="618" spans="13:54" x14ac:dyDescent="0.25">
      <c r="M618" s="375"/>
      <c r="BB618" s="306" t="str">
        <f t="shared" si="21"/>
        <v/>
      </c>
    </row>
    <row r="619" spans="13:54" x14ac:dyDescent="0.25">
      <c r="M619" s="375"/>
      <c r="BB619" s="306" t="str">
        <f t="shared" si="21"/>
        <v/>
      </c>
    </row>
    <row r="620" spans="13:54" x14ac:dyDescent="0.25">
      <c r="M620" s="375"/>
      <c r="BB620" s="306" t="str">
        <f t="shared" si="21"/>
        <v/>
      </c>
    </row>
    <row r="621" spans="13:54" x14ac:dyDescent="0.25">
      <c r="M621" s="375"/>
      <c r="BB621" s="306" t="str">
        <f t="shared" si="21"/>
        <v/>
      </c>
    </row>
    <row r="622" spans="13:54" x14ac:dyDescent="0.25">
      <c r="M622" s="375"/>
      <c r="BB622" s="306" t="str">
        <f t="shared" si="21"/>
        <v/>
      </c>
    </row>
    <row r="623" spans="13:54" x14ac:dyDescent="0.25">
      <c r="M623" s="375"/>
      <c r="BB623" s="306" t="str">
        <f t="shared" si="21"/>
        <v/>
      </c>
    </row>
    <row r="624" spans="13:54" x14ac:dyDescent="0.25">
      <c r="M624" s="375"/>
      <c r="BB624" s="306" t="str">
        <f t="shared" si="21"/>
        <v/>
      </c>
    </row>
    <row r="625" spans="13:54" x14ac:dyDescent="0.25">
      <c r="M625" s="375"/>
      <c r="BB625" s="306" t="str">
        <f t="shared" si="21"/>
        <v/>
      </c>
    </row>
    <row r="626" spans="13:54" x14ac:dyDescent="0.25">
      <c r="M626" s="375"/>
      <c r="BB626" s="306" t="str">
        <f t="shared" si="21"/>
        <v/>
      </c>
    </row>
    <row r="627" spans="13:54" x14ac:dyDescent="0.25">
      <c r="M627" s="375"/>
      <c r="BB627" s="306" t="str">
        <f t="shared" si="21"/>
        <v/>
      </c>
    </row>
    <row r="628" spans="13:54" x14ac:dyDescent="0.25">
      <c r="M628" s="375"/>
      <c r="BB628" s="306" t="str">
        <f t="shared" si="21"/>
        <v/>
      </c>
    </row>
    <row r="629" spans="13:54" x14ac:dyDescent="0.25">
      <c r="M629" s="375"/>
      <c r="BB629" s="306" t="str">
        <f t="shared" si="21"/>
        <v/>
      </c>
    </row>
    <row r="630" spans="13:54" x14ac:dyDescent="0.25">
      <c r="M630" s="375"/>
      <c r="BB630" s="306" t="str">
        <f t="shared" si="21"/>
        <v/>
      </c>
    </row>
    <row r="631" spans="13:54" x14ac:dyDescent="0.25">
      <c r="M631" s="375"/>
      <c r="BB631" s="306" t="str">
        <f t="shared" si="21"/>
        <v/>
      </c>
    </row>
    <row r="632" spans="13:54" x14ac:dyDescent="0.25">
      <c r="M632" s="375"/>
      <c r="BB632" s="306" t="str">
        <f t="shared" si="21"/>
        <v/>
      </c>
    </row>
    <row r="633" spans="13:54" x14ac:dyDescent="0.25">
      <c r="M633" s="375"/>
      <c r="BB633" s="306" t="str">
        <f t="shared" si="21"/>
        <v/>
      </c>
    </row>
    <row r="634" spans="13:54" x14ac:dyDescent="0.25">
      <c r="M634" s="375"/>
      <c r="BB634" s="306" t="str">
        <f t="shared" si="21"/>
        <v/>
      </c>
    </row>
    <row r="635" spans="13:54" x14ac:dyDescent="0.25">
      <c r="M635" s="375"/>
      <c r="BB635" s="306" t="str">
        <f t="shared" si="21"/>
        <v/>
      </c>
    </row>
    <row r="636" spans="13:54" x14ac:dyDescent="0.25">
      <c r="M636" s="375"/>
      <c r="BB636" s="306" t="str">
        <f t="shared" si="21"/>
        <v/>
      </c>
    </row>
    <row r="637" spans="13:54" x14ac:dyDescent="0.25">
      <c r="M637" s="375"/>
      <c r="BB637" s="306" t="str">
        <f t="shared" si="21"/>
        <v/>
      </c>
    </row>
    <row r="638" spans="13:54" x14ac:dyDescent="0.25">
      <c r="M638" s="375"/>
      <c r="BB638" s="306" t="str">
        <f t="shared" si="21"/>
        <v/>
      </c>
    </row>
    <row r="639" spans="13:54" x14ac:dyDescent="0.25">
      <c r="M639" s="375"/>
      <c r="BB639" s="306" t="str">
        <f t="shared" si="21"/>
        <v/>
      </c>
    </row>
    <row r="640" spans="13:54" x14ac:dyDescent="0.25">
      <c r="M640" s="375"/>
      <c r="BB640" s="306" t="str">
        <f t="shared" si="21"/>
        <v/>
      </c>
    </row>
    <row r="641" spans="13:54" x14ac:dyDescent="0.25">
      <c r="M641" s="375"/>
      <c r="BB641" s="306" t="str">
        <f t="shared" si="21"/>
        <v/>
      </c>
    </row>
    <row r="642" spans="13:54" x14ac:dyDescent="0.25">
      <c r="M642" s="375"/>
      <c r="BB642" s="306" t="str">
        <f t="shared" si="21"/>
        <v/>
      </c>
    </row>
    <row r="643" spans="13:54" x14ac:dyDescent="0.25">
      <c r="M643" s="375"/>
      <c r="BB643" s="306" t="str">
        <f t="shared" si="21"/>
        <v/>
      </c>
    </row>
    <row r="644" spans="13:54" x14ac:dyDescent="0.25">
      <c r="M644" s="375"/>
      <c r="BB644" s="306" t="str">
        <f t="shared" si="21"/>
        <v/>
      </c>
    </row>
    <row r="645" spans="13:54" x14ac:dyDescent="0.25">
      <c r="M645" s="375"/>
      <c r="BB645" s="306" t="str">
        <f t="shared" ref="BB645:BB708" si="22">IF(AQ645="","",LEFT(AQ645,SEARCH(".",AQ645)-1))</f>
        <v/>
      </c>
    </row>
    <row r="646" spans="13:54" x14ac:dyDescent="0.25">
      <c r="M646" s="375"/>
      <c r="BB646" s="306" t="str">
        <f t="shared" si="22"/>
        <v/>
      </c>
    </row>
    <row r="647" spans="13:54" x14ac:dyDescent="0.25">
      <c r="M647" s="375"/>
      <c r="BB647" s="306" t="str">
        <f t="shared" si="22"/>
        <v/>
      </c>
    </row>
    <row r="648" spans="13:54" x14ac:dyDescent="0.25">
      <c r="M648" s="375"/>
      <c r="BB648" s="306" t="str">
        <f t="shared" si="22"/>
        <v/>
      </c>
    </row>
    <row r="649" spans="13:54" x14ac:dyDescent="0.25">
      <c r="M649" s="375"/>
      <c r="BB649" s="306" t="str">
        <f t="shared" si="22"/>
        <v/>
      </c>
    </row>
    <row r="650" spans="13:54" x14ac:dyDescent="0.25">
      <c r="M650" s="375"/>
      <c r="BB650" s="306" t="str">
        <f t="shared" si="22"/>
        <v/>
      </c>
    </row>
    <row r="651" spans="13:54" x14ac:dyDescent="0.25">
      <c r="M651" s="375"/>
      <c r="BB651" s="306" t="str">
        <f t="shared" si="22"/>
        <v/>
      </c>
    </row>
    <row r="652" spans="13:54" x14ac:dyDescent="0.25">
      <c r="M652" s="375"/>
      <c r="BB652" s="306" t="str">
        <f t="shared" si="22"/>
        <v/>
      </c>
    </row>
    <row r="653" spans="13:54" x14ac:dyDescent="0.25">
      <c r="M653" s="375"/>
      <c r="BB653" s="306" t="str">
        <f t="shared" si="22"/>
        <v/>
      </c>
    </row>
    <row r="654" spans="13:54" x14ac:dyDescent="0.25">
      <c r="M654" s="375"/>
      <c r="BB654" s="306" t="str">
        <f t="shared" si="22"/>
        <v/>
      </c>
    </row>
    <row r="655" spans="13:54" x14ac:dyDescent="0.25">
      <c r="M655" s="375"/>
      <c r="BB655" s="306" t="str">
        <f t="shared" si="22"/>
        <v/>
      </c>
    </row>
    <row r="656" spans="13:54" x14ac:dyDescent="0.25">
      <c r="M656" s="375"/>
      <c r="BB656" s="306" t="str">
        <f t="shared" si="22"/>
        <v/>
      </c>
    </row>
    <row r="657" spans="13:54" x14ac:dyDescent="0.25">
      <c r="M657" s="375"/>
      <c r="BB657" s="306" t="str">
        <f t="shared" si="22"/>
        <v/>
      </c>
    </row>
    <row r="658" spans="13:54" x14ac:dyDescent="0.25">
      <c r="M658" s="375"/>
      <c r="BB658" s="306" t="str">
        <f t="shared" si="22"/>
        <v/>
      </c>
    </row>
    <row r="659" spans="13:54" x14ac:dyDescent="0.25">
      <c r="M659" s="375"/>
      <c r="BB659" s="306" t="str">
        <f t="shared" si="22"/>
        <v/>
      </c>
    </row>
    <row r="660" spans="13:54" x14ac:dyDescent="0.25">
      <c r="M660" s="375"/>
      <c r="BB660" s="306" t="str">
        <f t="shared" si="22"/>
        <v/>
      </c>
    </row>
    <row r="661" spans="13:54" x14ac:dyDescent="0.25">
      <c r="M661" s="375"/>
      <c r="BB661" s="306" t="str">
        <f t="shared" si="22"/>
        <v/>
      </c>
    </row>
    <row r="662" spans="13:54" x14ac:dyDescent="0.25">
      <c r="M662" s="375"/>
      <c r="BB662" s="306" t="str">
        <f t="shared" si="22"/>
        <v/>
      </c>
    </row>
    <row r="663" spans="13:54" x14ac:dyDescent="0.25">
      <c r="M663" s="375"/>
      <c r="BB663" s="306" t="str">
        <f t="shared" si="22"/>
        <v/>
      </c>
    </row>
    <row r="664" spans="13:54" x14ac:dyDescent="0.25">
      <c r="M664" s="375"/>
      <c r="BB664" s="306" t="str">
        <f t="shared" si="22"/>
        <v/>
      </c>
    </row>
    <row r="665" spans="13:54" x14ac:dyDescent="0.25">
      <c r="M665" s="375"/>
      <c r="BB665" s="306" t="str">
        <f t="shared" si="22"/>
        <v/>
      </c>
    </row>
    <row r="666" spans="13:54" x14ac:dyDescent="0.25">
      <c r="M666" s="375"/>
      <c r="BB666" s="306" t="str">
        <f t="shared" si="22"/>
        <v/>
      </c>
    </row>
    <row r="667" spans="13:54" x14ac:dyDescent="0.25">
      <c r="M667" s="375"/>
      <c r="BB667" s="306" t="str">
        <f t="shared" si="22"/>
        <v/>
      </c>
    </row>
    <row r="668" spans="13:54" x14ac:dyDescent="0.25">
      <c r="M668" s="375"/>
      <c r="BB668" s="306" t="str">
        <f t="shared" si="22"/>
        <v/>
      </c>
    </row>
    <row r="669" spans="13:54" x14ac:dyDescent="0.25">
      <c r="M669" s="375"/>
      <c r="BB669" s="306" t="str">
        <f t="shared" si="22"/>
        <v/>
      </c>
    </row>
    <row r="670" spans="13:54" x14ac:dyDescent="0.25">
      <c r="M670" s="375"/>
      <c r="BB670" s="306" t="str">
        <f t="shared" si="22"/>
        <v/>
      </c>
    </row>
    <row r="671" spans="13:54" x14ac:dyDescent="0.25">
      <c r="M671" s="375"/>
      <c r="BB671" s="306" t="str">
        <f t="shared" si="22"/>
        <v/>
      </c>
    </row>
    <row r="672" spans="13:54" x14ac:dyDescent="0.25">
      <c r="M672" s="375"/>
      <c r="BB672" s="306" t="str">
        <f t="shared" si="22"/>
        <v/>
      </c>
    </row>
    <row r="673" spans="13:54" x14ac:dyDescent="0.25">
      <c r="M673" s="375"/>
      <c r="BB673" s="306" t="str">
        <f t="shared" si="22"/>
        <v/>
      </c>
    </row>
    <row r="674" spans="13:54" x14ac:dyDescent="0.25">
      <c r="M674" s="375"/>
      <c r="BB674" s="306" t="str">
        <f t="shared" si="22"/>
        <v/>
      </c>
    </row>
    <row r="675" spans="13:54" x14ac:dyDescent="0.25">
      <c r="M675" s="375"/>
      <c r="BB675" s="306" t="str">
        <f t="shared" si="22"/>
        <v/>
      </c>
    </row>
    <row r="676" spans="13:54" x14ac:dyDescent="0.25">
      <c r="M676" s="375"/>
      <c r="BB676" s="306" t="str">
        <f t="shared" si="22"/>
        <v/>
      </c>
    </row>
    <row r="677" spans="13:54" x14ac:dyDescent="0.25">
      <c r="M677" s="375"/>
      <c r="BB677" s="306" t="str">
        <f t="shared" si="22"/>
        <v/>
      </c>
    </row>
    <row r="678" spans="13:54" x14ac:dyDescent="0.25">
      <c r="M678" s="375"/>
      <c r="BB678" s="306" t="str">
        <f t="shared" si="22"/>
        <v/>
      </c>
    </row>
    <row r="679" spans="13:54" x14ac:dyDescent="0.25">
      <c r="M679" s="375"/>
      <c r="BB679" s="306" t="str">
        <f t="shared" si="22"/>
        <v/>
      </c>
    </row>
    <row r="680" spans="13:54" x14ac:dyDescent="0.25">
      <c r="M680" s="375"/>
      <c r="BB680" s="306" t="str">
        <f t="shared" si="22"/>
        <v/>
      </c>
    </row>
    <row r="681" spans="13:54" x14ac:dyDescent="0.25">
      <c r="M681" s="375"/>
      <c r="BB681" s="306" t="str">
        <f t="shared" si="22"/>
        <v/>
      </c>
    </row>
    <row r="682" spans="13:54" x14ac:dyDescent="0.25">
      <c r="M682" s="375"/>
      <c r="BB682" s="306" t="str">
        <f t="shared" si="22"/>
        <v/>
      </c>
    </row>
    <row r="683" spans="13:54" x14ac:dyDescent="0.25">
      <c r="M683" s="375"/>
      <c r="BB683" s="306" t="str">
        <f t="shared" si="22"/>
        <v/>
      </c>
    </row>
    <row r="684" spans="13:54" x14ac:dyDescent="0.25">
      <c r="M684" s="375"/>
      <c r="BB684" s="306" t="str">
        <f t="shared" si="22"/>
        <v/>
      </c>
    </row>
    <row r="685" spans="13:54" x14ac:dyDescent="0.25">
      <c r="M685" s="375"/>
      <c r="BB685" s="306" t="str">
        <f t="shared" si="22"/>
        <v/>
      </c>
    </row>
    <row r="686" spans="13:54" x14ac:dyDescent="0.25">
      <c r="M686" s="375"/>
      <c r="BB686" s="306" t="str">
        <f t="shared" si="22"/>
        <v/>
      </c>
    </row>
    <row r="687" spans="13:54" x14ac:dyDescent="0.25">
      <c r="M687" s="375"/>
      <c r="BB687" s="306" t="str">
        <f t="shared" si="22"/>
        <v/>
      </c>
    </row>
    <row r="688" spans="13:54" x14ac:dyDescent="0.25">
      <c r="M688" s="375"/>
      <c r="BB688" s="306" t="str">
        <f t="shared" si="22"/>
        <v/>
      </c>
    </row>
    <row r="689" spans="13:54" x14ac:dyDescent="0.25">
      <c r="M689" s="375"/>
      <c r="BB689" s="306" t="str">
        <f t="shared" si="22"/>
        <v/>
      </c>
    </row>
    <row r="690" spans="13:54" x14ac:dyDescent="0.25">
      <c r="M690" s="375"/>
      <c r="BB690" s="306" t="str">
        <f t="shared" si="22"/>
        <v/>
      </c>
    </row>
    <row r="691" spans="13:54" x14ac:dyDescent="0.25">
      <c r="M691" s="375"/>
      <c r="BB691" s="306" t="str">
        <f t="shared" si="22"/>
        <v/>
      </c>
    </row>
    <row r="692" spans="13:54" x14ac:dyDescent="0.25">
      <c r="M692" s="375"/>
      <c r="BB692" s="306" t="str">
        <f t="shared" si="22"/>
        <v/>
      </c>
    </row>
    <row r="693" spans="13:54" x14ac:dyDescent="0.25">
      <c r="M693" s="375"/>
      <c r="BB693" s="306" t="str">
        <f t="shared" si="22"/>
        <v/>
      </c>
    </row>
    <row r="694" spans="13:54" x14ac:dyDescent="0.25">
      <c r="M694" s="375"/>
      <c r="BB694" s="306" t="str">
        <f t="shared" si="22"/>
        <v/>
      </c>
    </row>
    <row r="695" spans="13:54" x14ac:dyDescent="0.25">
      <c r="M695" s="375"/>
      <c r="BB695" s="306" t="str">
        <f t="shared" si="22"/>
        <v/>
      </c>
    </row>
    <row r="696" spans="13:54" x14ac:dyDescent="0.25">
      <c r="M696" s="375"/>
      <c r="BB696" s="306" t="str">
        <f t="shared" si="22"/>
        <v/>
      </c>
    </row>
    <row r="697" spans="13:54" x14ac:dyDescent="0.25">
      <c r="M697" s="375"/>
      <c r="BB697" s="306" t="str">
        <f t="shared" si="22"/>
        <v/>
      </c>
    </row>
    <row r="698" spans="13:54" x14ac:dyDescent="0.25">
      <c r="M698" s="375"/>
      <c r="BB698" s="306" t="str">
        <f t="shared" si="22"/>
        <v/>
      </c>
    </row>
    <row r="699" spans="13:54" x14ac:dyDescent="0.25">
      <c r="M699" s="375"/>
      <c r="BB699" s="306" t="str">
        <f t="shared" si="22"/>
        <v/>
      </c>
    </row>
    <row r="700" spans="13:54" x14ac:dyDescent="0.25">
      <c r="M700" s="375"/>
      <c r="BB700" s="306" t="str">
        <f t="shared" si="22"/>
        <v/>
      </c>
    </row>
    <row r="701" spans="13:54" x14ac:dyDescent="0.25">
      <c r="M701" s="375"/>
      <c r="BB701" s="306" t="str">
        <f t="shared" si="22"/>
        <v/>
      </c>
    </row>
    <row r="702" spans="13:54" x14ac:dyDescent="0.25">
      <c r="M702" s="375"/>
      <c r="BB702" s="306" t="str">
        <f t="shared" si="22"/>
        <v/>
      </c>
    </row>
    <row r="703" spans="13:54" x14ac:dyDescent="0.25">
      <c r="M703" s="375"/>
      <c r="BB703" s="306" t="str">
        <f t="shared" si="22"/>
        <v/>
      </c>
    </row>
    <row r="704" spans="13:54" x14ac:dyDescent="0.25">
      <c r="M704" s="375"/>
      <c r="BB704" s="306" t="str">
        <f t="shared" si="22"/>
        <v/>
      </c>
    </row>
    <row r="705" spans="13:54" x14ac:dyDescent="0.25">
      <c r="M705" s="375"/>
      <c r="BB705" s="306" t="str">
        <f t="shared" si="22"/>
        <v/>
      </c>
    </row>
    <row r="706" spans="13:54" x14ac:dyDescent="0.25">
      <c r="M706" s="375"/>
      <c r="BB706" s="306" t="str">
        <f t="shared" si="22"/>
        <v/>
      </c>
    </row>
    <row r="707" spans="13:54" x14ac:dyDescent="0.25">
      <c r="M707" s="375"/>
      <c r="BB707" s="306" t="str">
        <f t="shared" si="22"/>
        <v/>
      </c>
    </row>
    <row r="708" spans="13:54" x14ac:dyDescent="0.25">
      <c r="M708" s="375"/>
      <c r="BB708" s="306" t="str">
        <f t="shared" si="22"/>
        <v/>
      </c>
    </row>
    <row r="709" spans="13:54" x14ac:dyDescent="0.25">
      <c r="M709" s="375"/>
      <c r="BB709" s="306" t="str">
        <f t="shared" ref="BB709:BB772" si="23">IF(AQ709="","",LEFT(AQ709,SEARCH(".",AQ709)-1))</f>
        <v/>
      </c>
    </row>
    <row r="710" spans="13:54" x14ac:dyDescent="0.25">
      <c r="M710" s="375"/>
      <c r="BB710" s="306" t="str">
        <f t="shared" si="23"/>
        <v/>
      </c>
    </row>
    <row r="711" spans="13:54" x14ac:dyDescent="0.25">
      <c r="M711" s="375"/>
      <c r="BB711" s="306" t="str">
        <f t="shared" si="23"/>
        <v/>
      </c>
    </row>
    <row r="712" spans="13:54" x14ac:dyDescent="0.25">
      <c r="M712" s="375"/>
      <c r="BB712" s="306" t="str">
        <f t="shared" si="23"/>
        <v/>
      </c>
    </row>
    <row r="713" spans="13:54" x14ac:dyDescent="0.25">
      <c r="M713" s="375"/>
      <c r="BB713" s="306" t="str">
        <f t="shared" si="23"/>
        <v/>
      </c>
    </row>
    <row r="714" spans="13:54" x14ac:dyDescent="0.25">
      <c r="M714" s="375"/>
      <c r="BB714" s="306" t="str">
        <f t="shared" si="23"/>
        <v/>
      </c>
    </row>
    <row r="715" spans="13:54" x14ac:dyDescent="0.25">
      <c r="M715" s="375"/>
      <c r="BB715" s="306" t="str">
        <f t="shared" si="23"/>
        <v/>
      </c>
    </row>
    <row r="716" spans="13:54" x14ac:dyDescent="0.25">
      <c r="M716" s="375"/>
      <c r="BB716" s="306" t="str">
        <f t="shared" si="23"/>
        <v/>
      </c>
    </row>
    <row r="717" spans="13:54" x14ac:dyDescent="0.25">
      <c r="M717" s="375"/>
      <c r="BB717" s="306" t="str">
        <f t="shared" si="23"/>
        <v/>
      </c>
    </row>
    <row r="718" spans="13:54" x14ac:dyDescent="0.25">
      <c r="M718" s="375"/>
      <c r="BB718" s="306" t="str">
        <f t="shared" si="23"/>
        <v/>
      </c>
    </row>
    <row r="719" spans="13:54" x14ac:dyDescent="0.25">
      <c r="M719" s="375"/>
      <c r="BB719" s="306" t="str">
        <f t="shared" si="23"/>
        <v/>
      </c>
    </row>
    <row r="720" spans="13:54" x14ac:dyDescent="0.25">
      <c r="M720" s="375"/>
      <c r="BB720" s="306" t="str">
        <f t="shared" si="23"/>
        <v/>
      </c>
    </row>
    <row r="721" spans="13:54" x14ac:dyDescent="0.25">
      <c r="M721" s="375"/>
      <c r="BB721" s="306" t="str">
        <f t="shared" si="23"/>
        <v/>
      </c>
    </row>
    <row r="722" spans="13:54" x14ac:dyDescent="0.25">
      <c r="M722" s="375"/>
      <c r="BB722" s="306" t="str">
        <f t="shared" si="23"/>
        <v/>
      </c>
    </row>
    <row r="723" spans="13:54" x14ac:dyDescent="0.25">
      <c r="M723" s="375"/>
      <c r="BB723" s="306" t="str">
        <f t="shared" si="23"/>
        <v/>
      </c>
    </row>
    <row r="724" spans="13:54" x14ac:dyDescent="0.25">
      <c r="M724" s="375"/>
      <c r="BB724" s="306" t="str">
        <f t="shared" si="23"/>
        <v/>
      </c>
    </row>
    <row r="725" spans="13:54" x14ac:dyDescent="0.25">
      <c r="M725" s="375"/>
      <c r="BB725" s="306" t="str">
        <f t="shared" si="23"/>
        <v/>
      </c>
    </row>
    <row r="726" spans="13:54" x14ac:dyDescent="0.25">
      <c r="M726" s="375"/>
      <c r="BB726" s="306" t="str">
        <f t="shared" si="23"/>
        <v/>
      </c>
    </row>
    <row r="727" spans="13:54" x14ac:dyDescent="0.25">
      <c r="M727" s="375"/>
      <c r="BB727" s="306" t="str">
        <f t="shared" si="23"/>
        <v/>
      </c>
    </row>
    <row r="728" spans="13:54" x14ac:dyDescent="0.25">
      <c r="M728" s="375"/>
      <c r="BB728" s="306" t="str">
        <f t="shared" si="23"/>
        <v/>
      </c>
    </row>
    <row r="729" spans="13:54" x14ac:dyDescent="0.25">
      <c r="M729" s="375"/>
      <c r="BB729" s="306" t="str">
        <f t="shared" si="23"/>
        <v/>
      </c>
    </row>
    <row r="730" spans="13:54" x14ac:dyDescent="0.25">
      <c r="M730" s="375"/>
      <c r="BB730" s="306" t="str">
        <f t="shared" si="23"/>
        <v/>
      </c>
    </row>
    <row r="731" spans="13:54" x14ac:dyDescent="0.25">
      <c r="M731" s="375"/>
      <c r="BB731" s="306" t="str">
        <f t="shared" si="23"/>
        <v/>
      </c>
    </row>
    <row r="732" spans="13:54" x14ac:dyDescent="0.25">
      <c r="M732" s="375"/>
      <c r="BB732" s="306" t="str">
        <f t="shared" si="23"/>
        <v/>
      </c>
    </row>
    <row r="733" spans="13:54" x14ac:dyDescent="0.25">
      <c r="M733" s="375"/>
      <c r="BB733" s="306" t="str">
        <f t="shared" si="23"/>
        <v/>
      </c>
    </row>
    <row r="734" spans="13:54" x14ac:dyDescent="0.25">
      <c r="M734" s="375"/>
      <c r="BB734" s="306" t="str">
        <f t="shared" si="23"/>
        <v/>
      </c>
    </row>
    <row r="735" spans="13:54" x14ac:dyDescent="0.25">
      <c r="M735" s="375"/>
      <c r="BB735" s="306" t="str">
        <f t="shared" si="23"/>
        <v/>
      </c>
    </row>
    <row r="736" spans="13:54" x14ac:dyDescent="0.25">
      <c r="M736" s="375"/>
      <c r="BB736" s="306" t="str">
        <f t="shared" si="23"/>
        <v/>
      </c>
    </row>
    <row r="737" spans="13:54" x14ac:dyDescent="0.25">
      <c r="M737" s="375"/>
      <c r="BB737" s="306" t="str">
        <f t="shared" si="23"/>
        <v/>
      </c>
    </row>
    <row r="738" spans="13:54" x14ac:dyDescent="0.25">
      <c r="M738" s="375"/>
      <c r="BB738" s="306" t="str">
        <f t="shared" si="23"/>
        <v/>
      </c>
    </row>
    <row r="739" spans="13:54" x14ac:dyDescent="0.25">
      <c r="M739" s="375"/>
      <c r="BB739" s="306" t="str">
        <f t="shared" si="23"/>
        <v/>
      </c>
    </row>
    <row r="740" spans="13:54" x14ac:dyDescent="0.25">
      <c r="M740" s="375"/>
      <c r="BB740" s="306" t="str">
        <f t="shared" si="23"/>
        <v/>
      </c>
    </row>
    <row r="741" spans="13:54" x14ac:dyDescent="0.25">
      <c r="M741" s="375"/>
      <c r="BB741" s="306" t="str">
        <f t="shared" si="23"/>
        <v/>
      </c>
    </row>
    <row r="742" spans="13:54" x14ac:dyDescent="0.25">
      <c r="M742" s="375"/>
      <c r="BB742" s="306" t="str">
        <f t="shared" si="23"/>
        <v/>
      </c>
    </row>
    <row r="743" spans="13:54" x14ac:dyDescent="0.25">
      <c r="M743" s="375"/>
      <c r="BB743" s="306" t="str">
        <f t="shared" si="23"/>
        <v/>
      </c>
    </row>
    <row r="744" spans="13:54" x14ac:dyDescent="0.25">
      <c r="M744" s="375"/>
      <c r="BB744" s="306" t="str">
        <f t="shared" si="23"/>
        <v/>
      </c>
    </row>
    <row r="745" spans="13:54" x14ac:dyDescent="0.25">
      <c r="M745" s="375"/>
      <c r="BB745" s="306" t="str">
        <f t="shared" si="23"/>
        <v/>
      </c>
    </row>
    <row r="746" spans="13:54" x14ac:dyDescent="0.25">
      <c r="M746" s="375"/>
      <c r="BB746" s="306" t="str">
        <f t="shared" si="23"/>
        <v/>
      </c>
    </row>
    <row r="747" spans="13:54" x14ac:dyDescent="0.25">
      <c r="M747" s="375"/>
      <c r="BB747" s="306" t="str">
        <f t="shared" si="23"/>
        <v/>
      </c>
    </row>
    <row r="748" spans="13:54" x14ac:dyDescent="0.25">
      <c r="M748" s="375"/>
      <c r="BB748" s="306" t="str">
        <f t="shared" si="23"/>
        <v/>
      </c>
    </row>
    <row r="749" spans="13:54" x14ac:dyDescent="0.25">
      <c r="M749" s="375"/>
      <c r="BB749" s="306" t="str">
        <f t="shared" si="23"/>
        <v/>
      </c>
    </row>
    <row r="750" spans="13:54" x14ac:dyDescent="0.25">
      <c r="M750" s="375"/>
      <c r="BB750" s="306" t="str">
        <f t="shared" si="23"/>
        <v/>
      </c>
    </row>
    <row r="751" spans="13:54" x14ac:dyDescent="0.25">
      <c r="M751" s="375"/>
      <c r="BB751" s="306" t="str">
        <f t="shared" si="23"/>
        <v/>
      </c>
    </row>
    <row r="752" spans="13:54" x14ac:dyDescent="0.25">
      <c r="M752" s="375"/>
      <c r="BB752" s="306" t="str">
        <f t="shared" si="23"/>
        <v/>
      </c>
    </row>
    <row r="753" spans="13:54" x14ac:dyDescent="0.25">
      <c r="M753" s="375"/>
      <c r="BB753" s="306" t="str">
        <f t="shared" si="23"/>
        <v/>
      </c>
    </row>
    <row r="754" spans="13:54" x14ac:dyDescent="0.25">
      <c r="M754" s="375"/>
      <c r="BB754" s="306" t="str">
        <f t="shared" si="23"/>
        <v/>
      </c>
    </row>
    <row r="755" spans="13:54" x14ac:dyDescent="0.25">
      <c r="M755" s="375"/>
      <c r="BB755" s="306" t="str">
        <f t="shared" si="23"/>
        <v/>
      </c>
    </row>
    <row r="756" spans="13:54" x14ac:dyDescent="0.25">
      <c r="M756" s="375"/>
      <c r="BB756" s="306" t="str">
        <f t="shared" si="23"/>
        <v/>
      </c>
    </row>
    <row r="757" spans="13:54" x14ac:dyDescent="0.25">
      <c r="M757" s="375"/>
      <c r="BB757" s="306" t="str">
        <f t="shared" si="23"/>
        <v/>
      </c>
    </row>
    <row r="758" spans="13:54" x14ac:dyDescent="0.25">
      <c r="M758" s="375"/>
      <c r="BB758" s="306" t="str">
        <f t="shared" si="23"/>
        <v/>
      </c>
    </row>
    <row r="759" spans="13:54" x14ac:dyDescent="0.25">
      <c r="M759" s="375"/>
      <c r="BB759" s="306" t="str">
        <f t="shared" si="23"/>
        <v/>
      </c>
    </row>
    <row r="760" spans="13:54" x14ac:dyDescent="0.25">
      <c r="M760" s="375"/>
      <c r="BB760" s="306" t="str">
        <f t="shared" si="23"/>
        <v/>
      </c>
    </row>
    <row r="761" spans="13:54" x14ac:dyDescent="0.25">
      <c r="M761" s="375"/>
      <c r="BB761" s="306" t="str">
        <f t="shared" si="23"/>
        <v/>
      </c>
    </row>
    <row r="762" spans="13:54" x14ac:dyDescent="0.25">
      <c r="M762" s="375"/>
      <c r="BB762" s="306" t="str">
        <f t="shared" si="23"/>
        <v/>
      </c>
    </row>
    <row r="763" spans="13:54" x14ac:dyDescent="0.25">
      <c r="M763" s="375"/>
      <c r="BB763" s="306" t="str">
        <f t="shared" si="23"/>
        <v/>
      </c>
    </row>
    <row r="764" spans="13:54" x14ac:dyDescent="0.25">
      <c r="M764" s="375"/>
      <c r="BB764" s="306" t="str">
        <f t="shared" si="23"/>
        <v/>
      </c>
    </row>
    <row r="765" spans="13:54" x14ac:dyDescent="0.25">
      <c r="M765" s="375"/>
      <c r="BB765" s="306" t="str">
        <f t="shared" si="23"/>
        <v/>
      </c>
    </row>
    <row r="766" spans="13:54" x14ac:dyDescent="0.25">
      <c r="M766" s="375"/>
      <c r="BB766" s="306" t="str">
        <f t="shared" si="23"/>
        <v/>
      </c>
    </row>
    <row r="767" spans="13:54" x14ac:dyDescent="0.25">
      <c r="M767" s="375"/>
      <c r="BB767" s="306" t="str">
        <f t="shared" si="23"/>
        <v/>
      </c>
    </row>
    <row r="768" spans="13:54" x14ac:dyDescent="0.25">
      <c r="M768" s="375"/>
      <c r="BB768" s="306" t="str">
        <f t="shared" si="23"/>
        <v/>
      </c>
    </row>
    <row r="769" spans="13:54" x14ac:dyDescent="0.25">
      <c r="M769" s="375"/>
      <c r="BB769" s="306" t="str">
        <f t="shared" si="23"/>
        <v/>
      </c>
    </row>
    <row r="770" spans="13:54" x14ac:dyDescent="0.25">
      <c r="M770" s="375"/>
      <c r="BB770" s="306" t="str">
        <f t="shared" si="23"/>
        <v/>
      </c>
    </row>
    <row r="771" spans="13:54" x14ac:dyDescent="0.25">
      <c r="M771" s="375"/>
      <c r="BB771" s="306" t="str">
        <f t="shared" si="23"/>
        <v/>
      </c>
    </row>
    <row r="772" spans="13:54" x14ac:dyDescent="0.25">
      <c r="M772" s="375"/>
      <c r="BB772" s="306" t="str">
        <f t="shared" si="23"/>
        <v/>
      </c>
    </row>
    <row r="773" spans="13:54" x14ac:dyDescent="0.25">
      <c r="M773" s="375"/>
      <c r="BB773" s="306" t="str">
        <f t="shared" ref="BB773:BB836" si="24">IF(AQ773="","",LEFT(AQ773,SEARCH(".",AQ773)-1))</f>
        <v/>
      </c>
    </row>
    <row r="774" spans="13:54" x14ac:dyDescent="0.25">
      <c r="M774" s="375"/>
      <c r="BB774" s="306" t="str">
        <f t="shared" si="24"/>
        <v/>
      </c>
    </row>
    <row r="775" spans="13:54" x14ac:dyDescent="0.25">
      <c r="M775" s="375"/>
      <c r="BB775" s="306" t="str">
        <f t="shared" si="24"/>
        <v/>
      </c>
    </row>
    <row r="776" spans="13:54" x14ac:dyDescent="0.25">
      <c r="M776" s="375"/>
      <c r="BB776" s="306" t="str">
        <f t="shared" si="24"/>
        <v/>
      </c>
    </row>
    <row r="777" spans="13:54" x14ac:dyDescent="0.25">
      <c r="M777" s="375"/>
      <c r="BB777" s="306" t="str">
        <f t="shared" si="24"/>
        <v/>
      </c>
    </row>
    <row r="778" spans="13:54" x14ac:dyDescent="0.25">
      <c r="M778" s="375"/>
      <c r="BB778" s="306" t="str">
        <f t="shared" si="24"/>
        <v/>
      </c>
    </row>
    <row r="779" spans="13:54" x14ac:dyDescent="0.25">
      <c r="M779" s="375"/>
      <c r="BB779" s="306" t="str">
        <f t="shared" si="24"/>
        <v/>
      </c>
    </row>
    <row r="780" spans="13:54" x14ac:dyDescent="0.25">
      <c r="M780" s="375"/>
      <c r="BB780" s="306" t="str">
        <f t="shared" si="24"/>
        <v/>
      </c>
    </row>
    <row r="781" spans="13:54" x14ac:dyDescent="0.25">
      <c r="M781" s="375"/>
      <c r="BB781" s="306" t="str">
        <f t="shared" si="24"/>
        <v/>
      </c>
    </row>
    <row r="782" spans="13:54" x14ac:dyDescent="0.25">
      <c r="M782" s="375"/>
      <c r="BB782" s="306" t="str">
        <f t="shared" si="24"/>
        <v/>
      </c>
    </row>
    <row r="783" spans="13:54" x14ac:dyDescent="0.25">
      <c r="M783" s="375"/>
      <c r="BB783" s="306" t="str">
        <f t="shared" si="24"/>
        <v/>
      </c>
    </row>
    <row r="784" spans="13:54" x14ac:dyDescent="0.25">
      <c r="M784" s="375"/>
      <c r="BB784" s="306" t="str">
        <f t="shared" si="24"/>
        <v/>
      </c>
    </row>
    <row r="785" spans="13:54" x14ac:dyDescent="0.25">
      <c r="M785" s="375"/>
      <c r="BB785" s="306" t="str">
        <f t="shared" si="24"/>
        <v/>
      </c>
    </row>
    <row r="786" spans="13:54" x14ac:dyDescent="0.25">
      <c r="M786" s="375"/>
      <c r="BB786" s="306" t="str">
        <f t="shared" si="24"/>
        <v/>
      </c>
    </row>
    <row r="787" spans="13:54" x14ac:dyDescent="0.25">
      <c r="M787" s="375"/>
      <c r="BB787" s="306" t="str">
        <f t="shared" si="24"/>
        <v/>
      </c>
    </row>
    <row r="788" spans="13:54" x14ac:dyDescent="0.25">
      <c r="M788" s="375"/>
      <c r="BB788" s="306" t="str">
        <f t="shared" si="24"/>
        <v/>
      </c>
    </row>
    <row r="789" spans="13:54" x14ac:dyDescent="0.25">
      <c r="M789" s="375"/>
      <c r="BB789" s="306" t="str">
        <f t="shared" si="24"/>
        <v/>
      </c>
    </row>
    <row r="790" spans="13:54" x14ac:dyDescent="0.25">
      <c r="M790" s="375"/>
      <c r="BB790" s="306" t="str">
        <f t="shared" si="24"/>
        <v/>
      </c>
    </row>
    <row r="791" spans="13:54" x14ac:dyDescent="0.25">
      <c r="M791" s="375"/>
      <c r="BB791" s="306" t="str">
        <f t="shared" si="24"/>
        <v/>
      </c>
    </row>
    <row r="792" spans="13:54" x14ac:dyDescent="0.25">
      <c r="M792" s="375"/>
      <c r="BB792" s="306" t="str">
        <f t="shared" si="24"/>
        <v/>
      </c>
    </row>
    <row r="793" spans="13:54" x14ac:dyDescent="0.25">
      <c r="M793" s="375"/>
      <c r="BB793" s="306" t="str">
        <f t="shared" si="24"/>
        <v/>
      </c>
    </row>
    <row r="794" spans="13:54" x14ac:dyDescent="0.25">
      <c r="M794" s="375"/>
      <c r="BB794" s="306" t="str">
        <f t="shared" si="24"/>
        <v/>
      </c>
    </row>
    <row r="795" spans="13:54" x14ac:dyDescent="0.25">
      <c r="M795" s="375"/>
      <c r="BB795" s="306" t="str">
        <f t="shared" si="24"/>
        <v/>
      </c>
    </row>
    <row r="796" spans="13:54" x14ac:dyDescent="0.25">
      <c r="M796" s="375"/>
      <c r="BB796" s="306" t="str">
        <f t="shared" si="24"/>
        <v/>
      </c>
    </row>
    <row r="797" spans="13:54" x14ac:dyDescent="0.25">
      <c r="M797" s="375"/>
      <c r="BB797" s="306" t="str">
        <f t="shared" si="24"/>
        <v/>
      </c>
    </row>
    <row r="798" spans="13:54" x14ac:dyDescent="0.25">
      <c r="M798" s="375"/>
      <c r="BB798" s="306" t="str">
        <f t="shared" si="24"/>
        <v/>
      </c>
    </row>
    <row r="799" spans="13:54" x14ac:dyDescent="0.25">
      <c r="M799" s="375"/>
      <c r="BB799" s="306" t="str">
        <f t="shared" si="24"/>
        <v/>
      </c>
    </row>
    <row r="800" spans="13:54" x14ac:dyDescent="0.25">
      <c r="M800" s="375"/>
      <c r="BB800" s="306" t="str">
        <f t="shared" si="24"/>
        <v/>
      </c>
    </row>
    <row r="801" spans="13:54" x14ac:dyDescent="0.25">
      <c r="M801" s="375"/>
      <c r="BB801" s="306" t="str">
        <f t="shared" si="24"/>
        <v/>
      </c>
    </row>
    <row r="802" spans="13:54" x14ac:dyDescent="0.25">
      <c r="M802" s="375"/>
      <c r="BB802" s="306" t="str">
        <f t="shared" si="24"/>
        <v/>
      </c>
    </row>
    <row r="803" spans="13:54" x14ac:dyDescent="0.25">
      <c r="M803" s="375"/>
      <c r="BB803" s="306" t="str">
        <f t="shared" si="24"/>
        <v/>
      </c>
    </row>
    <row r="804" spans="13:54" x14ac:dyDescent="0.25">
      <c r="M804" s="375"/>
      <c r="BB804" s="306" t="str">
        <f t="shared" si="24"/>
        <v/>
      </c>
    </row>
    <row r="805" spans="13:54" x14ac:dyDescent="0.25">
      <c r="M805" s="375"/>
      <c r="BB805" s="306" t="str">
        <f t="shared" si="24"/>
        <v/>
      </c>
    </row>
    <row r="806" spans="13:54" x14ac:dyDescent="0.25">
      <c r="M806" s="375"/>
      <c r="BB806" s="306" t="str">
        <f t="shared" si="24"/>
        <v/>
      </c>
    </row>
    <row r="807" spans="13:54" x14ac:dyDescent="0.25">
      <c r="M807" s="375"/>
      <c r="BB807" s="306" t="str">
        <f t="shared" si="24"/>
        <v/>
      </c>
    </row>
    <row r="808" spans="13:54" x14ac:dyDescent="0.25">
      <c r="M808" s="375"/>
      <c r="BB808" s="306" t="str">
        <f t="shared" si="24"/>
        <v/>
      </c>
    </row>
    <row r="809" spans="13:54" x14ac:dyDescent="0.25">
      <c r="M809" s="375"/>
      <c r="BB809" s="306" t="str">
        <f t="shared" si="24"/>
        <v/>
      </c>
    </row>
    <row r="810" spans="13:54" x14ac:dyDescent="0.25">
      <c r="M810" s="375"/>
      <c r="BB810" s="306" t="str">
        <f t="shared" si="24"/>
        <v/>
      </c>
    </row>
    <row r="811" spans="13:54" x14ac:dyDescent="0.25">
      <c r="M811" s="375"/>
      <c r="BB811" s="306" t="str">
        <f t="shared" si="24"/>
        <v/>
      </c>
    </row>
    <row r="812" spans="13:54" x14ac:dyDescent="0.25">
      <c r="M812" s="375"/>
      <c r="BB812" s="306" t="str">
        <f t="shared" si="24"/>
        <v/>
      </c>
    </row>
    <row r="813" spans="13:54" x14ac:dyDescent="0.25">
      <c r="M813" s="375"/>
      <c r="BB813" s="306" t="str">
        <f t="shared" si="24"/>
        <v/>
      </c>
    </row>
    <row r="814" spans="13:54" x14ac:dyDescent="0.25">
      <c r="M814" s="375"/>
      <c r="BB814" s="306" t="str">
        <f t="shared" si="24"/>
        <v/>
      </c>
    </row>
    <row r="815" spans="13:54" x14ac:dyDescent="0.25">
      <c r="M815" s="375"/>
      <c r="BB815" s="306" t="str">
        <f t="shared" si="24"/>
        <v/>
      </c>
    </row>
    <row r="816" spans="13:54" x14ac:dyDescent="0.25">
      <c r="M816" s="375"/>
      <c r="BB816" s="306" t="str">
        <f t="shared" si="24"/>
        <v/>
      </c>
    </row>
    <row r="817" spans="13:54" x14ac:dyDescent="0.25">
      <c r="M817" s="375"/>
      <c r="BB817" s="306" t="str">
        <f t="shared" si="24"/>
        <v/>
      </c>
    </row>
    <row r="818" spans="13:54" x14ac:dyDescent="0.25">
      <c r="M818" s="375"/>
      <c r="BB818" s="306" t="str">
        <f t="shared" si="24"/>
        <v/>
      </c>
    </row>
    <row r="819" spans="13:54" x14ac:dyDescent="0.25">
      <c r="M819" s="375"/>
      <c r="BB819" s="306" t="str">
        <f t="shared" si="24"/>
        <v/>
      </c>
    </row>
    <row r="820" spans="13:54" x14ac:dyDescent="0.25">
      <c r="M820" s="375"/>
      <c r="BB820" s="306" t="str">
        <f t="shared" si="24"/>
        <v/>
      </c>
    </row>
    <row r="821" spans="13:54" x14ac:dyDescent="0.25">
      <c r="M821" s="375"/>
      <c r="BB821" s="306" t="str">
        <f t="shared" si="24"/>
        <v/>
      </c>
    </row>
    <row r="822" spans="13:54" x14ac:dyDescent="0.25">
      <c r="M822" s="375"/>
      <c r="BB822" s="306" t="str">
        <f t="shared" si="24"/>
        <v/>
      </c>
    </row>
    <row r="823" spans="13:54" x14ac:dyDescent="0.25">
      <c r="M823" s="375"/>
      <c r="BB823" s="306" t="str">
        <f t="shared" si="24"/>
        <v/>
      </c>
    </row>
    <row r="824" spans="13:54" x14ac:dyDescent="0.25">
      <c r="M824" s="375"/>
      <c r="BB824" s="306" t="str">
        <f t="shared" si="24"/>
        <v/>
      </c>
    </row>
    <row r="825" spans="13:54" x14ac:dyDescent="0.25">
      <c r="M825" s="375"/>
      <c r="BB825" s="306" t="str">
        <f t="shared" si="24"/>
        <v/>
      </c>
    </row>
    <row r="826" spans="13:54" x14ac:dyDescent="0.25">
      <c r="M826" s="375"/>
      <c r="BB826" s="306" t="str">
        <f t="shared" si="24"/>
        <v/>
      </c>
    </row>
    <row r="827" spans="13:54" x14ac:dyDescent="0.25">
      <c r="M827" s="375"/>
      <c r="BB827" s="306" t="str">
        <f t="shared" si="24"/>
        <v/>
      </c>
    </row>
    <row r="828" spans="13:54" x14ac:dyDescent="0.25">
      <c r="M828" s="375"/>
      <c r="BB828" s="306" t="str">
        <f t="shared" si="24"/>
        <v/>
      </c>
    </row>
    <row r="829" spans="13:54" x14ac:dyDescent="0.25">
      <c r="M829" s="375"/>
      <c r="BB829" s="306" t="str">
        <f t="shared" si="24"/>
        <v/>
      </c>
    </row>
    <row r="830" spans="13:54" x14ac:dyDescent="0.25">
      <c r="M830" s="375"/>
      <c r="BB830" s="306" t="str">
        <f t="shared" si="24"/>
        <v/>
      </c>
    </row>
    <row r="831" spans="13:54" x14ac:dyDescent="0.25">
      <c r="M831" s="375"/>
      <c r="BB831" s="306" t="str">
        <f t="shared" si="24"/>
        <v/>
      </c>
    </row>
    <row r="832" spans="13:54" x14ac:dyDescent="0.25">
      <c r="M832" s="375"/>
      <c r="BB832" s="306" t="str">
        <f t="shared" si="24"/>
        <v/>
      </c>
    </row>
    <row r="833" spans="13:54" x14ac:dyDescent="0.25">
      <c r="M833" s="375"/>
      <c r="BB833" s="306" t="str">
        <f t="shared" si="24"/>
        <v/>
      </c>
    </row>
    <row r="834" spans="13:54" x14ac:dyDescent="0.25">
      <c r="M834" s="375"/>
      <c r="BB834" s="306" t="str">
        <f t="shared" si="24"/>
        <v/>
      </c>
    </row>
    <row r="835" spans="13:54" x14ac:dyDescent="0.25">
      <c r="M835" s="375"/>
      <c r="BB835" s="306" t="str">
        <f t="shared" si="24"/>
        <v/>
      </c>
    </row>
    <row r="836" spans="13:54" x14ac:dyDescent="0.25">
      <c r="M836" s="375"/>
      <c r="BB836" s="306" t="str">
        <f t="shared" si="24"/>
        <v/>
      </c>
    </row>
    <row r="837" spans="13:54" x14ac:dyDescent="0.25">
      <c r="M837" s="375"/>
      <c r="BB837" s="306" t="str">
        <f t="shared" ref="BB837:BB900" si="25">IF(AQ837="","",LEFT(AQ837,SEARCH(".",AQ837)-1))</f>
        <v/>
      </c>
    </row>
    <row r="838" spans="13:54" x14ac:dyDescent="0.25">
      <c r="M838" s="375"/>
      <c r="BB838" s="306" t="str">
        <f t="shared" si="25"/>
        <v/>
      </c>
    </row>
    <row r="839" spans="13:54" x14ac:dyDescent="0.25">
      <c r="M839" s="375"/>
      <c r="BB839" s="306" t="str">
        <f t="shared" si="25"/>
        <v/>
      </c>
    </row>
    <row r="840" spans="13:54" x14ac:dyDescent="0.25">
      <c r="M840" s="375"/>
      <c r="BB840" s="306" t="str">
        <f t="shared" si="25"/>
        <v/>
      </c>
    </row>
    <row r="841" spans="13:54" x14ac:dyDescent="0.25">
      <c r="M841" s="375"/>
      <c r="BB841" s="306" t="str">
        <f t="shared" si="25"/>
        <v/>
      </c>
    </row>
    <row r="842" spans="13:54" x14ac:dyDescent="0.25">
      <c r="M842" s="375"/>
      <c r="BB842" s="306" t="str">
        <f t="shared" si="25"/>
        <v/>
      </c>
    </row>
    <row r="843" spans="13:54" x14ac:dyDescent="0.25">
      <c r="M843" s="375"/>
      <c r="BB843" s="306" t="str">
        <f t="shared" si="25"/>
        <v/>
      </c>
    </row>
    <row r="844" spans="13:54" x14ac:dyDescent="0.25">
      <c r="M844" s="375"/>
      <c r="BB844" s="306" t="str">
        <f t="shared" si="25"/>
        <v/>
      </c>
    </row>
    <row r="845" spans="13:54" x14ac:dyDescent="0.25">
      <c r="M845" s="375"/>
      <c r="BB845" s="306" t="str">
        <f t="shared" si="25"/>
        <v/>
      </c>
    </row>
    <row r="846" spans="13:54" x14ac:dyDescent="0.25">
      <c r="M846" s="375"/>
      <c r="BB846" s="306" t="str">
        <f t="shared" si="25"/>
        <v/>
      </c>
    </row>
    <row r="847" spans="13:54" x14ac:dyDescent="0.25">
      <c r="M847" s="375"/>
      <c r="BB847" s="306" t="str">
        <f t="shared" si="25"/>
        <v/>
      </c>
    </row>
    <row r="848" spans="13:54" x14ac:dyDescent="0.25">
      <c r="M848" s="375"/>
      <c r="BB848" s="306" t="str">
        <f t="shared" si="25"/>
        <v/>
      </c>
    </row>
    <row r="849" spans="13:54" x14ac:dyDescent="0.25">
      <c r="M849" s="375"/>
      <c r="BB849" s="306" t="str">
        <f t="shared" si="25"/>
        <v/>
      </c>
    </row>
    <row r="850" spans="13:54" x14ac:dyDescent="0.25">
      <c r="M850" s="375"/>
      <c r="BB850" s="306" t="str">
        <f t="shared" si="25"/>
        <v/>
      </c>
    </row>
    <row r="851" spans="13:54" x14ac:dyDescent="0.25">
      <c r="M851" s="375"/>
      <c r="BB851" s="306" t="str">
        <f t="shared" si="25"/>
        <v/>
      </c>
    </row>
    <row r="852" spans="13:54" x14ac:dyDescent="0.25">
      <c r="M852" s="375"/>
      <c r="BB852" s="306" t="str">
        <f t="shared" si="25"/>
        <v/>
      </c>
    </row>
    <row r="853" spans="13:54" x14ac:dyDescent="0.25">
      <c r="M853" s="375"/>
      <c r="BB853" s="306" t="str">
        <f t="shared" si="25"/>
        <v/>
      </c>
    </row>
    <row r="854" spans="13:54" x14ac:dyDescent="0.25">
      <c r="M854" s="375"/>
      <c r="BB854" s="306" t="str">
        <f t="shared" si="25"/>
        <v/>
      </c>
    </row>
    <row r="855" spans="13:54" x14ac:dyDescent="0.25">
      <c r="M855" s="375"/>
      <c r="BB855" s="306" t="str">
        <f t="shared" si="25"/>
        <v/>
      </c>
    </row>
    <row r="856" spans="13:54" x14ac:dyDescent="0.25">
      <c r="M856" s="375"/>
      <c r="BB856" s="306" t="str">
        <f t="shared" si="25"/>
        <v/>
      </c>
    </row>
    <row r="857" spans="13:54" x14ac:dyDescent="0.25">
      <c r="M857" s="375"/>
      <c r="BB857" s="306" t="str">
        <f t="shared" si="25"/>
        <v/>
      </c>
    </row>
    <row r="858" spans="13:54" x14ac:dyDescent="0.25">
      <c r="M858" s="375"/>
      <c r="BB858" s="306" t="str">
        <f t="shared" si="25"/>
        <v/>
      </c>
    </row>
    <row r="859" spans="13:54" x14ac:dyDescent="0.25">
      <c r="M859" s="375"/>
      <c r="BB859" s="306" t="str">
        <f t="shared" si="25"/>
        <v/>
      </c>
    </row>
    <row r="860" spans="13:54" x14ac:dyDescent="0.25">
      <c r="M860" s="375"/>
      <c r="BB860" s="306" t="str">
        <f t="shared" si="25"/>
        <v/>
      </c>
    </row>
    <row r="861" spans="13:54" x14ac:dyDescent="0.25">
      <c r="M861" s="375"/>
      <c r="BB861" s="306" t="str">
        <f t="shared" si="25"/>
        <v/>
      </c>
    </row>
    <row r="862" spans="13:54" x14ac:dyDescent="0.25">
      <c r="M862" s="375"/>
      <c r="BB862" s="306" t="str">
        <f t="shared" si="25"/>
        <v/>
      </c>
    </row>
    <row r="863" spans="13:54" x14ac:dyDescent="0.25">
      <c r="M863" s="375"/>
      <c r="BB863" s="306" t="str">
        <f t="shared" si="25"/>
        <v/>
      </c>
    </row>
    <row r="864" spans="13:54" x14ac:dyDescent="0.25">
      <c r="M864" s="375"/>
      <c r="BB864" s="306" t="str">
        <f t="shared" si="25"/>
        <v/>
      </c>
    </row>
    <row r="865" spans="13:54" x14ac:dyDescent="0.25">
      <c r="M865" s="375"/>
      <c r="BB865" s="306" t="str">
        <f t="shared" si="25"/>
        <v/>
      </c>
    </row>
    <row r="866" spans="13:54" x14ac:dyDescent="0.25">
      <c r="M866" s="375"/>
      <c r="BB866" s="306" t="str">
        <f t="shared" si="25"/>
        <v/>
      </c>
    </row>
    <row r="867" spans="13:54" x14ac:dyDescent="0.25">
      <c r="M867" s="375"/>
      <c r="BB867" s="306" t="str">
        <f t="shared" si="25"/>
        <v/>
      </c>
    </row>
    <row r="868" spans="13:54" x14ac:dyDescent="0.25">
      <c r="M868" s="375"/>
      <c r="BB868" s="306" t="str">
        <f t="shared" si="25"/>
        <v/>
      </c>
    </row>
    <row r="869" spans="13:54" x14ac:dyDescent="0.25">
      <c r="M869" s="375"/>
      <c r="BB869" s="306" t="str">
        <f t="shared" si="25"/>
        <v/>
      </c>
    </row>
    <row r="870" spans="13:54" x14ac:dyDescent="0.25">
      <c r="M870" s="375"/>
      <c r="BB870" s="306" t="str">
        <f t="shared" si="25"/>
        <v/>
      </c>
    </row>
    <row r="871" spans="13:54" x14ac:dyDescent="0.25">
      <c r="M871" s="375"/>
      <c r="BB871" s="306" t="str">
        <f t="shared" si="25"/>
        <v/>
      </c>
    </row>
    <row r="872" spans="13:54" x14ac:dyDescent="0.25">
      <c r="M872" s="375"/>
      <c r="BB872" s="306" t="str">
        <f t="shared" si="25"/>
        <v/>
      </c>
    </row>
    <row r="873" spans="13:54" x14ac:dyDescent="0.25">
      <c r="M873" s="375"/>
      <c r="BB873" s="306" t="str">
        <f t="shared" si="25"/>
        <v/>
      </c>
    </row>
    <row r="874" spans="13:54" x14ac:dyDescent="0.25">
      <c r="M874" s="375"/>
      <c r="BB874" s="306" t="str">
        <f t="shared" si="25"/>
        <v/>
      </c>
    </row>
    <row r="875" spans="13:54" x14ac:dyDescent="0.25">
      <c r="M875" s="375"/>
      <c r="BB875" s="306" t="str">
        <f t="shared" si="25"/>
        <v/>
      </c>
    </row>
    <row r="876" spans="13:54" x14ac:dyDescent="0.25">
      <c r="M876" s="375"/>
      <c r="BB876" s="306" t="str">
        <f t="shared" si="25"/>
        <v/>
      </c>
    </row>
    <row r="877" spans="13:54" x14ac:dyDescent="0.25">
      <c r="M877" s="375"/>
      <c r="BB877" s="306" t="str">
        <f t="shared" si="25"/>
        <v/>
      </c>
    </row>
    <row r="878" spans="13:54" x14ac:dyDescent="0.25">
      <c r="M878" s="375"/>
      <c r="BB878" s="306" t="str">
        <f t="shared" si="25"/>
        <v/>
      </c>
    </row>
    <row r="879" spans="13:54" x14ac:dyDescent="0.25">
      <c r="M879" s="375"/>
      <c r="BB879" s="306" t="str">
        <f t="shared" si="25"/>
        <v/>
      </c>
    </row>
    <row r="880" spans="13:54" x14ac:dyDescent="0.25">
      <c r="M880" s="375"/>
      <c r="BB880" s="306" t="str">
        <f t="shared" si="25"/>
        <v/>
      </c>
    </row>
    <row r="881" spans="13:54" x14ac:dyDescent="0.25">
      <c r="M881" s="375"/>
      <c r="BB881" s="306" t="str">
        <f t="shared" si="25"/>
        <v/>
      </c>
    </row>
    <row r="882" spans="13:54" x14ac:dyDescent="0.25">
      <c r="M882" s="375"/>
      <c r="BB882" s="306" t="str">
        <f t="shared" si="25"/>
        <v/>
      </c>
    </row>
    <row r="883" spans="13:54" x14ac:dyDescent="0.25">
      <c r="M883" s="375"/>
      <c r="BB883" s="306" t="str">
        <f t="shared" si="25"/>
        <v/>
      </c>
    </row>
    <row r="884" spans="13:54" x14ac:dyDescent="0.25">
      <c r="M884" s="375"/>
      <c r="BB884" s="306" t="str">
        <f t="shared" si="25"/>
        <v/>
      </c>
    </row>
    <row r="885" spans="13:54" x14ac:dyDescent="0.25">
      <c r="M885" s="375"/>
      <c r="BB885" s="306" t="str">
        <f t="shared" si="25"/>
        <v/>
      </c>
    </row>
    <row r="886" spans="13:54" x14ac:dyDescent="0.25">
      <c r="M886" s="375"/>
      <c r="BB886" s="306" t="str">
        <f t="shared" si="25"/>
        <v/>
      </c>
    </row>
    <row r="887" spans="13:54" x14ac:dyDescent="0.25">
      <c r="M887" s="375"/>
      <c r="BB887" s="306" t="str">
        <f t="shared" si="25"/>
        <v/>
      </c>
    </row>
    <row r="888" spans="13:54" x14ac:dyDescent="0.25">
      <c r="M888" s="375"/>
      <c r="BB888" s="306" t="str">
        <f t="shared" si="25"/>
        <v/>
      </c>
    </row>
    <row r="889" spans="13:54" x14ac:dyDescent="0.25">
      <c r="M889" s="375"/>
      <c r="BB889" s="306" t="str">
        <f t="shared" si="25"/>
        <v/>
      </c>
    </row>
    <row r="890" spans="13:54" x14ac:dyDescent="0.25">
      <c r="M890" s="375"/>
      <c r="BB890" s="306" t="str">
        <f t="shared" si="25"/>
        <v/>
      </c>
    </row>
    <row r="891" spans="13:54" x14ac:dyDescent="0.25">
      <c r="M891" s="375"/>
      <c r="BB891" s="306" t="str">
        <f t="shared" si="25"/>
        <v/>
      </c>
    </row>
    <row r="892" spans="13:54" x14ac:dyDescent="0.25">
      <c r="M892" s="375"/>
      <c r="BB892" s="306" t="str">
        <f t="shared" si="25"/>
        <v/>
      </c>
    </row>
    <row r="893" spans="13:54" x14ac:dyDescent="0.25">
      <c r="M893" s="375"/>
      <c r="BB893" s="306" t="str">
        <f t="shared" si="25"/>
        <v/>
      </c>
    </row>
    <row r="894" spans="13:54" x14ac:dyDescent="0.25">
      <c r="M894" s="375"/>
      <c r="BB894" s="306" t="str">
        <f t="shared" si="25"/>
        <v/>
      </c>
    </row>
    <row r="895" spans="13:54" x14ac:dyDescent="0.25">
      <c r="M895" s="375"/>
      <c r="BB895" s="306" t="str">
        <f t="shared" si="25"/>
        <v/>
      </c>
    </row>
    <row r="896" spans="13:54" x14ac:dyDescent="0.25">
      <c r="M896" s="375"/>
      <c r="BB896" s="306" t="str">
        <f t="shared" si="25"/>
        <v/>
      </c>
    </row>
    <row r="897" spans="13:54" x14ac:dyDescent="0.25">
      <c r="M897" s="375"/>
      <c r="BB897" s="306" t="str">
        <f t="shared" si="25"/>
        <v/>
      </c>
    </row>
    <row r="898" spans="13:54" x14ac:dyDescent="0.25">
      <c r="M898" s="375"/>
      <c r="BB898" s="306" t="str">
        <f t="shared" si="25"/>
        <v/>
      </c>
    </row>
    <row r="899" spans="13:54" x14ac:dyDescent="0.25">
      <c r="M899" s="375"/>
      <c r="BB899" s="306" t="str">
        <f t="shared" si="25"/>
        <v/>
      </c>
    </row>
    <row r="900" spans="13:54" x14ac:dyDescent="0.25">
      <c r="M900" s="375"/>
      <c r="BB900" s="306" t="str">
        <f t="shared" si="25"/>
        <v/>
      </c>
    </row>
    <row r="901" spans="13:54" x14ac:dyDescent="0.25">
      <c r="M901" s="375"/>
      <c r="BB901" s="306" t="str">
        <f t="shared" ref="BB901:BB964" si="26">IF(AQ901="","",LEFT(AQ901,SEARCH(".",AQ901)-1))</f>
        <v/>
      </c>
    </row>
    <row r="902" spans="13:54" x14ac:dyDescent="0.25">
      <c r="M902" s="375"/>
      <c r="BB902" s="306" t="str">
        <f t="shared" si="26"/>
        <v/>
      </c>
    </row>
    <row r="903" spans="13:54" x14ac:dyDescent="0.25">
      <c r="M903" s="375"/>
      <c r="BB903" s="306" t="str">
        <f t="shared" si="26"/>
        <v/>
      </c>
    </row>
    <row r="904" spans="13:54" x14ac:dyDescent="0.25">
      <c r="M904" s="375"/>
      <c r="BB904" s="306" t="str">
        <f t="shared" si="26"/>
        <v/>
      </c>
    </row>
    <row r="905" spans="13:54" x14ac:dyDescent="0.25">
      <c r="M905" s="375"/>
      <c r="BB905" s="306" t="str">
        <f t="shared" si="26"/>
        <v/>
      </c>
    </row>
    <row r="906" spans="13:54" x14ac:dyDescent="0.25">
      <c r="M906" s="375"/>
      <c r="BB906" s="306" t="str">
        <f t="shared" si="26"/>
        <v/>
      </c>
    </row>
    <row r="907" spans="13:54" x14ac:dyDescent="0.25">
      <c r="M907" s="375"/>
      <c r="BB907" s="306" t="str">
        <f t="shared" si="26"/>
        <v/>
      </c>
    </row>
    <row r="908" spans="13:54" x14ac:dyDescent="0.25">
      <c r="M908" s="375"/>
      <c r="BB908" s="306" t="str">
        <f t="shared" si="26"/>
        <v/>
      </c>
    </row>
    <row r="909" spans="13:54" x14ac:dyDescent="0.25">
      <c r="M909" s="375"/>
      <c r="BB909" s="306" t="str">
        <f t="shared" si="26"/>
        <v/>
      </c>
    </row>
    <row r="910" spans="13:54" x14ac:dyDescent="0.25">
      <c r="M910" s="375"/>
      <c r="BB910" s="306" t="str">
        <f t="shared" si="26"/>
        <v/>
      </c>
    </row>
    <row r="911" spans="13:54" x14ac:dyDescent="0.25">
      <c r="M911" s="375"/>
      <c r="BB911" s="306" t="str">
        <f t="shared" si="26"/>
        <v/>
      </c>
    </row>
    <row r="912" spans="13:54" x14ac:dyDescent="0.25">
      <c r="M912" s="375"/>
      <c r="BB912" s="306" t="str">
        <f t="shared" si="26"/>
        <v/>
      </c>
    </row>
    <row r="913" spans="13:54" x14ac:dyDescent="0.25">
      <c r="M913" s="375"/>
      <c r="BB913" s="306" t="str">
        <f t="shared" si="26"/>
        <v/>
      </c>
    </row>
    <row r="914" spans="13:54" x14ac:dyDescent="0.25">
      <c r="M914" s="375"/>
      <c r="BB914" s="306" t="str">
        <f t="shared" si="26"/>
        <v/>
      </c>
    </row>
    <row r="915" spans="13:54" x14ac:dyDescent="0.25">
      <c r="M915" s="375"/>
      <c r="BB915" s="306" t="str">
        <f t="shared" si="26"/>
        <v/>
      </c>
    </row>
    <row r="916" spans="13:54" x14ac:dyDescent="0.25">
      <c r="M916" s="375"/>
      <c r="BB916" s="306" t="str">
        <f t="shared" si="26"/>
        <v/>
      </c>
    </row>
    <row r="917" spans="13:54" x14ac:dyDescent="0.25">
      <c r="M917" s="375"/>
      <c r="BB917" s="306" t="str">
        <f t="shared" si="26"/>
        <v/>
      </c>
    </row>
    <row r="918" spans="13:54" x14ac:dyDescent="0.25">
      <c r="M918" s="375"/>
      <c r="BB918" s="306" t="str">
        <f t="shared" si="26"/>
        <v/>
      </c>
    </row>
    <row r="919" spans="13:54" x14ac:dyDescent="0.25">
      <c r="M919" s="375"/>
      <c r="BB919" s="306" t="str">
        <f t="shared" si="26"/>
        <v/>
      </c>
    </row>
    <row r="920" spans="13:54" x14ac:dyDescent="0.25">
      <c r="M920" s="375"/>
      <c r="BB920" s="306" t="str">
        <f t="shared" si="26"/>
        <v/>
      </c>
    </row>
    <row r="921" spans="13:54" x14ac:dyDescent="0.25">
      <c r="M921" s="375"/>
      <c r="BB921" s="306" t="str">
        <f t="shared" si="26"/>
        <v/>
      </c>
    </row>
    <row r="922" spans="13:54" x14ac:dyDescent="0.25">
      <c r="M922" s="375"/>
      <c r="BB922" s="306" t="str">
        <f t="shared" si="26"/>
        <v/>
      </c>
    </row>
    <row r="923" spans="13:54" x14ac:dyDescent="0.25">
      <c r="M923" s="375"/>
      <c r="BB923" s="306" t="str">
        <f t="shared" si="26"/>
        <v/>
      </c>
    </row>
    <row r="924" spans="13:54" x14ac:dyDescent="0.25">
      <c r="M924" s="375"/>
      <c r="BB924" s="306" t="str">
        <f t="shared" si="26"/>
        <v/>
      </c>
    </row>
    <row r="925" spans="13:54" x14ac:dyDescent="0.25">
      <c r="M925" s="375"/>
      <c r="BB925" s="306" t="str">
        <f t="shared" si="26"/>
        <v/>
      </c>
    </row>
    <row r="926" spans="13:54" x14ac:dyDescent="0.25">
      <c r="M926" s="375"/>
      <c r="BB926" s="306" t="str">
        <f t="shared" si="26"/>
        <v/>
      </c>
    </row>
    <row r="927" spans="13:54" x14ac:dyDescent="0.25">
      <c r="M927" s="375"/>
      <c r="BB927" s="306" t="str">
        <f t="shared" si="26"/>
        <v/>
      </c>
    </row>
    <row r="928" spans="13:54" x14ac:dyDescent="0.25">
      <c r="M928" s="375"/>
      <c r="BB928" s="306" t="str">
        <f t="shared" si="26"/>
        <v/>
      </c>
    </row>
    <row r="929" spans="13:54" x14ac:dyDescent="0.25">
      <c r="M929" s="375"/>
      <c r="BB929" s="306" t="str">
        <f t="shared" si="26"/>
        <v/>
      </c>
    </row>
    <row r="930" spans="13:54" x14ac:dyDescent="0.25">
      <c r="M930" s="375"/>
      <c r="BB930" s="306" t="str">
        <f t="shared" si="26"/>
        <v/>
      </c>
    </row>
    <row r="931" spans="13:54" x14ac:dyDescent="0.25">
      <c r="M931" s="375"/>
      <c r="BB931" s="306" t="str">
        <f t="shared" si="26"/>
        <v/>
      </c>
    </row>
    <row r="932" spans="13:54" x14ac:dyDescent="0.25">
      <c r="M932" s="375"/>
      <c r="BB932" s="306" t="str">
        <f t="shared" si="26"/>
        <v/>
      </c>
    </row>
    <row r="933" spans="13:54" x14ac:dyDescent="0.25">
      <c r="M933" s="375"/>
      <c r="BB933" s="306" t="str">
        <f t="shared" si="26"/>
        <v/>
      </c>
    </row>
    <row r="934" spans="13:54" x14ac:dyDescent="0.25">
      <c r="M934" s="375"/>
      <c r="BB934" s="306" t="str">
        <f t="shared" si="26"/>
        <v/>
      </c>
    </row>
    <row r="935" spans="13:54" x14ac:dyDescent="0.25">
      <c r="M935" s="375"/>
      <c r="BB935" s="306" t="str">
        <f t="shared" si="26"/>
        <v/>
      </c>
    </row>
    <row r="936" spans="13:54" x14ac:dyDescent="0.25">
      <c r="M936" s="375"/>
      <c r="BB936" s="306" t="str">
        <f t="shared" si="26"/>
        <v/>
      </c>
    </row>
    <row r="937" spans="13:54" x14ac:dyDescent="0.25">
      <c r="M937" s="375"/>
      <c r="BB937" s="306" t="str">
        <f t="shared" si="26"/>
        <v/>
      </c>
    </row>
    <row r="938" spans="13:54" x14ac:dyDescent="0.25">
      <c r="M938" s="375"/>
      <c r="BB938" s="306" t="str">
        <f t="shared" si="26"/>
        <v/>
      </c>
    </row>
    <row r="939" spans="13:54" x14ac:dyDescent="0.25">
      <c r="M939" s="375"/>
      <c r="BB939" s="306" t="str">
        <f t="shared" si="26"/>
        <v/>
      </c>
    </row>
    <row r="940" spans="13:54" x14ac:dyDescent="0.25">
      <c r="M940" s="375"/>
      <c r="BB940" s="306" t="str">
        <f t="shared" si="26"/>
        <v/>
      </c>
    </row>
    <row r="941" spans="13:54" x14ac:dyDescent="0.25">
      <c r="M941" s="375"/>
      <c r="BB941" s="306" t="str">
        <f t="shared" si="26"/>
        <v/>
      </c>
    </row>
    <row r="942" spans="13:54" x14ac:dyDescent="0.25">
      <c r="M942" s="375"/>
      <c r="BB942" s="306" t="str">
        <f t="shared" si="26"/>
        <v/>
      </c>
    </row>
    <row r="943" spans="13:54" x14ac:dyDescent="0.25">
      <c r="M943" s="375"/>
      <c r="BB943" s="306" t="str">
        <f t="shared" si="26"/>
        <v/>
      </c>
    </row>
    <row r="944" spans="13:54" x14ac:dyDescent="0.25">
      <c r="M944" s="375"/>
      <c r="BB944" s="306" t="str">
        <f t="shared" si="26"/>
        <v/>
      </c>
    </row>
    <row r="945" spans="13:54" x14ac:dyDescent="0.25">
      <c r="M945" s="375"/>
      <c r="BB945" s="306" t="str">
        <f t="shared" si="26"/>
        <v/>
      </c>
    </row>
    <row r="946" spans="13:54" x14ac:dyDescent="0.25">
      <c r="M946" s="375"/>
      <c r="BB946" s="306" t="str">
        <f t="shared" si="26"/>
        <v/>
      </c>
    </row>
    <row r="947" spans="13:54" x14ac:dyDescent="0.25">
      <c r="M947" s="375"/>
      <c r="BB947" s="306" t="str">
        <f t="shared" si="26"/>
        <v/>
      </c>
    </row>
    <row r="948" spans="13:54" x14ac:dyDescent="0.25">
      <c r="M948" s="375"/>
      <c r="BB948" s="306" t="str">
        <f t="shared" si="26"/>
        <v/>
      </c>
    </row>
    <row r="949" spans="13:54" x14ac:dyDescent="0.25">
      <c r="M949" s="375"/>
      <c r="BB949" s="306" t="str">
        <f t="shared" si="26"/>
        <v/>
      </c>
    </row>
    <row r="950" spans="13:54" x14ac:dyDescent="0.25">
      <c r="M950" s="375"/>
      <c r="BB950" s="306" t="str">
        <f t="shared" si="26"/>
        <v/>
      </c>
    </row>
    <row r="951" spans="13:54" x14ac:dyDescent="0.25">
      <c r="M951" s="375"/>
      <c r="BB951" s="306" t="str">
        <f t="shared" si="26"/>
        <v/>
      </c>
    </row>
    <row r="952" spans="13:54" x14ac:dyDescent="0.25">
      <c r="M952" s="375"/>
      <c r="BB952" s="306" t="str">
        <f t="shared" si="26"/>
        <v/>
      </c>
    </row>
    <row r="953" spans="13:54" x14ac:dyDescent="0.25">
      <c r="M953" s="375"/>
      <c r="BB953" s="306" t="str">
        <f t="shared" si="26"/>
        <v/>
      </c>
    </row>
    <row r="954" spans="13:54" x14ac:dyDescent="0.25">
      <c r="M954" s="375"/>
      <c r="BB954" s="306" t="str">
        <f t="shared" si="26"/>
        <v/>
      </c>
    </row>
    <row r="955" spans="13:54" x14ac:dyDescent="0.25">
      <c r="M955" s="375"/>
      <c r="BB955" s="306" t="str">
        <f t="shared" si="26"/>
        <v/>
      </c>
    </row>
    <row r="956" spans="13:54" x14ac:dyDescent="0.25">
      <c r="M956" s="375"/>
      <c r="BB956" s="306" t="str">
        <f t="shared" si="26"/>
        <v/>
      </c>
    </row>
    <row r="957" spans="13:54" x14ac:dyDescent="0.25">
      <c r="M957" s="375"/>
      <c r="BB957" s="306" t="str">
        <f t="shared" si="26"/>
        <v/>
      </c>
    </row>
    <row r="958" spans="13:54" x14ac:dyDescent="0.25">
      <c r="M958" s="375"/>
      <c r="BB958" s="306" t="str">
        <f t="shared" si="26"/>
        <v/>
      </c>
    </row>
    <row r="959" spans="13:54" x14ac:dyDescent="0.25">
      <c r="M959" s="375"/>
      <c r="BB959" s="306" t="str">
        <f t="shared" si="26"/>
        <v/>
      </c>
    </row>
    <row r="960" spans="13:54" x14ac:dyDescent="0.25">
      <c r="M960" s="375"/>
      <c r="BB960" s="306" t="str">
        <f t="shared" si="26"/>
        <v/>
      </c>
    </row>
    <row r="961" spans="13:54" x14ac:dyDescent="0.25">
      <c r="M961" s="375"/>
      <c r="BB961" s="306" t="str">
        <f t="shared" si="26"/>
        <v/>
      </c>
    </row>
    <row r="962" spans="13:54" x14ac:dyDescent="0.25">
      <c r="M962" s="375"/>
      <c r="BB962" s="306" t="str">
        <f t="shared" si="26"/>
        <v/>
      </c>
    </row>
    <row r="963" spans="13:54" x14ac:dyDescent="0.25">
      <c r="M963" s="375"/>
      <c r="BB963" s="306" t="str">
        <f t="shared" si="26"/>
        <v/>
      </c>
    </row>
    <row r="964" spans="13:54" x14ac:dyDescent="0.25">
      <c r="M964" s="375"/>
      <c r="BB964" s="306" t="str">
        <f t="shared" si="26"/>
        <v/>
      </c>
    </row>
    <row r="965" spans="13:54" x14ac:dyDescent="0.25">
      <c r="M965" s="375"/>
      <c r="BB965" s="306" t="str">
        <f t="shared" ref="BB965:BB1000" si="27">IF(AQ965="","",LEFT(AQ965,SEARCH(".",AQ965)-1))</f>
        <v/>
      </c>
    </row>
    <row r="966" spans="13:54" x14ac:dyDescent="0.25">
      <c r="M966" s="375"/>
      <c r="BB966" s="306" t="str">
        <f t="shared" si="27"/>
        <v/>
      </c>
    </row>
    <row r="967" spans="13:54" x14ac:dyDescent="0.25">
      <c r="M967" s="375"/>
      <c r="BB967" s="306" t="str">
        <f t="shared" si="27"/>
        <v/>
      </c>
    </row>
    <row r="968" spans="13:54" x14ac:dyDescent="0.25">
      <c r="M968" s="375"/>
      <c r="BB968" s="306" t="str">
        <f t="shared" si="27"/>
        <v/>
      </c>
    </row>
    <row r="969" spans="13:54" x14ac:dyDescent="0.25">
      <c r="M969" s="375"/>
      <c r="BB969" s="306" t="str">
        <f t="shared" si="27"/>
        <v/>
      </c>
    </row>
    <row r="970" spans="13:54" x14ac:dyDescent="0.25">
      <c r="M970" s="375"/>
      <c r="BB970" s="306" t="str">
        <f t="shared" si="27"/>
        <v/>
      </c>
    </row>
    <row r="971" spans="13:54" x14ac:dyDescent="0.25">
      <c r="M971" s="375"/>
      <c r="BB971" s="306" t="str">
        <f t="shared" si="27"/>
        <v/>
      </c>
    </row>
    <row r="972" spans="13:54" x14ac:dyDescent="0.25">
      <c r="M972" s="375"/>
      <c r="BB972" s="306" t="str">
        <f t="shared" si="27"/>
        <v/>
      </c>
    </row>
    <row r="973" spans="13:54" x14ac:dyDescent="0.25">
      <c r="M973" s="375"/>
      <c r="BB973" s="306" t="str">
        <f t="shared" si="27"/>
        <v/>
      </c>
    </row>
    <row r="974" spans="13:54" x14ac:dyDescent="0.25">
      <c r="M974" s="375"/>
      <c r="BB974" s="306" t="str">
        <f t="shared" si="27"/>
        <v/>
      </c>
    </row>
    <row r="975" spans="13:54" x14ac:dyDescent="0.25">
      <c r="M975" s="375"/>
      <c r="BB975" s="306" t="str">
        <f t="shared" si="27"/>
        <v/>
      </c>
    </row>
    <row r="976" spans="13:54" x14ac:dyDescent="0.25">
      <c r="M976" s="375"/>
      <c r="BB976" s="306" t="str">
        <f t="shared" si="27"/>
        <v/>
      </c>
    </row>
    <row r="977" spans="13:54" x14ac:dyDescent="0.25">
      <c r="M977" s="375"/>
      <c r="BB977" s="306" t="str">
        <f t="shared" si="27"/>
        <v/>
      </c>
    </row>
    <row r="978" spans="13:54" x14ac:dyDescent="0.25">
      <c r="M978" s="375"/>
      <c r="BB978" s="306" t="str">
        <f t="shared" si="27"/>
        <v/>
      </c>
    </row>
    <row r="979" spans="13:54" x14ac:dyDescent="0.25">
      <c r="M979" s="375"/>
      <c r="BB979" s="306" t="str">
        <f t="shared" si="27"/>
        <v/>
      </c>
    </row>
    <row r="980" spans="13:54" x14ac:dyDescent="0.25">
      <c r="M980" s="375"/>
      <c r="BB980" s="306" t="str">
        <f t="shared" si="27"/>
        <v/>
      </c>
    </row>
    <row r="981" spans="13:54" x14ac:dyDescent="0.25">
      <c r="M981" s="375"/>
      <c r="BB981" s="306" t="str">
        <f t="shared" si="27"/>
        <v/>
      </c>
    </row>
    <row r="982" spans="13:54" x14ac:dyDescent="0.25">
      <c r="M982" s="375"/>
      <c r="BB982" s="306" t="str">
        <f t="shared" si="27"/>
        <v/>
      </c>
    </row>
    <row r="983" spans="13:54" x14ac:dyDescent="0.25">
      <c r="M983" s="375"/>
      <c r="BB983" s="306" t="str">
        <f t="shared" si="27"/>
        <v/>
      </c>
    </row>
    <row r="984" spans="13:54" x14ac:dyDescent="0.25">
      <c r="M984" s="375"/>
      <c r="BB984" s="306" t="str">
        <f t="shared" si="27"/>
        <v/>
      </c>
    </row>
    <row r="985" spans="13:54" x14ac:dyDescent="0.25">
      <c r="M985" s="375"/>
      <c r="BB985" s="306" t="str">
        <f t="shared" si="27"/>
        <v/>
      </c>
    </row>
    <row r="986" spans="13:54" x14ac:dyDescent="0.25">
      <c r="M986" s="375"/>
      <c r="BB986" s="306" t="str">
        <f t="shared" si="27"/>
        <v/>
      </c>
    </row>
    <row r="987" spans="13:54" x14ac:dyDescent="0.25">
      <c r="M987" s="375"/>
      <c r="BB987" s="306" t="str">
        <f t="shared" si="27"/>
        <v/>
      </c>
    </row>
    <row r="988" spans="13:54" x14ac:dyDescent="0.25">
      <c r="M988" s="375"/>
      <c r="BB988" s="306" t="str">
        <f t="shared" si="27"/>
        <v/>
      </c>
    </row>
    <row r="989" spans="13:54" x14ac:dyDescent="0.25">
      <c r="M989" s="375"/>
      <c r="BB989" s="306" t="str">
        <f t="shared" si="27"/>
        <v/>
      </c>
    </row>
    <row r="990" spans="13:54" x14ac:dyDescent="0.25">
      <c r="M990" s="375"/>
      <c r="BB990" s="306" t="str">
        <f t="shared" si="27"/>
        <v/>
      </c>
    </row>
    <row r="991" spans="13:54" x14ac:dyDescent="0.25">
      <c r="M991" s="375"/>
      <c r="BB991" s="306" t="str">
        <f t="shared" si="27"/>
        <v/>
      </c>
    </row>
    <row r="992" spans="13:54" x14ac:dyDescent="0.25">
      <c r="M992" s="375"/>
      <c r="BB992" s="306" t="str">
        <f t="shared" si="27"/>
        <v/>
      </c>
    </row>
    <row r="993" spans="13:54" x14ac:dyDescent="0.25">
      <c r="M993" s="375"/>
      <c r="BB993" s="306" t="str">
        <f t="shared" si="27"/>
        <v/>
      </c>
    </row>
    <row r="994" spans="13:54" x14ac:dyDescent="0.25">
      <c r="M994" s="375"/>
      <c r="BB994" s="306" t="str">
        <f t="shared" si="27"/>
        <v/>
      </c>
    </row>
    <row r="995" spans="13:54" x14ac:dyDescent="0.25">
      <c r="M995" s="375"/>
      <c r="BB995" s="306" t="str">
        <f t="shared" si="27"/>
        <v/>
      </c>
    </row>
    <row r="996" spans="13:54" x14ac:dyDescent="0.25">
      <c r="M996" s="375"/>
      <c r="BB996" s="306" t="str">
        <f t="shared" si="27"/>
        <v/>
      </c>
    </row>
    <row r="997" spans="13:54" x14ac:dyDescent="0.25">
      <c r="M997" s="375"/>
      <c r="BB997" s="306" t="str">
        <f t="shared" si="27"/>
        <v/>
      </c>
    </row>
    <row r="998" spans="13:54" x14ac:dyDescent="0.25">
      <c r="M998" s="375"/>
      <c r="BB998" s="306" t="str">
        <f t="shared" si="27"/>
        <v/>
      </c>
    </row>
    <row r="999" spans="13:54" x14ac:dyDescent="0.25">
      <c r="M999" s="375"/>
      <c r="BB999" s="306" t="str">
        <f t="shared" si="27"/>
        <v/>
      </c>
    </row>
    <row r="1000" spans="13:54" x14ac:dyDescent="0.25">
      <c r="M1000" s="375"/>
      <c r="BB1000" s="306" t="str">
        <f t="shared" si="27"/>
        <v/>
      </c>
    </row>
    <row r="1001" spans="13:54" x14ac:dyDescent="0.25">
      <c r="M1001" s="375"/>
    </row>
    <row r="1002" spans="13:54" x14ac:dyDescent="0.25">
      <c r="M1002" s="375"/>
    </row>
    <row r="1003" spans="13:54" x14ac:dyDescent="0.25">
      <c r="M1003" s="375"/>
    </row>
    <row r="1004" spans="13:54" x14ac:dyDescent="0.25">
      <c r="M1004" s="375"/>
    </row>
    <row r="1005" spans="13:54" x14ac:dyDescent="0.25">
      <c r="M1005" s="375"/>
    </row>
    <row r="1006" spans="13:54" x14ac:dyDescent="0.25">
      <c r="M1006" s="375"/>
    </row>
    <row r="1007" spans="13:54" x14ac:dyDescent="0.25">
      <c r="M1007" s="375"/>
    </row>
    <row r="1008" spans="13:54" x14ac:dyDescent="0.25">
      <c r="M1008" s="375"/>
    </row>
    <row r="1009" spans="13:13" x14ac:dyDescent="0.25">
      <c r="M1009" s="375"/>
    </row>
    <row r="1010" spans="13:13" x14ac:dyDescent="0.25">
      <c r="M1010" s="375"/>
    </row>
    <row r="1011" spans="13:13" x14ac:dyDescent="0.25">
      <c r="M1011" s="375"/>
    </row>
    <row r="1012" spans="13:13" x14ac:dyDescent="0.25">
      <c r="M1012" s="375"/>
    </row>
    <row r="1013" spans="13:13" x14ac:dyDescent="0.25">
      <c r="M1013" s="375"/>
    </row>
    <row r="1014" spans="13:13" x14ac:dyDescent="0.25">
      <c r="M1014" s="375"/>
    </row>
    <row r="1015" spans="13:13" x14ac:dyDescent="0.25">
      <c r="M1015" s="375"/>
    </row>
    <row r="1016" spans="13:13" x14ac:dyDescent="0.25">
      <c r="M1016" s="375"/>
    </row>
    <row r="1017" spans="13:13" x14ac:dyDescent="0.25">
      <c r="M1017" s="375"/>
    </row>
    <row r="1018" spans="13:13" x14ac:dyDescent="0.25">
      <c r="M1018" s="375"/>
    </row>
    <row r="1019" spans="13:13" x14ac:dyDescent="0.25">
      <c r="M1019" s="375"/>
    </row>
    <row r="1020" spans="13:13" x14ac:dyDescent="0.25">
      <c r="M1020" s="375"/>
    </row>
    <row r="1021" spans="13:13" x14ac:dyDescent="0.25">
      <c r="M1021" s="375"/>
    </row>
    <row r="1022" spans="13:13" x14ac:dyDescent="0.25">
      <c r="M1022" s="375"/>
    </row>
    <row r="1023" spans="13:13" x14ac:dyDescent="0.25">
      <c r="M1023" s="375"/>
    </row>
    <row r="1024" spans="13:13" x14ac:dyDescent="0.25">
      <c r="M1024" s="375"/>
    </row>
    <row r="1025" spans="13:13" x14ac:dyDescent="0.25">
      <c r="M1025" s="375"/>
    </row>
    <row r="1026" spans="13:13" x14ac:dyDescent="0.25">
      <c r="M1026" s="375"/>
    </row>
    <row r="1027" spans="13:13" x14ac:dyDescent="0.25">
      <c r="M1027" s="375"/>
    </row>
    <row r="1028" spans="13:13" x14ac:dyDescent="0.25">
      <c r="M1028" s="375"/>
    </row>
    <row r="1029" spans="13:13" x14ac:dyDescent="0.25">
      <c r="M1029" s="375"/>
    </row>
    <row r="1030" spans="13:13" x14ac:dyDescent="0.25">
      <c r="M1030" s="375"/>
    </row>
    <row r="1031" spans="13:13" x14ac:dyDescent="0.25">
      <c r="M1031" s="375"/>
    </row>
    <row r="1032" spans="13:13" x14ac:dyDescent="0.25">
      <c r="M1032" s="375"/>
    </row>
    <row r="1033" spans="13:13" x14ac:dyDescent="0.25">
      <c r="M1033" s="375"/>
    </row>
    <row r="1034" spans="13:13" x14ac:dyDescent="0.25">
      <c r="M1034" s="375"/>
    </row>
    <row r="1035" spans="13:13" x14ac:dyDescent="0.25">
      <c r="M1035" s="375"/>
    </row>
    <row r="1036" spans="13:13" x14ac:dyDescent="0.25">
      <c r="M1036" s="375"/>
    </row>
    <row r="1037" spans="13:13" x14ac:dyDescent="0.25">
      <c r="M1037" s="375"/>
    </row>
    <row r="1038" spans="13:13" x14ac:dyDescent="0.25">
      <c r="M1038" s="375"/>
    </row>
    <row r="1039" spans="13:13" x14ac:dyDescent="0.25">
      <c r="M1039" s="375"/>
    </row>
    <row r="1040" spans="13:13" x14ac:dyDescent="0.25">
      <c r="M1040" s="375"/>
    </row>
    <row r="1041" spans="13:13" x14ac:dyDescent="0.25">
      <c r="M1041" s="375"/>
    </row>
    <row r="1042" spans="13:13" x14ac:dyDescent="0.25">
      <c r="M1042" s="375"/>
    </row>
    <row r="1043" spans="13:13" x14ac:dyDescent="0.25">
      <c r="M1043" s="375"/>
    </row>
    <row r="1044" spans="13:13" x14ac:dyDescent="0.25">
      <c r="M1044" s="375"/>
    </row>
    <row r="1045" spans="13:13" x14ac:dyDescent="0.25">
      <c r="M1045" s="375"/>
    </row>
    <row r="1046" spans="13:13" x14ac:dyDescent="0.25">
      <c r="M1046" s="375"/>
    </row>
    <row r="1047" spans="13:13" x14ac:dyDescent="0.25">
      <c r="M1047" s="375"/>
    </row>
    <row r="1048" spans="13:13" x14ac:dyDescent="0.25">
      <c r="M1048" s="375"/>
    </row>
    <row r="1049" spans="13:13" x14ac:dyDescent="0.25">
      <c r="M1049" s="375"/>
    </row>
    <row r="1050" spans="13:13" x14ac:dyDescent="0.25">
      <c r="M1050" s="375"/>
    </row>
    <row r="1051" spans="13:13" x14ac:dyDescent="0.25">
      <c r="M1051" s="375"/>
    </row>
    <row r="1052" spans="13:13" x14ac:dyDescent="0.25">
      <c r="M1052" s="375"/>
    </row>
    <row r="1053" spans="13:13" x14ac:dyDescent="0.25">
      <c r="M1053" s="375"/>
    </row>
    <row r="1054" spans="13:13" x14ac:dyDescent="0.25">
      <c r="M1054" s="375"/>
    </row>
    <row r="1055" spans="13:13" x14ac:dyDescent="0.25">
      <c r="M1055" s="375"/>
    </row>
    <row r="1056" spans="13:13" x14ac:dyDescent="0.25">
      <c r="M1056" s="375"/>
    </row>
    <row r="1057" spans="13:13" x14ac:dyDescent="0.25">
      <c r="M1057" s="375"/>
    </row>
    <row r="1058" spans="13:13" x14ac:dyDescent="0.25">
      <c r="M1058" s="375"/>
    </row>
    <row r="1059" spans="13:13" x14ac:dyDescent="0.25">
      <c r="M1059" s="375"/>
    </row>
    <row r="1060" spans="13:13" x14ac:dyDescent="0.25">
      <c r="M1060" s="375"/>
    </row>
    <row r="1061" spans="13:13" x14ac:dyDescent="0.25">
      <c r="M1061" s="375"/>
    </row>
    <row r="1062" spans="13:13" x14ac:dyDescent="0.25">
      <c r="M1062" s="375"/>
    </row>
    <row r="1063" spans="13:13" x14ac:dyDescent="0.25">
      <c r="M1063" s="375"/>
    </row>
    <row r="1064" spans="13:13" x14ac:dyDescent="0.25">
      <c r="M1064" s="375"/>
    </row>
    <row r="1065" spans="13:13" x14ac:dyDescent="0.25">
      <c r="M1065" s="375"/>
    </row>
    <row r="1066" spans="13:13" x14ac:dyDescent="0.25">
      <c r="M1066" s="375"/>
    </row>
    <row r="1067" spans="13:13" x14ac:dyDescent="0.25">
      <c r="M1067" s="375"/>
    </row>
    <row r="1068" spans="13:13" x14ac:dyDescent="0.25">
      <c r="M1068" s="375"/>
    </row>
    <row r="1069" spans="13:13" x14ac:dyDescent="0.25">
      <c r="M1069" s="375"/>
    </row>
    <row r="1070" spans="13:13" x14ac:dyDescent="0.25">
      <c r="M1070" s="375"/>
    </row>
    <row r="1071" spans="13:13" x14ac:dyDescent="0.25">
      <c r="M1071" s="375"/>
    </row>
    <row r="1072" spans="13:13" x14ac:dyDescent="0.25">
      <c r="M1072" s="375"/>
    </row>
    <row r="1073" spans="13:13" x14ac:dyDescent="0.25">
      <c r="M1073" s="375"/>
    </row>
    <row r="1074" spans="13:13" x14ac:dyDescent="0.25">
      <c r="M1074" s="375"/>
    </row>
    <row r="1075" spans="13:13" x14ac:dyDescent="0.25">
      <c r="M1075" s="375"/>
    </row>
    <row r="1076" spans="13:13" x14ac:dyDescent="0.25">
      <c r="M1076" s="375"/>
    </row>
    <row r="1077" spans="13:13" x14ac:dyDescent="0.25">
      <c r="M1077" s="375"/>
    </row>
    <row r="1078" spans="13:13" x14ac:dyDescent="0.25">
      <c r="M1078" s="375"/>
    </row>
    <row r="1079" spans="13:13" x14ac:dyDescent="0.25">
      <c r="M1079" s="375"/>
    </row>
    <row r="1080" spans="13:13" x14ac:dyDescent="0.25">
      <c r="M1080" s="375"/>
    </row>
    <row r="1081" spans="13:13" x14ac:dyDescent="0.25">
      <c r="M1081" s="375"/>
    </row>
    <row r="1082" spans="13:13" x14ac:dyDescent="0.25">
      <c r="M1082" s="375"/>
    </row>
    <row r="1083" spans="13:13" x14ac:dyDescent="0.25">
      <c r="M1083" s="375"/>
    </row>
    <row r="1084" spans="13:13" x14ac:dyDescent="0.25">
      <c r="M1084" s="375"/>
    </row>
    <row r="1085" spans="13:13" x14ac:dyDescent="0.25">
      <c r="M1085" s="375"/>
    </row>
    <row r="1086" spans="13:13" x14ac:dyDescent="0.25">
      <c r="M1086" s="375"/>
    </row>
    <row r="1087" spans="13:13" x14ac:dyDescent="0.25">
      <c r="M1087" s="375"/>
    </row>
    <row r="1088" spans="13:13" x14ac:dyDescent="0.25">
      <c r="M1088" s="375"/>
    </row>
    <row r="1089" spans="13:13" x14ac:dyDescent="0.25">
      <c r="M1089" s="375"/>
    </row>
    <row r="1090" spans="13:13" x14ac:dyDescent="0.25">
      <c r="M1090" s="375"/>
    </row>
    <row r="1091" spans="13:13" x14ac:dyDescent="0.25">
      <c r="M1091" s="375"/>
    </row>
    <row r="1092" spans="13:13" x14ac:dyDescent="0.25">
      <c r="M1092" s="375"/>
    </row>
    <row r="1093" spans="13:13" x14ac:dyDescent="0.25">
      <c r="M1093" s="375"/>
    </row>
    <row r="1094" spans="13:13" x14ac:dyDescent="0.25">
      <c r="M1094" s="375"/>
    </row>
    <row r="1095" spans="13:13" x14ac:dyDescent="0.25">
      <c r="M1095" s="375"/>
    </row>
    <row r="1096" spans="13:13" x14ac:dyDescent="0.25">
      <c r="M1096" s="375"/>
    </row>
    <row r="1097" spans="13:13" x14ac:dyDescent="0.25">
      <c r="M1097" s="375"/>
    </row>
    <row r="1098" spans="13:13" x14ac:dyDescent="0.25">
      <c r="M1098" s="375"/>
    </row>
    <row r="1099" spans="13:13" x14ac:dyDescent="0.25">
      <c r="M1099" s="375"/>
    </row>
    <row r="1100" spans="13:13" x14ac:dyDescent="0.25">
      <c r="M1100" s="375"/>
    </row>
    <row r="1101" spans="13:13" x14ac:dyDescent="0.25">
      <c r="M1101" s="375"/>
    </row>
    <row r="1102" spans="13:13" x14ac:dyDescent="0.25">
      <c r="M1102" s="375"/>
    </row>
    <row r="1103" spans="13:13" x14ac:dyDescent="0.25">
      <c r="M1103" s="375"/>
    </row>
    <row r="1104" spans="13:13" x14ac:dyDescent="0.25">
      <c r="M1104" s="375"/>
    </row>
    <row r="1105" spans="13:13" x14ac:dyDescent="0.25">
      <c r="M1105" s="375"/>
    </row>
    <row r="1106" spans="13:13" x14ac:dyDescent="0.25">
      <c r="M1106" s="375"/>
    </row>
    <row r="1107" spans="13:13" x14ac:dyDescent="0.25">
      <c r="M1107" s="375"/>
    </row>
    <row r="1108" spans="13:13" x14ac:dyDescent="0.25">
      <c r="M1108" s="375"/>
    </row>
    <row r="1109" spans="13:13" x14ac:dyDescent="0.25">
      <c r="M1109" s="375"/>
    </row>
    <row r="1110" spans="13:13" x14ac:dyDescent="0.25">
      <c r="M1110" s="375"/>
    </row>
    <row r="1111" spans="13:13" x14ac:dyDescent="0.25">
      <c r="M1111" s="375"/>
    </row>
    <row r="1112" spans="13:13" x14ac:dyDescent="0.25">
      <c r="M1112" s="375"/>
    </row>
    <row r="1113" spans="13:13" x14ac:dyDescent="0.25">
      <c r="M1113" s="375"/>
    </row>
    <row r="1114" spans="13:13" x14ac:dyDescent="0.25">
      <c r="M1114" s="375"/>
    </row>
    <row r="1115" spans="13:13" x14ac:dyDescent="0.25">
      <c r="M1115" s="375"/>
    </row>
    <row r="1116" spans="13:13" x14ac:dyDescent="0.25">
      <c r="M1116" s="375"/>
    </row>
    <row r="1117" spans="13:13" x14ac:dyDescent="0.25">
      <c r="M1117" s="375"/>
    </row>
    <row r="1118" spans="13:13" x14ac:dyDescent="0.25">
      <c r="M1118" s="375"/>
    </row>
    <row r="1119" spans="13:13" x14ac:dyDescent="0.25">
      <c r="M1119" s="375"/>
    </row>
    <row r="1120" spans="13:13" x14ac:dyDescent="0.25">
      <c r="M1120" s="375"/>
    </row>
    <row r="1121" spans="13:13" x14ac:dyDescent="0.25">
      <c r="M1121" s="375"/>
    </row>
    <row r="1122" spans="13:13" x14ac:dyDescent="0.25">
      <c r="M1122" s="375"/>
    </row>
    <row r="1123" spans="13:13" x14ac:dyDescent="0.25">
      <c r="M1123" s="375"/>
    </row>
    <row r="1124" spans="13:13" x14ac:dyDescent="0.25">
      <c r="M1124" s="375"/>
    </row>
    <row r="1125" spans="13:13" x14ac:dyDescent="0.25">
      <c r="M1125" s="375"/>
    </row>
    <row r="1126" spans="13:13" x14ac:dyDescent="0.25">
      <c r="M1126" s="375"/>
    </row>
    <row r="1127" spans="13:13" x14ac:dyDescent="0.25">
      <c r="M1127" s="375"/>
    </row>
    <row r="1128" spans="13:13" x14ac:dyDescent="0.25">
      <c r="M1128" s="375"/>
    </row>
    <row r="1129" spans="13:13" x14ac:dyDescent="0.25">
      <c r="M1129" s="375"/>
    </row>
    <row r="1130" spans="13:13" x14ac:dyDescent="0.25">
      <c r="M1130" s="375"/>
    </row>
    <row r="1131" spans="13:13" x14ac:dyDescent="0.25">
      <c r="M1131" s="375"/>
    </row>
    <row r="1132" spans="13:13" x14ac:dyDescent="0.25">
      <c r="M1132" s="375"/>
    </row>
    <row r="1133" spans="13:13" x14ac:dyDescent="0.25">
      <c r="M1133" s="375"/>
    </row>
    <row r="1134" spans="13:13" x14ac:dyDescent="0.25">
      <c r="M1134" s="375"/>
    </row>
    <row r="1135" spans="13:13" x14ac:dyDescent="0.25">
      <c r="M1135" s="375"/>
    </row>
    <row r="1136" spans="13:13" x14ac:dyDescent="0.25">
      <c r="M1136" s="375"/>
    </row>
    <row r="1137" spans="13:13" x14ac:dyDescent="0.25">
      <c r="M1137" s="375"/>
    </row>
    <row r="1138" spans="13:13" x14ac:dyDescent="0.25">
      <c r="M1138" s="375"/>
    </row>
    <row r="1139" spans="13:13" x14ac:dyDescent="0.25">
      <c r="M1139" s="375"/>
    </row>
    <row r="1140" spans="13:13" x14ac:dyDescent="0.25">
      <c r="M1140" s="375"/>
    </row>
    <row r="1141" spans="13:13" x14ac:dyDescent="0.25">
      <c r="M1141" s="375"/>
    </row>
    <row r="1142" spans="13:13" x14ac:dyDescent="0.25">
      <c r="M1142" s="375"/>
    </row>
    <row r="1143" spans="13:13" x14ac:dyDescent="0.25">
      <c r="M1143" s="375"/>
    </row>
    <row r="1144" spans="13:13" x14ac:dyDescent="0.25">
      <c r="M1144" s="375"/>
    </row>
    <row r="1145" spans="13:13" x14ac:dyDescent="0.25">
      <c r="M1145" s="375"/>
    </row>
    <row r="1146" spans="13:13" x14ac:dyDescent="0.25">
      <c r="M1146" s="375"/>
    </row>
    <row r="1147" spans="13:13" x14ac:dyDescent="0.25">
      <c r="M1147" s="375"/>
    </row>
    <row r="1148" spans="13:13" x14ac:dyDescent="0.25">
      <c r="M1148" s="375"/>
    </row>
    <row r="1149" spans="13:13" x14ac:dyDescent="0.25">
      <c r="M1149" s="375"/>
    </row>
    <row r="1150" spans="13:13" x14ac:dyDescent="0.25">
      <c r="M1150" s="375"/>
    </row>
    <row r="1151" spans="13:13" x14ac:dyDescent="0.25">
      <c r="M1151" s="375"/>
    </row>
    <row r="1152" spans="13:13" x14ac:dyDescent="0.25">
      <c r="M1152" s="375"/>
    </row>
    <row r="1153" spans="13:13" x14ac:dyDescent="0.25">
      <c r="M1153" s="375"/>
    </row>
    <row r="1154" spans="13:13" x14ac:dyDescent="0.25">
      <c r="M1154" s="375"/>
    </row>
    <row r="1155" spans="13:13" x14ac:dyDescent="0.25">
      <c r="M1155" s="375"/>
    </row>
    <row r="1156" spans="13:13" x14ac:dyDescent="0.25">
      <c r="M1156" s="375"/>
    </row>
    <row r="1157" spans="13:13" x14ac:dyDescent="0.25">
      <c r="M1157" s="375"/>
    </row>
    <row r="1158" spans="13:13" x14ac:dyDescent="0.25">
      <c r="M1158" s="375"/>
    </row>
    <row r="1159" spans="13:13" x14ac:dyDescent="0.25">
      <c r="M1159" s="375"/>
    </row>
    <row r="1160" spans="13:13" x14ac:dyDescent="0.25">
      <c r="M1160" s="375"/>
    </row>
    <row r="1161" spans="13:13" x14ac:dyDescent="0.25">
      <c r="M1161" s="375"/>
    </row>
    <row r="1162" spans="13:13" x14ac:dyDescent="0.25">
      <c r="M1162" s="375"/>
    </row>
    <row r="1163" spans="13:13" x14ac:dyDescent="0.25">
      <c r="M1163" s="375"/>
    </row>
    <row r="1164" spans="13:13" x14ac:dyDescent="0.25">
      <c r="M1164" s="375"/>
    </row>
    <row r="1165" spans="13:13" x14ac:dyDescent="0.25">
      <c r="M1165" s="375"/>
    </row>
    <row r="1166" spans="13:13" x14ac:dyDescent="0.25">
      <c r="M1166" s="375"/>
    </row>
    <row r="1167" spans="13:13" x14ac:dyDescent="0.25">
      <c r="M1167" s="375"/>
    </row>
    <row r="1168" spans="13:13" x14ac:dyDescent="0.25">
      <c r="M1168" s="375"/>
    </row>
    <row r="1169" spans="13:13" x14ac:dyDescent="0.25">
      <c r="M1169" s="375"/>
    </row>
    <row r="1170" spans="13:13" x14ac:dyDescent="0.25">
      <c r="M1170" s="375"/>
    </row>
    <row r="1171" spans="13:13" x14ac:dyDescent="0.25">
      <c r="M1171" s="375"/>
    </row>
    <row r="1172" spans="13:13" x14ac:dyDescent="0.25">
      <c r="M1172" s="375"/>
    </row>
    <row r="1173" spans="13:13" x14ac:dyDescent="0.25">
      <c r="M1173" s="375"/>
    </row>
    <row r="1174" spans="13:13" x14ac:dyDescent="0.25">
      <c r="M1174" s="375"/>
    </row>
    <row r="1175" spans="13:13" x14ac:dyDescent="0.25">
      <c r="M1175" s="375"/>
    </row>
    <row r="1176" spans="13:13" x14ac:dyDescent="0.25">
      <c r="M1176" s="375"/>
    </row>
    <row r="1177" spans="13:13" x14ac:dyDescent="0.25">
      <c r="M1177" s="375"/>
    </row>
    <row r="1178" spans="13:13" x14ac:dyDescent="0.25">
      <c r="M1178" s="375"/>
    </row>
    <row r="1179" spans="13:13" x14ac:dyDescent="0.25">
      <c r="M1179" s="375"/>
    </row>
    <row r="1180" spans="13:13" x14ac:dyDescent="0.25">
      <c r="M1180" s="375"/>
    </row>
    <row r="1181" spans="13:13" x14ac:dyDescent="0.25">
      <c r="M1181" s="375"/>
    </row>
    <row r="1182" spans="13:13" x14ac:dyDescent="0.25">
      <c r="M1182" s="375"/>
    </row>
    <row r="1183" spans="13:13" x14ac:dyDescent="0.25">
      <c r="M1183" s="375"/>
    </row>
    <row r="1184" spans="13:13" x14ac:dyDescent="0.25">
      <c r="M1184" s="375"/>
    </row>
    <row r="1185" spans="13:13" x14ac:dyDescent="0.25">
      <c r="M1185" s="375"/>
    </row>
    <row r="1186" spans="13:13" x14ac:dyDescent="0.25">
      <c r="M1186" s="375"/>
    </row>
    <row r="1187" spans="13:13" x14ac:dyDescent="0.25">
      <c r="M1187" s="375"/>
    </row>
    <row r="1188" spans="13:13" x14ac:dyDescent="0.25">
      <c r="M1188" s="375"/>
    </row>
    <row r="1189" spans="13:13" x14ac:dyDescent="0.25">
      <c r="M1189" s="375"/>
    </row>
    <row r="1190" spans="13:13" x14ac:dyDescent="0.25">
      <c r="M1190" s="375"/>
    </row>
    <row r="1191" spans="13:13" x14ac:dyDescent="0.25">
      <c r="M1191" s="375"/>
    </row>
    <row r="1192" spans="13:13" x14ac:dyDescent="0.25">
      <c r="M1192" s="375"/>
    </row>
    <row r="1193" spans="13:13" x14ac:dyDescent="0.25">
      <c r="M1193" s="375"/>
    </row>
    <row r="1194" spans="13:13" x14ac:dyDescent="0.25">
      <c r="M1194" s="375"/>
    </row>
    <row r="1195" spans="13:13" x14ac:dyDescent="0.25">
      <c r="M1195" s="375"/>
    </row>
    <row r="1196" spans="13:13" x14ac:dyDescent="0.25">
      <c r="M1196" s="375"/>
    </row>
    <row r="1197" spans="13:13" x14ac:dyDescent="0.25">
      <c r="M1197" s="375"/>
    </row>
    <row r="1198" spans="13:13" x14ac:dyDescent="0.25">
      <c r="M1198" s="375"/>
    </row>
    <row r="1199" spans="13:13" x14ac:dyDescent="0.25">
      <c r="M1199" s="375"/>
    </row>
    <row r="1200" spans="13:13" x14ac:dyDescent="0.25">
      <c r="M1200" s="375"/>
    </row>
    <row r="1201" spans="13:13" x14ac:dyDescent="0.25">
      <c r="M1201" s="375"/>
    </row>
    <row r="1202" spans="13:13" x14ac:dyDescent="0.25">
      <c r="M1202" s="375"/>
    </row>
    <row r="1203" spans="13:13" x14ac:dyDescent="0.25">
      <c r="M1203" s="375"/>
    </row>
    <row r="1204" spans="13:13" x14ac:dyDescent="0.25">
      <c r="M1204" s="375"/>
    </row>
    <row r="1205" spans="13:13" x14ac:dyDescent="0.25">
      <c r="M1205" s="375"/>
    </row>
    <row r="1206" spans="13:13" x14ac:dyDescent="0.25">
      <c r="M1206" s="375"/>
    </row>
    <row r="1207" spans="13:13" x14ac:dyDescent="0.25">
      <c r="M1207" s="375"/>
    </row>
    <row r="1208" spans="13:13" x14ac:dyDescent="0.25">
      <c r="M1208" s="375"/>
    </row>
    <row r="1209" spans="13:13" x14ac:dyDescent="0.25">
      <c r="M1209" s="375"/>
    </row>
    <row r="1210" spans="13:13" x14ac:dyDescent="0.25">
      <c r="M1210" s="375"/>
    </row>
    <row r="1211" spans="13:13" x14ac:dyDescent="0.25">
      <c r="M1211" s="375"/>
    </row>
    <row r="1212" spans="13:13" x14ac:dyDescent="0.25">
      <c r="M1212" s="375"/>
    </row>
    <row r="1213" spans="13:13" x14ac:dyDescent="0.25">
      <c r="M1213" s="375"/>
    </row>
    <row r="1214" spans="13:13" x14ac:dyDescent="0.25">
      <c r="M1214" s="375"/>
    </row>
    <row r="1215" spans="13:13" x14ac:dyDescent="0.25">
      <c r="M1215" s="375"/>
    </row>
    <row r="1216" spans="13:13" x14ac:dyDescent="0.25">
      <c r="M1216" s="375"/>
    </row>
    <row r="1217" spans="13:13" x14ac:dyDescent="0.25">
      <c r="M1217" s="375"/>
    </row>
    <row r="1218" spans="13:13" x14ac:dyDescent="0.25">
      <c r="M1218" s="375"/>
    </row>
    <row r="1219" spans="13:13" x14ac:dyDescent="0.25">
      <c r="M1219" s="375"/>
    </row>
    <row r="1220" spans="13:13" x14ac:dyDescent="0.25">
      <c r="M1220" s="375"/>
    </row>
    <row r="1221" spans="13:13" x14ac:dyDescent="0.25">
      <c r="M1221" s="375"/>
    </row>
    <row r="1222" spans="13:13" x14ac:dyDescent="0.25">
      <c r="M1222" s="375"/>
    </row>
    <row r="1223" spans="13:13" x14ac:dyDescent="0.25">
      <c r="M1223" s="375"/>
    </row>
    <row r="1224" spans="13:13" x14ac:dyDescent="0.25">
      <c r="M1224" s="375"/>
    </row>
    <row r="1225" spans="13:13" x14ac:dyDescent="0.25">
      <c r="M1225" s="375"/>
    </row>
    <row r="1226" spans="13:13" x14ac:dyDescent="0.25">
      <c r="M1226" s="375"/>
    </row>
    <row r="1227" spans="13:13" x14ac:dyDescent="0.25">
      <c r="M1227" s="375"/>
    </row>
    <row r="1228" spans="13:13" x14ac:dyDescent="0.25">
      <c r="M1228" s="375"/>
    </row>
    <row r="1229" spans="13:13" x14ac:dyDescent="0.25">
      <c r="M1229" s="375"/>
    </row>
    <row r="1230" spans="13:13" x14ac:dyDescent="0.25">
      <c r="M1230" s="375"/>
    </row>
    <row r="1231" spans="13:13" x14ac:dyDescent="0.25">
      <c r="M1231" s="375"/>
    </row>
    <row r="1232" spans="13:13" x14ac:dyDescent="0.25">
      <c r="M1232" s="375"/>
    </row>
    <row r="1233" spans="13:13" x14ac:dyDescent="0.25">
      <c r="M1233" s="375"/>
    </row>
    <row r="1234" spans="13:13" x14ac:dyDescent="0.25">
      <c r="M1234" s="375"/>
    </row>
    <row r="1235" spans="13:13" x14ac:dyDescent="0.25">
      <c r="M1235" s="375"/>
    </row>
    <row r="1236" spans="13:13" x14ac:dyDescent="0.25">
      <c r="M1236" s="375"/>
    </row>
    <row r="1237" spans="13:13" x14ac:dyDescent="0.25">
      <c r="M1237" s="375"/>
    </row>
    <row r="1238" spans="13:13" x14ac:dyDescent="0.25">
      <c r="M1238" s="375"/>
    </row>
    <row r="1239" spans="13:13" x14ac:dyDescent="0.25">
      <c r="M1239" s="375"/>
    </row>
    <row r="1240" spans="13:13" x14ac:dyDescent="0.25">
      <c r="M1240" s="375"/>
    </row>
    <row r="1241" spans="13:13" x14ac:dyDescent="0.25">
      <c r="M1241" s="375"/>
    </row>
    <row r="1242" spans="13:13" x14ac:dyDescent="0.25">
      <c r="M1242" s="375"/>
    </row>
    <row r="1243" spans="13:13" x14ac:dyDescent="0.25">
      <c r="M1243" s="375"/>
    </row>
    <row r="1244" spans="13:13" x14ac:dyDescent="0.25">
      <c r="M1244" s="375"/>
    </row>
    <row r="1245" spans="13:13" x14ac:dyDescent="0.25">
      <c r="M1245" s="375"/>
    </row>
    <row r="1246" spans="13:13" x14ac:dyDescent="0.25">
      <c r="M1246" s="375"/>
    </row>
    <row r="1247" spans="13:13" x14ac:dyDescent="0.25">
      <c r="M1247" s="375"/>
    </row>
    <row r="1248" spans="13:13" x14ac:dyDescent="0.25">
      <c r="M1248" s="375"/>
    </row>
    <row r="1249" spans="13:13" x14ac:dyDescent="0.25">
      <c r="M1249" s="375"/>
    </row>
    <row r="1250" spans="13:13" x14ac:dyDescent="0.25">
      <c r="M1250" s="375"/>
    </row>
    <row r="1251" spans="13:13" x14ac:dyDescent="0.25">
      <c r="M1251" s="375"/>
    </row>
    <row r="1252" spans="13:13" x14ac:dyDescent="0.25">
      <c r="M1252" s="375"/>
    </row>
    <row r="1253" spans="13:13" x14ac:dyDescent="0.25">
      <c r="M1253" s="375"/>
    </row>
    <row r="1254" spans="13:13" x14ac:dyDescent="0.25">
      <c r="M1254" s="375"/>
    </row>
    <row r="1255" spans="13:13" x14ac:dyDescent="0.25">
      <c r="M1255" s="375"/>
    </row>
    <row r="1256" spans="13:13" x14ac:dyDescent="0.25">
      <c r="M1256" s="375"/>
    </row>
    <row r="1257" spans="13:13" x14ac:dyDescent="0.25">
      <c r="M1257" s="375"/>
    </row>
    <row r="1258" spans="13:13" x14ac:dyDescent="0.25">
      <c r="M1258" s="375"/>
    </row>
    <row r="1259" spans="13:13" x14ac:dyDescent="0.25">
      <c r="M1259" s="375"/>
    </row>
    <row r="1260" spans="13:13" x14ac:dyDescent="0.25">
      <c r="M1260" s="375"/>
    </row>
    <row r="1261" spans="13:13" x14ac:dyDescent="0.25">
      <c r="M1261" s="375"/>
    </row>
    <row r="1262" spans="13:13" x14ac:dyDescent="0.25">
      <c r="M1262" s="375"/>
    </row>
    <row r="1263" spans="13:13" x14ac:dyDescent="0.25">
      <c r="M1263" s="375"/>
    </row>
    <row r="1264" spans="13:13" x14ac:dyDescent="0.25">
      <c r="M1264" s="375"/>
    </row>
    <row r="1265" spans="13:13" x14ac:dyDescent="0.25">
      <c r="M1265" s="375"/>
    </row>
    <row r="1266" spans="13:13" x14ac:dyDescent="0.25">
      <c r="M1266" s="375"/>
    </row>
    <row r="1267" spans="13:13" x14ac:dyDescent="0.25">
      <c r="M1267" s="375"/>
    </row>
    <row r="1268" spans="13:13" x14ac:dyDescent="0.25">
      <c r="M1268" s="375"/>
    </row>
    <row r="1269" spans="13:13" x14ac:dyDescent="0.25">
      <c r="M1269" s="375"/>
    </row>
    <row r="1270" spans="13:13" x14ac:dyDescent="0.25">
      <c r="M1270" s="375"/>
    </row>
    <row r="1271" spans="13:13" x14ac:dyDescent="0.25">
      <c r="M1271" s="375"/>
    </row>
    <row r="1272" spans="13:13" x14ac:dyDescent="0.25">
      <c r="M1272" s="375"/>
    </row>
    <row r="1273" spans="13:13" x14ac:dyDescent="0.25">
      <c r="M1273" s="375"/>
    </row>
    <row r="1274" spans="13:13" x14ac:dyDescent="0.25">
      <c r="M1274" s="375"/>
    </row>
    <row r="1275" spans="13:13" x14ac:dyDescent="0.25">
      <c r="M1275" s="375"/>
    </row>
    <row r="1276" spans="13:13" x14ac:dyDescent="0.25">
      <c r="M1276" s="375"/>
    </row>
    <row r="1277" spans="13:13" x14ac:dyDescent="0.25">
      <c r="M1277" s="375"/>
    </row>
    <row r="1278" spans="13:13" x14ac:dyDescent="0.25">
      <c r="M1278" s="375"/>
    </row>
    <row r="1279" spans="13:13" x14ac:dyDescent="0.25">
      <c r="M1279" s="375"/>
    </row>
    <row r="1280" spans="13:13" x14ac:dyDescent="0.25">
      <c r="M1280" s="375"/>
    </row>
    <row r="1281" spans="13:13" x14ac:dyDescent="0.25">
      <c r="M1281" s="375"/>
    </row>
    <row r="1282" spans="13:13" x14ac:dyDescent="0.25">
      <c r="M1282" s="375"/>
    </row>
    <row r="1283" spans="13:13" x14ac:dyDescent="0.25">
      <c r="M1283" s="375"/>
    </row>
    <row r="1284" spans="13:13" x14ac:dyDescent="0.25">
      <c r="M1284" s="375"/>
    </row>
    <row r="1285" spans="13:13" x14ac:dyDescent="0.25">
      <c r="M1285" s="375"/>
    </row>
    <row r="1286" spans="13:13" x14ac:dyDescent="0.25">
      <c r="M1286" s="375"/>
    </row>
    <row r="1287" spans="13:13" x14ac:dyDescent="0.25">
      <c r="M1287" s="375"/>
    </row>
    <row r="1288" spans="13:13" x14ac:dyDescent="0.25">
      <c r="M1288" s="375"/>
    </row>
    <row r="1289" spans="13:13" x14ac:dyDescent="0.25">
      <c r="M1289" s="375"/>
    </row>
    <row r="1290" spans="13:13" x14ac:dyDescent="0.25">
      <c r="M1290" s="375"/>
    </row>
    <row r="1291" spans="13:13" x14ac:dyDescent="0.25">
      <c r="M1291" s="375"/>
    </row>
    <row r="1292" spans="13:13" x14ac:dyDescent="0.25">
      <c r="M1292" s="375"/>
    </row>
    <row r="1293" spans="13:13" x14ac:dyDescent="0.25">
      <c r="M1293" s="375"/>
    </row>
    <row r="1294" spans="13:13" x14ac:dyDescent="0.25">
      <c r="M1294" s="375"/>
    </row>
    <row r="1295" spans="13:13" x14ac:dyDescent="0.25">
      <c r="M1295" s="375"/>
    </row>
    <row r="1296" spans="13:13" x14ac:dyDescent="0.25">
      <c r="M1296" s="375"/>
    </row>
    <row r="1297" spans="13:13" x14ac:dyDescent="0.25">
      <c r="M1297" s="375"/>
    </row>
    <row r="1298" spans="13:13" x14ac:dyDescent="0.25">
      <c r="M1298" s="375"/>
    </row>
    <row r="1299" spans="13:13" x14ac:dyDescent="0.25">
      <c r="M1299" s="375"/>
    </row>
    <row r="1300" spans="13:13" x14ac:dyDescent="0.25">
      <c r="M1300" s="375"/>
    </row>
    <row r="1301" spans="13:13" x14ac:dyDescent="0.25">
      <c r="M1301" s="375"/>
    </row>
    <row r="1302" spans="13:13" x14ac:dyDescent="0.25">
      <c r="M1302" s="375"/>
    </row>
    <row r="1303" spans="13:13" x14ac:dyDescent="0.25">
      <c r="M1303" s="375"/>
    </row>
    <row r="1304" spans="13:13" x14ac:dyDescent="0.25">
      <c r="M1304" s="375"/>
    </row>
    <row r="1305" spans="13:13" x14ac:dyDescent="0.25">
      <c r="M1305" s="375"/>
    </row>
    <row r="1306" spans="13:13" x14ac:dyDescent="0.25">
      <c r="M1306" s="375"/>
    </row>
    <row r="1307" spans="13:13" x14ac:dyDescent="0.25">
      <c r="M1307" s="375"/>
    </row>
    <row r="1308" spans="13:13" x14ac:dyDescent="0.25">
      <c r="M1308" s="375"/>
    </row>
    <row r="1309" spans="13:13" x14ac:dyDescent="0.25">
      <c r="M1309" s="375"/>
    </row>
    <row r="1310" spans="13:13" x14ac:dyDescent="0.25">
      <c r="M1310" s="375"/>
    </row>
    <row r="1311" spans="13:13" x14ac:dyDescent="0.25">
      <c r="M1311" s="375"/>
    </row>
    <row r="1312" spans="13:13" x14ac:dyDescent="0.25">
      <c r="M1312" s="375"/>
    </row>
    <row r="1313" spans="13:13" x14ac:dyDescent="0.25">
      <c r="M1313" s="375"/>
    </row>
    <row r="1314" spans="13:13" x14ac:dyDescent="0.25">
      <c r="M1314" s="375"/>
    </row>
    <row r="1315" spans="13:13" x14ac:dyDescent="0.25">
      <c r="M1315" s="375"/>
    </row>
    <row r="1316" spans="13:13" x14ac:dyDescent="0.25">
      <c r="M1316" s="375"/>
    </row>
    <row r="1317" spans="13:13" x14ac:dyDescent="0.25">
      <c r="M1317" s="375"/>
    </row>
    <row r="1318" spans="13:13" x14ac:dyDescent="0.25">
      <c r="M1318" s="375"/>
    </row>
    <row r="1319" spans="13:13" x14ac:dyDescent="0.25">
      <c r="M1319" s="375"/>
    </row>
    <row r="1320" spans="13:13" x14ac:dyDescent="0.25">
      <c r="M1320" s="375"/>
    </row>
    <row r="1321" spans="13:13" x14ac:dyDescent="0.25">
      <c r="M1321" s="375"/>
    </row>
    <row r="1322" spans="13:13" x14ac:dyDescent="0.25">
      <c r="M1322" s="375"/>
    </row>
    <row r="1323" spans="13:13" x14ac:dyDescent="0.25">
      <c r="M1323" s="375"/>
    </row>
    <row r="1324" spans="13:13" x14ac:dyDescent="0.25">
      <c r="M1324" s="375"/>
    </row>
    <row r="1325" spans="13:13" x14ac:dyDescent="0.25">
      <c r="M1325" s="375"/>
    </row>
    <row r="1326" spans="13:13" x14ac:dyDescent="0.25">
      <c r="M1326" s="375"/>
    </row>
    <row r="1327" spans="13:13" x14ac:dyDescent="0.25">
      <c r="M1327" s="375"/>
    </row>
    <row r="1328" spans="13:13" x14ac:dyDescent="0.25">
      <c r="M1328" s="375"/>
    </row>
    <row r="1329" spans="13:13" x14ac:dyDescent="0.25">
      <c r="M1329" s="375"/>
    </row>
    <row r="1330" spans="13:13" x14ac:dyDescent="0.25">
      <c r="M1330" s="375"/>
    </row>
    <row r="1331" spans="13:13" x14ac:dyDescent="0.25">
      <c r="M1331" s="375"/>
    </row>
    <row r="1332" spans="13:13" x14ac:dyDescent="0.25">
      <c r="M1332" s="375"/>
    </row>
    <row r="1333" spans="13:13" x14ac:dyDescent="0.25">
      <c r="M1333" s="375"/>
    </row>
    <row r="1334" spans="13:13" x14ac:dyDescent="0.25">
      <c r="M1334" s="375"/>
    </row>
    <row r="1335" spans="13:13" x14ac:dyDescent="0.25">
      <c r="M1335" s="375"/>
    </row>
    <row r="1336" spans="13:13" x14ac:dyDescent="0.25">
      <c r="M1336" s="375"/>
    </row>
    <row r="1337" spans="13:13" x14ac:dyDescent="0.25">
      <c r="M1337" s="375"/>
    </row>
    <row r="1338" spans="13:13" x14ac:dyDescent="0.25">
      <c r="M1338" s="375"/>
    </row>
    <row r="1339" spans="13:13" x14ac:dyDescent="0.25">
      <c r="M1339" s="375"/>
    </row>
    <row r="1340" spans="13:13" x14ac:dyDescent="0.25">
      <c r="M1340" s="375"/>
    </row>
    <row r="1341" spans="13:13" x14ac:dyDescent="0.25">
      <c r="M1341" s="375"/>
    </row>
    <row r="1342" spans="13:13" x14ac:dyDescent="0.25">
      <c r="M1342" s="375"/>
    </row>
    <row r="1343" spans="13:13" x14ac:dyDescent="0.25">
      <c r="M1343" s="375"/>
    </row>
    <row r="1344" spans="13:13" x14ac:dyDescent="0.25">
      <c r="M1344" s="375"/>
    </row>
    <row r="1345" spans="13:13" x14ac:dyDescent="0.25">
      <c r="M1345" s="375"/>
    </row>
    <row r="1346" spans="13:13" x14ac:dyDescent="0.25">
      <c r="M1346" s="375"/>
    </row>
    <row r="1347" spans="13:13" x14ac:dyDescent="0.25">
      <c r="M1347" s="375"/>
    </row>
    <row r="1348" spans="13:13" x14ac:dyDescent="0.25">
      <c r="M1348" s="375"/>
    </row>
    <row r="1349" spans="13:13" x14ac:dyDescent="0.25">
      <c r="M1349" s="375"/>
    </row>
    <row r="1350" spans="13:13" x14ac:dyDescent="0.25">
      <c r="M1350" s="375"/>
    </row>
    <row r="1351" spans="13:13" x14ac:dyDescent="0.25">
      <c r="M1351" s="375"/>
    </row>
    <row r="1352" spans="13:13" x14ac:dyDescent="0.25">
      <c r="M1352" s="375"/>
    </row>
    <row r="1353" spans="13:13" x14ac:dyDescent="0.25">
      <c r="M1353" s="375"/>
    </row>
    <row r="1354" spans="13:13" x14ac:dyDescent="0.25">
      <c r="M1354" s="375"/>
    </row>
    <row r="1355" spans="13:13" x14ac:dyDescent="0.25">
      <c r="M1355" s="375"/>
    </row>
    <row r="1356" spans="13:13" x14ac:dyDescent="0.25">
      <c r="M1356" s="375"/>
    </row>
    <row r="1357" spans="13:13" x14ac:dyDescent="0.25">
      <c r="M1357" s="375"/>
    </row>
    <row r="1358" spans="13:13" x14ac:dyDescent="0.25">
      <c r="M1358" s="375"/>
    </row>
    <row r="1359" spans="13:13" x14ac:dyDescent="0.25">
      <c r="M1359" s="375"/>
    </row>
    <row r="1360" spans="13:13" x14ac:dyDescent="0.25">
      <c r="M1360" s="375"/>
    </row>
    <row r="1361" spans="13:13" x14ac:dyDescent="0.25">
      <c r="M1361" s="375"/>
    </row>
    <row r="1362" spans="13:13" x14ac:dyDescent="0.25">
      <c r="M1362" s="375"/>
    </row>
    <row r="1363" spans="13:13" x14ac:dyDescent="0.25">
      <c r="M1363" s="375"/>
    </row>
    <row r="1364" spans="13:13" x14ac:dyDescent="0.25">
      <c r="M1364" s="375"/>
    </row>
    <row r="1365" spans="13:13" x14ac:dyDescent="0.25">
      <c r="M1365" s="375"/>
    </row>
    <row r="1366" spans="13:13" x14ac:dyDescent="0.25">
      <c r="M1366" s="375"/>
    </row>
    <row r="1367" spans="13:13" x14ac:dyDescent="0.25">
      <c r="M1367" s="375"/>
    </row>
    <row r="1368" spans="13:13" x14ac:dyDescent="0.25">
      <c r="M1368" s="375"/>
    </row>
    <row r="1369" spans="13:13" x14ac:dyDescent="0.25">
      <c r="M1369" s="375"/>
    </row>
    <row r="1370" spans="13:13" x14ac:dyDescent="0.25">
      <c r="M1370" s="375"/>
    </row>
    <row r="1371" spans="13:13" x14ac:dyDescent="0.25">
      <c r="M1371" s="375"/>
    </row>
    <row r="1372" spans="13:13" x14ac:dyDescent="0.25">
      <c r="M1372" s="375"/>
    </row>
    <row r="1373" spans="13:13" x14ac:dyDescent="0.25">
      <c r="M1373" s="375"/>
    </row>
    <row r="1374" spans="13:13" x14ac:dyDescent="0.25">
      <c r="M1374" s="375"/>
    </row>
    <row r="1375" spans="13:13" x14ac:dyDescent="0.25">
      <c r="M1375" s="375"/>
    </row>
    <row r="1376" spans="13:13" x14ac:dyDescent="0.25">
      <c r="M1376" s="375"/>
    </row>
    <row r="1377" spans="13:13" x14ac:dyDescent="0.25">
      <c r="M1377" s="375"/>
    </row>
    <row r="1378" spans="13:13" x14ac:dyDescent="0.25">
      <c r="M1378" s="375"/>
    </row>
    <row r="1379" spans="13:13" x14ac:dyDescent="0.25">
      <c r="M1379" s="375"/>
    </row>
    <row r="1380" spans="13:13" x14ac:dyDescent="0.25">
      <c r="M1380" s="375"/>
    </row>
    <row r="1381" spans="13:13" x14ac:dyDescent="0.25">
      <c r="M1381" s="375"/>
    </row>
    <row r="1382" spans="13:13" x14ac:dyDescent="0.25">
      <c r="M1382" s="375"/>
    </row>
    <row r="1383" spans="13:13" x14ac:dyDescent="0.25">
      <c r="M1383" s="375"/>
    </row>
    <row r="1384" spans="13:13" x14ac:dyDescent="0.25">
      <c r="M1384" s="375"/>
    </row>
    <row r="1385" spans="13:13" x14ac:dyDescent="0.25">
      <c r="M1385" s="375"/>
    </row>
    <row r="1386" spans="13:13" x14ac:dyDescent="0.25">
      <c r="M1386" s="375"/>
    </row>
    <row r="1387" spans="13:13" x14ac:dyDescent="0.25">
      <c r="M1387" s="375"/>
    </row>
    <row r="1388" spans="13:13" x14ac:dyDescent="0.25">
      <c r="M1388" s="375"/>
    </row>
    <row r="1389" spans="13:13" x14ac:dyDescent="0.25">
      <c r="M1389" s="375"/>
    </row>
    <row r="1390" spans="13:13" x14ac:dyDescent="0.25">
      <c r="M1390" s="375"/>
    </row>
    <row r="1391" spans="13:13" x14ac:dyDescent="0.25">
      <c r="M1391" s="375"/>
    </row>
    <row r="1392" spans="13:13" x14ac:dyDescent="0.25">
      <c r="M1392" s="375"/>
    </row>
    <row r="1393" spans="13:13" x14ac:dyDescent="0.25">
      <c r="M1393" s="375"/>
    </row>
    <row r="1394" spans="13:13" x14ac:dyDescent="0.25">
      <c r="M1394" s="375"/>
    </row>
    <row r="1395" spans="13:13" x14ac:dyDescent="0.25">
      <c r="M1395" s="375"/>
    </row>
    <row r="1396" spans="13:13" x14ac:dyDescent="0.25">
      <c r="M1396" s="375"/>
    </row>
    <row r="1397" spans="13:13" x14ac:dyDescent="0.25">
      <c r="M1397" s="375"/>
    </row>
    <row r="1398" spans="13:13" x14ac:dyDescent="0.25">
      <c r="M1398" s="375"/>
    </row>
    <row r="1399" spans="13:13" x14ac:dyDescent="0.25">
      <c r="M1399" s="375"/>
    </row>
    <row r="1400" spans="13:13" x14ac:dyDescent="0.25">
      <c r="M1400" s="375"/>
    </row>
    <row r="1401" spans="13:13" x14ac:dyDescent="0.25">
      <c r="M1401" s="375"/>
    </row>
    <row r="1402" spans="13:13" x14ac:dyDescent="0.25">
      <c r="M1402" s="375"/>
    </row>
    <row r="1403" spans="13:13" x14ac:dyDescent="0.25">
      <c r="M1403" s="375"/>
    </row>
    <row r="1404" spans="13:13" x14ac:dyDescent="0.25">
      <c r="M1404" s="375"/>
    </row>
    <row r="1405" spans="13:13" x14ac:dyDescent="0.25">
      <c r="M1405" s="375"/>
    </row>
    <row r="1406" spans="13:13" x14ac:dyDescent="0.25">
      <c r="M1406" s="375"/>
    </row>
    <row r="1407" spans="13:13" x14ac:dyDescent="0.25">
      <c r="M1407" s="375"/>
    </row>
    <row r="1408" spans="13:13" x14ac:dyDescent="0.25">
      <c r="M1408" s="375"/>
    </row>
    <row r="1409" spans="13:13" x14ac:dyDescent="0.25">
      <c r="M1409" s="375"/>
    </row>
    <row r="1410" spans="13:13" x14ac:dyDescent="0.25">
      <c r="M1410" s="375"/>
    </row>
    <row r="1411" spans="13:13" x14ac:dyDescent="0.25">
      <c r="M1411" s="375"/>
    </row>
    <row r="1412" spans="13:13" x14ac:dyDescent="0.25">
      <c r="M1412" s="375"/>
    </row>
    <row r="1413" spans="13:13" x14ac:dyDescent="0.25">
      <c r="M1413" s="375"/>
    </row>
    <row r="1414" spans="13:13" x14ac:dyDescent="0.25">
      <c r="M1414" s="375"/>
    </row>
    <row r="1415" spans="13:13" x14ac:dyDescent="0.25">
      <c r="M1415" s="375"/>
    </row>
    <row r="1416" spans="13:13" x14ac:dyDescent="0.25">
      <c r="M1416" s="375"/>
    </row>
    <row r="1417" spans="13:13" x14ac:dyDescent="0.25">
      <c r="M1417" s="375"/>
    </row>
    <row r="1418" spans="13:13" x14ac:dyDescent="0.25">
      <c r="M1418" s="375"/>
    </row>
    <row r="1419" spans="13:13" x14ac:dyDescent="0.25">
      <c r="M1419" s="375"/>
    </row>
    <row r="1420" spans="13:13" x14ac:dyDescent="0.25">
      <c r="M1420" s="375"/>
    </row>
    <row r="1421" spans="13:13" x14ac:dyDescent="0.25">
      <c r="M1421" s="375"/>
    </row>
    <row r="1422" spans="13:13" x14ac:dyDescent="0.25">
      <c r="M1422" s="375"/>
    </row>
    <row r="1423" spans="13:13" x14ac:dyDescent="0.25">
      <c r="M1423" s="375"/>
    </row>
    <row r="1424" spans="13:13" x14ac:dyDescent="0.25">
      <c r="M1424" s="375"/>
    </row>
    <row r="1425" spans="13:13" x14ac:dyDescent="0.25">
      <c r="M1425" s="375"/>
    </row>
    <row r="1426" spans="13:13" x14ac:dyDescent="0.25">
      <c r="M1426" s="375"/>
    </row>
    <row r="1427" spans="13:13" x14ac:dyDescent="0.25">
      <c r="M1427" s="375"/>
    </row>
    <row r="1428" spans="13:13" x14ac:dyDescent="0.25">
      <c r="M1428" s="375"/>
    </row>
    <row r="1429" spans="13:13" x14ac:dyDescent="0.25">
      <c r="M1429" s="375"/>
    </row>
    <row r="1430" spans="13:13" x14ac:dyDescent="0.25">
      <c r="M1430" s="375"/>
    </row>
    <row r="1431" spans="13:13" x14ac:dyDescent="0.25">
      <c r="M1431" s="375"/>
    </row>
    <row r="1432" spans="13:13" x14ac:dyDescent="0.25">
      <c r="M1432" s="375"/>
    </row>
    <row r="1433" spans="13:13" x14ac:dyDescent="0.25">
      <c r="M1433" s="375"/>
    </row>
    <row r="1434" spans="13:13" x14ac:dyDescent="0.25">
      <c r="M1434" s="375"/>
    </row>
    <row r="1435" spans="13:13" x14ac:dyDescent="0.25">
      <c r="M1435" s="375"/>
    </row>
    <row r="1436" spans="13:13" x14ac:dyDescent="0.25">
      <c r="M1436" s="375"/>
    </row>
    <row r="1437" spans="13:13" x14ac:dyDescent="0.25">
      <c r="M1437" s="375"/>
    </row>
    <row r="1438" spans="13:13" x14ac:dyDescent="0.25">
      <c r="M1438" s="375"/>
    </row>
    <row r="1439" spans="13:13" x14ac:dyDescent="0.25">
      <c r="M1439" s="375"/>
    </row>
    <row r="1440" spans="13:13" x14ac:dyDescent="0.25">
      <c r="M1440" s="375"/>
    </row>
    <row r="1441" spans="13:13" x14ac:dyDescent="0.25">
      <c r="M1441" s="375"/>
    </row>
    <row r="1442" spans="13:13" x14ac:dyDescent="0.25">
      <c r="M1442" s="375"/>
    </row>
    <row r="1443" spans="13:13" x14ac:dyDescent="0.25">
      <c r="M1443" s="375"/>
    </row>
    <row r="1444" spans="13:13" x14ac:dyDescent="0.25">
      <c r="M1444" s="375"/>
    </row>
    <row r="1445" spans="13:13" x14ac:dyDescent="0.25">
      <c r="M1445" s="375"/>
    </row>
    <row r="1446" spans="13:13" x14ac:dyDescent="0.25">
      <c r="M1446" s="375"/>
    </row>
    <row r="1447" spans="13:13" x14ac:dyDescent="0.25">
      <c r="M1447" s="375"/>
    </row>
    <row r="1448" spans="13:13" x14ac:dyDescent="0.25">
      <c r="M1448" s="375"/>
    </row>
    <row r="1449" spans="13:13" x14ac:dyDescent="0.25">
      <c r="M1449" s="375"/>
    </row>
    <row r="1450" spans="13:13" x14ac:dyDescent="0.25">
      <c r="M1450" s="375"/>
    </row>
    <row r="1451" spans="13:13" x14ac:dyDescent="0.25">
      <c r="M1451" s="375"/>
    </row>
    <row r="1452" spans="13:13" x14ac:dyDescent="0.25">
      <c r="M1452" s="375"/>
    </row>
    <row r="1453" spans="13:13" x14ac:dyDescent="0.25">
      <c r="M1453" s="375"/>
    </row>
    <row r="1454" spans="13:13" x14ac:dyDescent="0.25">
      <c r="M1454" s="375"/>
    </row>
    <row r="1455" spans="13:13" x14ac:dyDescent="0.25">
      <c r="M1455" s="375"/>
    </row>
    <row r="1456" spans="13:13" x14ac:dyDescent="0.25">
      <c r="M1456" s="375"/>
    </row>
    <row r="1457" spans="13:13" x14ac:dyDescent="0.25">
      <c r="M1457" s="375"/>
    </row>
    <row r="1458" spans="13:13" x14ac:dyDescent="0.25">
      <c r="M1458" s="375"/>
    </row>
    <row r="1459" spans="13:13" x14ac:dyDescent="0.25">
      <c r="M1459" s="375"/>
    </row>
    <row r="1460" spans="13:13" x14ac:dyDescent="0.25">
      <c r="M1460" s="375"/>
    </row>
    <row r="1461" spans="13:13" x14ac:dyDescent="0.25">
      <c r="M1461" s="375"/>
    </row>
    <row r="1462" spans="13:13" x14ac:dyDescent="0.25">
      <c r="M1462" s="375"/>
    </row>
    <row r="1463" spans="13:13" x14ac:dyDescent="0.25">
      <c r="M1463" s="375"/>
    </row>
    <row r="1464" spans="13:13" x14ac:dyDescent="0.25">
      <c r="M1464" s="375"/>
    </row>
    <row r="1465" spans="13:13" x14ac:dyDescent="0.25">
      <c r="M1465" s="375"/>
    </row>
    <row r="1466" spans="13:13" x14ac:dyDescent="0.25">
      <c r="M1466" s="375"/>
    </row>
    <row r="1467" spans="13:13" x14ac:dyDescent="0.25">
      <c r="M1467" s="375"/>
    </row>
    <row r="1468" spans="13:13" x14ac:dyDescent="0.25">
      <c r="M1468" s="375"/>
    </row>
    <row r="1469" spans="13:13" x14ac:dyDescent="0.25">
      <c r="M1469" s="375"/>
    </row>
    <row r="1470" spans="13:13" x14ac:dyDescent="0.25">
      <c r="M1470" s="375"/>
    </row>
    <row r="1471" spans="13:13" x14ac:dyDescent="0.25">
      <c r="M1471" s="375"/>
    </row>
    <row r="1472" spans="13:13" x14ac:dyDescent="0.25">
      <c r="M1472" s="375"/>
    </row>
    <row r="1473" spans="13:13" x14ac:dyDescent="0.25">
      <c r="M1473" s="375"/>
    </row>
    <row r="1474" spans="13:13" x14ac:dyDescent="0.25">
      <c r="M1474" s="375"/>
    </row>
    <row r="1475" spans="13:13" x14ac:dyDescent="0.25">
      <c r="M1475" s="375"/>
    </row>
    <row r="1476" spans="13:13" x14ac:dyDescent="0.25">
      <c r="M1476" s="375"/>
    </row>
    <row r="1477" spans="13:13" x14ac:dyDescent="0.25">
      <c r="M1477" s="375"/>
    </row>
    <row r="1478" spans="13:13" x14ac:dyDescent="0.25">
      <c r="M1478" s="375"/>
    </row>
    <row r="1479" spans="13:13" x14ac:dyDescent="0.25">
      <c r="M1479" s="375"/>
    </row>
    <row r="1480" spans="13:13" x14ac:dyDescent="0.25">
      <c r="M1480" s="375"/>
    </row>
    <row r="1481" spans="13:13" x14ac:dyDescent="0.25">
      <c r="M1481" s="375"/>
    </row>
    <row r="1482" spans="13:13" x14ac:dyDescent="0.25">
      <c r="M1482" s="375"/>
    </row>
    <row r="1483" spans="13:13" x14ac:dyDescent="0.25">
      <c r="M1483" s="375"/>
    </row>
    <row r="1484" spans="13:13" x14ac:dyDescent="0.25">
      <c r="M1484" s="375"/>
    </row>
    <row r="1485" spans="13:13" x14ac:dyDescent="0.25">
      <c r="M1485" s="375"/>
    </row>
    <row r="1486" spans="13:13" x14ac:dyDescent="0.25">
      <c r="M1486" s="375"/>
    </row>
    <row r="1487" spans="13:13" x14ac:dyDescent="0.25">
      <c r="M1487" s="375"/>
    </row>
    <row r="1488" spans="13:13" x14ac:dyDescent="0.25">
      <c r="M1488" s="375"/>
    </row>
    <row r="1489" spans="13:13" x14ac:dyDescent="0.25">
      <c r="M1489" s="375"/>
    </row>
    <row r="1490" spans="13:13" x14ac:dyDescent="0.25">
      <c r="M1490" s="375"/>
    </row>
    <row r="1491" spans="13:13" x14ac:dyDescent="0.25">
      <c r="M1491" s="375"/>
    </row>
    <row r="1492" spans="13:13" x14ac:dyDescent="0.25">
      <c r="M1492" s="375"/>
    </row>
    <row r="1493" spans="13:13" x14ac:dyDescent="0.25">
      <c r="M1493" s="375"/>
    </row>
    <row r="1494" spans="13:13" x14ac:dyDescent="0.25">
      <c r="M1494" s="375"/>
    </row>
    <row r="1495" spans="13:13" x14ac:dyDescent="0.25">
      <c r="M1495" s="375"/>
    </row>
    <row r="1496" spans="13:13" x14ac:dyDescent="0.25">
      <c r="M1496" s="375"/>
    </row>
    <row r="1497" spans="13:13" x14ac:dyDescent="0.25">
      <c r="M1497" s="375"/>
    </row>
    <row r="1498" spans="13:13" x14ac:dyDescent="0.25">
      <c r="M1498" s="375"/>
    </row>
    <row r="1499" spans="13:13" x14ac:dyDescent="0.25">
      <c r="M1499" s="375"/>
    </row>
    <row r="1500" spans="13:13" x14ac:dyDescent="0.25">
      <c r="M1500" s="375"/>
    </row>
    <row r="1501" spans="13:13" x14ac:dyDescent="0.25">
      <c r="M1501" s="375"/>
    </row>
    <row r="1502" spans="13:13" x14ac:dyDescent="0.25">
      <c r="M1502" s="375"/>
    </row>
    <row r="1503" spans="13:13" x14ac:dyDescent="0.25">
      <c r="M1503" s="375"/>
    </row>
    <row r="1504" spans="13:13" x14ac:dyDescent="0.25">
      <c r="M1504" s="375"/>
    </row>
    <row r="1505" spans="13:13" x14ac:dyDescent="0.25">
      <c r="M1505" s="375"/>
    </row>
    <row r="1506" spans="13:13" x14ac:dyDescent="0.25">
      <c r="M1506" s="375"/>
    </row>
    <row r="1507" spans="13:13" x14ac:dyDescent="0.25">
      <c r="M1507" s="375"/>
    </row>
    <row r="1508" spans="13:13" x14ac:dyDescent="0.25">
      <c r="M1508" s="375"/>
    </row>
    <row r="1509" spans="13:13" x14ac:dyDescent="0.25">
      <c r="M1509" s="375"/>
    </row>
    <row r="1510" spans="13:13" x14ac:dyDescent="0.25">
      <c r="M1510" s="375"/>
    </row>
    <row r="1511" spans="13:13" x14ac:dyDescent="0.25">
      <c r="M1511" s="375"/>
    </row>
    <row r="1512" spans="13:13" x14ac:dyDescent="0.25">
      <c r="M1512" s="375"/>
    </row>
    <row r="1513" spans="13:13" x14ac:dyDescent="0.25">
      <c r="M1513" s="375"/>
    </row>
    <row r="1514" spans="13:13" x14ac:dyDescent="0.25">
      <c r="M1514" s="375"/>
    </row>
    <row r="1515" spans="13:13" x14ac:dyDescent="0.25">
      <c r="M1515" s="375"/>
    </row>
    <row r="1516" spans="13:13" x14ac:dyDescent="0.25">
      <c r="M1516" s="375"/>
    </row>
    <row r="1517" spans="13:13" x14ac:dyDescent="0.25">
      <c r="M1517" s="375"/>
    </row>
    <row r="1518" spans="13:13" x14ac:dyDescent="0.25">
      <c r="M1518" s="375"/>
    </row>
    <row r="1519" spans="13:13" x14ac:dyDescent="0.25">
      <c r="M1519" s="375"/>
    </row>
    <row r="1520" spans="13:13" x14ac:dyDescent="0.25">
      <c r="M1520" s="375"/>
    </row>
    <row r="1521" spans="13:13" x14ac:dyDescent="0.25">
      <c r="M1521" s="375"/>
    </row>
    <row r="1522" spans="13:13" x14ac:dyDescent="0.25">
      <c r="M1522" s="375"/>
    </row>
    <row r="1523" spans="13:13" x14ac:dyDescent="0.25">
      <c r="M1523" s="375"/>
    </row>
    <row r="1524" spans="13:13" x14ac:dyDescent="0.25">
      <c r="M1524" s="375"/>
    </row>
    <row r="1525" spans="13:13" x14ac:dyDescent="0.25">
      <c r="M1525" s="375"/>
    </row>
    <row r="1526" spans="13:13" x14ac:dyDescent="0.25">
      <c r="M1526" s="375"/>
    </row>
    <row r="1527" spans="13:13" x14ac:dyDescent="0.25">
      <c r="M1527" s="375"/>
    </row>
    <row r="1528" spans="13:13" x14ac:dyDescent="0.25">
      <c r="M1528" s="375"/>
    </row>
    <row r="1529" spans="13:13" x14ac:dyDescent="0.25">
      <c r="M1529" s="375"/>
    </row>
    <row r="1530" spans="13:13" x14ac:dyDescent="0.25">
      <c r="M1530" s="375"/>
    </row>
    <row r="1531" spans="13:13" x14ac:dyDescent="0.25">
      <c r="M1531" s="375"/>
    </row>
    <row r="1532" spans="13:13" x14ac:dyDescent="0.25">
      <c r="M1532" s="375"/>
    </row>
    <row r="1533" spans="13:13" x14ac:dyDescent="0.25">
      <c r="M1533" s="375"/>
    </row>
    <row r="1534" spans="13:13" x14ac:dyDescent="0.25">
      <c r="M1534" s="375"/>
    </row>
    <row r="1535" spans="13:13" x14ac:dyDescent="0.25">
      <c r="M1535" s="375"/>
    </row>
    <row r="1536" spans="13:13" x14ac:dyDescent="0.25">
      <c r="M1536" s="375"/>
    </row>
    <row r="1537" spans="13:13" x14ac:dyDescent="0.25">
      <c r="M1537" s="375"/>
    </row>
    <row r="1538" spans="13:13" x14ac:dyDescent="0.25">
      <c r="M1538" s="375"/>
    </row>
    <row r="1539" spans="13:13" x14ac:dyDescent="0.25">
      <c r="M1539" s="375"/>
    </row>
    <row r="1540" spans="13:13" x14ac:dyDescent="0.25">
      <c r="M1540" s="375"/>
    </row>
    <row r="1541" spans="13:13" x14ac:dyDescent="0.25">
      <c r="M1541" s="375"/>
    </row>
    <row r="1542" spans="13:13" x14ac:dyDescent="0.25">
      <c r="M1542" s="375"/>
    </row>
    <row r="1543" spans="13:13" x14ac:dyDescent="0.25">
      <c r="M1543" s="375"/>
    </row>
    <row r="1544" spans="13:13" x14ac:dyDescent="0.25">
      <c r="M1544" s="375"/>
    </row>
    <row r="1545" spans="13:13" x14ac:dyDescent="0.25">
      <c r="M1545" s="375"/>
    </row>
    <row r="1546" spans="13:13" x14ac:dyDescent="0.25">
      <c r="M1546" s="375"/>
    </row>
    <row r="1547" spans="13:13" x14ac:dyDescent="0.25">
      <c r="M1547" s="375"/>
    </row>
    <row r="1548" spans="13:13" x14ac:dyDescent="0.25">
      <c r="M1548" s="375"/>
    </row>
    <row r="1549" spans="13:13" x14ac:dyDescent="0.25">
      <c r="M1549" s="375"/>
    </row>
    <row r="1550" spans="13:13" x14ac:dyDescent="0.25">
      <c r="M1550" s="375"/>
    </row>
    <row r="1551" spans="13:13" x14ac:dyDescent="0.25">
      <c r="M1551" s="375"/>
    </row>
    <row r="1552" spans="13:13" x14ac:dyDescent="0.25">
      <c r="M1552" s="375"/>
    </row>
    <row r="1553" spans="13:13" x14ac:dyDescent="0.25">
      <c r="M1553" s="375"/>
    </row>
    <row r="1554" spans="13:13" x14ac:dyDescent="0.25">
      <c r="M1554" s="375"/>
    </row>
    <row r="1555" spans="13:13" x14ac:dyDescent="0.25">
      <c r="M1555" s="375"/>
    </row>
    <row r="1556" spans="13:13" x14ac:dyDescent="0.25">
      <c r="M1556" s="375"/>
    </row>
    <row r="1557" spans="13:13" x14ac:dyDescent="0.25">
      <c r="M1557" s="375"/>
    </row>
    <row r="1558" spans="13:13" x14ac:dyDescent="0.25">
      <c r="M1558" s="375"/>
    </row>
    <row r="1559" spans="13:13" x14ac:dyDescent="0.25">
      <c r="M1559" s="375"/>
    </row>
    <row r="1560" spans="13:13" x14ac:dyDescent="0.25">
      <c r="M1560" s="375"/>
    </row>
    <row r="1561" spans="13:13" x14ac:dyDescent="0.25">
      <c r="M1561" s="375"/>
    </row>
    <row r="1562" spans="13:13" x14ac:dyDescent="0.25">
      <c r="M1562" s="375"/>
    </row>
    <row r="1563" spans="13:13" x14ac:dyDescent="0.25">
      <c r="M1563" s="375"/>
    </row>
    <row r="1564" spans="13:13" x14ac:dyDescent="0.25">
      <c r="M1564" s="375"/>
    </row>
    <row r="1565" spans="13:13" x14ac:dyDescent="0.25">
      <c r="M1565" s="375"/>
    </row>
    <row r="1566" spans="13:13" x14ac:dyDescent="0.25">
      <c r="M1566" s="375"/>
    </row>
    <row r="1567" spans="13:13" x14ac:dyDescent="0.25">
      <c r="M1567" s="375"/>
    </row>
    <row r="1568" spans="13:13" x14ac:dyDescent="0.25">
      <c r="M1568" s="375"/>
    </row>
    <row r="1569" spans="13:13" x14ac:dyDescent="0.25">
      <c r="M1569" s="375"/>
    </row>
    <row r="1570" spans="13:13" x14ac:dyDescent="0.25">
      <c r="M1570" s="375"/>
    </row>
    <row r="1571" spans="13:13" x14ac:dyDescent="0.25">
      <c r="M1571" s="375"/>
    </row>
    <row r="1572" spans="13:13" x14ac:dyDescent="0.25">
      <c r="M1572" s="375"/>
    </row>
    <row r="1573" spans="13:13" x14ac:dyDescent="0.25">
      <c r="M1573" s="375"/>
    </row>
    <row r="1574" spans="13:13" x14ac:dyDescent="0.25">
      <c r="M1574" s="375"/>
    </row>
    <row r="1575" spans="13:13" x14ac:dyDescent="0.25">
      <c r="M1575" s="375"/>
    </row>
    <row r="1576" spans="13:13" x14ac:dyDescent="0.25">
      <c r="M1576" s="375"/>
    </row>
    <row r="1577" spans="13:13" x14ac:dyDescent="0.25">
      <c r="M1577" s="375"/>
    </row>
    <row r="1578" spans="13:13" x14ac:dyDescent="0.25">
      <c r="M1578" s="375"/>
    </row>
    <row r="1579" spans="13:13" x14ac:dyDescent="0.25">
      <c r="M1579" s="375"/>
    </row>
    <row r="1580" spans="13:13" x14ac:dyDescent="0.25">
      <c r="M1580" s="375"/>
    </row>
    <row r="1581" spans="13:13" x14ac:dyDescent="0.25">
      <c r="M1581" s="375"/>
    </row>
    <row r="1582" spans="13:13" x14ac:dyDescent="0.25">
      <c r="M1582" s="375"/>
    </row>
    <row r="1583" spans="13:13" x14ac:dyDescent="0.25">
      <c r="M1583" s="375"/>
    </row>
    <row r="1584" spans="13:13" x14ac:dyDescent="0.25">
      <c r="M1584" s="375"/>
    </row>
    <row r="1585" spans="13:13" x14ac:dyDescent="0.25">
      <c r="M1585" s="375"/>
    </row>
    <row r="1586" spans="13:13" x14ac:dyDescent="0.25">
      <c r="M1586" s="375"/>
    </row>
    <row r="1587" spans="13:13" x14ac:dyDescent="0.25">
      <c r="M1587" s="375"/>
    </row>
    <row r="1588" spans="13:13" x14ac:dyDescent="0.25">
      <c r="M1588" s="375"/>
    </row>
    <row r="1589" spans="13:13" x14ac:dyDescent="0.25">
      <c r="M1589" s="375"/>
    </row>
    <row r="1590" spans="13:13" x14ac:dyDescent="0.25">
      <c r="M1590" s="375"/>
    </row>
    <row r="1591" spans="13:13" x14ac:dyDescent="0.25">
      <c r="M1591" s="375"/>
    </row>
    <row r="1592" spans="13:13" x14ac:dyDescent="0.25">
      <c r="M1592" s="375"/>
    </row>
    <row r="1593" spans="13:13" x14ac:dyDescent="0.25">
      <c r="M1593" s="375"/>
    </row>
    <row r="1594" spans="13:13" x14ac:dyDescent="0.25">
      <c r="M1594" s="375"/>
    </row>
    <row r="1595" spans="13:13" x14ac:dyDescent="0.25">
      <c r="M1595" s="375"/>
    </row>
    <row r="1596" spans="13:13" x14ac:dyDescent="0.25">
      <c r="M1596" s="375"/>
    </row>
    <row r="1597" spans="13:13" x14ac:dyDescent="0.25">
      <c r="M1597" s="375"/>
    </row>
    <row r="1598" spans="13:13" x14ac:dyDescent="0.25">
      <c r="M1598" s="375"/>
    </row>
    <row r="1599" spans="13:13" x14ac:dyDescent="0.25">
      <c r="M1599" s="375"/>
    </row>
    <row r="1600" spans="13:13" x14ac:dyDescent="0.25">
      <c r="M1600" s="375"/>
    </row>
    <row r="1601" spans="13:13" x14ac:dyDescent="0.25">
      <c r="M1601" s="375"/>
    </row>
    <row r="1602" spans="13:13" x14ac:dyDescent="0.25">
      <c r="M1602" s="375"/>
    </row>
    <row r="1603" spans="13:13" x14ac:dyDescent="0.25">
      <c r="M1603" s="375"/>
    </row>
    <row r="1604" spans="13:13" x14ac:dyDescent="0.25">
      <c r="M1604" s="375"/>
    </row>
    <row r="1605" spans="13:13" x14ac:dyDescent="0.25">
      <c r="M1605" s="375"/>
    </row>
    <row r="1606" spans="13:13" x14ac:dyDescent="0.25">
      <c r="M1606" s="375"/>
    </row>
    <row r="1607" spans="13:13" x14ac:dyDescent="0.25">
      <c r="M1607" s="375"/>
    </row>
    <row r="1608" spans="13:13" x14ac:dyDescent="0.25">
      <c r="M1608" s="375"/>
    </row>
    <row r="1609" spans="13:13" x14ac:dyDescent="0.25">
      <c r="M1609" s="375"/>
    </row>
    <row r="1610" spans="13:13" x14ac:dyDescent="0.25">
      <c r="M1610" s="375"/>
    </row>
    <row r="1611" spans="13:13" x14ac:dyDescent="0.25">
      <c r="M1611" s="375"/>
    </row>
    <row r="1612" spans="13:13" x14ac:dyDescent="0.25">
      <c r="M1612" s="375"/>
    </row>
    <row r="1613" spans="13:13" x14ac:dyDescent="0.25">
      <c r="M1613" s="375"/>
    </row>
    <row r="1614" spans="13:13" x14ac:dyDescent="0.25">
      <c r="M1614" s="375"/>
    </row>
    <row r="1615" spans="13:13" x14ac:dyDescent="0.25">
      <c r="M1615" s="375"/>
    </row>
    <row r="1616" spans="13:13" x14ac:dyDescent="0.25">
      <c r="M1616" s="375"/>
    </row>
    <row r="1617" spans="13:13" x14ac:dyDescent="0.25">
      <c r="M1617" s="375"/>
    </row>
    <row r="1618" spans="13:13" x14ac:dyDescent="0.25">
      <c r="M1618" s="375"/>
    </row>
    <row r="1619" spans="13:13" x14ac:dyDescent="0.25">
      <c r="M1619" s="375"/>
    </row>
    <row r="1620" spans="13:13" x14ac:dyDescent="0.25">
      <c r="M1620" s="375"/>
    </row>
    <row r="1621" spans="13:13" x14ac:dyDescent="0.25">
      <c r="M1621" s="375"/>
    </row>
    <row r="1622" spans="13:13" x14ac:dyDescent="0.25">
      <c r="M1622" s="375"/>
    </row>
    <row r="1623" spans="13:13" x14ac:dyDescent="0.25">
      <c r="M1623" s="375"/>
    </row>
    <row r="1624" spans="13:13" x14ac:dyDescent="0.25">
      <c r="M1624" s="375"/>
    </row>
    <row r="1625" spans="13:13" x14ac:dyDescent="0.25">
      <c r="M1625" s="375"/>
    </row>
    <row r="1626" spans="13:13" x14ac:dyDescent="0.25">
      <c r="M1626" s="375"/>
    </row>
    <row r="1627" spans="13:13" x14ac:dyDescent="0.25">
      <c r="M1627" s="375"/>
    </row>
    <row r="1628" spans="13:13" x14ac:dyDescent="0.25">
      <c r="M1628" s="375"/>
    </row>
    <row r="1629" spans="13:13" x14ac:dyDescent="0.25">
      <c r="M1629" s="375"/>
    </row>
    <row r="1630" spans="13:13" x14ac:dyDescent="0.25">
      <c r="M1630" s="375"/>
    </row>
    <row r="1631" spans="13:13" x14ac:dyDescent="0.25">
      <c r="M1631" s="375"/>
    </row>
    <row r="1632" spans="13:13" x14ac:dyDescent="0.25">
      <c r="M1632" s="375"/>
    </row>
    <row r="1633" spans="13:13" x14ac:dyDescent="0.25">
      <c r="M1633" s="375"/>
    </row>
    <row r="1634" spans="13:13" x14ac:dyDescent="0.25">
      <c r="M1634" s="375"/>
    </row>
    <row r="1635" spans="13:13" x14ac:dyDescent="0.25">
      <c r="M1635" s="375"/>
    </row>
    <row r="1636" spans="13:13" x14ac:dyDescent="0.25">
      <c r="M1636" s="375"/>
    </row>
    <row r="1637" spans="13:13" x14ac:dyDescent="0.25">
      <c r="M1637" s="375"/>
    </row>
    <row r="1638" spans="13:13" x14ac:dyDescent="0.25">
      <c r="M1638" s="375"/>
    </row>
    <row r="1639" spans="13:13" x14ac:dyDescent="0.25">
      <c r="M1639" s="375"/>
    </row>
    <row r="1640" spans="13:13" x14ac:dyDescent="0.25">
      <c r="M1640" s="375"/>
    </row>
    <row r="1641" spans="13:13" x14ac:dyDescent="0.25">
      <c r="M1641" s="375"/>
    </row>
    <row r="1642" spans="13:13" x14ac:dyDescent="0.25">
      <c r="M1642" s="375"/>
    </row>
    <row r="1643" spans="13:13" x14ac:dyDescent="0.25">
      <c r="M1643" s="375"/>
    </row>
    <row r="1644" spans="13:13" x14ac:dyDescent="0.25">
      <c r="M1644" s="375"/>
    </row>
    <row r="1645" spans="13:13" x14ac:dyDescent="0.25">
      <c r="M1645" s="375"/>
    </row>
    <row r="1646" spans="13:13" x14ac:dyDescent="0.25">
      <c r="M1646" s="375"/>
    </row>
    <row r="1647" spans="13:13" x14ac:dyDescent="0.25">
      <c r="M1647" s="375"/>
    </row>
    <row r="1648" spans="13:13" x14ac:dyDescent="0.25">
      <c r="M1648" s="375"/>
    </row>
    <row r="1649" spans="13:13" x14ac:dyDescent="0.25">
      <c r="M1649" s="375"/>
    </row>
    <row r="1650" spans="13:13" x14ac:dyDescent="0.25">
      <c r="M1650" s="375"/>
    </row>
    <row r="1651" spans="13:13" x14ac:dyDescent="0.25">
      <c r="M1651" s="375"/>
    </row>
    <row r="1652" spans="13:13" x14ac:dyDescent="0.25">
      <c r="M1652" s="375"/>
    </row>
    <row r="1653" spans="13:13" x14ac:dyDescent="0.25">
      <c r="M1653" s="375"/>
    </row>
    <row r="1654" spans="13:13" x14ac:dyDescent="0.25">
      <c r="M1654" s="375"/>
    </row>
    <row r="1655" spans="13:13" x14ac:dyDescent="0.25">
      <c r="M1655" s="375"/>
    </row>
    <row r="1656" spans="13:13" x14ac:dyDescent="0.25">
      <c r="M1656" s="375"/>
    </row>
    <row r="1657" spans="13:13" x14ac:dyDescent="0.25">
      <c r="M1657" s="375"/>
    </row>
    <row r="1658" spans="13:13" x14ac:dyDescent="0.25">
      <c r="M1658" s="375"/>
    </row>
    <row r="1659" spans="13:13" x14ac:dyDescent="0.25">
      <c r="M1659" s="375"/>
    </row>
    <row r="1660" spans="13:13" x14ac:dyDescent="0.25">
      <c r="M1660" s="375"/>
    </row>
    <row r="1661" spans="13:13" x14ac:dyDescent="0.25">
      <c r="M1661" s="375"/>
    </row>
    <row r="1662" spans="13:13" x14ac:dyDescent="0.25">
      <c r="M1662" s="375"/>
    </row>
    <row r="1663" spans="13:13" x14ac:dyDescent="0.25">
      <c r="M1663" s="375"/>
    </row>
    <row r="1664" spans="13:13" x14ac:dyDescent="0.25">
      <c r="M1664" s="375"/>
    </row>
    <row r="1665" spans="13:13" x14ac:dyDescent="0.25">
      <c r="M1665" s="375"/>
    </row>
    <row r="1666" spans="13:13" x14ac:dyDescent="0.25">
      <c r="M1666" s="375"/>
    </row>
    <row r="1667" spans="13:13" x14ac:dyDescent="0.25">
      <c r="M1667" s="375"/>
    </row>
    <row r="1668" spans="13:13" x14ac:dyDescent="0.25">
      <c r="M1668" s="375"/>
    </row>
    <row r="1669" spans="13:13" x14ac:dyDescent="0.25">
      <c r="M1669" s="375"/>
    </row>
    <row r="1670" spans="13:13" x14ac:dyDescent="0.25">
      <c r="M1670" s="375"/>
    </row>
    <row r="1671" spans="13:13" x14ac:dyDescent="0.25">
      <c r="M1671" s="375"/>
    </row>
    <row r="1672" spans="13:13" x14ac:dyDescent="0.25">
      <c r="M1672" s="375"/>
    </row>
    <row r="1673" spans="13:13" x14ac:dyDescent="0.25">
      <c r="M1673" s="375"/>
    </row>
    <row r="1674" spans="13:13" x14ac:dyDescent="0.25">
      <c r="M1674" s="375"/>
    </row>
    <row r="1675" spans="13:13" x14ac:dyDescent="0.25">
      <c r="M1675" s="375"/>
    </row>
    <row r="1676" spans="13:13" x14ac:dyDescent="0.25">
      <c r="M1676" s="375"/>
    </row>
    <row r="1677" spans="13:13" x14ac:dyDescent="0.25">
      <c r="M1677" s="375"/>
    </row>
    <row r="1678" spans="13:13" x14ac:dyDescent="0.25">
      <c r="M1678" s="375"/>
    </row>
    <row r="1679" spans="13:13" x14ac:dyDescent="0.25">
      <c r="M1679" s="375"/>
    </row>
    <row r="1680" spans="13:13" x14ac:dyDescent="0.25">
      <c r="M1680" s="375"/>
    </row>
    <row r="1681" spans="13:13" x14ac:dyDescent="0.25">
      <c r="M1681" s="375"/>
    </row>
    <row r="1682" spans="13:13" x14ac:dyDescent="0.25">
      <c r="M1682" s="375"/>
    </row>
    <row r="1683" spans="13:13" x14ac:dyDescent="0.25">
      <c r="M1683" s="375"/>
    </row>
    <row r="1684" spans="13:13" x14ac:dyDescent="0.25">
      <c r="M1684" s="375"/>
    </row>
    <row r="1685" spans="13:13" x14ac:dyDescent="0.25">
      <c r="M1685" s="375"/>
    </row>
    <row r="1686" spans="13:13" x14ac:dyDescent="0.25">
      <c r="M1686" s="375"/>
    </row>
    <row r="1687" spans="13:13" x14ac:dyDescent="0.25">
      <c r="M1687" s="375"/>
    </row>
    <row r="1688" spans="13:13" x14ac:dyDescent="0.25">
      <c r="M1688" s="375"/>
    </row>
    <row r="1689" spans="13:13" x14ac:dyDescent="0.25">
      <c r="M1689" s="375"/>
    </row>
    <row r="1690" spans="13:13" x14ac:dyDescent="0.25">
      <c r="M1690" s="375"/>
    </row>
    <row r="1691" spans="13:13" x14ac:dyDescent="0.25">
      <c r="M1691" s="375"/>
    </row>
    <row r="1692" spans="13:13" x14ac:dyDescent="0.25">
      <c r="M1692" s="375"/>
    </row>
    <row r="1693" spans="13:13" x14ac:dyDescent="0.25">
      <c r="M1693" s="375"/>
    </row>
    <row r="1694" spans="13:13" x14ac:dyDescent="0.25">
      <c r="M1694" s="375"/>
    </row>
    <row r="1695" spans="13:13" x14ac:dyDescent="0.25">
      <c r="M1695" s="375"/>
    </row>
    <row r="1696" spans="13:13" x14ac:dyDescent="0.25">
      <c r="M1696" s="375"/>
    </row>
    <row r="1697" spans="13:13" x14ac:dyDescent="0.25">
      <c r="M1697" s="375"/>
    </row>
    <row r="1698" spans="13:13" x14ac:dyDescent="0.25">
      <c r="M1698" s="375"/>
    </row>
    <row r="1699" spans="13:13" x14ac:dyDescent="0.25">
      <c r="M1699" s="375"/>
    </row>
    <row r="1700" spans="13:13" x14ac:dyDescent="0.25">
      <c r="M1700" s="375"/>
    </row>
    <row r="1701" spans="13:13" x14ac:dyDescent="0.25">
      <c r="M1701" s="375"/>
    </row>
    <row r="1702" spans="13:13" x14ac:dyDescent="0.25">
      <c r="M1702" s="375"/>
    </row>
    <row r="1703" spans="13:13" x14ac:dyDescent="0.25">
      <c r="M1703" s="375"/>
    </row>
    <row r="1704" spans="13:13" x14ac:dyDescent="0.25">
      <c r="M1704" s="375"/>
    </row>
    <row r="1705" spans="13:13" x14ac:dyDescent="0.25">
      <c r="M1705" s="375"/>
    </row>
    <row r="1706" spans="13:13" x14ac:dyDescent="0.25">
      <c r="M1706" s="375"/>
    </row>
    <row r="1707" spans="13:13" x14ac:dyDescent="0.25">
      <c r="M1707" s="375"/>
    </row>
    <row r="1708" spans="13:13" x14ac:dyDescent="0.25">
      <c r="M1708" s="375"/>
    </row>
    <row r="1709" spans="13:13" x14ac:dyDescent="0.25">
      <c r="M1709" s="375"/>
    </row>
    <row r="1710" spans="13:13" x14ac:dyDescent="0.25">
      <c r="M1710" s="375"/>
    </row>
    <row r="1711" spans="13:13" x14ac:dyDescent="0.25">
      <c r="M1711" s="375"/>
    </row>
    <row r="1712" spans="13:13" x14ac:dyDescent="0.25">
      <c r="M1712" s="375"/>
    </row>
    <row r="1713" spans="13:13" x14ac:dyDescent="0.25">
      <c r="M1713" s="375"/>
    </row>
    <row r="1714" spans="13:13" x14ac:dyDescent="0.25">
      <c r="M1714" s="375"/>
    </row>
    <row r="1715" spans="13:13" x14ac:dyDescent="0.25">
      <c r="M1715" s="375"/>
    </row>
    <row r="1716" spans="13:13" x14ac:dyDescent="0.25">
      <c r="M1716" s="375"/>
    </row>
    <row r="1717" spans="13:13" x14ac:dyDescent="0.25">
      <c r="M1717" s="375"/>
    </row>
    <row r="1718" spans="13:13" x14ac:dyDescent="0.25">
      <c r="M1718" s="375"/>
    </row>
    <row r="1719" spans="13:13" x14ac:dyDescent="0.25">
      <c r="M1719" s="375"/>
    </row>
    <row r="1720" spans="13:13" x14ac:dyDescent="0.25">
      <c r="M1720" s="375"/>
    </row>
    <row r="1721" spans="13:13" x14ac:dyDescent="0.25">
      <c r="M1721" s="375"/>
    </row>
    <row r="1722" spans="13:13" x14ac:dyDescent="0.25">
      <c r="M1722" s="375"/>
    </row>
    <row r="1723" spans="13:13" x14ac:dyDescent="0.25">
      <c r="M1723" s="375"/>
    </row>
    <row r="1724" spans="13:13" x14ac:dyDescent="0.25">
      <c r="M1724" s="375"/>
    </row>
    <row r="1725" spans="13:13" x14ac:dyDescent="0.25">
      <c r="M1725" s="375"/>
    </row>
    <row r="1726" spans="13:13" x14ac:dyDescent="0.25">
      <c r="M1726" s="375"/>
    </row>
    <row r="1727" spans="13:13" x14ac:dyDescent="0.25">
      <c r="M1727" s="375"/>
    </row>
    <row r="1728" spans="13:13" x14ac:dyDescent="0.25">
      <c r="M1728" s="375"/>
    </row>
    <row r="1729" spans="13:13" x14ac:dyDescent="0.25">
      <c r="M1729" s="375"/>
    </row>
    <row r="1730" spans="13:13" x14ac:dyDescent="0.25">
      <c r="M1730" s="375"/>
    </row>
    <row r="1731" spans="13:13" x14ac:dyDescent="0.25">
      <c r="M1731" s="375"/>
    </row>
    <row r="1732" spans="13:13" x14ac:dyDescent="0.25">
      <c r="M1732" s="375"/>
    </row>
    <row r="1733" spans="13:13" x14ac:dyDescent="0.25">
      <c r="M1733" s="375"/>
    </row>
    <row r="1734" spans="13:13" x14ac:dyDescent="0.25">
      <c r="M1734" s="375"/>
    </row>
    <row r="1735" spans="13:13" x14ac:dyDescent="0.25">
      <c r="M1735" s="375"/>
    </row>
    <row r="1736" spans="13:13" x14ac:dyDescent="0.25">
      <c r="M1736" s="375"/>
    </row>
    <row r="1737" spans="13:13" x14ac:dyDescent="0.25">
      <c r="M1737" s="375"/>
    </row>
    <row r="1738" spans="13:13" x14ac:dyDescent="0.25">
      <c r="M1738" s="375"/>
    </row>
    <row r="1739" spans="13:13" x14ac:dyDescent="0.25">
      <c r="M1739" s="375"/>
    </row>
    <row r="1740" spans="13:13" x14ac:dyDescent="0.25">
      <c r="M1740" s="375"/>
    </row>
    <row r="1741" spans="13:13" x14ac:dyDescent="0.25">
      <c r="M1741" s="375"/>
    </row>
    <row r="1742" spans="13:13" x14ac:dyDescent="0.25">
      <c r="M1742" s="375"/>
    </row>
    <row r="1743" spans="13:13" x14ac:dyDescent="0.25">
      <c r="M1743" s="375"/>
    </row>
    <row r="1744" spans="13:13" x14ac:dyDescent="0.25">
      <c r="M1744" s="375"/>
    </row>
    <row r="1745" spans="13:13" x14ac:dyDescent="0.25">
      <c r="M1745" s="375"/>
    </row>
    <row r="1746" spans="13:13" x14ac:dyDescent="0.25">
      <c r="M1746" s="375"/>
    </row>
    <row r="1747" spans="13:13" x14ac:dyDescent="0.25">
      <c r="M1747" s="375"/>
    </row>
    <row r="1748" spans="13:13" x14ac:dyDescent="0.25">
      <c r="M1748" s="375"/>
    </row>
    <row r="1749" spans="13:13" x14ac:dyDescent="0.25">
      <c r="M1749" s="375"/>
    </row>
    <row r="1750" spans="13:13" x14ac:dyDescent="0.25">
      <c r="M1750" s="375"/>
    </row>
    <row r="1751" spans="13:13" x14ac:dyDescent="0.25">
      <c r="M1751" s="375"/>
    </row>
    <row r="1752" spans="13:13" x14ac:dyDescent="0.25">
      <c r="M1752" s="375"/>
    </row>
    <row r="1753" spans="13:13" x14ac:dyDescent="0.25">
      <c r="M1753" s="375"/>
    </row>
    <row r="1754" spans="13:13" x14ac:dyDescent="0.25">
      <c r="M1754" s="375"/>
    </row>
    <row r="1755" spans="13:13" x14ac:dyDescent="0.25">
      <c r="M1755" s="375"/>
    </row>
    <row r="1756" spans="13:13" x14ac:dyDescent="0.25">
      <c r="M1756" s="375"/>
    </row>
    <row r="1757" spans="13:13" x14ac:dyDescent="0.25">
      <c r="M1757" s="375"/>
    </row>
    <row r="1758" spans="13:13" x14ac:dyDescent="0.25">
      <c r="M1758" s="375"/>
    </row>
    <row r="1759" spans="13:13" x14ac:dyDescent="0.25">
      <c r="M1759" s="375"/>
    </row>
    <row r="1760" spans="13:13" x14ac:dyDescent="0.25">
      <c r="M1760" s="375"/>
    </row>
    <row r="1761" spans="13:13" x14ac:dyDescent="0.25">
      <c r="M1761" s="375"/>
    </row>
    <row r="1762" spans="13:13" x14ac:dyDescent="0.25">
      <c r="M1762" s="375"/>
    </row>
    <row r="1763" spans="13:13" x14ac:dyDescent="0.25">
      <c r="M1763" s="375"/>
    </row>
    <row r="1764" spans="13:13" x14ac:dyDescent="0.25">
      <c r="M1764" s="375"/>
    </row>
    <row r="1765" spans="13:13" x14ac:dyDescent="0.25">
      <c r="M1765" s="375"/>
    </row>
    <row r="1766" spans="13:13" x14ac:dyDescent="0.25">
      <c r="M1766" s="375"/>
    </row>
    <row r="1767" spans="13:13" x14ac:dyDescent="0.25">
      <c r="M1767" s="375"/>
    </row>
    <row r="1768" spans="13:13" x14ac:dyDescent="0.25">
      <c r="M1768" s="375"/>
    </row>
    <row r="1769" spans="13:13" x14ac:dyDescent="0.25">
      <c r="M1769" s="375"/>
    </row>
    <row r="1770" spans="13:13" x14ac:dyDescent="0.25">
      <c r="M1770" s="375"/>
    </row>
    <row r="1771" spans="13:13" x14ac:dyDescent="0.25">
      <c r="M1771" s="375"/>
    </row>
    <row r="1772" spans="13:13" x14ac:dyDescent="0.25">
      <c r="M1772" s="375"/>
    </row>
    <row r="1773" spans="13:13" x14ac:dyDescent="0.25">
      <c r="M1773" s="375"/>
    </row>
    <row r="1774" spans="13:13" x14ac:dyDescent="0.25">
      <c r="M1774" s="375"/>
    </row>
    <row r="1775" spans="13:13" x14ac:dyDescent="0.25">
      <c r="M1775" s="375"/>
    </row>
    <row r="1776" spans="13:13" x14ac:dyDescent="0.25">
      <c r="M1776" s="375"/>
    </row>
    <row r="1777" spans="13:13" x14ac:dyDescent="0.25">
      <c r="M1777" s="375"/>
    </row>
    <row r="1778" spans="13:13" x14ac:dyDescent="0.25">
      <c r="M1778" s="375"/>
    </row>
    <row r="1779" spans="13:13" x14ac:dyDescent="0.25">
      <c r="M1779" s="375"/>
    </row>
    <row r="1780" spans="13:13" x14ac:dyDescent="0.25">
      <c r="M1780" s="375"/>
    </row>
    <row r="1781" spans="13:13" x14ac:dyDescent="0.25">
      <c r="M1781" s="375"/>
    </row>
    <row r="1782" spans="13:13" x14ac:dyDescent="0.25">
      <c r="M1782" s="375"/>
    </row>
    <row r="1783" spans="13:13" x14ac:dyDescent="0.25">
      <c r="M1783" s="375"/>
    </row>
    <row r="1784" spans="13:13" x14ac:dyDescent="0.25">
      <c r="M1784" s="375"/>
    </row>
    <row r="1785" spans="13:13" x14ac:dyDescent="0.25">
      <c r="M1785" s="375"/>
    </row>
    <row r="1786" spans="13:13" x14ac:dyDescent="0.25">
      <c r="M1786" s="375"/>
    </row>
    <row r="1787" spans="13:13" x14ac:dyDescent="0.25">
      <c r="M1787" s="375"/>
    </row>
    <row r="1788" spans="13:13" x14ac:dyDescent="0.25">
      <c r="M1788" s="375"/>
    </row>
    <row r="1789" spans="13:13" x14ac:dyDescent="0.25">
      <c r="M1789" s="375"/>
    </row>
    <row r="1790" spans="13:13" x14ac:dyDescent="0.25">
      <c r="M1790" s="375"/>
    </row>
    <row r="1791" spans="13:13" x14ac:dyDescent="0.25">
      <c r="M1791" s="375"/>
    </row>
    <row r="1792" spans="13:13" x14ac:dyDescent="0.25">
      <c r="M1792" s="375"/>
    </row>
    <row r="1793" spans="13:13" x14ac:dyDescent="0.25">
      <c r="M1793" s="375"/>
    </row>
    <row r="1794" spans="13:13" x14ac:dyDescent="0.25">
      <c r="M1794" s="375"/>
    </row>
    <row r="1795" spans="13:13" x14ac:dyDescent="0.25">
      <c r="M1795" s="375"/>
    </row>
    <row r="1796" spans="13:13" x14ac:dyDescent="0.25">
      <c r="M1796" s="375"/>
    </row>
    <row r="1797" spans="13:13" x14ac:dyDescent="0.25">
      <c r="M1797" s="375"/>
    </row>
    <row r="1798" spans="13:13" x14ac:dyDescent="0.25">
      <c r="M1798" s="375"/>
    </row>
    <row r="1799" spans="13:13" x14ac:dyDescent="0.25">
      <c r="M1799" s="375"/>
    </row>
    <row r="1800" spans="13:13" x14ac:dyDescent="0.25">
      <c r="M1800" s="375"/>
    </row>
    <row r="1801" spans="13:13" x14ac:dyDescent="0.25">
      <c r="M1801" s="375"/>
    </row>
    <row r="1802" spans="13:13" x14ac:dyDescent="0.25">
      <c r="M1802" s="375"/>
    </row>
    <row r="1803" spans="13:13" x14ac:dyDescent="0.25">
      <c r="M1803" s="375"/>
    </row>
    <row r="1804" spans="13:13" x14ac:dyDescent="0.25">
      <c r="M1804" s="375"/>
    </row>
    <row r="1805" spans="13:13" x14ac:dyDescent="0.25">
      <c r="M1805" s="375"/>
    </row>
    <row r="1806" spans="13:13" x14ac:dyDescent="0.25">
      <c r="M1806" s="375"/>
    </row>
    <row r="1807" spans="13:13" x14ac:dyDescent="0.25">
      <c r="M1807" s="375"/>
    </row>
    <row r="1808" spans="13:13" x14ac:dyDescent="0.25">
      <c r="M1808" s="375"/>
    </row>
    <row r="1809" spans="13:13" x14ac:dyDescent="0.25">
      <c r="M1809" s="375"/>
    </row>
    <row r="1810" spans="13:13" x14ac:dyDescent="0.25">
      <c r="M1810" s="375"/>
    </row>
    <row r="1811" spans="13:13" x14ac:dyDescent="0.25">
      <c r="M1811" s="375"/>
    </row>
    <row r="1812" spans="13:13" x14ac:dyDescent="0.25">
      <c r="M1812" s="375"/>
    </row>
    <row r="1813" spans="13:13" x14ac:dyDescent="0.25">
      <c r="M1813" s="375"/>
    </row>
    <row r="1814" spans="13:13" x14ac:dyDescent="0.25">
      <c r="M1814" s="375"/>
    </row>
    <row r="1815" spans="13:13" x14ac:dyDescent="0.25">
      <c r="M1815" s="375"/>
    </row>
    <row r="1816" spans="13:13" x14ac:dyDescent="0.25">
      <c r="M1816" s="375"/>
    </row>
    <row r="1817" spans="13:13" x14ac:dyDescent="0.25">
      <c r="M1817" s="375"/>
    </row>
    <row r="1818" spans="13:13" x14ac:dyDescent="0.25">
      <c r="M1818" s="375"/>
    </row>
    <row r="1819" spans="13:13" x14ac:dyDescent="0.25">
      <c r="M1819" s="375"/>
    </row>
    <row r="1820" spans="13:13" x14ac:dyDescent="0.25">
      <c r="M1820" s="375"/>
    </row>
    <row r="1821" spans="13:13" x14ac:dyDescent="0.25">
      <c r="M1821" s="375"/>
    </row>
    <row r="1822" spans="13:13" x14ac:dyDescent="0.25">
      <c r="M1822" s="375"/>
    </row>
    <row r="1823" spans="13:13" x14ac:dyDescent="0.25">
      <c r="M1823" s="375"/>
    </row>
    <row r="1824" spans="13:13" x14ac:dyDescent="0.25">
      <c r="M1824" s="375"/>
    </row>
    <row r="1825" spans="13:13" x14ac:dyDescent="0.25">
      <c r="M1825" s="375"/>
    </row>
    <row r="1826" spans="13:13" x14ac:dyDescent="0.25">
      <c r="M1826" s="375"/>
    </row>
    <row r="1827" spans="13:13" x14ac:dyDescent="0.25">
      <c r="M1827" s="375"/>
    </row>
    <row r="1828" spans="13:13" x14ac:dyDescent="0.25">
      <c r="M1828" s="375"/>
    </row>
    <row r="1829" spans="13:13" x14ac:dyDescent="0.25">
      <c r="M1829" s="375"/>
    </row>
    <row r="1830" spans="13:13" x14ac:dyDescent="0.25">
      <c r="M1830" s="375"/>
    </row>
    <row r="1831" spans="13:13" x14ac:dyDescent="0.25">
      <c r="M1831" s="375"/>
    </row>
    <row r="1832" spans="13:13" x14ac:dyDescent="0.25">
      <c r="M1832" s="375"/>
    </row>
    <row r="1833" spans="13:13" x14ac:dyDescent="0.25">
      <c r="M1833" s="375"/>
    </row>
    <row r="1834" spans="13:13" x14ac:dyDescent="0.25">
      <c r="M1834" s="375"/>
    </row>
    <row r="1835" spans="13:13" x14ac:dyDescent="0.25">
      <c r="M1835" s="375"/>
    </row>
    <row r="1836" spans="13:13" x14ac:dyDescent="0.25">
      <c r="M1836" s="375"/>
    </row>
    <row r="1837" spans="13:13" x14ac:dyDescent="0.25">
      <c r="M1837" s="375"/>
    </row>
    <row r="1838" spans="13:13" x14ac:dyDescent="0.25">
      <c r="M1838" s="375"/>
    </row>
    <row r="1839" spans="13:13" x14ac:dyDescent="0.25">
      <c r="M1839" s="375"/>
    </row>
    <row r="1840" spans="13:13" x14ac:dyDescent="0.25">
      <c r="M1840" s="375"/>
    </row>
    <row r="1841" spans="13:13" x14ac:dyDescent="0.25">
      <c r="M1841" s="375"/>
    </row>
    <row r="1842" spans="13:13" x14ac:dyDescent="0.25">
      <c r="M1842" s="375"/>
    </row>
    <row r="1843" spans="13:13" x14ac:dyDescent="0.25">
      <c r="M1843" s="375"/>
    </row>
    <row r="1844" spans="13:13" x14ac:dyDescent="0.25">
      <c r="M1844" s="375"/>
    </row>
    <row r="1845" spans="13:13" x14ac:dyDescent="0.25">
      <c r="M1845" s="375"/>
    </row>
    <row r="1846" spans="13:13" x14ac:dyDescent="0.25">
      <c r="M1846" s="375"/>
    </row>
    <row r="1847" spans="13:13" x14ac:dyDescent="0.25">
      <c r="M1847" s="375"/>
    </row>
    <row r="1848" spans="13:13" x14ac:dyDescent="0.25">
      <c r="M1848" s="375"/>
    </row>
    <row r="1849" spans="13:13" x14ac:dyDescent="0.25">
      <c r="M1849" s="375"/>
    </row>
    <row r="1850" spans="13:13" x14ac:dyDescent="0.25">
      <c r="M1850" s="375"/>
    </row>
    <row r="1851" spans="13:13" x14ac:dyDescent="0.25">
      <c r="M1851" s="375"/>
    </row>
    <row r="1852" spans="13:13" x14ac:dyDescent="0.25">
      <c r="M1852" s="375"/>
    </row>
    <row r="1853" spans="13:13" x14ac:dyDescent="0.25">
      <c r="M1853" s="375"/>
    </row>
    <row r="1854" spans="13:13" x14ac:dyDescent="0.25">
      <c r="M1854" s="375"/>
    </row>
    <row r="1855" spans="13:13" x14ac:dyDescent="0.25">
      <c r="M1855" s="375"/>
    </row>
    <row r="1856" spans="13:13" x14ac:dyDescent="0.25">
      <c r="M1856" s="375"/>
    </row>
    <row r="1857" spans="13:13" x14ac:dyDescent="0.25">
      <c r="M1857" s="375"/>
    </row>
    <row r="1858" spans="13:13" x14ac:dyDescent="0.25">
      <c r="M1858" s="375"/>
    </row>
    <row r="1859" spans="13:13" x14ac:dyDescent="0.25">
      <c r="M1859" s="375"/>
    </row>
    <row r="1860" spans="13:13" x14ac:dyDescent="0.25">
      <c r="M1860" s="375"/>
    </row>
    <row r="1861" spans="13:13" x14ac:dyDescent="0.25">
      <c r="M1861" s="375"/>
    </row>
    <row r="1862" spans="13:13" x14ac:dyDescent="0.25">
      <c r="M1862" s="375"/>
    </row>
    <row r="1863" spans="13:13" x14ac:dyDescent="0.25">
      <c r="M1863" s="375"/>
    </row>
    <row r="1864" spans="13:13" x14ac:dyDescent="0.25">
      <c r="M1864" s="375"/>
    </row>
    <row r="1865" spans="13:13" x14ac:dyDescent="0.25">
      <c r="M1865" s="375"/>
    </row>
    <row r="1866" spans="13:13" x14ac:dyDescent="0.25">
      <c r="M1866" s="375"/>
    </row>
    <row r="1867" spans="13:13" x14ac:dyDescent="0.25">
      <c r="M1867" s="375"/>
    </row>
    <row r="1868" spans="13:13" x14ac:dyDescent="0.25">
      <c r="M1868" s="375"/>
    </row>
    <row r="1869" spans="13:13" x14ac:dyDescent="0.25">
      <c r="M1869" s="375"/>
    </row>
    <row r="1870" spans="13:13" x14ac:dyDescent="0.25">
      <c r="M1870" s="375"/>
    </row>
    <row r="1871" spans="13:13" x14ac:dyDescent="0.25">
      <c r="M1871" s="375"/>
    </row>
    <row r="1872" spans="13:13" x14ac:dyDescent="0.25">
      <c r="M1872" s="375"/>
    </row>
    <row r="1873" spans="13:13" x14ac:dyDescent="0.25">
      <c r="M1873" s="375"/>
    </row>
    <row r="1874" spans="13:13" x14ac:dyDescent="0.25">
      <c r="M1874" s="375"/>
    </row>
    <row r="1875" spans="13:13" x14ac:dyDescent="0.25">
      <c r="M1875" s="375"/>
    </row>
    <row r="1876" spans="13:13" x14ac:dyDescent="0.25">
      <c r="M1876" s="375"/>
    </row>
    <row r="1877" spans="13:13" x14ac:dyDescent="0.25">
      <c r="M1877" s="375"/>
    </row>
    <row r="1878" spans="13:13" x14ac:dyDescent="0.25">
      <c r="M1878" s="375"/>
    </row>
    <row r="1879" spans="13:13" x14ac:dyDescent="0.25">
      <c r="M1879" s="375"/>
    </row>
    <row r="1880" spans="13:13" x14ac:dyDescent="0.25">
      <c r="M1880" s="375"/>
    </row>
    <row r="1881" spans="13:13" x14ac:dyDescent="0.25">
      <c r="M1881" s="375"/>
    </row>
    <row r="1882" spans="13:13" x14ac:dyDescent="0.25">
      <c r="M1882" s="375"/>
    </row>
    <row r="1883" spans="13:13" x14ac:dyDescent="0.25">
      <c r="M1883" s="375"/>
    </row>
    <row r="1884" spans="13:13" x14ac:dyDescent="0.25">
      <c r="M1884" s="375"/>
    </row>
    <row r="1885" spans="13:13" x14ac:dyDescent="0.25">
      <c r="M1885" s="375"/>
    </row>
    <row r="1886" spans="13:13" x14ac:dyDescent="0.25">
      <c r="M1886" s="375"/>
    </row>
    <row r="1887" spans="13:13" x14ac:dyDescent="0.25">
      <c r="M1887" s="375"/>
    </row>
    <row r="1888" spans="13:13" x14ac:dyDescent="0.25">
      <c r="M1888" s="375"/>
    </row>
    <row r="1889" spans="13:13" x14ac:dyDescent="0.25">
      <c r="M1889" s="375"/>
    </row>
    <row r="1890" spans="13:13" x14ac:dyDescent="0.25">
      <c r="M1890" s="375"/>
    </row>
    <row r="1891" spans="13:13" x14ac:dyDescent="0.25">
      <c r="M1891" s="375"/>
    </row>
    <row r="1892" spans="13:13" x14ac:dyDescent="0.25">
      <c r="M1892" s="375"/>
    </row>
    <row r="1893" spans="13:13" x14ac:dyDescent="0.25">
      <c r="M1893" s="375"/>
    </row>
    <row r="1894" spans="13:13" x14ac:dyDescent="0.25">
      <c r="M1894" s="375"/>
    </row>
    <row r="1895" spans="13:13" x14ac:dyDescent="0.25">
      <c r="M1895" s="375"/>
    </row>
    <row r="1896" spans="13:13" x14ac:dyDescent="0.25">
      <c r="M1896" s="375"/>
    </row>
    <row r="1897" spans="13:13" x14ac:dyDescent="0.25">
      <c r="M1897" s="375"/>
    </row>
    <row r="1898" spans="13:13" x14ac:dyDescent="0.25">
      <c r="M1898" s="375"/>
    </row>
    <row r="1899" spans="13:13" x14ac:dyDescent="0.25">
      <c r="M1899" s="375"/>
    </row>
    <row r="1900" spans="13:13" x14ac:dyDescent="0.25">
      <c r="M1900" s="375"/>
    </row>
    <row r="1901" spans="13:13" x14ac:dyDescent="0.25">
      <c r="M1901" s="375"/>
    </row>
    <row r="1902" spans="13:13" x14ac:dyDescent="0.25">
      <c r="M1902" s="375"/>
    </row>
    <row r="1903" spans="13:13" x14ac:dyDescent="0.25">
      <c r="M1903" s="375"/>
    </row>
    <row r="1904" spans="13:13" x14ac:dyDescent="0.25">
      <c r="M1904" s="375"/>
    </row>
    <row r="1905" spans="13:13" x14ac:dyDescent="0.25">
      <c r="M1905" s="375"/>
    </row>
    <row r="1906" spans="13:13" x14ac:dyDescent="0.25">
      <c r="M1906" s="375"/>
    </row>
    <row r="1907" spans="13:13" x14ac:dyDescent="0.25">
      <c r="M1907" s="375"/>
    </row>
    <row r="1908" spans="13:13" x14ac:dyDescent="0.25">
      <c r="M1908" s="375"/>
    </row>
    <row r="1909" spans="13:13" x14ac:dyDescent="0.25">
      <c r="M1909" s="375"/>
    </row>
    <row r="1910" spans="13:13" x14ac:dyDescent="0.25">
      <c r="M1910" s="375"/>
    </row>
    <row r="1911" spans="13:13" x14ac:dyDescent="0.25">
      <c r="M1911" s="375"/>
    </row>
    <row r="1912" spans="13:13" x14ac:dyDescent="0.25">
      <c r="M1912" s="375"/>
    </row>
    <row r="1913" spans="13:13" x14ac:dyDescent="0.25">
      <c r="M1913" s="375"/>
    </row>
    <row r="1914" spans="13:13" x14ac:dyDescent="0.25">
      <c r="M1914" s="375"/>
    </row>
    <row r="1915" spans="13:13" x14ac:dyDescent="0.25">
      <c r="M1915" s="375"/>
    </row>
    <row r="1916" spans="13:13" x14ac:dyDescent="0.25">
      <c r="M1916" s="375"/>
    </row>
    <row r="1917" spans="13:13" x14ac:dyDescent="0.25">
      <c r="M1917" s="375"/>
    </row>
    <row r="1918" spans="13:13" x14ac:dyDescent="0.25">
      <c r="M1918" s="375"/>
    </row>
    <row r="1919" spans="13:13" x14ac:dyDescent="0.25">
      <c r="M1919" s="375"/>
    </row>
    <row r="1920" spans="13:13" x14ac:dyDescent="0.25">
      <c r="M1920" s="375"/>
    </row>
    <row r="1921" spans="13:13" x14ac:dyDescent="0.25">
      <c r="M1921" s="375"/>
    </row>
    <row r="1922" spans="13:13" x14ac:dyDescent="0.25">
      <c r="M1922" s="375"/>
    </row>
    <row r="1923" spans="13:13" x14ac:dyDescent="0.25">
      <c r="M1923" s="375"/>
    </row>
    <row r="1924" spans="13:13" x14ac:dyDescent="0.25">
      <c r="M1924" s="375"/>
    </row>
    <row r="1925" spans="13:13" x14ac:dyDescent="0.25">
      <c r="M1925" s="375"/>
    </row>
    <row r="1926" spans="13:13" x14ac:dyDescent="0.25">
      <c r="M1926" s="375"/>
    </row>
    <row r="1927" spans="13:13" x14ac:dyDescent="0.25">
      <c r="M1927" s="375"/>
    </row>
    <row r="1928" spans="13:13" x14ac:dyDescent="0.25">
      <c r="M1928" s="375"/>
    </row>
    <row r="1929" spans="13:13" x14ac:dyDescent="0.25">
      <c r="M1929" s="375"/>
    </row>
    <row r="1930" spans="13:13" x14ac:dyDescent="0.25">
      <c r="M1930" s="375"/>
    </row>
    <row r="1931" spans="13:13" x14ac:dyDescent="0.25">
      <c r="M1931" s="375"/>
    </row>
    <row r="1932" spans="13:13" x14ac:dyDescent="0.25">
      <c r="M1932" s="375"/>
    </row>
    <row r="1933" spans="13:13" x14ac:dyDescent="0.25">
      <c r="M1933" s="375"/>
    </row>
    <row r="1934" spans="13:13" x14ac:dyDescent="0.25">
      <c r="M1934" s="375"/>
    </row>
    <row r="1935" spans="13:13" x14ac:dyDescent="0.25">
      <c r="M1935" s="375"/>
    </row>
    <row r="1936" spans="13:13" x14ac:dyDescent="0.25">
      <c r="M1936" s="375"/>
    </row>
    <row r="1937" spans="13:13" x14ac:dyDescent="0.25">
      <c r="M1937" s="375"/>
    </row>
    <row r="1938" spans="13:13" x14ac:dyDescent="0.25">
      <c r="M1938" s="375"/>
    </row>
    <row r="1939" spans="13:13" x14ac:dyDescent="0.25">
      <c r="M1939" s="375"/>
    </row>
    <row r="1940" spans="13:13" x14ac:dyDescent="0.25">
      <c r="M1940" s="375"/>
    </row>
    <row r="1941" spans="13:13" x14ac:dyDescent="0.25">
      <c r="M1941" s="375"/>
    </row>
    <row r="1942" spans="13:13" x14ac:dyDescent="0.25">
      <c r="M1942" s="375"/>
    </row>
    <row r="1943" spans="13:13" x14ac:dyDescent="0.25">
      <c r="M1943" s="375"/>
    </row>
    <row r="1944" spans="13:13" x14ac:dyDescent="0.25">
      <c r="M1944" s="375"/>
    </row>
    <row r="1945" spans="13:13" x14ac:dyDescent="0.25">
      <c r="M1945" s="375"/>
    </row>
    <row r="1946" spans="13:13" x14ac:dyDescent="0.25">
      <c r="M1946" s="375"/>
    </row>
    <row r="1947" spans="13:13" x14ac:dyDescent="0.25">
      <c r="M1947" s="375"/>
    </row>
    <row r="1948" spans="13:13" x14ac:dyDescent="0.25">
      <c r="M1948" s="375"/>
    </row>
    <row r="1949" spans="13:13" x14ac:dyDescent="0.25">
      <c r="M1949" s="375"/>
    </row>
    <row r="1950" spans="13:13" x14ac:dyDescent="0.25">
      <c r="M1950" s="375"/>
    </row>
    <row r="1951" spans="13:13" x14ac:dyDescent="0.25">
      <c r="M1951" s="375"/>
    </row>
    <row r="1952" spans="13:13" x14ac:dyDescent="0.25">
      <c r="M1952" s="375"/>
    </row>
    <row r="1953" spans="13:13" x14ac:dyDescent="0.25">
      <c r="M1953" s="375"/>
    </row>
    <row r="1954" spans="13:13" x14ac:dyDescent="0.25">
      <c r="M1954" s="375"/>
    </row>
    <row r="1955" spans="13:13" x14ac:dyDescent="0.25">
      <c r="M1955" s="375"/>
    </row>
    <row r="1956" spans="13:13" x14ac:dyDescent="0.25">
      <c r="M1956" s="375"/>
    </row>
    <row r="1957" spans="13:13" x14ac:dyDescent="0.25">
      <c r="M1957" s="375"/>
    </row>
    <row r="1958" spans="13:13" x14ac:dyDescent="0.25">
      <c r="M1958" s="375"/>
    </row>
    <row r="1959" spans="13:13" x14ac:dyDescent="0.25">
      <c r="M1959" s="375"/>
    </row>
    <row r="1960" spans="13:13" x14ac:dyDescent="0.25">
      <c r="M1960" s="375"/>
    </row>
    <row r="1961" spans="13:13" x14ac:dyDescent="0.25">
      <c r="M1961" s="375"/>
    </row>
    <row r="1962" spans="13:13" x14ac:dyDescent="0.25">
      <c r="M1962" s="375"/>
    </row>
    <row r="1963" spans="13:13" x14ac:dyDescent="0.25">
      <c r="M1963" s="375"/>
    </row>
    <row r="1964" spans="13:13" x14ac:dyDescent="0.25">
      <c r="M1964" s="375"/>
    </row>
    <row r="1965" spans="13:13" x14ac:dyDescent="0.25">
      <c r="M1965" s="375"/>
    </row>
    <row r="1966" spans="13:13" x14ac:dyDescent="0.25">
      <c r="M1966" s="375"/>
    </row>
    <row r="1967" spans="13:13" x14ac:dyDescent="0.25">
      <c r="M1967" s="375"/>
    </row>
    <row r="1968" spans="13:13" x14ac:dyDescent="0.25">
      <c r="M1968" s="375"/>
    </row>
    <row r="1969" spans="13:13" x14ac:dyDescent="0.25">
      <c r="M1969" s="375"/>
    </row>
    <row r="1970" spans="13:13" x14ac:dyDescent="0.25">
      <c r="M1970" s="375"/>
    </row>
    <row r="1971" spans="13:13" x14ac:dyDescent="0.25">
      <c r="M1971" s="375"/>
    </row>
    <row r="1972" spans="13:13" x14ac:dyDescent="0.25">
      <c r="M1972" s="375"/>
    </row>
    <row r="1973" spans="13:13" x14ac:dyDescent="0.25">
      <c r="M1973" s="375"/>
    </row>
    <row r="1974" spans="13:13" x14ac:dyDescent="0.25">
      <c r="M1974" s="375"/>
    </row>
    <row r="1975" spans="13:13" x14ac:dyDescent="0.25">
      <c r="M1975" s="375"/>
    </row>
    <row r="1976" spans="13:13" x14ac:dyDescent="0.25">
      <c r="M1976" s="375"/>
    </row>
    <row r="1977" spans="13:13" x14ac:dyDescent="0.25">
      <c r="M1977" s="375"/>
    </row>
    <row r="1978" spans="13:13" x14ac:dyDescent="0.25">
      <c r="M1978" s="375"/>
    </row>
    <row r="1979" spans="13:13" x14ac:dyDescent="0.25">
      <c r="M1979" s="375"/>
    </row>
    <row r="1980" spans="13:13" x14ac:dyDescent="0.25">
      <c r="M1980" s="375"/>
    </row>
    <row r="1981" spans="13:13" x14ac:dyDescent="0.25">
      <c r="M1981" s="375"/>
    </row>
    <row r="1982" spans="13:13" x14ac:dyDescent="0.25">
      <c r="M1982" s="375"/>
    </row>
    <row r="1983" spans="13:13" x14ac:dyDescent="0.25">
      <c r="M1983" s="375"/>
    </row>
    <row r="1984" spans="13:13" x14ac:dyDescent="0.25">
      <c r="M1984" s="375"/>
    </row>
    <row r="1985" spans="13:13" x14ac:dyDescent="0.25">
      <c r="M1985" s="375"/>
    </row>
    <row r="1986" spans="13:13" x14ac:dyDescent="0.25">
      <c r="M1986" s="375"/>
    </row>
    <row r="1987" spans="13:13" x14ac:dyDescent="0.25">
      <c r="M1987" s="375"/>
    </row>
    <row r="1988" spans="13:13" x14ac:dyDescent="0.25">
      <c r="M1988" s="375"/>
    </row>
    <row r="1989" spans="13:13" x14ac:dyDescent="0.25">
      <c r="M1989" s="375"/>
    </row>
    <row r="1990" spans="13:13" x14ac:dyDescent="0.25">
      <c r="M1990" s="375"/>
    </row>
    <row r="1991" spans="13:13" x14ac:dyDescent="0.25">
      <c r="M1991" s="375"/>
    </row>
    <row r="1992" spans="13:13" x14ac:dyDescent="0.25">
      <c r="M1992" s="375"/>
    </row>
    <row r="1993" spans="13:13" x14ac:dyDescent="0.25">
      <c r="M1993" s="375"/>
    </row>
    <row r="1994" spans="13:13" x14ac:dyDescent="0.25">
      <c r="M1994" s="375"/>
    </row>
    <row r="1995" spans="13:13" x14ac:dyDescent="0.25">
      <c r="M1995" s="375"/>
    </row>
    <row r="1996" spans="13:13" x14ac:dyDescent="0.25">
      <c r="M1996" s="375"/>
    </row>
    <row r="1997" spans="13:13" x14ac:dyDescent="0.25">
      <c r="M1997" s="375"/>
    </row>
    <row r="1998" spans="13:13" x14ac:dyDescent="0.25">
      <c r="M1998" s="375"/>
    </row>
    <row r="1999" spans="13:13" x14ac:dyDescent="0.25">
      <c r="M1999" s="375"/>
    </row>
    <row r="2000" spans="13:13" x14ac:dyDescent="0.25">
      <c r="M2000" s="375"/>
    </row>
  </sheetData>
  <sheetProtection algorithmName="SHA-512" hashValue="vV0OHBkU4Fpf8dD9heCxc4gRXPerMq5utzCdHifEpkSPFNZeXmEFiR85PotKc0uBLEx5UHHMLqlFv+zW64Tg8w==" saltValue="tnqfzdG3NfTTj5k6OApUvQ==" spinCount="100000" sheet="1" objects="1" scenarios="1" selectLockedCells="1" selectUnlockedCells="1"/>
  <sortState xmlns:xlrd2="http://schemas.microsoft.com/office/spreadsheetml/2017/richdata2" ref="P4:AA14">
    <sortCondition descending="1" ref="P4:P14"/>
    <sortCondition ref="Y4:Y14"/>
  </sortState>
  <phoneticPr fontId="1" type="noConversion"/>
  <conditionalFormatting sqref="AL7:AL35">
    <cfRule type="expression" dxfId="109" priority="25">
      <formula>MOD(ROW(),2)&gt;0</formula>
    </cfRule>
  </conditionalFormatting>
  <conditionalFormatting sqref="AN4:AN62">
    <cfRule type="expression" dxfId="108" priority="24">
      <formula>MOD(ROW(),2)&gt;0</formula>
    </cfRule>
  </conditionalFormatting>
  <conditionalFormatting sqref="M4:M63">
    <cfRule type="duplicateValues" dxfId="107" priority="14"/>
    <cfRule type="duplicateValues" dxfId="106" priority="16"/>
    <cfRule type="duplicateValues" dxfId="105" priority="18"/>
    <cfRule type="duplicateValues" dxfId="104" priority="20"/>
    <cfRule type="duplicateValues" dxfId="103" priority="22"/>
    <cfRule type="duplicateValues" dxfId="102" priority="12"/>
    <cfRule type="duplicateValues" dxfId="101" priority="10"/>
    <cfRule type="duplicateValues" dxfId="100" priority="8"/>
    <cfRule type="duplicateValues" dxfId="99" priority="6"/>
    <cfRule type="duplicateValues" dxfId="98" priority="4"/>
    <cfRule type="duplicateValues" dxfId="97" priority="2"/>
  </conditionalFormatting>
  <conditionalFormatting sqref="K4:K63">
    <cfRule type="duplicateValues" dxfId="96" priority="13"/>
    <cfRule type="duplicateValues" dxfId="95" priority="15"/>
    <cfRule type="duplicateValues" dxfId="94" priority="17"/>
    <cfRule type="duplicateValues" dxfId="93" priority="19"/>
    <cfRule type="duplicateValues" dxfId="92" priority="21"/>
    <cfRule type="duplicateValues" dxfId="91" priority="11"/>
    <cfRule type="duplicateValues" dxfId="90" priority="9"/>
    <cfRule type="duplicateValues" dxfId="89" priority="7"/>
    <cfRule type="duplicateValues" dxfId="88" priority="5"/>
    <cfRule type="duplicateValues" dxfId="87" priority="3"/>
    <cfRule type="duplicateValues" dxfId="86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1"/>
  <dimension ref="A1:AH65"/>
  <sheetViews>
    <sheetView zoomScale="110" zoomScaleNormal="110" workbookViewId="0">
      <pane xSplit="1" ySplit="3" topLeftCell="B4" activePane="bottomRight" state="frozen"/>
      <selection activeCell="I16" sqref="I16"/>
      <selection pane="topRight" activeCell="I16" sqref="I16"/>
      <selection pane="bottomLeft" activeCell="I16" sqref="I16"/>
      <selection pane="bottomRight" activeCell="E4" sqref="E4"/>
    </sheetView>
  </sheetViews>
  <sheetFormatPr defaultColWidth="9.140625" defaultRowHeight="15.75" x14ac:dyDescent="0.25"/>
  <cols>
    <col min="1" max="1" width="7.7109375" style="79" customWidth="1"/>
    <col min="2" max="2" width="21.85546875" style="87" customWidth="1"/>
    <col min="3" max="4" width="10.28515625" style="86" customWidth="1"/>
    <col min="5" max="5" width="39.85546875" style="87" customWidth="1"/>
    <col min="6" max="7" width="12.140625" style="63" customWidth="1"/>
    <col min="8" max="8" width="28.5703125" style="87" customWidth="1"/>
    <col min="9" max="9" width="16.140625" style="63" customWidth="1"/>
    <col min="10" max="10" width="9.140625" style="125" customWidth="1"/>
    <col min="11" max="11" width="21.42578125" style="88" customWidth="1"/>
    <col min="12" max="12" width="13.85546875" style="63" customWidth="1"/>
    <col min="13" max="13" width="16.42578125" style="63" customWidth="1"/>
    <col min="14" max="16384" width="9.140625" style="63"/>
  </cols>
  <sheetData>
    <row r="1" spans="1:34" s="47" customFormat="1" ht="16.5" customHeight="1" x14ac:dyDescent="0.25">
      <c r="A1" s="105">
        <v>1</v>
      </c>
      <c r="B1" s="105">
        <v>1</v>
      </c>
      <c r="C1" s="105">
        <v>1</v>
      </c>
      <c r="D1" s="105">
        <v>1</v>
      </c>
      <c r="E1" s="282">
        <v>1</v>
      </c>
      <c r="F1" s="105">
        <v>1</v>
      </c>
      <c r="G1" s="105">
        <v>1</v>
      </c>
      <c r="H1" s="105">
        <v>1</v>
      </c>
      <c r="I1" s="105">
        <v>1</v>
      </c>
      <c r="J1" s="124">
        <v>1</v>
      </c>
      <c r="K1" s="105">
        <v>1</v>
      </c>
      <c r="L1" s="105">
        <v>1</v>
      </c>
      <c r="N1" s="105"/>
      <c r="O1" s="52"/>
      <c r="P1" s="52"/>
      <c r="Q1" s="51"/>
      <c r="R1" s="52"/>
      <c r="S1" s="52"/>
      <c r="T1" s="52"/>
      <c r="U1" s="65"/>
      <c r="V1" s="52"/>
      <c r="W1" s="75"/>
      <c r="X1" s="75"/>
      <c r="Y1" s="75"/>
      <c r="Z1" s="105"/>
      <c r="AA1" s="52"/>
      <c r="AB1" s="52"/>
      <c r="AC1" s="51"/>
      <c r="AD1" s="52"/>
      <c r="AE1" s="52"/>
      <c r="AF1" s="52"/>
      <c r="AG1" s="52"/>
      <c r="AH1" s="52"/>
    </row>
    <row r="2" spans="1:34" ht="16.5" customHeight="1" x14ac:dyDescent="0.25">
      <c r="B2" s="63"/>
      <c r="D2" s="86" t="str">
        <f>IFERROR(VLOOKUP(C2,C4:D997,2,FALSE),"")</f>
        <v/>
      </c>
      <c r="E2" s="132"/>
      <c r="F2" s="63" t="str">
        <f>IFERROR(VLOOKUP(E2,E4:F997,2,FALSE),"")</f>
        <v/>
      </c>
      <c r="H2" s="87" t="str">
        <f>IFERROR(VLOOKUP(G2,G4:H997,2,FALSE),"")</f>
        <v/>
      </c>
      <c r="J2" s="125" t="str">
        <f>IFERROR(VLOOKUP(I2,I4:J997,2,FALSE),"")</f>
        <v/>
      </c>
      <c r="M2" s="123" t="s">
        <v>185</v>
      </c>
    </row>
    <row r="3" spans="1:34" s="78" customFormat="1" ht="18" customHeight="1" x14ac:dyDescent="0.25">
      <c r="A3" s="283"/>
      <c r="B3" s="78" t="s">
        <v>7</v>
      </c>
      <c r="C3" s="284" t="s">
        <v>494</v>
      </c>
      <c r="D3" s="284"/>
      <c r="E3" s="252" t="s">
        <v>58</v>
      </c>
      <c r="F3" s="284" t="s">
        <v>495</v>
      </c>
      <c r="G3" s="284"/>
      <c r="H3" s="78" t="s">
        <v>492</v>
      </c>
      <c r="I3" s="284" t="s">
        <v>496</v>
      </c>
      <c r="J3" s="285"/>
      <c r="K3" s="78" t="s">
        <v>493</v>
      </c>
      <c r="L3" s="284" t="s">
        <v>497</v>
      </c>
      <c r="M3" s="123" t="s">
        <v>184</v>
      </c>
    </row>
    <row r="4" spans="1:34" s="83" customFormat="1" ht="15.75" customHeight="1" x14ac:dyDescent="0.25">
      <c r="A4" s="286"/>
      <c r="B4" s="87" t="s">
        <v>3</v>
      </c>
      <c r="C4" s="287" t="s">
        <v>5</v>
      </c>
      <c r="D4" s="288"/>
      <c r="E4" s="87" t="s">
        <v>397</v>
      </c>
      <c r="F4" s="63" t="s">
        <v>398</v>
      </c>
      <c r="G4" s="278"/>
      <c r="H4" s="269" t="s">
        <v>535</v>
      </c>
      <c r="I4" s="269" t="s">
        <v>521</v>
      </c>
      <c r="J4" s="125"/>
      <c r="K4" s="269" t="s">
        <v>360</v>
      </c>
      <c r="L4" s="289" t="s">
        <v>361</v>
      </c>
    </row>
    <row r="5" spans="1:34" ht="15.75" customHeight="1" x14ac:dyDescent="0.25">
      <c r="A5" s="290"/>
      <c r="B5" s="87" t="s">
        <v>153</v>
      </c>
      <c r="C5" s="86" t="s">
        <v>396</v>
      </c>
      <c r="D5" s="288"/>
      <c r="E5" s="87" t="s">
        <v>399</v>
      </c>
      <c r="F5" s="63" t="s">
        <v>400</v>
      </c>
      <c r="G5" s="278"/>
      <c r="H5" s="269" t="s">
        <v>538</v>
      </c>
      <c r="I5" s="269" t="s">
        <v>537</v>
      </c>
      <c r="K5" s="269" t="s">
        <v>375</v>
      </c>
      <c r="L5" s="289" t="s">
        <v>508</v>
      </c>
    </row>
    <row r="6" spans="1:34" ht="15.75" customHeight="1" x14ac:dyDescent="0.25">
      <c r="A6" s="290"/>
      <c r="B6" s="269" t="s">
        <v>519</v>
      </c>
      <c r="C6" s="269" t="s">
        <v>520</v>
      </c>
      <c r="D6" s="288"/>
      <c r="E6" s="87" t="s">
        <v>534</v>
      </c>
      <c r="F6" s="63" t="s">
        <v>533</v>
      </c>
      <c r="G6" s="278"/>
      <c r="H6" s="269" t="s">
        <v>480</v>
      </c>
      <c r="I6" s="269" t="s">
        <v>485</v>
      </c>
      <c r="K6" s="269" t="s">
        <v>228</v>
      </c>
      <c r="L6" s="289" t="s">
        <v>228</v>
      </c>
    </row>
    <row r="7" spans="1:34" ht="15.75" customHeight="1" x14ac:dyDescent="0.25">
      <c r="A7" s="290"/>
      <c r="B7" s="269" t="s">
        <v>536</v>
      </c>
      <c r="C7" s="269" t="s">
        <v>518</v>
      </c>
      <c r="D7" s="288"/>
      <c r="E7" s="87" t="s">
        <v>539</v>
      </c>
      <c r="F7" s="63" t="s">
        <v>540</v>
      </c>
      <c r="G7" s="278"/>
      <c r="H7" s="269" t="s">
        <v>346</v>
      </c>
      <c r="I7" s="269" t="s">
        <v>347</v>
      </c>
      <c r="K7" s="269" t="s">
        <v>333</v>
      </c>
      <c r="L7" s="289">
        <v>360</v>
      </c>
    </row>
    <row r="8" spans="1:34" ht="15.75" customHeight="1" x14ac:dyDescent="0.25">
      <c r="A8" s="290"/>
      <c r="B8" s="269" t="s">
        <v>160</v>
      </c>
      <c r="C8" s="269" t="s">
        <v>161</v>
      </c>
      <c r="D8" s="288"/>
      <c r="E8" s="87" t="s">
        <v>541</v>
      </c>
      <c r="F8" s="63" t="s">
        <v>517</v>
      </c>
      <c r="G8" s="278"/>
      <c r="H8" s="269" t="s">
        <v>350</v>
      </c>
      <c r="I8" s="269" t="s">
        <v>350</v>
      </c>
      <c r="K8" s="269"/>
      <c r="L8" s="289"/>
    </row>
    <row r="9" spans="1:34" ht="15.75" customHeight="1" x14ac:dyDescent="0.25">
      <c r="A9" s="290"/>
      <c r="B9" s="269" t="s">
        <v>355</v>
      </c>
      <c r="C9" s="269" t="s">
        <v>164</v>
      </c>
      <c r="D9" s="288"/>
      <c r="E9" s="87" t="s">
        <v>394</v>
      </c>
      <c r="F9" s="63" t="s">
        <v>395</v>
      </c>
      <c r="G9" s="278"/>
      <c r="H9" s="269" t="s">
        <v>353</v>
      </c>
      <c r="I9" s="269" t="s">
        <v>354</v>
      </c>
      <c r="K9" s="269"/>
      <c r="L9" s="289"/>
    </row>
    <row r="10" spans="1:34" ht="15.75" customHeight="1" x14ac:dyDescent="0.25">
      <c r="A10" s="290"/>
      <c r="B10" s="269" t="s">
        <v>401</v>
      </c>
      <c r="C10" s="269" t="s">
        <v>165</v>
      </c>
      <c r="D10" s="288"/>
      <c r="E10" s="87" t="s">
        <v>392</v>
      </c>
      <c r="F10" s="63" t="s">
        <v>393</v>
      </c>
      <c r="G10" s="278"/>
      <c r="H10" s="269" t="s">
        <v>349</v>
      </c>
      <c r="I10" s="269" t="s">
        <v>349</v>
      </c>
      <c r="K10" s="269"/>
      <c r="L10" s="289"/>
    </row>
    <row r="11" spans="1:34" ht="15.75" customHeight="1" x14ac:dyDescent="0.25">
      <c r="A11" s="290"/>
      <c r="B11" s="269" t="s">
        <v>525</v>
      </c>
      <c r="C11" s="269" t="s">
        <v>524</v>
      </c>
      <c r="D11" s="288"/>
      <c r="E11" s="87" t="s">
        <v>364</v>
      </c>
      <c r="F11" s="63" t="s">
        <v>365</v>
      </c>
      <c r="G11" s="278"/>
      <c r="H11" s="269" t="s">
        <v>477</v>
      </c>
      <c r="I11" s="269" t="s">
        <v>482</v>
      </c>
      <c r="K11" s="269"/>
      <c r="L11" s="289"/>
    </row>
    <row r="12" spans="1:34" ht="15.75" customHeight="1" x14ac:dyDescent="0.25">
      <c r="A12" s="290"/>
      <c r="B12" s="269" t="s">
        <v>167</v>
      </c>
      <c r="C12" s="269" t="s">
        <v>168</v>
      </c>
      <c r="D12" s="288"/>
      <c r="E12" s="87" t="s">
        <v>362</v>
      </c>
      <c r="F12" s="63" t="s">
        <v>363</v>
      </c>
      <c r="G12" s="278"/>
      <c r="H12" s="269" t="s">
        <v>476</v>
      </c>
      <c r="I12" s="269" t="s">
        <v>486</v>
      </c>
      <c r="K12" s="269"/>
      <c r="L12" s="289"/>
    </row>
    <row r="13" spans="1:34" ht="15.75" customHeight="1" x14ac:dyDescent="0.25">
      <c r="A13" s="290"/>
      <c r="B13" s="269" t="s">
        <v>532</v>
      </c>
      <c r="C13" s="269" t="s">
        <v>531</v>
      </c>
      <c r="D13" s="288"/>
      <c r="E13" s="87" t="s">
        <v>366</v>
      </c>
      <c r="F13" s="63" t="s">
        <v>367</v>
      </c>
      <c r="G13" s="278"/>
      <c r="H13" s="269" t="s">
        <v>523</v>
      </c>
      <c r="I13" s="269" t="s">
        <v>522</v>
      </c>
      <c r="K13" s="269"/>
      <c r="L13" s="289"/>
    </row>
    <row r="14" spans="1:34" ht="15.75" customHeight="1" x14ac:dyDescent="0.25">
      <c r="A14" s="290"/>
      <c r="B14" s="269" t="s">
        <v>62</v>
      </c>
      <c r="C14" s="269" t="s">
        <v>123</v>
      </c>
      <c r="D14" s="288"/>
      <c r="E14" s="87" t="s">
        <v>358</v>
      </c>
      <c r="F14" s="63" t="s">
        <v>359</v>
      </c>
      <c r="G14" s="278"/>
      <c r="H14" s="269" t="s">
        <v>479</v>
      </c>
      <c r="I14" s="269" t="s">
        <v>374</v>
      </c>
      <c r="K14" s="269"/>
      <c r="L14" s="289"/>
    </row>
    <row r="15" spans="1:34" ht="16.5" customHeight="1" x14ac:dyDescent="0.25">
      <c r="A15" s="102"/>
      <c r="B15" s="269" t="s">
        <v>129</v>
      </c>
      <c r="C15" s="269" t="s">
        <v>130</v>
      </c>
      <c r="D15" s="288"/>
      <c r="E15" s="87" t="s">
        <v>368</v>
      </c>
      <c r="F15" s="63" t="s">
        <v>369</v>
      </c>
      <c r="G15" s="278"/>
      <c r="H15" s="269" t="s">
        <v>478</v>
      </c>
      <c r="I15" s="269" t="s">
        <v>483</v>
      </c>
      <c r="K15" s="269"/>
      <c r="L15" s="289"/>
    </row>
    <row r="16" spans="1:34" ht="16.5" customHeight="1" x14ac:dyDescent="0.25">
      <c r="A16" s="102"/>
      <c r="B16" s="269" t="s">
        <v>136</v>
      </c>
      <c r="C16" s="269" t="s">
        <v>137</v>
      </c>
      <c r="D16" s="288"/>
      <c r="E16" s="87" t="s">
        <v>372</v>
      </c>
      <c r="F16" s="63" t="s">
        <v>373</v>
      </c>
      <c r="G16" s="278"/>
      <c r="H16" s="269" t="s">
        <v>529</v>
      </c>
      <c r="I16" s="269" t="s">
        <v>528</v>
      </c>
      <c r="K16" s="269"/>
      <c r="L16" s="289"/>
    </row>
    <row r="17" spans="1:12" ht="16.5" customHeight="1" x14ac:dyDescent="0.25">
      <c r="A17" s="102"/>
      <c r="B17" s="269" t="s">
        <v>172</v>
      </c>
      <c r="C17" s="269" t="s">
        <v>173</v>
      </c>
      <c r="D17" s="288"/>
      <c r="E17" s="87" t="s">
        <v>356</v>
      </c>
      <c r="F17" s="63" t="s">
        <v>357</v>
      </c>
      <c r="G17" s="278"/>
      <c r="H17" s="269" t="s">
        <v>178</v>
      </c>
      <c r="I17" s="269" t="s">
        <v>178</v>
      </c>
      <c r="K17" s="269"/>
      <c r="L17" s="289"/>
    </row>
    <row r="18" spans="1:12" ht="16.5" customHeight="1" x14ac:dyDescent="0.25">
      <c r="A18" s="102"/>
      <c r="B18" s="269"/>
      <c r="C18" s="269"/>
      <c r="D18" s="288"/>
      <c r="E18" s="87" t="s">
        <v>370</v>
      </c>
      <c r="F18" s="63" t="s">
        <v>371</v>
      </c>
      <c r="G18" s="278"/>
      <c r="H18" s="269" t="s">
        <v>176</v>
      </c>
      <c r="I18" s="269" t="s">
        <v>176</v>
      </c>
      <c r="K18" s="269"/>
      <c r="L18" s="289"/>
    </row>
    <row r="19" spans="1:12" ht="16.5" customHeight="1" x14ac:dyDescent="0.25">
      <c r="A19" s="102"/>
      <c r="B19" s="269"/>
      <c r="C19" s="269"/>
      <c r="D19" s="288"/>
      <c r="E19" s="87" t="s">
        <v>402</v>
      </c>
      <c r="F19" s="63" t="s">
        <v>403</v>
      </c>
      <c r="G19" s="278"/>
      <c r="H19" s="269" t="s">
        <v>489</v>
      </c>
      <c r="I19" s="269" t="s">
        <v>484</v>
      </c>
      <c r="K19" s="269"/>
      <c r="L19" s="289"/>
    </row>
    <row r="20" spans="1:12" ht="16.5" customHeight="1" x14ac:dyDescent="0.25">
      <c r="A20" s="102"/>
      <c r="B20" s="269"/>
      <c r="C20" s="269"/>
      <c r="D20" s="288"/>
      <c r="E20" s="87" t="s">
        <v>527</v>
      </c>
      <c r="F20" s="63" t="s">
        <v>526</v>
      </c>
      <c r="G20" s="278"/>
      <c r="H20" s="269" t="s">
        <v>487</v>
      </c>
      <c r="I20" s="269" t="s">
        <v>300</v>
      </c>
      <c r="K20" s="269"/>
      <c r="L20" s="289"/>
    </row>
    <row r="21" spans="1:12" ht="16.5" customHeight="1" x14ac:dyDescent="0.25">
      <c r="A21" s="102"/>
      <c r="B21" s="269"/>
      <c r="C21" s="269"/>
      <c r="D21" s="288"/>
      <c r="E21" s="87" t="s">
        <v>384</v>
      </c>
      <c r="F21" s="63" t="s">
        <v>385</v>
      </c>
      <c r="G21" s="278"/>
      <c r="H21" s="269" t="s">
        <v>5</v>
      </c>
      <c r="I21" s="269"/>
      <c r="K21" s="269"/>
      <c r="L21" s="289"/>
    </row>
    <row r="22" spans="1:12" ht="16.5" customHeight="1" x14ac:dyDescent="0.25">
      <c r="A22" s="102"/>
      <c r="B22" s="269"/>
      <c r="C22" s="269"/>
      <c r="D22" s="288"/>
      <c r="E22" s="87" t="s">
        <v>378</v>
      </c>
      <c r="F22" s="63" t="s">
        <v>379</v>
      </c>
      <c r="H22" s="269" t="s">
        <v>488</v>
      </c>
      <c r="I22" s="269" t="s">
        <v>312</v>
      </c>
      <c r="K22" s="269"/>
      <c r="L22" s="289"/>
    </row>
    <row r="23" spans="1:12" ht="16.5" customHeight="1" x14ac:dyDescent="0.25">
      <c r="A23" s="102"/>
      <c r="B23" s="269"/>
      <c r="C23" s="269"/>
      <c r="D23" s="288"/>
      <c r="E23" s="87" t="s">
        <v>386</v>
      </c>
      <c r="F23" s="63" t="s">
        <v>387</v>
      </c>
      <c r="H23" s="269" t="s">
        <v>306</v>
      </c>
      <c r="I23" s="269" t="s">
        <v>307</v>
      </c>
      <c r="K23" s="269"/>
      <c r="L23" s="289"/>
    </row>
    <row r="24" spans="1:12" ht="16.5" customHeight="1" x14ac:dyDescent="0.25">
      <c r="A24" s="102"/>
      <c r="B24" s="269"/>
      <c r="C24" s="269"/>
      <c r="D24" s="288"/>
      <c r="E24" s="87" t="s">
        <v>376</v>
      </c>
      <c r="F24" s="63" t="s">
        <v>377</v>
      </c>
      <c r="H24" s="269"/>
      <c r="I24" s="269"/>
      <c r="K24" s="269"/>
      <c r="L24" s="289"/>
    </row>
    <row r="25" spans="1:12" ht="16.5" customHeight="1" x14ac:dyDescent="0.25">
      <c r="A25" s="102"/>
      <c r="B25" s="269"/>
      <c r="C25" s="269"/>
      <c r="D25" s="288"/>
      <c r="E25" s="87" t="s">
        <v>390</v>
      </c>
      <c r="F25" s="63" t="s">
        <v>391</v>
      </c>
      <c r="H25" s="269"/>
      <c r="I25" s="269"/>
      <c r="K25" s="269"/>
      <c r="L25" s="289"/>
    </row>
    <row r="26" spans="1:12" ht="16.5" customHeight="1" x14ac:dyDescent="0.25">
      <c r="A26" s="102"/>
      <c r="B26" s="269"/>
      <c r="C26" s="269"/>
      <c r="D26" s="288"/>
      <c r="E26" s="87" t="s">
        <v>382</v>
      </c>
      <c r="F26" s="63" t="s">
        <v>383</v>
      </c>
      <c r="H26" s="269"/>
      <c r="I26" s="269"/>
      <c r="K26" s="269"/>
      <c r="L26" s="289"/>
    </row>
    <row r="27" spans="1:12" ht="16.5" customHeight="1" x14ac:dyDescent="0.25">
      <c r="A27" s="102"/>
      <c r="B27" s="269"/>
      <c r="C27" s="269"/>
      <c r="D27" s="288"/>
      <c r="E27" s="87" t="s">
        <v>380</v>
      </c>
      <c r="F27" s="63" t="s">
        <v>381</v>
      </c>
      <c r="H27" s="269"/>
      <c r="I27" s="269"/>
      <c r="K27" s="269"/>
      <c r="L27" s="289"/>
    </row>
    <row r="28" spans="1:12" ht="16.5" customHeight="1" x14ac:dyDescent="0.25">
      <c r="A28" s="102"/>
      <c r="B28" s="269"/>
      <c r="C28" s="269"/>
      <c r="D28" s="288"/>
      <c r="E28" s="87" t="s">
        <v>388</v>
      </c>
      <c r="F28" s="63" t="s">
        <v>389</v>
      </c>
      <c r="H28" s="269"/>
      <c r="I28" s="269"/>
      <c r="K28" s="269"/>
      <c r="L28" s="289"/>
    </row>
    <row r="29" spans="1:12" ht="16.5" customHeight="1" x14ac:dyDescent="0.25">
      <c r="A29" s="102"/>
      <c r="B29" s="269"/>
      <c r="C29" s="269"/>
      <c r="D29" s="288"/>
      <c r="E29" s="87" t="s">
        <v>530</v>
      </c>
      <c r="H29" s="269"/>
      <c r="I29" s="269"/>
      <c r="K29" s="269"/>
      <c r="L29" s="289"/>
    </row>
    <row r="30" spans="1:12" ht="16.5" customHeight="1" x14ac:dyDescent="0.25">
      <c r="A30" s="102"/>
      <c r="B30" s="269"/>
      <c r="C30" s="269"/>
      <c r="D30" s="288"/>
      <c r="E30" s="87" t="s">
        <v>344</v>
      </c>
      <c r="F30" s="63" t="s">
        <v>345</v>
      </c>
      <c r="H30" s="269"/>
      <c r="I30" s="269"/>
      <c r="K30" s="269"/>
      <c r="L30" s="289"/>
    </row>
    <row r="31" spans="1:12" ht="16.5" customHeight="1" x14ac:dyDescent="0.25">
      <c r="A31" s="102"/>
      <c r="B31" s="269"/>
      <c r="C31" s="269"/>
      <c r="D31" s="288"/>
      <c r="E31" s="87" t="s">
        <v>348</v>
      </c>
      <c r="F31" s="63" t="s">
        <v>481</v>
      </c>
      <c r="H31" s="269"/>
      <c r="I31" s="269"/>
      <c r="K31" s="269"/>
      <c r="L31" s="289"/>
    </row>
    <row r="32" spans="1:12" ht="15.75" customHeight="1" x14ac:dyDescent="0.25">
      <c r="A32" s="102"/>
      <c r="B32" s="269"/>
      <c r="C32" s="269"/>
      <c r="D32" s="288"/>
      <c r="E32" s="87" t="s">
        <v>336</v>
      </c>
      <c r="F32" s="63" t="s">
        <v>337</v>
      </c>
      <c r="H32" s="269"/>
      <c r="I32" s="269"/>
      <c r="K32" s="269"/>
      <c r="L32" s="289"/>
    </row>
    <row r="33" spans="1:14" ht="15.75" customHeight="1" x14ac:dyDescent="0.25">
      <c r="A33" s="102"/>
      <c r="B33" s="269"/>
      <c r="C33" s="269"/>
      <c r="D33" s="288"/>
      <c r="E33" s="87" t="s">
        <v>340</v>
      </c>
      <c r="F33" s="63" t="s">
        <v>341</v>
      </c>
      <c r="H33" s="269"/>
      <c r="I33" s="269"/>
      <c r="K33" s="269"/>
      <c r="L33" s="289"/>
    </row>
    <row r="34" spans="1:14" ht="15.75" customHeight="1" x14ac:dyDescent="0.25">
      <c r="A34" s="102"/>
      <c r="B34" s="269"/>
      <c r="C34" s="269"/>
      <c r="D34" s="288"/>
      <c r="E34" s="87" t="s">
        <v>351</v>
      </c>
      <c r="F34" s="63" t="s">
        <v>352</v>
      </c>
      <c r="H34" s="269"/>
      <c r="I34" s="269"/>
      <c r="K34" s="269"/>
      <c r="L34" s="289"/>
    </row>
    <row r="35" spans="1:14" ht="15.75" customHeight="1" x14ac:dyDescent="0.25">
      <c r="A35" s="102"/>
      <c r="B35" s="269"/>
      <c r="C35" s="269"/>
      <c r="D35" s="288"/>
      <c r="E35" s="87" t="s">
        <v>334</v>
      </c>
      <c r="F35" s="63" t="s">
        <v>335</v>
      </c>
      <c r="H35" s="269"/>
      <c r="I35" s="269"/>
      <c r="K35" s="269"/>
      <c r="L35" s="289"/>
    </row>
    <row r="36" spans="1:14" ht="15.75" customHeight="1" x14ac:dyDescent="0.25">
      <c r="A36" s="102"/>
      <c r="B36" s="269"/>
      <c r="C36" s="269"/>
      <c r="D36" s="288"/>
      <c r="E36" s="87" t="s">
        <v>338</v>
      </c>
      <c r="F36" s="63" t="s">
        <v>339</v>
      </c>
      <c r="H36" s="269"/>
      <c r="I36" s="269"/>
      <c r="K36" s="269"/>
      <c r="L36" s="289"/>
    </row>
    <row r="37" spans="1:14" ht="15.75" customHeight="1" x14ac:dyDescent="0.25">
      <c r="A37" s="102"/>
      <c r="B37" s="269"/>
      <c r="C37" s="269"/>
      <c r="D37" s="288"/>
      <c r="E37" s="87" t="s">
        <v>342</v>
      </c>
      <c r="F37" s="63" t="s">
        <v>343</v>
      </c>
      <c r="H37" s="269"/>
      <c r="I37" s="269"/>
      <c r="K37" s="269"/>
      <c r="L37" s="289"/>
    </row>
    <row r="38" spans="1:14" ht="15.75" customHeight="1" x14ac:dyDescent="0.25">
      <c r="A38" s="102"/>
      <c r="B38" s="269"/>
      <c r="C38" s="269"/>
      <c r="D38" s="288"/>
      <c r="E38" s="271" t="s">
        <v>295</v>
      </c>
      <c r="F38" s="289" t="s">
        <v>296</v>
      </c>
      <c r="H38" s="269"/>
      <c r="I38" s="269"/>
      <c r="K38" s="269"/>
      <c r="L38" s="289"/>
    </row>
    <row r="39" spans="1:14" ht="15.75" customHeight="1" x14ac:dyDescent="0.25">
      <c r="A39" s="102"/>
      <c r="B39" s="269"/>
      <c r="C39" s="269"/>
      <c r="D39" s="288"/>
      <c r="E39" s="271" t="s">
        <v>303</v>
      </c>
      <c r="F39" s="289" t="s">
        <v>304</v>
      </c>
      <c r="H39" s="269"/>
      <c r="I39" s="269"/>
      <c r="K39" s="269"/>
      <c r="L39" s="289"/>
    </row>
    <row r="40" spans="1:14" ht="15.75" customHeight="1" x14ac:dyDescent="0.25">
      <c r="A40" s="102"/>
      <c r="B40" s="269"/>
      <c r="C40" s="269"/>
      <c r="D40" s="288"/>
      <c r="E40" s="87" t="s">
        <v>135</v>
      </c>
      <c r="F40" s="63" t="s">
        <v>305</v>
      </c>
      <c r="H40" s="269"/>
      <c r="I40" s="269"/>
      <c r="K40" s="269"/>
      <c r="L40" s="289"/>
    </row>
    <row r="41" spans="1:14" ht="15.75" customHeight="1" x14ac:dyDescent="0.25">
      <c r="A41" s="102"/>
      <c r="B41" s="269"/>
      <c r="C41" s="269"/>
      <c r="D41" s="288"/>
      <c r="E41" s="271" t="s">
        <v>301</v>
      </c>
      <c r="F41" s="289" t="s">
        <v>302</v>
      </c>
      <c r="H41" s="269"/>
      <c r="I41" s="269"/>
      <c r="K41" s="269"/>
      <c r="L41" s="289"/>
    </row>
    <row r="42" spans="1:14" ht="15.75" customHeight="1" x14ac:dyDescent="0.25">
      <c r="A42" s="102"/>
      <c r="B42" s="269"/>
      <c r="C42" s="269"/>
      <c r="D42" s="288"/>
      <c r="E42" s="271" t="s">
        <v>319</v>
      </c>
      <c r="F42" s="289" t="s">
        <v>320</v>
      </c>
      <c r="H42" s="269"/>
      <c r="I42" s="269"/>
      <c r="K42" s="269"/>
      <c r="L42" s="289"/>
    </row>
    <row r="43" spans="1:14" ht="15.75" customHeight="1" x14ac:dyDescent="0.25">
      <c r="A43" s="102"/>
      <c r="B43" s="269"/>
      <c r="C43" s="269"/>
      <c r="D43" s="288"/>
      <c r="E43" s="271" t="s">
        <v>325</v>
      </c>
      <c r="F43" s="289" t="s">
        <v>326</v>
      </c>
      <c r="H43" s="269"/>
      <c r="I43" s="269"/>
      <c r="K43" s="269"/>
      <c r="L43" s="289"/>
    </row>
    <row r="44" spans="1:14" ht="15.75" customHeight="1" x14ac:dyDescent="0.25">
      <c r="A44" s="102"/>
      <c r="B44" s="269"/>
      <c r="C44" s="269"/>
      <c r="D44" s="288"/>
      <c r="E44" s="271" t="s">
        <v>321</v>
      </c>
      <c r="F44" s="289" t="s">
        <v>322</v>
      </c>
      <c r="H44" s="269"/>
      <c r="I44" s="269"/>
      <c r="K44" s="269"/>
      <c r="L44" s="289"/>
    </row>
    <row r="45" spans="1:14" ht="15.75" customHeight="1" x14ac:dyDescent="0.25">
      <c r="A45" s="102"/>
      <c r="B45" s="269"/>
      <c r="C45" s="269"/>
      <c r="D45" s="288"/>
      <c r="E45" s="271" t="s">
        <v>313</v>
      </c>
      <c r="F45" s="289" t="s">
        <v>314</v>
      </c>
      <c r="H45" s="269"/>
      <c r="I45" s="269"/>
      <c r="K45" s="269"/>
      <c r="L45" s="289"/>
    </row>
    <row r="46" spans="1:14" ht="15.75" customHeight="1" x14ac:dyDescent="0.25">
      <c r="A46" s="102"/>
      <c r="B46" s="269"/>
      <c r="C46" s="269"/>
      <c r="D46" s="288"/>
      <c r="E46" s="271" t="s">
        <v>308</v>
      </c>
      <c r="F46" s="289" t="s">
        <v>309</v>
      </c>
      <c r="H46" s="269"/>
      <c r="I46" s="269"/>
      <c r="K46" s="269"/>
      <c r="L46" s="289"/>
    </row>
    <row r="47" spans="1:14" ht="15.75" customHeight="1" x14ac:dyDescent="0.25">
      <c r="A47" s="102"/>
      <c r="B47" s="269"/>
      <c r="C47" s="269"/>
      <c r="D47" s="288"/>
      <c r="E47" s="87" t="s">
        <v>131</v>
      </c>
      <c r="F47" s="63" t="s">
        <v>297</v>
      </c>
      <c r="H47" s="269"/>
      <c r="I47" s="269"/>
      <c r="K47" s="269"/>
      <c r="L47" s="289"/>
    </row>
    <row r="48" spans="1:14" ht="16.5" customHeight="1" x14ac:dyDescent="0.25">
      <c r="A48" s="102"/>
      <c r="B48" s="269"/>
      <c r="C48" s="269"/>
      <c r="D48" s="288"/>
      <c r="E48" s="271" t="s">
        <v>298</v>
      </c>
      <c r="F48" s="289" t="s">
        <v>299</v>
      </c>
      <c r="H48" s="269"/>
      <c r="I48" s="269"/>
      <c r="K48" s="269"/>
      <c r="L48" s="289"/>
      <c r="N48" s="87"/>
    </row>
    <row r="49" spans="1:14" ht="16.5" customHeight="1" x14ac:dyDescent="0.25">
      <c r="A49" s="102"/>
      <c r="B49" s="269"/>
      <c r="C49" s="269"/>
      <c r="D49" s="288"/>
      <c r="E49" s="271" t="s">
        <v>315</v>
      </c>
      <c r="F49" s="289" t="s">
        <v>316</v>
      </c>
      <c r="H49" s="269"/>
      <c r="I49" s="269"/>
      <c r="K49" s="269"/>
      <c r="L49" s="289"/>
      <c r="N49" s="87"/>
    </row>
    <row r="50" spans="1:14" ht="16.5" customHeight="1" x14ac:dyDescent="0.25">
      <c r="A50" s="102"/>
      <c r="B50" s="269"/>
      <c r="C50" s="269"/>
      <c r="D50" s="288"/>
      <c r="E50" s="271" t="s">
        <v>310</v>
      </c>
      <c r="F50" s="289" t="s">
        <v>311</v>
      </c>
      <c r="H50" s="269"/>
      <c r="I50" s="269"/>
      <c r="K50" s="269"/>
      <c r="L50" s="289"/>
      <c r="N50" s="87"/>
    </row>
    <row r="51" spans="1:14" ht="16.5" customHeight="1" x14ac:dyDescent="0.25">
      <c r="A51" s="102"/>
      <c r="B51" s="269"/>
      <c r="C51" s="269"/>
      <c r="D51" s="288"/>
      <c r="E51" s="87" t="s">
        <v>323</v>
      </c>
      <c r="F51" s="63" t="s">
        <v>324</v>
      </c>
      <c r="H51" s="269"/>
      <c r="I51" s="269"/>
      <c r="K51" s="269"/>
      <c r="L51" s="289"/>
      <c r="N51" s="87"/>
    </row>
    <row r="52" spans="1:14" ht="16.5" customHeight="1" x14ac:dyDescent="0.25">
      <c r="A52" s="102"/>
      <c r="B52" s="269"/>
      <c r="C52" s="269"/>
      <c r="D52" s="288"/>
      <c r="E52" s="271" t="s">
        <v>317</v>
      </c>
      <c r="F52" s="289" t="s">
        <v>318</v>
      </c>
      <c r="H52" s="269"/>
      <c r="I52" s="269"/>
      <c r="K52" s="269"/>
      <c r="L52" s="289"/>
      <c r="N52" s="87"/>
    </row>
    <row r="53" spans="1:14" ht="15.75" customHeight="1" x14ac:dyDescent="0.25">
      <c r="A53" s="102"/>
      <c r="B53" s="269"/>
      <c r="C53" s="269"/>
      <c r="D53" s="288"/>
      <c r="E53" s="271" t="s">
        <v>327</v>
      </c>
      <c r="F53" s="289" t="s">
        <v>328</v>
      </c>
      <c r="H53" s="269"/>
      <c r="I53" s="269"/>
      <c r="K53" s="269"/>
      <c r="L53" s="289"/>
      <c r="N53" s="87"/>
    </row>
    <row r="54" spans="1:14" ht="15.75" customHeight="1" x14ac:dyDescent="0.25">
      <c r="A54" s="102"/>
      <c r="B54" s="269"/>
      <c r="C54" s="269"/>
      <c r="D54" s="288"/>
      <c r="E54" s="271" t="s">
        <v>138</v>
      </c>
      <c r="F54" s="289" t="s">
        <v>139</v>
      </c>
      <c r="H54" s="269"/>
      <c r="I54" s="269"/>
      <c r="K54" s="269"/>
      <c r="L54" s="289"/>
      <c r="N54" s="87"/>
    </row>
    <row r="55" spans="1:14" ht="15.75" customHeight="1" x14ac:dyDescent="0.25">
      <c r="A55" s="102"/>
      <c r="B55" s="269"/>
      <c r="C55" s="269"/>
      <c r="D55" s="288"/>
      <c r="E55" s="271" t="s">
        <v>142</v>
      </c>
      <c r="F55" s="289" t="s">
        <v>143</v>
      </c>
      <c r="H55" s="269"/>
      <c r="I55" s="269"/>
      <c r="K55" s="269"/>
      <c r="L55" s="289"/>
      <c r="N55" s="87"/>
    </row>
    <row r="56" spans="1:14" ht="15.75" customHeight="1" x14ac:dyDescent="0.25">
      <c r="A56" s="102"/>
      <c r="B56" s="269"/>
      <c r="C56" s="269"/>
      <c r="D56" s="288"/>
      <c r="E56" s="271" t="s">
        <v>329</v>
      </c>
      <c r="F56" s="289" t="s">
        <v>330</v>
      </c>
      <c r="H56" s="269"/>
      <c r="I56" s="269"/>
      <c r="K56" s="269"/>
      <c r="L56" s="289"/>
      <c r="N56" s="87"/>
    </row>
    <row r="57" spans="1:14" x14ac:dyDescent="0.25">
      <c r="B57" s="269"/>
      <c r="C57" s="269"/>
      <c r="E57" s="271" t="s">
        <v>84</v>
      </c>
      <c r="F57" s="289" t="s">
        <v>84</v>
      </c>
      <c r="H57" s="269"/>
      <c r="I57" s="269"/>
      <c r="K57" s="269"/>
      <c r="L57" s="289"/>
    </row>
    <row r="58" spans="1:14" x14ac:dyDescent="0.25">
      <c r="B58" s="269"/>
      <c r="C58" s="269"/>
      <c r="E58" s="87" t="s">
        <v>177</v>
      </c>
      <c r="F58" s="63" t="s">
        <v>170</v>
      </c>
      <c r="H58" s="269"/>
      <c r="I58" s="269"/>
      <c r="K58" s="269"/>
      <c r="L58" s="289"/>
    </row>
    <row r="59" spans="1:14" x14ac:dyDescent="0.25">
      <c r="B59" s="269"/>
      <c r="C59" s="269"/>
      <c r="E59" s="271" t="s">
        <v>331</v>
      </c>
      <c r="F59" s="289" t="s">
        <v>332</v>
      </c>
      <c r="H59" s="269"/>
      <c r="I59" s="269"/>
      <c r="K59" s="269"/>
      <c r="L59" s="289"/>
    </row>
    <row r="60" spans="1:14" x14ac:dyDescent="0.25">
      <c r="B60" s="269"/>
      <c r="C60" s="269"/>
      <c r="E60" s="271" t="s">
        <v>179</v>
      </c>
      <c r="F60" s="289" t="s">
        <v>180</v>
      </c>
      <c r="H60" s="269"/>
      <c r="I60" s="269"/>
      <c r="K60" s="269"/>
      <c r="L60" s="289"/>
    </row>
    <row r="61" spans="1:14" x14ac:dyDescent="0.25">
      <c r="B61" s="269"/>
      <c r="C61" s="269"/>
      <c r="E61" s="271" t="s">
        <v>174</v>
      </c>
      <c r="F61" s="289" t="s">
        <v>175</v>
      </c>
      <c r="H61" s="269"/>
      <c r="I61" s="269"/>
      <c r="K61" s="269"/>
      <c r="L61" s="289"/>
    </row>
    <row r="62" spans="1:14" x14ac:dyDescent="0.25">
      <c r="B62" s="269"/>
      <c r="C62" s="269"/>
      <c r="E62" s="271" t="s">
        <v>179</v>
      </c>
      <c r="F62" s="289" t="s">
        <v>180</v>
      </c>
      <c r="H62" s="269"/>
      <c r="I62" s="269"/>
      <c r="K62" s="269"/>
      <c r="L62" s="289"/>
    </row>
    <row r="63" spans="1:14" x14ac:dyDescent="0.25">
      <c r="B63" s="269"/>
      <c r="C63" s="269"/>
      <c r="E63" s="271" t="s">
        <v>174</v>
      </c>
      <c r="F63" s="289" t="s">
        <v>175</v>
      </c>
      <c r="H63" s="269"/>
      <c r="I63" s="269"/>
      <c r="K63" s="269"/>
      <c r="L63" s="289"/>
    </row>
    <row r="64" spans="1:14" x14ac:dyDescent="0.25">
      <c r="B64" s="269"/>
      <c r="C64" s="269"/>
      <c r="E64" s="271"/>
      <c r="F64" s="289"/>
      <c r="H64" s="269"/>
      <c r="I64" s="269"/>
      <c r="K64" s="269"/>
      <c r="L64" s="289"/>
    </row>
    <row r="65" spans="2:12" x14ac:dyDescent="0.25">
      <c r="B65" s="269"/>
      <c r="C65" s="269"/>
      <c r="E65" s="271"/>
      <c r="F65" s="289"/>
      <c r="H65" s="269"/>
      <c r="I65" s="269"/>
      <c r="K65" s="269"/>
      <c r="L65" s="28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"/>
  <dimension ref="A1:BP2000"/>
  <sheetViews>
    <sheetView zoomScaleNormal="100" workbookViewId="0">
      <pane ySplit="3" topLeftCell="A4" activePane="bottomLeft" state="frozen"/>
      <selection pane="bottomLeft" activeCell="M4" sqref="M4:M2000"/>
    </sheetView>
  </sheetViews>
  <sheetFormatPr defaultColWidth="9.140625" defaultRowHeight="15.75" x14ac:dyDescent="0.25"/>
  <cols>
    <col min="1" max="1" width="5" style="85" customWidth="1"/>
    <col min="2" max="2" width="12.42578125" style="108" customWidth="1"/>
    <col min="3" max="3" width="25.85546875" style="1" customWidth="1"/>
    <col min="4" max="4" width="14.85546875" style="159" customWidth="1"/>
    <col min="5" max="5" width="42.140625" style="1" customWidth="1"/>
    <col min="6" max="6" width="14.42578125" style="1" customWidth="1"/>
    <col min="7" max="7" width="23.7109375" style="1" customWidth="1"/>
    <col min="8" max="8" width="15" style="1" customWidth="1"/>
    <col min="9" max="9" width="24.140625" style="1" customWidth="1"/>
    <col min="10" max="10" width="11.28515625" style="1" customWidth="1"/>
    <col min="11" max="11" width="35.140625" style="204" customWidth="1"/>
    <col min="12" max="12" width="8.7109375" style="160" customWidth="1"/>
    <col min="13" max="13" width="8.7109375" style="368" customWidth="1"/>
    <col min="14" max="14" width="9.85546875" style="210" customWidth="1"/>
    <col min="15" max="15" width="29.5703125" style="210" customWidth="1"/>
    <col min="16" max="16" width="13.5703125" style="298" customWidth="1"/>
    <col min="17" max="17" width="21.85546875" style="226" customWidth="1"/>
    <col min="18" max="18" width="14.85546875" style="238" customWidth="1"/>
    <col min="19" max="19" width="39.85546875" style="226" customWidth="1"/>
    <col min="20" max="20" width="12.140625" style="210" customWidth="1"/>
    <col min="21" max="21" width="23.85546875" style="226" customWidth="1"/>
    <col min="22" max="22" width="16.140625" style="210" customWidth="1"/>
    <col min="23" max="23" width="21.42578125" style="227" customWidth="1"/>
    <col min="24" max="24" width="10.42578125" style="210" customWidth="1"/>
    <col min="25" max="25" width="32.5703125" style="230" customWidth="1"/>
    <col min="26" max="27" width="8.7109375" style="240" customWidth="1"/>
    <col min="28" max="28" width="9.140625" style="63"/>
    <col min="29" max="29" width="13.5703125" style="143" customWidth="1"/>
    <col min="30" max="30" width="21.85546875" style="77" customWidth="1"/>
    <col min="31" max="31" width="10.28515625" style="128" customWidth="1"/>
    <col min="32" max="32" width="39.85546875" style="77" customWidth="1"/>
    <col min="33" max="33" width="12.140625" style="77" customWidth="1"/>
    <col min="34" max="34" width="24.85546875" style="77" customWidth="1"/>
    <col min="35" max="35" width="16.140625" style="77" customWidth="1"/>
    <col min="36" max="36" width="21.42578125" style="77" customWidth="1"/>
    <col min="37" max="37" width="10.42578125" style="77" customWidth="1"/>
    <col min="38" max="38" width="32.5703125" style="95" customWidth="1"/>
    <col min="39" max="39" width="8.7109375" style="144" customWidth="1"/>
    <col min="40" max="40" width="6" style="144" customWidth="1"/>
    <col min="41" max="41" width="9.140625" style="63"/>
    <col min="42" max="42" width="8" style="210" customWidth="1"/>
    <col min="43" max="43" width="43.7109375" style="226" customWidth="1"/>
    <col min="44" max="44" width="9.140625" style="210"/>
    <col min="45" max="45" width="28" style="210" customWidth="1"/>
    <col min="46" max="46" width="9.140625" style="210"/>
    <col min="47" max="47" width="27" style="226" customWidth="1"/>
    <col min="48" max="48" width="9.140625" style="210"/>
    <col min="49" max="52" width="9.140625" style="63"/>
    <col min="53" max="53" width="84.85546875" style="63" customWidth="1"/>
    <col min="54" max="54" width="31.85546875" style="63" customWidth="1"/>
    <col min="55" max="16384" width="9.140625" style="63"/>
  </cols>
  <sheetData>
    <row r="1" spans="1:68" s="47" customFormat="1" ht="16.5" customHeight="1" x14ac:dyDescent="0.25">
      <c r="A1" s="71"/>
      <c r="B1" s="106"/>
      <c r="C1" s="24"/>
      <c r="D1" s="153"/>
      <c r="E1" s="132"/>
      <c r="F1" s="24"/>
      <c r="G1" s="24"/>
      <c r="H1" s="24"/>
      <c r="I1" s="24"/>
      <c r="J1" s="24"/>
      <c r="K1" s="89"/>
      <c r="L1" s="154"/>
      <c r="M1" s="154"/>
      <c r="N1" s="311">
        <f>MAX(AB4:AB2000)</f>
        <v>15</v>
      </c>
      <c r="O1" s="236"/>
      <c r="P1" s="236">
        <v>16</v>
      </c>
      <c r="Q1" s="232">
        <v>17</v>
      </c>
      <c r="R1" s="232">
        <v>18</v>
      </c>
      <c r="S1" s="237">
        <v>19</v>
      </c>
      <c r="T1" s="232">
        <v>20</v>
      </c>
      <c r="U1" s="232">
        <v>21</v>
      </c>
      <c r="V1" s="232">
        <v>22</v>
      </c>
      <c r="W1" s="232">
        <v>23</v>
      </c>
      <c r="X1" s="232">
        <v>24</v>
      </c>
      <c r="Y1" s="232"/>
      <c r="Z1" s="207"/>
      <c r="AA1" s="207"/>
      <c r="AB1" s="52"/>
      <c r="AC1" s="136"/>
      <c r="AD1" s="127"/>
      <c r="AE1" s="127"/>
      <c r="AF1" s="129"/>
      <c r="AG1" s="127"/>
      <c r="AH1" s="127"/>
      <c r="AI1" s="127"/>
      <c r="AJ1" s="130"/>
      <c r="AK1" s="131"/>
      <c r="AL1" s="131"/>
      <c r="AM1" s="121"/>
      <c r="AN1" s="121"/>
      <c r="AP1" s="207">
        <v>42</v>
      </c>
      <c r="AQ1" s="207"/>
      <c r="AR1" s="207">
        <v>44</v>
      </c>
      <c r="AS1" s="207">
        <v>45</v>
      </c>
      <c r="AT1" s="207">
        <v>46</v>
      </c>
      <c r="AU1" s="258"/>
      <c r="AV1" s="259" t="s">
        <v>1503</v>
      </c>
      <c r="BO1" s="47" t="s">
        <v>571</v>
      </c>
      <c r="BP1" s="47" t="s">
        <v>605</v>
      </c>
    </row>
    <row r="2" spans="1:68" ht="0.95" customHeight="1" x14ac:dyDescent="0.25">
      <c r="A2" s="79"/>
      <c r="B2" s="107"/>
      <c r="C2" s="53" t="s">
        <v>62</v>
      </c>
      <c r="D2" s="53" t="str">
        <f>IFERROR(VLOOKUP(C2,C4:D1002,2,FALSE),"")</f>
        <v>MEQ</v>
      </c>
      <c r="E2" s="53" t="s">
        <v>351</v>
      </c>
      <c r="F2" s="54" t="str">
        <f>IFERROR(VLOOKUP(E2,E4:F1002,2,FALSE),"")</f>
        <v/>
      </c>
      <c r="G2" s="53" t="s">
        <v>346</v>
      </c>
      <c r="H2" s="54" t="str">
        <f>IFERROR(VLOOKUP(G2,G4:H1002,2,FALSE),"")</f>
        <v/>
      </c>
      <c r="I2" s="53" t="s">
        <v>5</v>
      </c>
      <c r="J2" s="54" t="str">
        <f>IFERROR(VLOOKUP(I2,I4:J1002,2,FALSE),"")</f>
        <v>-</v>
      </c>
      <c r="K2" s="252"/>
      <c r="L2" s="155"/>
      <c r="M2" s="155"/>
      <c r="N2" s="210">
        <f>COUNTA(AA4:AA2000)</f>
        <v>57</v>
      </c>
      <c r="O2" s="225" t="s">
        <v>9</v>
      </c>
      <c r="Q2" s="210"/>
      <c r="S2" s="239"/>
      <c r="AC2" s="106"/>
      <c r="AD2" s="243" t="s">
        <v>62</v>
      </c>
      <c r="AE2" s="248" t="s">
        <v>123</v>
      </c>
      <c r="AF2" s="243" t="s">
        <v>351</v>
      </c>
      <c r="AG2" s="243" t="s">
        <v>503</v>
      </c>
      <c r="AH2" s="243" t="s">
        <v>346</v>
      </c>
      <c r="AI2" s="243" t="s">
        <v>503</v>
      </c>
      <c r="AJ2" s="243" t="s">
        <v>5</v>
      </c>
      <c r="AK2" s="243" t="s">
        <v>5</v>
      </c>
      <c r="AL2" s="244"/>
      <c r="AM2" s="245"/>
      <c r="AN2" s="245"/>
      <c r="AP2" s="225">
        <f>COUNT(AP4:AP1000)</f>
        <v>0</v>
      </c>
      <c r="AV2" s="227" t="str">
        <f>AV1&amp;"\"&amp;AS4</f>
        <v>E:\Shared drives\02.Collabo\01.Project Level\0000.Potential Projects\BIM 4D-5D\01. WIP\2D-3D\03. MEP\05. Families\F\Sprinker_done\</v>
      </c>
      <c r="BO2" s="63" t="s">
        <v>604</v>
      </c>
    </row>
    <row r="3" spans="1:68" s="83" customFormat="1" ht="18" customHeight="1" x14ac:dyDescent="0.25">
      <c r="A3" s="133"/>
      <c r="B3" s="156" t="s">
        <v>475</v>
      </c>
      <c r="C3" s="100" t="s">
        <v>7</v>
      </c>
      <c r="D3" s="157" t="s">
        <v>510</v>
      </c>
      <c r="E3" s="100" t="s">
        <v>555</v>
      </c>
      <c r="F3" s="157" t="s">
        <v>495</v>
      </c>
      <c r="G3" s="100" t="s">
        <v>558</v>
      </c>
      <c r="H3" s="157" t="s">
        <v>496</v>
      </c>
      <c r="I3" s="100" t="s">
        <v>559</v>
      </c>
      <c r="J3" s="157" t="s">
        <v>497</v>
      </c>
      <c r="K3" s="100" t="s">
        <v>9</v>
      </c>
      <c r="L3" s="158" t="s">
        <v>499</v>
      </c>
      <c r="M3" s="367" t="s">
        <v>498</v>
      </c>
      <c r="N3" s="312">
        <f>MAX(M:M)</f>
        <v>97</v>
      </c>
      <c r="O3" s="225"/>
      <c r="P3" s="325" t="s">
        <v>475</v>
      </c>
      <c r="Q3" s="230" t="s">
        <v>7</v>
      </c>
      <c r="R3" s="233" t="s">
        <v>510</v>
      </c>
      <c r="S3" s="230" t="s">
        <v>555</v>
      </c>
      <c r="T3" s="233" t="s">
        <v>495</v>
      </c>
      <c r="U3" s="230" t="s">
        <v>558</v>
      </c>
      <c r="V3" s="233" t="s">
        <v>496</v>
      </c>
      <c r="W3" s="230" t="s">
        <v>559</v>
      </c>
      <c r="X3" s="233" t="s">
        <v>497</v>
      </c>
      <c r="Y3" s="230" t="s">
        <v>9</v>
      </c>
      <c r="Z3" s="234" t="s">
        <v>499</v>
      </c>
      <c r="AA3" s="234" t="s">
        <v>498</v>
      </c>
      <c r="AB3" s="63"/>
      <c r="AC3" s="138" t="s">
        <v>475</v>
      </c>
      <c r="AD3" s="134" t="s">
        <v>7</v>
      </c>
      <c r="AE3" s="135" t="s">
        <v>510</v>
      </c>
      <c r="AF3" s="134" t="s">
        <v>555</v>
      </c>
      <c r="AG3" s="135" t="s">
        <v>495</v>
      </c>
      <c r="AH3" s="134" t="s">
        <v>558</v>
      </c>
      <c r="AI3" s="135" t="s">
        <v>496</v>
      </c>
      <c r="AJ3" s="134" t="s">
        <v>559</v>
      </c>
      <c r="AK3" s="135" t="s">
        <v>497</v>
      </c>
      <c r="AL3" s="134" t="s">
        <v>9</v>
      </c>
      <c r="AM3" s="139" t="s">
        <v>499</v>
      </c>
      <c r="AN3" s="139" t="s">
        <v>498</v>
      </c>
      <c r="AP3" s="260"/>
      <c r="AQ3" s="260"/>
      <c r="AR3" s="260" t="s">
        <v>498</v>
      </c>
      <c r="AS3" s="225" t="s">
        <v>505</v>
      </c>
      <c r="AT3" s="260" t="s">
        <v>498</v>
      </c>
      <c r="AU3" s="230" t="s">
        <v>504</v>
      </c>
      <c r="AV3" s="227" t="str">
        <f>AV1&amp;"\"&amp;AU4</f>
        <v>E:\Shared drives\02.Collabo\01.Project Level\0000.Potential Projects\BIM 4D-5D\01. WIP\2D-3D\03. MEP\05. Families\F\Sprinker_done\</v>
      </c>
      <c r="BO3" s="83" t="s">
        <v>572</v>
      </c>
    </row>
    <row r="4" spans="1:68" s="83" customFormat="1" ht="15.75" customHeight="1" x14ac:dyDescent="0.25">
      <c r="A4" s="84"/>
      <c r="B4" s="108" t="s">
        <v>185</v>
      </c>
      <c r="C4" s="1" t="s">
        <v>293</v>
      </c>
      <c r="D4" s="159" t="s">
        <v>5</v>
      </c>
      <c r="E4" s="1" t="s">
        <v>5</v>
      </c>
      <c r="F4" s="1" t="s">
        <v>5</v>
      </c>
      <c r="G4" s="1" t="s">
        <v>5</v>
      </c>
      <c r="H4" s="1" t="s">
        <v>5</v>
      </c>
      <c r="I4" s="1" t="s">
        <v>5</v>
      </c>
      <c r="J4" s="1" t="s">
        <v>5</v>
      </c>
      <c r="K4" s="204" t="s">
        <v>294</v>
      </c>
      <c r="L4" s="160" t="s">
        <v>253</v>
      </c>
      <c r="M4" s="377">
        <v>1</v>
      </c>
      <c r="N4" s="225"/>
      <c r="O4" s="225" t="s">
        <v>509</v>
      </c>
      <c r="P4" s="297" t="s">
        <v>185</v>
      </c>
      <c r="Q4" s="241" t="s">
        <v>293</v>
      </c>
      <c r="R4" s="317" t="s">
        <v>5</v>
      </c>
      <c r="S4" s="241" t="s">
        <v>5</v>
      </c>
      <c r="T4" s="241" t="s">
        <v>5</v>
      </c>
      <c r="U4" s="241" t="s">
        <v>5</v>
      </c>
      <c r="V4" s="241" t="s">
        <v>5</v>
      </c>
      <c r="W4" s="241" t="s">
        <v>5</v>
      </c>
      <c r="X4" s="241" t="s">
        <v>5</v>
      </c>
      <c r="Y4" s="257" t="s">
        <v>294</v>
      </c>
      <c r="Z4" s="318" t="s">
        <v>253</v>
      </c>
      <c r="AA4" s="378">
        <v>1</v>
      </c>
      <c r="AB4" s="63">
        <f>IF(Z4="","",Z4*1)</f>
        <v>1</v>
      </c>
      <c r="AC4" s="140" t="s">
        <v>185</v>
      </c>
      <c r="AD4" s="147" t="s">
        <v>293</v>
      </c>
      <c r="AE4" s="90" t="s">
        <v>5</v>
      </c>
      <c r="AF4" s="90" t="s">
        <v>5</v>
      </c>
      <c r="AG4" s="90" t="s">
        <v>5</v>
      </c>
      <c r="AH4" s="90" t="s">
        <v>5</v>
      </c>
      <c r="AI4" s="90" t="s">
        <v>5</v>
      </c>
      <c r="AJ4" s="90" t="s">
        <v>5</v>
      </c>
      <c r="AK4" s="90" t="s">
        <v>5</v>
      </c>
      <c r="AL4" s="91" t="s">
        <v>294</v>
      </c>
      <c r="AM4" s="141" t="s">
        <v>253</v>
      </c>
      <c r="AN4" s="142">
        <v>1</v>
      </c>
      <c r="AP4" s="210" t="str">
        <f>IF(AQ4="","",AP3+1)</f>
        <v/>
      </c>
      <c r="AQ4" s="263"/>
      <c r="AR4" s="210" t="str">
        <f>AP4</f>
        <v/>
      </c>
      <c r="AS4" s="267"/>
      <c r="AT4" s="210">
        <v>1</v>
      </c>
      <c r="AU4" s="266"/>
      <c r="AV4" s="227" t="str">
        <f>AV1&amp;"\"&amp;AS5</f>
        <v>E:\Shared drives\02.Collabo\01.Project Level\0000.Potential Projects\BIM 4D-5D\01. WIP\2D-3D\03. MEP\05. Families\F\Sprinker_done\AWN_ALU_yyy_112.rfa</v>
      </c>
      <c r="BB4" s="83" t="str">
        <f t="array" ref="BB4">_xlfn.IFS(AQ4="","",LEN(AQ4)-LEN(SUBSTITUTE(AQ4,".",""))=3,LEFT(AQ4,vitri(".",AQ4,3)-1),LEN(AQ4)-LEN(SUBSTITUTE(AQ4,".",""))=2,LEFT(AQ4,vitri(".",AQ4,2)-1),TRUE,LEFT(AQ4,vitri(".",AQ4,1)-1))</f>
        <v/>
      </c>
      <c r="BO4" s="83" t="s">
        <v>607</v>
      </c>
    </row>
    <row r="5" spans="1:68" ht="15.75" customHeight="1" x14ac:dyDescent="0.25">
      <c r="A5" s="82"/>
      <c r="B5" s="108" t="s">
        <v>185</v>
      </c>
      <c r="C5" s="1" t="s">
        <v>3</v>
      </c>
      <c r="D5" s="159" t="s">
        <v>5</v>
      </c>
      <c r="E5" s="1" t="s">
        <v>5</v>
      </c>
      <c r="F5" s="1" t="s">
        <v>5</v>
      </c>
      <c r="G5" s="1" t="s">
        <v>5</v>
      </c>
      <c r="H5" s="1" t="s">
        <v>5</v>
      </c>
      <c r="I5" s="1" t="s">
        <v>5</v>
      </c>
      <c r="J5" s="1" t="s">
        <v>5</v>
      </c>
      <c r="K5" s="204" t="s">
        <v>128</v>
      </c>
      <c r="L5" s="160" t="s">
        <v>253</v>
      </c>
      <c r="M5" s="377">
        <v>2</v>
      </c>
      <c r="P5" s="297" t="s">
        <v>185</v>
      </c>
      <c r="Q5" s="241" t="s">
        <v>3</v>
      </c>
      <c r="R5" s="317" t="s">
        <v>5</v>
      </c>
      <c r="S5" s="241" t="s">
        <v>5</v>
      </c>
      <c r="T5" s="241" t="s">
        <v>5</v>
      </c>
      <c r="U5" s="241" t="s">
        <v>5</v>
      </c>
      <c r="V5" s="241" t="s">
        <v>5</v>
      </c>
      <c r="W5" s="241" t="s">
        <v>5</v>
      </c>
      <c r="X5" s="241" t="s">
        <v>5</v>
      </c>
      <c r="Y5" s="257" t="s">
        <v>128</v>
      </c>
      <c r="Z5" s="318" t="s">
        <v>253</v>
      </c>
      <c r="AA5" s="378">
        <v>2</v>
      </c>
      <c r="AB5" s="63">
        <f t="shared" ref="AB5:AB68" si="0">IF(Z5="","",Z5*1)</f>
        <v>1</v>
      </c>
      <c r="AC5" s="143" t="s">
        <v>185</v>
      </c>
      <c r="AD5" s="77" t="s">
        <v>3</v>
      </c>
      <c r="AE5" s="92" t="s">
        <v>5</v>
      </c>
      <c r="AF5" s="92" t="s">
        <v>5</v>
      </c>
      <c r="AG5" s="92" t="s">
        <v>5</v>
      </c>
      <c r="AH5" s="92" t="s">
        <v>5</v>
      </c>
      <c r="AI5" s="92" t="s">
        <v>5</v>
      </c>
      <c r="AJ5" s="92" t="s">
        <v>5</v>
      </c>
      <c r="AK5" s="92" t="s">
        <v>5</v>
      </c>
      <c r="AL5" s="93" t="s">
        <v>128</v>
      </c>
      <c r="AM5" s="144" t="s">
        <v>253</v>
      </c>
      <c r="AN5" s="145">
        <v>2</v>
      </c>
      <c r="AP5" s="210" t="str">
        <f>IF(AQ5="","",AP4+1)</f>
        <v/>
      </c>
      <c r="AQ5" s="266"/>
      <c r="AR5" s="210" t="str">
        <f>IF(AP5="","",AP5)</f>
        <v/>
      </c>
      <c r="AS5" s="217" t="s">
        <v>553</v>
      </c>
      <c r="AU5" s="263" t="s">
        <v>562</v>
      </c>
      <c r="AV5" s="227" t="str">
        <f>AV1&amp;"\"&amp;AU5</f>
        <v>E:\Shared drives\02.Collabo\01.Project Level\0000.Potential Projects\BIM 4D-5D\01. WIP\2D-3D\03. MEP\05. Families\F\Sprinker_done\AWN_ALU_DDD_112.rfa</v>
      </c>
      <c r="BB5" s="83" t="str">
        <f t="array" ref="BB5">_xlfn.IFS(AQ5="","",LEN(AQ5)-LEN(SUBSTITUTE(AQ5,".",""))=3,LEFT(AQ5,vitri(".",AQ5,3)-1),LEN(AQ5)-LEN(SUBSTITUTE(AQ5,".",""))=2,LEFT(AQ5,vitri(".",AQ5,2)-1),TRUE,LEFT(AQ5,vitri(".",AQ5,1)-1))</f>
        <v/>
      </c>
      <c r="BO5" s="63" t="s">
        <v>573</v>
      </c>
    </row>
    <row r="6" spans="1:68" ht="15.75" customHeight="1" x14ac:dyDescent="0.25">
      <c r="A6" s="84"/>
      <c r="B6" s="108" t="s">
        <v>184</v>
      </c>
      <c r="C6" s="1" t="s">
        <v>355</v>
      </c>
      <c r="D6" s="159" t="s">
        <v>164</v>
      </c>
      <c r="E6" s="1" t="s">
        <v>965</v>
      </c>
      <c r="F6" s="1" t="s">
        <v>45</v>
      </c>
      <c r="G6" s="1" t="s">
        <v>5</v>
      </c>
      <c r="H6" s="1" t="s">
        <v>5</v>
      </c>
      <c r="I6" s="1" t="s">
        <v>5</v>
      </c>
      <c r="J6" s="1" t="s">
        <v>5</v>
      </c>
      <c r="K6" s="204" t="str">
        <f t="shared" ref="K6:K60" si="1">IF(OR(J6="-",J6=""),IF(OR(H6="-",H6=""),CONCATENATE("F","_",D6,"_",F6,"_",TEXT(L6,"00")),CONCATENATE("F","_",D6,"_",F6,"_",H6,"_",TEXT(L6,"00"))),CONCATENATE("F","_",D6,"_",F6,"_",H6,"_",J6,"_",TEXT(L6,"00")))</f>
        <v>F_EEQ_COM_01</v>
      </c>
      <c r="L6" s="160" t="s">
        <v>253</v>
      </c>
      <c r="M6" s="377">
        <v>85</v>
      </c>
      <c r="N6" s="240"/>
      <c r="P6" s="297" t="s">
        <v>184</v>
      </c>
      <c r="Q6" s="241" t="s">
        <v>355</v>
      </c>
      <c r="R6" s="317" t="s">
        <v>164</v>
      </c>
      <c r="S6" s="241" t="s">
        <v>965</v>
      </c>
      <c r="T6" s="241" t="s">
        <v>45</v>
      </c>
      <c r="U6" s="241" t="s">
        <v>5</v>
      </c>
      <c r="V6" s="241" t="s">
        <v>5</v>
      </c>
      <c r="W6" s="241" t="s">
        <v>5</v>
      </c>
      <c r="X6" s="241" t="s">
        <v>5</v>
      </c>
      <c r="Y6" s="257" t="s">
        <v>1037</v>
      </c>
      <c r="Z6" s="318" t="s">
        <v>253</v>
      </c>
      <c r="AA6" s="378">
        <v>85</v>
      </c>
      <c r="AB6" s="63">
        <f t="shared" si="0"/>
        <v>1</v>
      </c>
      <c r="AC6" s="143" t="s">
        <v>184</v>
      </c>
      <c r="AD6" s="77" t="s">
        <v>355</v>
      </c>
      <c r="AE6" s="128" t="s">
        <v>164</v>
      </c>
      <c r="AF6" s="77" t="s">
        <v>965</v>
      </c>
      <c r="AG6" s="77" t="s">
        <v>45</v>
      </c>
      <c r="AH6" s="77" t="s">
        <v>5</v>
      </c>
      <c r="AI6" s="77" t="s">
        <v>5</v>
      </c>
      <c r="AJ6" s="77" t="s">
        <v>5</v>
      </c>
      <c r="AK6" s="77" t="s">
        <v>5</v>
      </c>
      <c r="AL6" s="94" t="s">
        <v>1037</v>
      </c>
      <c r="AM6" s="144" t="s">
        <v>253</v>
      </c>
      <c r="AN6" s="145">
        <v>85</v>
      </c>
      <c r="AP6" s="210" t="str">
        <f t="shared" ref="AP6:AP69" si="2">IF(AQ6="","",AP5+1)</f>
        <v/>
      </c>
      <c r="AQ6" s="263"/>
      <c r="AR6" s="210" t="str">
        <f t="shared" ref="AR6:AR69" si="3">IF(AP6="","",AP6)</f>
        <v/>
      </c>
      <c r="AS6" s="217"/>
      <c r="AU6" s="263"/>
      <c r="AV6" s="217"/>
      <c r="BB6" s="83" t="str">
        <f t="array" ref="BB6">_xlfn.IFS(AQ6="","",LEN(AQ6)-LEN(SUBSTITUTE(AQ6,".",""))=3,LEFT(AQ6,vitri(".",AQ6,3)-1),LEN(AQ6)-LEN(SUBSTITUTE(AQ6,".",""))=2,LEFT(AQ6,vitri(".",AQ6,2)-1),TRUE,LEFT(AQ6,vitri(".",AQ6,1)-1))</f>
        <v/>
      </c>
      <c r="BO6" s="63" t="s">
        <v>605</v>
      </c>
    </row>
    <row r="7" spans="1:68" ht="15.75" customHeight="1" x14ac:dyDescent="0.25">
      <c r="A7" s="84"/>
      <c r="B7" s="108" t="s">
        <v>184</v>
      </c>
      <c r="C7" s="1" t="s">
        <v>355</v>
      </c>
      <c r="D7" s="159" t="s">
        <v>164</v>
      </c>
      <c r="E7" s="1" t="s">
        <v>966</v>
      </c>
      <c r="F7" s="1" t="s">
        <v>359</v>
      </c>
      <c r="G7" s="1" t="s">
        <v>5</v>
      </c>
      <c r="H7" s="1" t="s">
        <v>5</v>
      </c>
      <c r="I7" s="1" t="s">
        <v>5</v>
      </c>
      <c r="J7" s="1" t="s">
        <v>5</v>
      </c>
      <c r="K7" s="94" t="str">
        <f t="shared" si="1"/>
        <v>F_EEQ_ECP_02</v>
      </c>
      <c r="L7" s="160" t="s">
        <v>254</v>
      </c>
      <c r="M7" s="377">
        <v>86</v>
      </c>
      <c r="O7" s="230" t="str">
        <f>K3</f>
        <v>Falimy Name</v>
      </c>
      <c r="P7" s="297" t="s">
        <v>184</v>
      </c>
      <c r="Q7" s="241" t="s">
        <v>355</v>
      </c>
      <c r="R7" s="317" t="s">
        <v>164</v>
      </c>
      <c r="S7" s="241" t="s">
        <v>966</v>
      </c>
      <c r="T7" s="241" t="s">
        <v>359</v>
      </c>
      <c r="U7" s="241" t="s">
        <v>5</v>
      </c>
      <c r="V7" s="241" t="s">
        <v>5</v>
      </c>
      <c r="W7" s="241" t="s">
        <v>5</v>
      </c>
      <c r="X7" s="241" t="s">
        <v>5</v>
      </c>
      <c r="Y7" s="215" t="s">
        <v>1038</v>
      </c>
      <c r="Z7" s="318" t="s">
        <v>254</v>
      </c>
      <c r="AA7" s="378">
        <v>86</v>
      </c>
      <c r="AB7" s="63">
        <f t="shared" si="0"/>
        <v>2</v>
      </c>
      <c r="AC7" s="143" t="s">
        <v>184</v>
      </c>
      <c r="AD7" s="77" t="s">
        <v>355</v>
      </c>
      <c r="AE7" s="128" t="s">
        <v>164</v>
      </c>
      <c r="AF7" s="77" t="s">
        <v>966</v>
      </c>
      <c r="AG7" s="77" t="s">
        <v>359</v>
      </c>
      <c r="AH7" s="77" t="s">
        <v>5</v>
      </c>
      <c r="AI7" s="77" t="s">
        <v>5</v>
      </c>
      <c r="AJ7" s="77" t="s">
        <v>5</v>
      </c>
      <c r="AK7" s="77" t="s">
        <v>5</v>
      </c>
      <c r="AL7" s="94" t="s">
        <v>1038</v>
      </c>
      <c r="AM7" s="144" t="s">
        <v>254</v>
      </c>
      <c r="AN7" s="145">
        <v>86</v>
      </c>
      <c r="AP7" s="210" t="str">
        <f t="shared" si="2"/>
        <v/>
      </c>
      <c r="AQ7" s="263"/>
      <c r="AR7" s="210" t="str">
        <f t="shared" si="3"/>
        <v/>
      </c>
      <c r="AS7" s="217"/>
      <c r="AU7" s="263"/>
      <c r="AV7" s="217"/>
      <c r="BB7" s="83" t="str">
        <f t="array" ref="BB7">_xlfn.IFS(AQ7="","",LEN(AQ7)-LEN(SUBSTITUTE(AQ7,".",""))=3,LEFT(AQ7,vitri(".",AQ7,3)-1),LEN(AQ7)-LEN(SUBSTITUTE(AQ7,".",""))=2,LEFT(AQ7,vitri(".",AQ7,2)-1),TRUE,LEFT(AQ7,vitri(".",AQ7,1)-1))</f>
        <v/>
      </c>
      <c r="BO7" s="63" t="s">
        <v>574</v>
      </c>
    </row>
    <row r="8" spans="1:68" ht="15.75" customHeight="1" x14ac:dyDescent="0.25">
      <c r="A8" s="84"/>
      <c r="B8" s="108" t="s">
        <v>184</v>
      </c>
      <c r="C8" s="1" t="s">
        <v>355</v>
      </c>
      <c r="D8" s="159" t="s">
        <v>164</v>
      </c>
      <c r="E8" s="1" t="s">
        <v>358</v>
      </c>
      <c r="F8" s="1" t="s">
        <v>359</v>
      </c>
      <c r="G8" s="1" t="s">
        <v>349</v>
      </c>
      <c r="H8" s="1" t="s">
        <v>349</v>
      </c>
      <c r="I8" s="1" t="s">
        <v>5</v>
      </c>
      <c r="J8" s="1" t="s">
        <v>5</v>
      </c>
      <c r="K8" s="94" t="str">
        <f t="shared" si="1"/>
        <v>F_EEQ_ECP_2x100LB_03</v>
      </c>
      <c r="L8" s="160" t="s">
        <v>255</v>
      </c>
      <c r="M8" s="377">
        <v>87</v>
      </c>
      <c r="O8" s="230" t="str">
        <f>C3</f>
        <v>Categories</v>
      </c>
      <c r="P8" s="297" t="s">
        <v>184</v>
      </c>
      <c r="Q8" s="241" t="s">
        <v>355</v>
      </c>
      <c r="R8" s="317" t="s">
        <v>164</v>
      </c>
      <c r="S8" s="241" t="s">
        <v>358</v>
      </c>
      <c r="T8" s="241" t="s">
        <v>359</v>
      </c>
      <c r="U8" s="241" t="s">
        <v>349</v>
      </c>
      <c r="V8" s="241" t="s">
        <v>349</v>
      </c>
      <c r="W8" s="241" t="s">
        <v>5</v>
      </c>
      <c r="X8" s="241" t="s">
        <v>5</v>
      </c>
      <c r="Y8" s="215" t="s">
        <v>1039</v>
      </c>
      <c r="Z8" s="318" t="s">
        <v>255</v>
      </c>
      <c r="AA8" s="378">
        <v>87</v>
      </c>
      <c r="AB8" s="63">
        <f t="shared" si="0"/>
        <v>3</v>
      </c>
      <c r="AC8" s="143" t="s">
        <v>184</v>
      </c>
      <c r="AD8" s="77" t="s">
        <v>355</v>
      </c>
      <c r="AE8" s="128" t="s">
        <v>164</v>
      </c>
      <c r="AF8" s="77" t="s">
        <v>358</v>
      </c>
      <c r="AG8" s="77" t="s">
        <v>359</v>
      </c>
      <c r="AH8" s="77" t="s">
        <v>349</v>
      </c>
      <c r="AI8" s="77" t="s">
        <v>349</v>
      </c>
      <c r="AJ8" s="77" t="s">
        <v>5</v>
      </c>
      <c r="AK8" s="77" t="s">
        <v>5</v>
      </c>
      <c r="AL8" s="94" t="s">
        <v>1039</v>
      </c>
      <c r="AM8" s="144" t="s">
        <v>255</v>
      </c>
      <c r="AN8" s="145">
        <v>87</v>
      </c>
      <c r="AP8" s="210" t="str">
        <f t="shared" si="2"/>
        <v/>
      </c>
      <c r="AQ8" s="266"/>
      <c r="AR8" s="210" t="str">
        <f t="shared" si="3"/>
        <v/>
      </c>
      <c r="AS8" s="217"/>
      <c r="AU8" s="263"/>
      <c r="AV8" s="217"/>
      <c r="BB8" s="83" t="str">
        <f t="array" ref="BB8">_xlfn.IFS(AQ8="","",LEN(AQ8)-LEN(SUBSTITUTE(AQ8,".",""))=3,LEFT(AQ8,vitri(".",AQ8,3)-1),LEN(AQ8)-LEN(SUBSTITUTE(AQ8,".",""))=2,LEFT(AQ8,vitri(".",AQ8,2)-1),TRUE,LEFT(AQ8,vitri(".",AQ8,1)-1))</f>
        <v/>
      </c>
      <c r="BO8" s="63" t="s">
        <v>606</v>
      </c>
    </row>
    <row r="9" spans="1:68" ht="15.75" customHeight="1" x14ac:dyDescent="0.25">
      <c r="B9" s="108" t="s">
        <v>184</v>
      </c>
      <c r="C9" s="1" t="s">
        <v>355</v>
      </c>
      <c r="D9" s="159" t="s">
        <v>164</v>
      </c>
      <c r="E9" s="1" t="s">
        <v>967</v>
      </c>
      <c r="F9" s="1" t="s">
        <v>373</v>
      </c>
      <c r="G9" s="1" t="s">
        <v>5</v>
      </c>
      <c r="H9" s="1" t="s">
        <v>5</v>
      </c>
      <c r="I9" s="1" t="s">
        <v>5</v>
      </c>
      <c r="J9" s="1" t="s">
        <v>5</v>
      </c>
      <c r="K9" s="94" t="str">
        <f t="shared" si="1"/>
        <v>F_EEQ_FACP_05</v>
      </c>
      <c r="L9" s="160" t="s">
        <v>257</v>
      </c>
      <c r="M9" s="377">
        <v>89</v>
      </c>
      <c r="O9" s="230" t="str">
        <f>E3</f>
        <v>Types</v>
      </c>
      <c r="P9" s="297" t="s">
        <v>184</v>
      </c>
      <c r="Q9" s="241" t="s">
        <v>355</v>
      </c>
      <c r="R9" s="317" t="s">
        <v>164</v>
      </c>
      <c r="S9" s="241" t="s">
        <v>967</v>
      </c>
      <c r="T9" s="241" t="s">
        <v>373</v>
      </c>
      <c r="U9" s="241" t="s">
        <v>5</v>
      </c>
      <c r="V9" s="241" t="s">
        <v>5</v>
      </c>
      <c r="W9" s="241" t="s">
        <v>5</v>
      </c>
      <c r="X9" s="241" t="s">
        <v>5</v>
      </c>
      <c r="Y9" s="215" t="s">
        <v>1040</v>
      </c>
      <c r="Z9" s="318" t="s">
        <v>257</v>
      </c>
      <c r="AA9" s="378">
        <v>89</v>
      </c>
      <c r="AB9" s="63">
        <f t="shared" si="0"/>
        <v>5</v>
      </c>
      <c r="AC9" s="143" t="s">
        <v>184</v>
      </c>
      <c r="AD9" s="77" t="s">
        <v>355</v>
      </c>
      <c r="AE9" s="128" t="s">
        <v>164</v>
      </c>
      <c r="AF9" s="77" t="s">
        <v>967</v>
      </c>
      <c r="AG9" s="77" t="s">
        <v>373</v>
      </c>
      <c r="AH9" s="77" t="s">
        <v>5</v>
      </c>
      <c r="AI9" s="77" t="s">
        <v>5</v>
      </c>
      <c r="AJ9" s="77" t="s">
        <v>5</v>
      </c>
      <c r="AK9" s="77" t="s">
        <v>5</v>
      </c>
      <c r="AL9" s="94" t="s">
        <v>1040</v>
      </c>
      <c r="AM9" s="144" t="s">
        <v>257</v>
      </c>
      <c r="AN9" s="145">
        <v>89</v>
      </c>
      <c r="AP9" s="210" t="str">
        <f t="shared" si="2"/>
        <v/>
      </c>
      <c r="AQ9" s="266"/>
      <c r="AR9" s="210" t="str">
        <f t="shared" si="3"/>
        <v/>
      </c>
      <c r="AS9" s="217"/>
      <c r="AU9" s="263"/>
      <c r="AV9" s="217"/>
      <c r="BB9" s="83" t="str">
        <f t="array" ref="BB9">_xlfn.IFS(AQ9="","",LEN(AQ9)-LEN(SUBSTITUTE(AQ9,".",""))=3,LEFT(AQ9,vitri(".",AQ9,3)-1),LEN(AQ9)-LEN(SUBSTITUTE(AQ9,".",""))=2,LEFT(AQ9,vitri(".",AQ9,2)-1),TRUE,LEFT(AQ9,vitri(".",AQ9,1)-1))</f>
        <v/>
      </c>
      <c r="BO9" s="63" t="s">
        <v>575</v>
      </c>
    </row>
    <row r="10" spans="1:68" ht="15.75" customHeight="1" x14ac:dyDescent="0.25">
      <c r="B10" s="108" t="s">
        <v>184</v>
      </c>
      <c r="C10" s="1" t="s">
        <v>355</v>
      </c>
      <c r="D10" s="159" t="s">
        <v>164</v>
      </c>
      <c r="E10" s="1" t="s">
        <v>968</v>
      </c>
      <c r="F10" s="1" t="s">
        <v>884</v>
      </c>
      <c r="G10" s="1" t="s">
        <v>969</v>
      </c>
      <c r="H10" s="1" t="s">
        <v>969</v>
      </c>
      <c r="I10" s="1" t="s">
        <v>970</v>
      </c>
      <c r="J10" s="1" t="s">
        <v>970</v>
      </c>
      <c r="K10" s="94" t="str">
        <f t="shared" si="1"/>
        <v>F_EEQ_FCP_PSF_SEF_04</v>
      </c>
      <c r="L10" s="160" t="s">
        <v>256</v>
      </c>
      <c r="M10" s="377">
        <v>88</v>
      </c>
      <c r="O10" s="230" t="str">
        <f>G3</f>
        <v>Subtypes1</v>
      </c>
      <c r="P10" s="297" t="s">
        <v>184</v>
      </c>
      <c r="Q10" s="241" t="s">
        <v>355</v>
      </c>
      <c r="R10" s="317" t="s">
        <v>164</v>
      </c>
      <c r="S10" s="241" t="s">
        <v>968</v>
      </c>
      <c r="T10" s="241" t="s">
        <v>884</v>
      </c>
      <c r="U10" s="241" t="s">
        <v>969</v>
      </c>
      <c r="V10" s="241" t="s">
        <v>969</v>
      </c>
      <c r="W10" s="241" t="s">
        <v>970</v>
      </c>
      <c r="X10" s="241" t="s">
        <v>970</v>
      </c>
      <c r="Y10" s="215" t="s">
        <v>1041</v>
      </c>
      <c r="Z10" s="318" t="s">
        <v>256</v>
      </c>
      <c r="AA10" s="378">
        <v>88</v>
      </c>
      <c r="AB10" s="63">
        <f t="shared" si="0"/>
        <v>4</v>
      </c>
      <c r="AC10" s="143" t="s">
        <v>184</v>
      </c>
      <c r="AD10" s="77" t="s">
        <v>355</v>
      </c>
      <c r="AE10" s="128" t="s">
        <v>164</v>
      </c>
      <c r="AF10" s="77" t="s">
        <v>968</v>
      </c>
      <c r="AG10" s="77" t="s">
        <v>884</v>
      </c>
      <c r="AH10" s="77" t="s">
        <v>969</v>
      </c>
      <c r="AI10" s="77" t="s">
        <v>969</v>
      </c>
      <c r="AJ10" s="77" t="s">
        <v>970</v>
      </c>
      <c r="AK10" s="77" t="s">
        <v>970</v>
      </c>
      <c r="AL10" s="94" t="s">
        <v>1041</v>
      </c>
      <c r="AM10" s="144" t="s">
        <v>256</v>
      </c>
      <c r="AN10" s="145">
        <v>88</v>
      </c>
      <c r="AP10" s="210" t="str">
        <f t="shared" si="2"/>
        <v/>
      </c>
      <c r="AQ10" s="266"/>
      <c r="AR10" s="210" t="str">
        <f t="shared" si="3"/>
        <v/>
      </c>
      <c r="AS10" s="217"/>
      <c r="AU10" s="263"/>
      <c r="AV10" s="217"/>
      <c r="BB10" s="83" t="str">
        <f t="array" ref="BB10">_xlfn.IFS(AQ10="","",LEN(AQ10)-LEN(SUBSTITUTE(AQ10,".",""))=3,LEFT(AQ10,vitri(".",AQ10,3)-1),LEN(AQ10)-LEN(SUBSTITUTE(AQ10,".",""))=2,LEFT(AQ10,vitri(".",AQ10,2)-1),TRUE,LEFT(AQ10,vitri(".",AQ10,1)-1))</f>
        <v/>
      </c>
      <c r="BO10" s="63" t="s">
        <v>608</v>
      </c>
    </row>
    <row r="11" spans="1:68" ht="15.75" customHeight="1" x14ac:dyDescent="0.25">
      <c r="B11" s="108" t="s">
        <v>184</v>
      </c>
      <c r="C11" s="1" t="s">
        <v>355</v>
      </c>
      <c r="D11" s="159" t="s">
        <v>164</v>
      </c>
      <c r="E11" s="1" t="s">
        <v>971</v>
      </c>
      <c r="F11" s="1" t="s">
        <v>972</v>
      </c>
      <c r="G11" s="1" t="s">
        <v>5</v>
      </c>
      <c r="H11" s="1" t="s">
        <v>5</v>
      </c>
      <c r="I11" s="1" t="s">
        <v>5</v>
      </c>
      <c r="J11" s="1" t="s">
        <v>5</v>
      </c>
      <c r="K11" s="94" t="str">
        <f t="shared" si="1"/>
        <v>F_EEQ_FFPCP_06</v>
      </c>
      <c r="L11" s="160" t="s">
        <v>258</v>
      </c>
      <c r="M11" s="377">
        <v>90</v>
      </c>
      <c r="O11" s="230" t="str">
        <f>I3</f>
        <v>Subtypes2</v>
      </c>
      <c r="P11" s="297" t="s">
        <v>184</v>
      </c>
      <c r="Q11" s="241" t="s">
        <v>355</v>
      </c>
      <c r="R11" s="317" t="s">
        <v>164</v>
      </c>
      <c r="S11" s="241" t="s">
        <v>971</v>
      </c>
      <c r="T11" s="241" t="s">
        <v>972</v>
      </c>
      <c r="U11" s="241" t="s">
        <v>5</v>
      </c>
      <c r="V11" s="241" t="s">
        <v>5</v>
      </c>
      <c r="W11" s="241" t="s">
        <v>5</v>
      </c>
      <c r="X11" s="241" t="s">
        <v>5</v>
      </c>
      <c r="Y11" s="215" t="s">
        <v>1042</v>
      </c>
      <c r="Z11" s="318" t="s">
        <v>258</v>
      </c>
      <c r="AA11" s="378">
        <v>90</v>
      </c>
      <c r="AB11" s="63">
        <f t="shared" si="0"/>
        <v>6</v>
      </c>
      <c r="AC11" s="143" t="s">
        <v>184</v>
      </c>
      <c r="AD11" s="77" t="s">
        <v>355</v>
      </c>
      <c r="AE11" s="128" t="s">
        <v>164</v>
      </c>
      <c r="AF11" s="77" t="s">
        <v>971</v>
      </c>
      <c r="AG11" s="77" t="s">
        <v>972</v>
      </c>
      <c r="AH11" s="77" t="s">
        <v>5</v>
      </c>
      <c r="AI11" s="77" t="s">
        <v>5</v>
      </c>
      <c r="AJ11" s="77" t="s">
        <v>5</v>
      </c>
      <c r="AK11" s="77" t="s">
        <v>5</v>
      </c>
      <c r="AL11" s="94" t="s">
        <v>1042</v>
      </c>
      <c r="AM11" s="144" t="s">
        <v>258</v>
      </c>
      <c r="AN11" s="145">
        <v>90</v>
      </c>
      <c r="AP11" s="210" t="str">
        <f t="shared" si="2"/>
        <v/>
      </c>
      <c r="AQ11" s="263"/>
      <c r="AR11" s="210" t="str">
        <f t="shared" si="3"/>
        <v/>
      </c>
      <c r="AS11" s="217"/>
      <c r="AU11" s="263"/>
      <c r="AV11" s="217"/>
      <c r="BB11" s="83" t="str">
        <f t="array" ref="BB11">_xlfn.IFS(AQ11="","",LEN(AQ11)-LEN(SUBSTITUTE(AQ11,".",""))=3,LEFT(AQ11,vitri(".",AQ11,3)-1),LEN(AQ11)-LEN(SUBSTITUTE(AQ11,".",""))=2,LEFT(AQ11,vitri(".",AQ11,2)-1),TRUE,LEFT(AQ11,vitri(".",AQ11,1)-1))</f>
        <v/>
      </c>
      <c r="BO11" s="63" t="s">
        <v>576</v>
      </c>
    </row>
    <row r="12" spans="1:68" ht="15.75" customHeight="1" x14ac:dyDescent="0.25">
      <c r="A12" s="84"/>
      <c r="B12" s="108" t="s">
        <v>184</v>
      </c>
      <c r="C12" s="1" t="s">
        <v>355</v>
      </c>
      <c r="D12" s="159" t="s">
        <v>164</v>
      </c>
      <c r="E12" s="1" t="s">
        <v>370</v>
      </c>
      <c r="F12" s="1" t="s">
        <v>371</v>
      </c>
      <c r="G12" s="1" t="s">
        <v>476</v>
      </c>
      <c r="H12" s="1" t="s">
        <v>486</v>
      </c>
      <c r="I12" s="1" t="s">
        <v>360</v>
      </c>
      <c r="J12" s="1" t="s">
        <v>361</v>
      </c>
      <c r="K12" s="94" t="str">
        <f t="shared" si="1"/>
        <v>F_EEQ_ISM_WHB_4CH_07</v>
      </c>
      <c r="L12" s="160" t="s">
        <v>259</v>
      </c>
      <c r="M12" s="377">
        <v>15</v>
      </c>
      <c r="O12" s="233" t="str">
        <f>D3</f>
        <v>Abbr Categories</v>
      </c>
      <c r="P12" s="297" t="s">
        <v>184</v>
      </c>
      <c r="Q12" s="241" t="s">
        <v>355</v>
      </c>
      <c r="R12" s="317" t="s">
        <v>164</v>
      </c>
      <c r="S12" s="241" t="s">
        <v>370</v>
      </c>
      <c r="T12" s="241" t="s">
        <v>371</v>
      </c>
      <c r="U12" s="241" t="s">
        <v>476</v>
      </c>
      <c r="V12" s="241" t="s">
        <v>486</v>
      </c>
      <c r="W12" s="241" t="s">
        <v>360</v>
      </c>
      <c r="X12" s="241" t="s">
        <v>361</v>
      </c>
      <c r="Y12" s="215" t="s">
        <v>1043</v>
      </c>
      <c r="Z12" s="318" t="s">
        <v>259</v>
      </c>
      <c r="AA12" s="378">
        <v>15</v>
      </c>
      <c r="AB12" s="63">
        <f t="shared" si="0"/>
        <v>7</v>
      </c>
      <c r="AC12" s="143" t="s">
        <v>184</v>
      </c>
      <c r="AD12" s="77" t="s">
        <v>355</v>
      </c>
      <c r="AE12" s="128" t="s">
        <v>164</v>
      </c>
      <c r="AF12" s="77" t="s">
        <v>370</v>
      </c>
      <c r="AG12" s="77" t="s">
        <v>371</v>
      </c>
      <c r="AH12" s="77" t="s">
        <v>476</v>
      </c>
      <c r="AI12" s="77" t="s">
        <v>486</v>
      </c>
      <c r="AJ12" s="77" t="s">
        <v>360</v>
      </c>
      <c r="AK12" s="77" t="s">
        <v>361</v>
      </c>
      <c r="AL12" s="94" t="s">
        <v>1043</v>
      </c>
      <c r="AM12" s="144" t="s">
        <v>259</v>
      </c>
      <c r="AN12" s="145">
        <v>15</v>
      </c>
      <c r="AP12" s="210" t="str">
        <f t="shared" si="2"/>
        <v/>
      </c>
      <c r="AQ12" s="263"/>
      <c r="AR12" s="210" t="str">
        <f t="shared" si="3"/>
        <v/>
      </c>
      <c r="AS12" s="217"/>
      <c r="AU12" s="263"/>
      <c r="AV12" s="217"/>
      <c r="BB12" s="83" t="str">
        <f t="array" ref="BB12">_xlfn.IFS(AQ12="","",LEN(AQ12)-LEN(SUBSTITUTE(AQ12,".",""))=3,LEFT(AQ12,vitri(".",AQ12,3)-1),LEN(AQ12)-LEN(SUBSTITUTE(AQ12,".",""))=2,LEFT(AQ12,vitri(".",AQ12,2)-1),TRUE,LEFT(AQ12,vitri(".",AQ12,1)-1))</f>
        <v/>
      </c>
      <c r="BO12" s="63" t="s">
        <v>577</v>
      </c>
    </row>
    <row r="13" spans="1:68" ht="15.75" customHeight="1" x14ac:dyDescent="0.25">
      <c r="A13" s="84"/>
      <c r="B13" s="108" t="s">
        <v>184</v>
      </c>
      <c r="C13" s="1" t="s">
        <v>355</v>
      </c>
      <c r="D13" s="159" t="s">
        <v>164</v>
      </c>
      <c r="E13" s="1" t="s">
        <v>973</v>
      </c>
      <c r="F13" s="1" t="s">
        <v>974</v>
      </c>
      <c r="G13" s="1" t="s">
        <v>5</v>
      </c>
      <c r="H13" s="1" t="s">
        <v>5</v>
      </c>
      <c r="I13" s="1" t="s">
        <v>5</v>
      </c>
      <c r="J13" s="1" t="s">
        <v>5</v>
      </c>
      <c r="K13" s="94" t="str">
        <f t="shared" si="1"/>
        <v>F_EEQ_REM_08</v>
      </c>
      <c r="L13" s="160" t="s">
        <v>260</v>
      </c>
      <c r="M13" s="377">
        <v>91</v>
      </c>
      <c r="O13" s="233" t="str">
        <f>F3</f>
        <v>Abbr Types</v>
      </c>
      <c r="P13" s="297" t="s">
        <v>184</v>
      </c>
      <c r="Q13" s="241" t="s">
        <v>355</v>
      </c>
      <c r="R13" s="317" t="s">
        <v>164</v>
      </c>
      <c r="S13" s="241" t="s">
        <v>973</v>
      </c>
      <c r="T13" s="241" t="s">
        <v>974</v>
      </c>
      <c r="U13" s="241" t="s">
        <v>5</v>
      </c>
      <c r="V13" s="241" t="s">
        <v>5</v>
      </c>
      <c r="W13" s="241" t="s">
        <v>5</v>
      </c>
      <c r="X13" s="241" t="s">
        <v>5</v>
      </c>
      <c r="Y13" s="215" t="s">
        <v>1044</v>
      </c>
      <c r="Z13" s="318" t="s">
        <v>260</v>
      </c>
      <c r="AA13" s="378">
        <v>91</v>
      </c>
      <c r="AB13" s="63">
        <f t="shared" si="0"/>
        <v>8</v>
      </c>
      <c r="AC13" s="143" t="s">
        <v>184</v>
      </c>
      <c r="AD13" s="77" t="s">
        <v>355</v>
      </c>
      <c r="AE13" s="128" t="s">
        <v>164</v>
      </c>
      <c r="AF13" s="77" t="s">
        <v>973</v>
      </c>
      <c r="AG13" s="77" t="s">
        <v>974</v>
      </c>
      <c r="AH13" s="77" t="s">
        <v>5</v>
      </c>
      <c r="AI13" s="77" t="s">
        <v>5</v>
      </c>
      <c r="AJ13" s="77" t="s">
        <v>5</v>
      </c>
      <c r="AK13" s="77" t="s">
        <v>5</v>
      </c>
      <c r="AL13" s="94" t="s">
        <v>1044</v>
      </c>
      <c r="AM13" s="144" t="s">
        <v>260</v>
      </c>
      <c r="AN13" s="145">
        <v>91</v>
      </c>
      <c r="AP13" s="210" t="str">
        <f t="shared" si="2"/>
        <v/>
      </c>
      <c r="AQ13" s="263"/>
      <c r="AR13" s="210" t="str">
        <f t="shared" si="3"/>
        <v/>
      </c>
      <c r="AS13" s="217"/>
      <c r="AU13" s="263"/>
      <c r="AV13" s="217"/>
      <c r="BB13" s="83" t="str">
        <f t="array" ref="BB13">_xlfn.IFS(AQ13="","",LEN(AQ13)-LEN(SUBSTITUTE(AQ13,".",""))=3,LEFT(AQ13,vitri(".",AQ13,3)-1),LEN(AQ13)-LEN(SUBSTITUTE(AQ13,".",""))=2,LEFT(AQ13,vitri(".",AQ13,2)-1),TRUE,LEFT(AQ13,vitri(".",AQ13,1)-1))</f>
        <v/>
      </c>
      <c r="BO13" s="63" t="s">
        <v>1495</v>
      </c>
    </row>
    <row r="14" spans="1:68" ht="15.75" customHeight="1" x14ac:dyDescent="0.25">
      <c r="A14" s="84"/>
      <c r="B14" s="108" t="s">
        <v>184</v>
      </c>
      <c r="C14" s="1" t="s">
        <v>355</v>
      </c>
      <c r="D14" s="159" t="s">
        <v>164</v>
      </c>
      <c r="E14" s="1" t="s">
        <v>975</v>
      </c>
      <c r="F14" s="1" t="s">
        <v>976</v>
      </c>
      <c r="G14" s="1" t="s">
        <v>5</v>
      </c>
      <c r="H14" s="1" t="s">
        <v>5</v>
      </c>
      <c r="I14" s="1" t="s">
        <v>5</v>
      </c>
      <c r="J14" s="1" t="s">
        <v>5</v>
      </c>
      <c r="K14" s="94" t="str">
        <f t="shared" si="1"/>
        <v>F_EEQ_SAP_09</v>
      </c>
      <c r="L14" s="160" t="s">
        <v>261</v>
      </c>
      <c r="M14" s="377">
        <v>92</v>
      </c>
      <c r="O14" s="233" t="str">
        <f>H3</f>
        <v>Abbr Sub 1</v>
      </c>
      <c r="P14" s="297" t="s">
        <v>184</v>
      </c>
      <c r="Q14" s="241" t="s">
        <v>355</v>
      </c>
      <c r="R14" s="317" t="s">
        <v>164</v>
      </c>
      <c r="S14" s="241" t="s">
        <v>975</v>
      </c>
      <c r="T14" s="241" t="s">
        <v>976</v>
      </c>
      <c r="U14" s="241" t="s">
        <v>5</v>
      </c>
      <c r="V14" s="241" t="s">
        <v>5</v>
      </c>
      <c r="W14" s="241" t="s">
        <v>5</v>
      </c>
      <c r="X14" s="241" t="s">
        <v>5</v>
      </c>
      <c r="Y14" s="215" t="s">
        <v>1045</v>
      </c>
      <c r="Z14" s="318" t="s">
        <v>261</v>
      </c>
      <c r="AA14" s="378">
        <v>92</v>
      </c>
      <c r="AB14" s="63">
        <f t="shared" si="0"/>
        <v>9</v>
      </c>
      <c r="AC14" s="143" t="s">
        <v>184</v>
      </c>
      <c r="AD14" s="77" t="s">
        <v>355</v>
      </c>
      <c r="AE14" s="128" t="s">
        <v>164</v>
      </c>
      <c r="AF14" s="77" t="s">
        <v>975</v>
      </c>
      <c r="AG14" s="77" t="s">
        <v>976</v>
      </c>
      <c r="AH14" s="77" t="s">
        <v>5</v>
      </c>
      <c r="AI14" s="77" t="s">
        <v>5</v>
      </c>
      <c r="AJ14" s="77" t="s">
        <v>5</v>
      </c>
      <c r="AK14" s="77" t="s">
        <v>5</v>
      </c>
      <c r="AL14" s="94" t="s">
        <v>1045</v>
      </c>
      <c r="AM14" s="144" t="s">
        <v>261</v>
      </c>
      <c r="AN14" s="145">
        <v>92</v>
      </c>
      <c r="AP14" s="210" t="str">
        <f t="shared" si="2"/>
        <v/>
      </c>
      <c r="AQ14" s="263"/>
      <c r="AR14" s="210" t="str">
        <f t="shared" si="3"/>
        <v/>
      </c>
      <c r="AS14" s="217"/>
      <c r="AU14" s="263"/>
      <c r="AV14" s="217"/>
      <c r="BB14" s="83" t="str">
        <f t="array" ref="BB14">_xlfn.IFS(AQ14="","",LEN(AQ14)-LEN(SUBSTITUTE(AQ14,".",""))=3,LEFT(AQ14,vitri(".",AQ14,3)-1),LEN(AQ14)-LEN(SUBSTITUTE(AQ14,".",""))=2,LEFT(AQ14,vitri(".",AQ14,2)-1),TRUE,LEFT(AQ14,vitri(".",AQ14,1)-1))</f>
        <v/>
      </c>
    </row>
    <row r="15" spans="1:68" ht="16.5" customHeight="1" x14ac:dyDescent="0.25">
      <c r="A15" s="84"/>
      <c r="B15" s="108" t="s">
        <v>184</v>
      </c>
      <c r="C15" s="1" t="s">
        <v>167</v>
      </c>
      <c r="D15" s="159" t="s">
        <v>168</v>
      </c>
      <c r="E15" s="1" t="s">
        <v>977</v>
      </c>
      <c r="F15" s="1" t="s">
        <v>978</v>
      </c>
      <c r="G15" s="1" t="s">
        <v>5</v>
      </c>
      <c r="H15" s="1" t="s">
        <v>5</v>
      </c>
      <c r="I15" s="1" t="s">
        <v>5</v>
      </c>
      <c r="J15" s="1" t="s">
        <v>5</v>
      </c>
      <c r="K15" s="94" t="str">
        <f t="shared" si="1"/>
        <v>F_FID_ABE_01</v>
      </c>
      <c r="L15" s="160" t="s">
        <v>253</v>
      </c>
      <c r="M15" s="377">
        <v>93</v>
      </c>
      <c r="O15" s="233" t="str">
        <f>J3</f>
        <v>Abbr Sub 2</v>
      </c>
      <c r="P15" s="297" t="s">
        <v>184</v>
      </c>
      <c r="Q15" s="241" t="s">
        <v>167</v>
      </c>
      <c r="R15" s="317" t="s">
        <v>168</v>
      </c>
      <c r="S15" s="241" t="s">
        <v>977</v>
      </c>
      <c r="T15" s="241" t="s">
        <v>978</v>
      </c>
      <c r="U15" s="241" t="s">
        <v>5</v>
      </c>
      <c r="V15" s="241" t="s">
        <v>5</v>
      </c>
      <c r="W15" s="241" t="s">
        <v>5</v>
      </c>
      <c r="X15" s="241" t="s">
        <v>5</v>
      </c>
      <c r="Y15" s="215" t="s">
        <v>1046</v>
      </c>
      <c r="Z15" s="318" t="s">
        <v>253</v>
      </c>
      <c r="AA15" s="378">
        <v>93</v>
      </c>
      <c r="AB15" s="63">
        <f t="shared" si="0"/>
        <v>1</v>
      </c>
      <c r="AC15" s="143" t="s">
        <v>184</v>
      </c>
      <c r="AD15" s="77" t="s">
        <v>167</v>
      </c>
      <c r="AE15" s="128" t="s">
        <v>168</v>
      </c>
      <c r="AF15" s="77" t="s">
        <v>977</v>
      </c>
      <c r="AG15" s="77" t="s">
        <v>978</v>
      </c>
      <c r="AH15" s="77" t="s">
        <v>5</v>
      </c>
      <c r="AI15" s="77" t="s">
        <v>5</v>
      </c>
      <c r="AJ15" s="77" t="s">
        <v>5</v>
      </c>
      <c r="AK15" s="77" t="s">
        <v>5</v>
      </c>
      <c r="AL15" s="94" t="s">
        <v>1046</v>
      </c>
      <c r="AM15" s="144" t="s">
        <v>253</v>
      </c>
      <c r="AN15" s="145">
        <v>93</v>
      </c>
      <c r="AP15" s="210" t="str">
        <f t="shared" si="2"/>
        <v/>
      </c>
      <c r="AQ15" s="263"/>
      <c r="AR15" s="210" t="str">
        <f t="shared" si="3"/>
        <v/>
      </c>
      <c r="AS15" s="217"/>
      <c r="AT15" s="210" t="s">
        <v>503</v>
      </c>
      <c r="AU15" s="263"/>
      <c r="AV15" s="217"/>
      <c r="BB15" s="83" t="str">
        <f t="array" ref="BB15">_xlfn.IFS(AQ15="","",LEN(AQ15)-LEN(SUBSTITUTE(AQ15,".",""))=3,LEFT(AQ15,vitri(".",AQ15,3)-1),LEN(AQ15)-LEN(SUBSTITUTE(AQ15,".",""))=2,LEFT(AQ15,vitri(".",AQ15,2)-1),TRUE,LEFT(AQ15,vitri(".",AQ15,1)-1))</f>
        <v/>
      </c>
    </row>
    <row r="16" spans="1:68" ht="16.5" customHeight="1" x14ac:dyDescent="0.25">
      <c r="A16" s="84"/>
      <c r="B16" s="108" t="s">
        <v>184</v>
      </c>
      <c r="C16" s="1" t="s">
        <v>167</v>
      </c>
      <c r="D16" s="159" t="s">
        <v>168</v>
      </c>
      <c r="E16" s="1" t="s">
        <v>979</v>
      </c>
      <c r="F16" s="1" t="s">
        <v>233</v>
      </c>
      <c r="G16" s="1" t="s">
        <v>5</v>
      </c>
      <c r="H16" s="1" t="s">
        <v>5</v>
      </c>
      <c r="I16" s="1" t="s">
        <v>5</v>
      </c>
      <c r="J16" s="1" t="s">
        <v>5</v>
      </c>
      <c r="K16" s="94" t="str">
        <f t="shared" si="1"/>
        <v>F_FID_ELL_02</v>
      </c>
      <c r="L16" s="160" t="s">
        <v>254</v>
      </c>
      <c r="M16" s="377">
        <v>94</v>
      </c>
      <c r="P16" s="297" t="s">
        <v>184</v>
      </c>
      <c r="Q16" s="241" t="s">
        <v>167</v>
      </c>
      <c r="R16" s="317" t="s">
        <v>168</v>
      </c>
      <c r="S16" s="241" t="s">
        <v>979</v>
      </c>
      <c r="T16" s="241" t="s">
        <v>233</v>
      </c>
      <c r="U16" s="241" t="s">
        <v>5</v>
      </c>
      <c r="V16" s="241" t="s">
        <v>5</v>
      </c>
      <c r="W16" s="241" t="s">
        <v>5</v>
      </c>
      <c r="X16" s="241" t="s">
        <v>5</v>
      </c>
      <c r="Y16" s="215" t="s">
        <v>1047</v>
      </c>
      <c r="Z16" s="318" t="s">
        <v>254</v>
      </c>
      <c r="AA16" s="378">
        <v>94</v>
      </c>
      <c r="AB16" s="63">
        <f t="shared" si="0"/>
        <v>2</v>
      </c>
      <c r="AC16" s="143" t="s">
        <v>184</v>
      </c>
      <c r="AD16" s="77" t="s">
        <v>167</v>
      </c>
      <c r="AE16" s="128" t="s">
        <v>168</v>
      </c>
      <c r="AF16" s="77" t="s">
        <v>979</v>
      </c>
      <c r="AG16" s="77" t="s">
        <v>233</v>
      </c>
      <c r="AH16" s="77" t="s">
        <v>5</v>
      </c>
      <c r="AI16" s="77" t="s">
        <v>5</v>
      </c>
      <c r="AJ16" s="77" t="s">
        <v>5</v>
      </c>
      <c r="AK16" s="77" t="s">
        <v>5</v>
      </c>
      <c r="AL16" s="94" t="s">
        <v>1047</v>
      </c>
      <c r="AM16" s="144" t="s">
        <v>254</v>
      </c>
      <c r="AN16" s="145">
        <v>94</v>
      </c>
      <c r="AP16" s="210" t="str">
        <f t="shared" si="2"/>
        <v/>
      </c>
      <c r="AQ16" s="266"/>
      <c r="AR16" s="210" t="str">
        <f t="shared" si="3"/>
        <v/>
      </c>
      <c r="AS16" s="217"/>
      <c r="AT16" s="210" t="s">
        <v>503</v>
      </c>
      <c r="AU16" s="263"/>
      <c r="AV16" s="217"/>
      <c r="BB16" s="83" t="str">
        <f t="array" ref="BB16">_xlfn.IFS(AQ16="","",LEN(AQ16)-LEN(SUBSTITUTE(AQ16,".",""))=3,LEFT(AQ16,vitri(".",AQ16,3)-1),LEN(AQ16)-LEN(SUBSTITUTE(AQ16,".",""))=2,LEFT(AQ16,vitri(".",AQ16,2)-1),TRUE,LEFT(AQ16,vitri(".",AQ16,1)-1))</f>
        <v/>
      </c>
    </row>
    <row r="17" spans="1:54" ht="16.5" customHeight="1" x14ac:dyDescent="0.25">
      <c r="A17" s="84"/>
      <c r="B17" s="108" t="s">
        <v>184</v>
      </c>
      <c r="C17" s="1" t="s">
        <v>167</v>
      </c>
      <c r="D17" s="159" t="s">
        <v>168</v>
      </c>
      <c r="E17" s="1" t="s">
        <v>980</v>
      </c>
      <c r="F17" s="1" t="s">
        <v>981</v>
      </c>
      <c r="G17" s="1" t="s">
        <v>5</v>
      </c>
      <c r="H17" s="1" t="s">
        <v>5</v>
      </c>
      <c r="I17" s="1" t="s">
        <v>5</v>
      </c>
      <c r="J17" s="1" t="s">
        <v>5</v>
      </c>
      <c r="K17" s="94" t="str">
        <f t="shared" si="1"/>
        <v>F_FID_EML_03</v>
      </c>
      <c r="L17" s="160" t="s">
        <v>255</v>
      </c>
      <c r="M17" s="377">
        <v>95</v>
      </c>
      <c r="P17" s="297" t="s">
        <v>184</v>
      </c>
      <c r="Q17" s="241" t="s">
        <v>167</v>
      </c>
      <c r="R17" s="317" t="s">
        <v>168</v>
      </c>
      <c r="S17" s="241" t="s">
        <v>980</v>
      </c>
      <c r="T17" s="241" t="s">
        <v>981</v>
      </c>
      <c r="U17" s="241" t="s">
        <v>5</v>
      </c>
      <c r="V17" s="241" t="s">
        <v>5</v>
      </c>
      <c r="W17" s="241" t="s">
        <v>5</v>
      </c>
      <c r="X17" s="241" t="s">
        <v>5</v>
      </c>
      <c r="Y17" s="215" t="s">
        <v>1048</v>
      </c>
      <c r="Z17" s="318" t="s">
        <v>255</v>
      </c>
      <c r="AA17" s="378">
        <v>95</v>
      </c>
      <c r="AB17" s="63">
        <f t="shared" si="0"/>
        <v>3</v>
      </c>
      <c r="AC17" s="143" t="s">
        <v>184</v>
      </c>
      <c r="AD17" s="77" t="s">
        <v>167</v>
      </c>
      <c r="AE17" s="128" t="s">
        <v>168</v>
      </c>
      <c r="AF17" s="77" t="s">
        <v>980</v>
      </c>
      <c r="AG17" s="77" t="s">
        <v>981</v>
      </c>
      <c r="AH17" s="77" t="s">
        <v>5</v>
      </c>
      <c r="AI17" s="77" t="s">
        <v>5</v>
      </c>
      <c r="AJ17" s="77" t="s">
        <v>5</v>
      </c>
      <c r="AK17" s="77" t="s">
        <v>5</v>
      </c>
      <c r="AL17" s="94" t="s">
        <v>1048</v>
      </c>
      <c r="AM17" s="144" t="s">
        <v>255</v>
      </c>
      <c r="AN17" s="145">
        <v>95</v>
      </c>
      <c r="AP17" s="210" t="str">
        <f t="shared" si="2"/>
        <v/>
      </c>
      <c r="AQ17" s="263"/>
      <c r="AR17" s="210" t="str">
        <f t="shared" si="3"/>
        <v/>
      </c>
      <c r="AS17" s="217"/>
      <c r="AT17" s="210" t="s">
        <v>503</v>
      </c>
      <c r="AU17" s="263"/>
      <c r="AV17" s="217"/>
      <c r="BB17" s="83" t="str">
        <f t="array" ref="BB17">_xlfn.IFS(AQ17="","",LEN(AQ17)-LEN(SUBSTITUTE(AQ17,".",""))=3,LEFT(AQ17,vitri(".",AQ17,3)-1),LEN(AQ17)-LEN(SUBSTITUTE(AQ17,".",""))=2,LEFT(AQ17,vitri(".",AQ17,2)-1),TRUE,LEFT(AQ17,vitri(".",AQ17,1)-1))</f>
        <v/>
      </c>
    </row>
    <row r="18" spans="1:54" ht="16.5" customHeight="1" x14ac:dyDescent="0.25">
      <c r="A18" s="84"/>
      <c r="B18" s="108" t="s">
        <v>184</v>
      </c>
      <c r="C18" s="1" t="s">
        <v>167</v>
      </c>
      <c r="D18" s="159" t="s">
        <v>168</v>
      </c>
      <c r="E18" s="1" t="s">
        <v>388</v>
      </c>
      <c r="F18" s="1" t="s">
        <v>389</v>
      </c>
      <c r="G18" s="1" t="s">
        <v>5</v>
      </c>
      <c r="H18" s="1" t="s">
        <v>5</v>
      </c>
      <c r="I18" s="1" t="s">
        <v>5</v>
      </c>
      <c r="J18" s="1" t="s">
        <v>5</v>
      </c>
      <c r="K18" s="94" t="str">
        <f t="shared" si="1"/>
        <v>F_FID_HSL_04</v>
      </c>
      <c r="L18" s="160" t="s">
        <v>256</v>
      </c>
      <c r="M18" s="377">
        <v>96</v>
      </c>
      <c r="P18" s="297" t="s">
        <v>184</v>
      </c>
      <c r="Q18" s="241" t="s">
        <v>167</v>
      </c>
      <c r="R18" s="317" t="s">
        <v>168</v>
      </c>
      <c r="S18" s="241" t="s">
        <v>388</v>
      </c>
      <c r="T18" s="241" t="s">
        <v>389</v>
      </c>
      <c r="U18" s="241" t="s">
        <v>5</v>
      </c>
      <c r="V18" s="241" t="s">
        <v>5</v>
      </c>
      <c r="W18" s="241" t="s">
        <v>5</v>
      </c>
      <c r="X18" s="241" t="s">
        <v>5</v>
      </c>
      <c r="Y18" s="215" t="s">
        <v>1049</v>
      </c>
      <c r="Z18" s="318" t="s">
        <v>256</v>
      </c>
      <c r="AA18" s="378">
        <v>96</v>
      </c>
      <c r="AB18" s="63">
        <f t="shared" si="0"/>
        <v>4</v>
      </c>
      <c r="AC18" s="143" t="s">
        <v>184</v>
      </c>
      <c r="AD18" s="77" t="s">
        <v>167</v>
      </c>
      <c r="AE18" s="128" t="s">
        <v>168</v>
      </c>
      <c r="AF18" s="77" t="s">
        <v>388</v>
      </c>
      <c r="AG18" s="77" t="s">
        <v>389</v>
      </c>
      <c r="AH18" s="77" t="s">
        <v>5</v>
      </c>
      <c r="AI18" s="77" t="s">
        <v>5</v>
      </c>
      <c r="AJ18" s="77" t="s">
        <v>5</v>
      </c>
      <c r="AK18" s="77" t="s">
        <v>5</v>
      </c>
      <c r="AL18" s="94" t="s">
        <v>1049</v>
      </c>
      <c r="AM18" s="144" t="s">
        <v>256</v>
      </c>
      <c r="AN18" s="145">
        <v>96</v>
      </c>
      <c r="AP18" s="210" t="str">
        <f t="shared" si="2"/>
        <v/>
      </c>
      <c r="AQ18" s="263"/>
      <c r="AR18" s="210" t="str">
        <f t="shared" si="3"/>
        <v/>
      </c>
      <c r="AS18" s="217"/>
      <c r="AT18" s="210" t="s">
        <v>503</v>
      </c>
      <c r="AU18" s="263"/>
      <c r="AV18" s="217"/>
      <c r="BB18" s="83" t="str">
        <f t="array" ref="BB18">_xlfn.IFS(AQ18="","",LEN(AQ18)-LEN(SUBSTITUTE(AQ18,".",""))=3,LEFT(AQ18,vitri(".",AQ18,3)-1),LEN(AQ18)-LEN(SUBSTITUTE(AQ18,".",""))=2,LEFT(AQ18,vitri(".",AQ18,2)-1),TRUE,LEFT(AQ18,vitri(".",AQ18,1)-1))</f>
        <v/>
      </c>
    </row>
    <row r="19" spans="1:54" ht="16.5" customHeight="1" x14ac:dyDescent="0.25">
      <c r="A19" s="84"/>
      <c r="B19" s="108" t="s">
        <v>184</v>
      </c>
      <c r="C19" s="1" t="s">
        <v>167</v>
      </c>
      <c r="D19" s="159" t="s">
        <v>168</v>
      </c>
      <c r="E19" s="1" t="s">
        <v>982</v>
      </c>
      <c r="F19" s="1" t="s">
        <v>983</v>
      </c>
      <c r="G19" s="1" t="s">
        <v>5</v>
      </c>
      <c r="H19" s="1" t="s">
        <v>5</v>
      </c>
      <c r="I19" s="1" t="s">
        <v>5</v>
      </c>
      <c r="J19" s="1" t="s">
        <v>5</v>
      </c>
      <c r="K19" s="94" t="str">
        <f t="shared" si="1"/>
        <v>F_FID_MBP_05</v>
      </c>
      <c r="L19" s="160" t="s">
        <v>257</v>
      </c>
      <c r="M19" s="377">
        <v>97</v>
      </c>
      <c r="P19" s="297" t="s">
        <v>184</v>
      </c>
      <c r="Q19" s="241" t="s">
        <v>167</v>
      </c>
      <c r="R19" s="317" t="s">
        <v>168</v>
      </c>
      <c r="S19" s="241" t="s">
        <v>982</v>
      </c>
      <c r="T19" s="241" t="s">
        <v>983</v>
      </c>
      <c r="U19" s="241" t="s">
        <v>5</v>
      </c>
      <c r="V19" s="241" t="s">
        <v>5</v>
      </c>
      <c r="W19" s="241" t="s">
        <v>5</v>
      </c>
      <c r="X19" s="241" t="s">
        <v>5</v>
      </c>
      <c r="Y19" s="215" t="s">
        <v>1050</v>
      </c>
      <c r="Z19" s="318" t="s">
        <v>257</v>
      </c>
      <c r="AA19" s="378">
        <v>97</v>
      </c>
      <c r="AB19" s="63">
        <f t="shared" si="0"/>
        <v>5</v>
      </c>
      <c r="AC19" s="143" t="s">
        <v>184</v>
      </c>
      <c r="AD19" s="77" t="s">
        <v>167</v>
      </c>
      <c r="AE19" s="128" t="s">
        <v>168</v>
      </c>
      <c r="AF19" s="77" t="s">
        <v>982</v>
      </c>
      <c r="AG19" s="77" t="s">
        <v>983</v>
      </c>
      <c r="AH19" s="77" t="s">
        <v>5</v>
      </c>
      <c r="AI19" s="77" t="s">
        <v>5</v>
      </c>
      <c r="AJ19" s="77" t="s">
        <v>5</v>
      </c>
      <c r="AK19" s="77" t="s">
        <v>5</v>
      </c>
      <c r="AL19" s="94" t="s">
        <v>1050</v>
      </c>
      <c r="AM19" s="144" t="s">
        <v>257</v>
      </c>
      <c r="AN19" s="145">
        <v>97</v>
      </c>
      <c r="AP19" s="210" t="str">
        <f t="shared" si="2"/>
        <v/>
      </c>
      <c r="AQ19" s="263"/>
      <c r="AR19" s="210" t="str">
        <f t="shared" si="3"/>
        <v/>
      </c>
      <c r="AS19" s="217"/>
      <c r="AT19" s="210" t="s">
        <v>503</v>
      </c>
      <c r="AU19" s="263"/>
      <c r="AV19" s="217"/>
      <c r="BB19" s="83" t="str">
        <f t="array" ref="BB19">_xlfn.IFS(AQ19="","",LEN(AQ19)-LEN(SUBSTITUTE(AQ19,".",""))=3,LEFT(AQ19,vitri(".",AQ19,3)-1),LEN(AQ19)-LEN(SUBSTITUTE(AQ19,".",""))=2,LEFT(AQ19,vitri(".",AQ19,2)-1),TRUE,LEFT(AQ19,vitri(".",AQ19,1)-1))</f>
        <v/>
      </c>
    </row>
    <row r="20" spans="1:54" ht="16.5" customHeight="1" x14ac:dyDescent="0.25">
      <c r="A20" s="84"/>
      <c r="B20" s="108" t="s">
        <v>184</v>
      </c>
      <c r="C20" s="1" t="s">
        <v>62</v>
      </c>
      <c r="D20" s="159" t="s">
        <v>123</v>
      </c>
      <c r="E20" s="1" t="s">
        <v>984</v>
      </c>
      <c r="F20" s="1" t="s">
        <v>985</v>
      </c>
      <c r="G20" s="1" t="s">
        <v>986</v>
      </c>
      <c r="H20" s="1" t="s">
        <v>987</v>
      </c>
      <c r="I20" s="1" t="s">
        <v>5</v>
      </c>
      <c r="J20" s="1" t="s">
        <v>5</v>
      </c>
      <c r="K20" s="94" t="str">
        <f t="shared" si="1"/>
        <v>F_MEQ_BFP_6KG_03</v>
      </c>
      <c r="L20" s="160" t="s">
        <v>255</v>
      </c>
      <c r="M20" s="377">
        <v>76</v>
      </c>
      <c r="P20" s="297" t="s">
        <v>184</v>
      </c>
      <c r="Q20" s="241" t="s">
        <v>62</v>
      </c>
      <c r="R20" s="317" t="s">
        <v>123</v>
      </c>
      <c r="S20" s="241" t="s">
        <v>984</v>
      </c>
      <c r="T20" s="241" t="s">
        <v>985</v>
      </c>
      <c r="U20" s="241" t="s">
        <v>986</v>
      </c>
      <c r="V20" s="241" t="s">
        <v>987</v>
      </c>
      <c r="W20" s="241" t="s">
        <v>5</v>
      </c>
      <c r="X20" s="241" t="s">
        <v>5</v>
      </c>
      <c r="Y20" s="215" t="s">
        <v>1051</v>
      </c>
      <c r="Z20" s="318" t="s">
        <v>255</v>
      </c>
      <c r="AA20" s="378">
        <v>76</v>
      </c>
      <c r="AB20" s="63">
        <f t="shared" si="0"/>
        <v>3</v>
      </c>
      <c r="AC20" s="143" t="s">
        <v>184</v>
      </c>
      <c r="AD20" s="77" t="s">
        <v>62</v>
      </c>
      <c r="AE20" s="128" t="s">
        <v>123</v>
      </c>
      <c r="AF20" s="77" t="s">
        <v>984</v>
      </c>
      <c r="AG20" s="77" t="s">
        <v>985</v>
      </c>
      <c r="AH20" s="77" t="s">
        <v>986</v>
      </c>
      <c r="AI20" s="77" t="s">
        <v>987</v>
      </c>
      <c r="AJ20" s="77" t="s">
        <v>5</v>
      </c>
      <c r="AK20" s="77" t="s">
        <v>5</v>
      </c>
      <c r="AL20" s="94" t="s">
        <v>1051</v>
      </c>
      <c r="AM20" s="144" t="s">
        <v>255</v>
      </c>
      <c r="AN20" s="145">
        <v>76</v>
      </c>
      <c r="AP20" s="210" t="str">
        <f t="shared" si="2"/>
        <v/>
      </c>
      <c r="AQ20" s="263"/>
      <c r="AR20" s="210" t="str">
        <f t="shared" si="3"/>
        <v/>
      </c>
      <c r="AS20" s="217"/>
      <c r="AT20" s="210" t="s">
        <v>503</v>
      </c>
      <c r="AU20" s="263"/>
      <c r="AV20" s="217"/>
      <c r="BB20" s="83" t="str">
        <f t="array" ref="BB20">_xlfn.IFS(AQ20="","",LEN(AQ20)-LEN(SUBSTITUTE(AQ20,".",""))=3,LEFT(AQ20,vitri(".",AQ20,3)-1),LEN(AQ20)-LEN(SUBSTITUTE(AQ20,".",""))=2,LEFT(AQ20,vitri(".",AQ20,2)-1),TRUE,LEFT(AQ20,vitri(".",AQ20,1)-1))</f>
        <v/>
      </c>
    </row>
    <row r="21" spans="1:54" ht="16.5" customHeight="1" x14ac:dyDescent="0.25">
      <c r="A21" s="84"/>
      <c r="B21" s="108" t="s">
        <v>184</v>
      </c>
      <c r="C21" s="1" t="s">
        <v>62</v>
      </c>
      <c r="D21" s="159" t="s">
        <v>123</v>
      </c>
      <c r="E21" s="1" t="s">
        <v>344</v>
      </c>
      <c r="F21" s="1" t="s">
        <v>345</v>
      </c>
      <c r="G21" s="1" t="s">
        <v>988</v>
      </c>
      <c r="H21" s="1" t="s">
        <v>988</v>
      </c>
      <c r="I21" s="1" t="s">
        <v>5</v>
      </c>
      <c r="J21" s="1" t="s">
        <v>5</v>
      </c>
      <c r="K21" s="204" t="str">
        <f t="shared" si="1"/>
        <v>F_MEQ_FHRC_800x1300x250_02</v>
      </c>
      <c r="L21" s="160" t="s">
        <v>254</v>
      </c>
      <c r="M21" s="377">
        <v>74</v>
      </c>
      <c r="P21" s="297" t="s">
        <v>184</v>
      </c>
      <c r="Q21" s="241" t="s">
        <v>62</v>
      </c>
      <c r="R21" s="317" t="s">
        <v>123</v>
      </c>
      <c r="S21" s="241" t="s">
        <v>344</v>
      </c>
      <c r="T21" s="241" t="s">
        <v>345</v>
      </c>
      <c r="U21" s="241" t="s">
        <v>988</v>
      </c>
      <c r="V21" s="241" t="s">
        <v>988</v>
      </c>
      <c r="W21" s="241" t="s">
        <v>5</v>
      </c>
      <c r="X21" s="241" t="s">
        <v>5</v>
      </c>
      <c r="Y21" s="257" t="s">
        <v>1052</v>
      </c>
      <c r="Z21" s="318" t="s">
        <v>254</v>
      </c>
      <c r="AA21" s="378">
        <v>74</v>
      </c>
      <c r="AB21" s="63">
        <f t="shared" si="0"/>
        <v>2</v>
      </c>
      <c r="AC21" s="143" t="s">
        <v>184</v>
      </c>
      <c r="AD21" s="77" t="s">
        <v>62</v>
      </c>
      <c r="AE21" s="128" t="s">
        <v>123</v>
      </c>
      <c r="AF21" s="77" t="s">
        <v>344</v>
      </c>
      <c r="AG21" s="77" t="s">
        <v>345</v>
      </c>
      <c r="AH21" s="77" t="s">
        <v>988</v>
      </c>
      <c r="AI21" s="77" t="s">
        <v>988</v>
      </c>
      <c r="AJ21" s="77" t="s">
        <v>5</v>
      </c>
      <c r="AK21" s="77" t="s">
        <v>5</v>
      </c>
      <c r="AL21" s="94" t="s">
        <v>1052</v>
      </c>
      <c r="AM21" s="144" t="s">
        <v>254</v>
      </c>
      <c r="AN21" s="145">
        <v>74</v>
      </c>
      <c r="AP21" s="210" t="str">
        <f t="shared" si="2"/>
        <v/>
      </c>
      <c r="AQ21" s="266"/>
      <c r="AR21" s="210" t="str">
        <f t="shared" si="3"/>
        <v/>
      </c>
      <c r="AS21" s="217"/>
      <c r="AT21" s="210" t="s">
        <v>503</v>
      </c>
      <c r="AU21" s="263"/>
      <c r="AV21" s="217"/>
      <c r="BB21" s="83" t="str">
        <f t="array" ref="BB21">_xlfn.IFS(AQ21="","",LEN(AQ21)-LEN(SUBSTITUTE(AQ21,".",""))=3,LEFT(AQ21,vitri(".",AQ21,3)-1),LEN(AQ21)-LEN(SUBSTITUTE(AQ21,".",""))=2,LEFT(AQ21,vitri(".",AQ21,2)-1),TRUE,LEFT(AQ21,vitri(".",AQ21,1)-1))</f>
        <v/>
      </c>
    </row>
    <row r="22" spans="1:54" ht="16.5" customHeight="1" x14ac:dyDescent="0.25">
      <c r="A22" s="84"/>
      <c r="B22" s="108" t="s">
        <v>184</v>
      </c>
      <c r="C22" s="1" t="s">
        <v>62</v>
      </c>
      <c r="D22" s="159" t="s">
        <v>123</v>
      </c>
      <c r="E22" s="1" t="s">
        <v>334</v>
      </c>
      <c r="F22" s="1" t="s">
        <v>335</v>
      </c>
      <c r="G22" s="1" t="s">
        <v>866</v>
      </c>
      <c r="H22" s="1" t="s">
        <v>866</v>
      </c>
      <c r="I22" s="1" t="s">
        <v>989</v>
      </c>
      <c r="J22" s="1" t="s">
        <v>224</v>
      </c>
      <c r="K22" s="204" t="str">
        <f t="shared" si="1"/>
        <v>F_MEQ_PFX_ABC_CAB_01</v>
      </c>
      <c r="L22" s="160" t="s">
        <v>253</v>
      </c>
      <c r="M22" s="377">
        <v>75</v>
      </c>
      <c r="P22" s="297" t="s">
        <v>184</v>
      </c>
      <c r="Q22" s="241" t="s">
        <v>62</v>
      </c>
      <c r="R22" s="317" t="s">
        <v>123</v>
      </c>
      <c r="S22" s="241" t="s">
        <v>334</v>
      </c>
      <c r="T22" s="241" t="s">
        <v>335</v>
      </c>
      <c r="U22" s="241" t="s">
        <v>866</v>
      </c>
      <c r="V22" s="241" t="s">
        <v>866</v>
      </c>
      <c r="W22" s="241" t="s">
        <v>989</v>
      </c>
      <c r="X22" s="241" t="s">
        <v>224</v>
      </c>
      <c r="Y22" s="257" t="s">
        <v>1053</v>
      </c>
      <c r="Z22" s="318" t="s">
        <v>253</v>
      </c>
      <c r="AA22" s="378">
        <v>75</v>
      </c>
      <c r="AB22" s="63">
        <f t="shared" si="0"/>
        <v>1</v>
      </c>
      <c r="AC22" s="143" t="s">
        <v>184</v>
      </c>
      <c r="AD22" s="77" t="s">
        <v>62</v>
      </c>
      <c r="AE22" s="128" t="s">
        <v>123</v>
      </c>
      <c r="AF22" s="77" t="s">
        <v>334</v>
      </c>
      <c r="AG22" s="77" t="s">
        <v>335</v>
      </c>
      <c r="AH22" s="77" t="s">
        <v>866</v>
      </c>
      <c r="AI22" s="77" t="s">
        <v>866</v>
      </c>
      <c r="AJ22" s="77" t="s">
        <v>989</v>
      </c>
      <c r="AK22" s="77" t="s">
        <v>224</v>
      </c>
      <c r="AL22" s="94" t="s">
        <v>1053</v>
      </c>
      <c r="AM22" s="144" t="s">
        <v>253</v>
      </c>
      <c r="AN22" s="145">
        <v>75</v>
      </c>
      <c r="AP22" s="210" t="str">
        <f t="shared" si="2"/>
        <v/>
      </c>
      <c r="AQ22" s="263"/>
      <c r="AR22" s="210" t="str">
        <f t="shared" si="3"/>
        <v/>
      </c>
      <c r="AS22" s="217"/>
      <c r="AT22" s="210" t="s">
        <v>503</v>
      </c>
      <c r="AU22" s="263"/>
      <c r="AV22" s="217"/>
      <c r="BB22" s="83" t="str">
        <f t="array" ref="BB22">_xlfn.IFS(AQ22="","",LEN(AQ22)-LEN(SUBSTITUTE(AQ22,".",""))=3,LEFT(AQ22,vitri(".",AQ22,3)-1),LEN(AQ22)-LEN(SUBSTITUTE(AQ22,".",""))=2,LEFT(AQ22,vitri(".",AQ22,2)-1),TRUE,LEFT(AQ22,vitri(".",AQ22,1)-1))</f>
        <v/>
      </c>
    </row>
    <row r="23" spans="1:54" ht="16.5" customHeight="1" x14ac:dyDescent="0.25">
      <c r="B23" s="108" t="s">
        <v>184</v>
      </c>
      <c r="C23" s="1" t="s">
        <v>62</v>
      </c>
      <c r="D23" s="159" t="s">
        <v>123</v>
      </c>
      <c r="E23" s="1" t="s">
        <v>990</v>
      </c>
      <c r="F23" s="1" t="s">
        <v>991</v>
      </c>
      <c r="G23" s="1" t="s">
        <v>705</v>
      </c>
      <c r="H23" s="1" t="s">
        <v>705</v>
      </c>
      <c r="I23" s="1" t="s">
        <v>992</v>
      </c>
      <c r="J23" s="1">
        <v>1</v>
      </c>
      <c r="K23" s="204" t="str">
        <f t="shared" si="1"/>
        <v>F_MEQ_PUM_CEN_1_07</v>
      </c>
      <c r="L23" s="160" t="s">
        <v>259</v>
      </c>
      <c r="M23" s="377">
        <v>80</v>
      </c>
      <c r="P23" s="297" t="s">
        <v>184</v>
      </c>
      <c r="Q23" s="241" t="s">
        <v>62</v>
      </c>
      <c r="R23" s="317" t="s">
        <v>123</v>
      </c>
      <c r="S23" s="241" t="s">
        <v>990</v>
      </c>
      <c r="T23" s="241" t="s">
        <v>991</v>
      </c>
      <c r="U23" s="241" t="s">
        <v>705</v>
      </c>
      <c r="V23" s="241" t="s">
        <v>705</v>
      </c>
      <c r="W23" s="241" t="s">
        <v>992</v>
      </c>
      <c r="X23" s="241">
        <v>1</v>
      </c>
      <c r="Y23" s="257" t="s">
        <v>1054</v>
      </c>
      <c r="Z23" s="318" t="s">
        <v>259</v>
      </c>
      <c r="AA23" s="378">
        <v>80</v>
      </c>
      <c r="AB23" s="63">
        <f t="shared" si="0"/>
        <v>7</v>
      </c>
      <c r="AC23" s="143" t="s">
        <v>184</v>
      </c>
      <c r="AD23" s="77" t="s">
        <v>62</v>
      </c>
      <c r="AE23" s="128" t="s">
        <v>123</v>
      </c>
      <c r="AF23" s="77" t="s">
        <v>990</v>
      </c>
      <c r="AG23" s="77" t="s">
        <v>991</v>
      </c>
      <c r="AH23" s="77" t="s">
        <v>705</v>
      </c>
      <c r="AI23" s="77" t="s">
        <v>705</v>
      </c>
      <c r="AJ23" s="77" t="s">
        <v>992</v>
      </c>
      <c r="AK23" s="77">
        <v>1</v>
      </c>
      <c r="AL23" s="94" t="s">
        <v>1054</v>
      </c>
      <c r="AM23" s="144" t="s">
        <v>259</v>
      </c>
      <c r="AN23" s="145">
        <v>80</v>
      </c>
      <c r="AP23" s="210" t="str">
        <f t="shared" si="2"/>
        <v/>
      </c>
      <c r="AQ23" s="266"/>
      <c r="AR23" s="210" t="str">
        <f t="shared" si="3"/>
        <v/>
      </c>
      <c r="AS23" s="217"/>
      <c r="AT23" s="210" t="s">
        <v>503</v>
      </c>
      <c r="AU23" s="263"/>
      <c r="AV23" s="217"/>
      <c r="BB23" s="83" t="str">
        <f t="array" ref="BB23">_xlfn.IFS(AQ23="","",LEN(AQ23)-LEN(SUBSTITUTE(AQ23,".",""))=3,LEFT(AQ23,vitri(".",AQ23,3)-1),LEN(AQ23)-LEN(SUBSTITUTE(AQ23,".",""))=2,LEFT(AQ23,vitri(".",AQ23,2)-1),TRUE,LEFT(AQ23,vitri(".",AQ23,1)-1))</f>
        <v/>
      </c>
    </row>
    <row r="24" spans="1:54" ht="16.5" customHeight="1" x14ac:dyDescent="0.25">
      <c r="A24" s="84"/>
      <c r="B24" s="108" t="s">
        <v>184</v>
      </c>
      <c r="C24" s="1" t="s">
        <v>62</v>
      </c>
      <c r="D24" s="159" t="s">
        <v>123</v>
      </c>
      <c r="E24" s="1" t="s">
        <v>990</v>
      </c>
      <c r="F24" s="1" t="s">
        <v>991</v>
      </c>
      <c r="G24" s="1" t="s">
        <v>705</v>
      </c>
      <c r="H24" s="1" t="s">
        <v>705</v>
      </c>
      <c r="I24" s="1" t="s">
        <v>993</v>
      </c>
      <c r="J24" s="1">
        <v>2</v>
      </c>
      <c r="K24" s="204" t="str">
        <f t="shared" si="1"/>
        <v>F_MEQ_PUM_CEN_2_08</v>
      </c>
      <c r="L24" s="160" t="s">
        <v>260</v>
      </c>
      <c r="M24" s="377">
        <v>81</v>
      </c>
      <c r="P24" s="297" t="s">
        <v>184</v>
      </c>
      <c r="Q24" s="241" t="s">
        <v>62</v>
      </c>
      <c r="R24" s="317" t="s">
        <v>123</v>
      </c>
      <c r="S24" s="241" t="s">
        <v>990</v>
      </c>
      <c r="T24" s="241" t="s">
        <v>991</v>
      </c>
      <c r="U24" s="241" t="s">
        <v>705</v>
      </c>
      <c r="V24" s="241" t="s">
        <v>705</v>
      </c>
      <c r="W24" s="241" t="s">
        <v>993</v>
      </c>
      <c r="X24" s="241">
        <v>2</v>
      </c>
      <c r="Y24" s="257" t="s">
        <v>1055</v>
      </c>
      <c r="Z24" s="318" t="s">
        <v>260</v>
      </c>
      <c r="AA24" s="378">
        <v>81</v>
      </c>
      <c r="AB24" s="63">
        <f t="shared" si="0"/>
        <v>8</v>
      </c>
      <c r="AC24" s="143" t="s">
        <v>184</v>
      </c>
      <c r="AD24" s="77" t="s">
        <v>62</v>
      </c>
      <c r="AE24" s="128" t="s">
        <v>123</v>
      </c>
      <c r="AF24" s="77" t="s">
        <v>990</v>
      </c>
      <c r="AG24" s="77" t="s">
        <v>991</v>
      </c>
      <c r="AH24" s="77" t="s">
        <v>705</v>
      </c>
      <c r="AI24" s="77" t="s">
        <v>705</v>
      </c>
      <c r="AJ24" s="77" t="s">
        <v>993</v>
      </c>
      <c r="AK24" s="77">
        <v>2</v>
      </c>
      <c r="AL24" s="94" t="s">
        <v>1055</v>
      </c>
      <c r="AM24" s="144" t="s">
        <v>260</v>
      </c>
      <c r="AN24" s="145">
        <v>81</v>
      </c>
      <c r="AP24" s="210" t="str">
        <f t="shared" si="2"/>
        <v/>
      </c>
      <c r="AQ24" s="263"/>
      <c r="AR24" s="210" t="str">
        <f t="shared" si="3"/>
        <v/>
      </c>
      <c r="AS24" s="217"/>
      <c r="AT24" s="210" t="s">
        <v>503</v>
      </c>
      <c r="AU24" s="263"/>
      <c r="AV24" s="217"/>
      <c r="BB24" s="83" t="str">
        <f t="array" ref="BB24">_xlfn.IFS(AQ24="","",LEN(AQ24)-LEN(SUBSTITUTE(AQ24,".",""))=3,LEFT(AQ24,vitri(".",AQ24,3)-1),LEN(AQ24)-LEN(SUBSTITUTE(AQ24,".",""))=2,LEFT(AQ24,vitri(".",AQ24,2)-1),TRUE,LEFT(AQ24,vitri(".",AQ24,1)-1))</f>
        <v/>
      </c>
    </row>
    <row r="25" spans="1:54" ht="16.5" customHeight="1" x14ac:dyDescent="0.25">
      <c r="A25" s="84"/>
      <c r="B25" s="108" t="s">
        <v>184</v>
      </c>
      <c r="C25" s="1" t="s">
        <v>62</v>
      </c>
      <c r="D25" s="159" t="s">
        <v>123</v>
      </c>
      <c r="E25" s="1" t="s">
        <v>990</v>
      </c>
      <c r="F25" s="1" t="s">
        <v>991</v>
      </c>
      <c r="G25" s="1" t="s">
        <v>994</v>
      </c>
      <c r="H25" s="1" t="s">
        <v>995</v>
      </c>
      <c r="I25" s="1" t="s">
        <v>5</v>
      </c>
      <c r="J25" s="1" t="s">
        <v>5</v>
      </c>
      <c r="K25" s="94" t="str">
        <f t="shared" si="1"/>
        <v>F_MEQ_PUM_EBA_09</v>
      </c>
      <c r="L25" s="160" t="s">
        <v>261</v>
      </c>
      <c r="M25" s="377">
        <v>82</v>
      </c>
      <c r="P25" s="297" t="s">
        <v>184</v>
      </c>
      <c r="Q25" s="241" t="s">
        <v>62</v>
      </c>
      <c r="R25" s="317" t="s">
        <v>123</v>
      </c>
      <c r="S25" s="241" t="s">
        <v>990</v>
      </c>
      <c r="T25" s="241" t="s">
        <v>991</v>
      </c>
      <c r="U25" s="241" t="s">
        <v>994</v>
      </c>
      <c r="V25" s="241" t="s">
        <v>995</v>
      </c>
      <c r="W25" s="241" t="s">
        <v>5</v>
      </c>
      <c r="X25" s="241" t="s">
        <v>5</v>
      </c>
      <c r="Y25" s="215" t="s">
        <v>1056</v>
      </c>
      <c r="Z25" s="318" t="s">
        <v>261</v>
      </c>
      <c r="AA25" s="378">
        <v>82</v>
      </c>
      <c r="AB25" s="63">
        <f t="shared" si="0"/>
        <v>9</v>
      </c>
      <c r="AC25" s="143" t="s">
        <v>184</v>
      </c>
      <c r="AD25" s="77" t="s">
        <v>62</v>
      </c>
      <c r="AE25" s="128" t="s">
        <v>123</v>
      </c>
      <c r="AF25" s="77" t="s">
        <v>990</v>
      </c>
      <c r="AG25" s="77" t="s">
        <v>991</v>
      </c>
      <c r="AH25" s="77" t="s">
        <v>994</v>
      </c>
      <c r="AI25" s="77" t="s">
        <v>995</v>
      </c>
      <c r="AJ25" s="77" t="s">
        <v>5</v>
      </c>
      <c r="AK25" s="77" t="s">
        <v>5</v>
      </c>
      <c r="AL25" s="94" t="s">
        <v>1056</v>
      </c>
      <c r="AM25" s="144" t="s">
        <v>261</v>
      </c>
      <c r="AN25" s="145">
        <v>82</v>
      </c>
      <c r="AP25" s="210" t="str">
        <f t="shared" si="2"/>
        <v/>
      </c>
      <c r="AQ25" s="263"/>
      <c r="AR25" s="210" t="str">
        <f t="shared" si="3"/>
        <v/>
      </c>
      <c r="AS25" s="217"/>
      <c r="AT25" s="210" t="s">
        <v>503</v>
      </c>
      <c r="AU25" s="263"/>
      <c r="AV25" s="217"/>
      <c r="BB25" s="83" t="str">
        <f t="array" ref="BB25">_xlfn.IFS(AQ25="","",LEN(AQ25)-LEN(SUBSTITUTE(AQ25,".",""))=3,LEFT(AQ25,vitri(".",AQ25,3)-1),LEN(AQ25)-LEN(SUBSTITUTE(AQ25,".",""))=2,LEFT(AQ25,vitri(".",AQ25,2)-1),TRUE,LEFT(AQ25,vitri(".",AQ25,1)-1))</f>
        <v/>
      </c>
    </row>
    <row r="26" spans="1:54" ht="16.5" customHeight="1" x14ac:dyDescent="0.25">
      <c r="A26" s="84"/>
      <c r="B26" s="108" t="s">
        <v>184</v>
      </c>
      <c r="C26" s="1" t="s">
        <v>62</v>
      </c>
      <c r="D26" s="159" t="s">
        <v>123</v>
      </c>
      <c r="E26" s="1" t="s">
        <v>990</v>
      </c>
      <c r="F26" s="1" t="s">
        <v>991</v>
      </c>
      <c r="G26" s="1" t="s">
        <v>994</v>
      </c>
      <c r="H26" s="1" t="s">
        <v>995</v>
      </c>
      <c r="I26" s="1" t="s">
        <v>996</v>
      </c>
      <c r="J26" s="1" t="s">
        <v>997</v>
      </c>
      <c r="K26" s="94" t="str">
        <f t="shared" si="1"/>
        <v>F_MEQ_PUM_EBA_VER_10</v>
      </c>
      <c r="L26" s="160" t="s">
        <v>262</v>
      </c>
      <c r="M26" s="377">
        <v>83</v>
      </c>
      <c r="P26" s="297" t="s">
        <v>184</v>
      </c>
      <c r="Q26" s="241" t="s">
        <v>62</v>
      </c>
      <c r="R26" s="317" t="s">
        <v>123</v>
      </c>
      <c r="S26" s="241" t="s">
        <v>990</v>
      </c>
      <c r="T26" s="241" t="s">
        <v>991</v>
      </c>
      <c r="U26" s="241" t="s">
        <v>994</v>
      </c>
      <c r="V26" s="241" t="s">
        <v>995</v>
      </c>
      <c r="W26" s="241" t="s">
        <v>996</v>
      </c>
      <c r="X26" s="241" t="s">
        <v>997</v>
      </c>
      <c r="Y26" s="215" t="s">
        <v>1057</v>
      </c>
      <c r="Z26" s="318" t="s">
        <v>262</v>
      </c>
      <c r="AA26" s="378">
        <v>83</v>
      </c>
      <c r="AB26" s="63">
        <f t="shared" si="0"/>
        <v>10</v>
      </c>
      <c r="AC26" s="143" t="s">
        <v>184</v>
      </c>
      <c r="AD26" s="77" t="s">
        <v>62</v>
      </c>
      <c r="AE26" s="128" t="s">
        <v>123</v>
      </c>
      <c r="AF26" s="77" t="s">
        <v>990</v>
      </c>
      <c r="AG26" s="77" t="s">
        <v>991</v>
      </c>
      <c r="AH26" s="77" t="s">
        <v>994</v>
      </c>
      <c r="AI26" s="77" t="s">
        <v>995</v>
      </c>
      <c r="AJ26" s="77" t="s">
        <v>996</v>
      </c>
      <c r="AK26" s="77" t="s">
        <v>997</v>
      </c>
      <c r="AL26" s="94" t="s">
        <v>1057</v>
      </c>
      <c r="AM26" s="144" t="s">
        <v>262</v>
      </c>
      <c r="AN26" s="145">
        <v>83</v>
      </c>
      <c r="AP26" s="210" t="str">
        <f t="shared" si="2"/>
        <v/>
      </c>
      <c r="AQ26" s="263"/>
      <c r="AR26" s="210" t="str">
        <f t="shared" si="3"/>
        <v/>
      </c>
      <c r="AS26" s="217"/>
      <c r="AT26" s="210" t="s">
        <v>503</v>
      </c>
      <c r="AU26" s="263"/>
      <c r="AV26" s="217"/>
      <c r="BB26" s="83" t="str">
        <f t="array" ref="BB26">_xlfn.IFS(AQ26="","",LEN(AQ26)-LEN(SUBSTITUTE(AQ26,".",""))=3,LEFT(AQ26,vitri(".",AQ26,3)-1),LEN(AQ26)-LEN(SUBSTITUTE(AQ26,".",""))=2,LEFT(AQ26,vitri(".",AQ26,2)-1),TRUE,LEFT(AQ26,vitri(".",AQ26,1)-1))</f>
        <v/>
      </c>
    </row>
    <row r="27" spans="1:54" ht="16.5" customHeight="1" x14ac:dyDescent="0.25">
      <c r="A27" s="84"/>
      <c r="B27" s="108" t="s">
        <v>184</v>
      </c>
      <c r="C27" s="1" t="s">
        <v>62</v>
      </c>
      <c r="D27" s="159" t="s">
        <v>123</v>
      </c>
      <c r="E27" s="1" t="s">
        <v>990</v>
      </c>
      <c r="F27" s="1" t="s">
        <v>991</v>
      </c>
      <c r="G27" s="1" t="s">
        <v>996</v>
      </c>
      <c r="H27" s="1" t="s">
        <v>997</v>
      </c>
      <c r="I27" s="1" t="s">
        <v>5</v>
      </c>
      <c r="J27" s="1" t="s">
        <v>5</v>
      </c>
      <c r="K27" s="94" t="str">
        <f t="shared" si="1"/>
        <v>F_MEQ_PUM_VER_11</v>
      </c>
      <c r="L27" s="160" t="s">
        <v>263</v>
      </c>
      <c r="M27" s="377">
        <v>84</v>
      </c>
      <c r="P27" s="297" t="s">
        <v>184</v>
      </c>
      <c r="Q27" s="241" t="s">
        <v>62</v>
      </c>
      <c r="R27" s="317" t="s">
        <v>123</v>
      </c>
      <c r="S27" s="241" t="s">
        <v>990</v>
      </c>
      <c r="T27" s="241" t="s">
        <v>991</v>
      </c>
      <c r="U27" s="241" t="s">
        <v>996</v>
      </c>
      <c r="V27" s="241" t="s">
        <v>997</v>
      </c>
      <c r="W27" s="241" t="s">
        <v>5</v>
      </c>
      <c r="X27" s="241" t="s">
        <v>5</v>
      </c>
      <c r="Y27" s="215" t="s">
        <v>1058</v>
      </c>
      <c r="Z27" s="318" t="s">
        <v>263</v>
      </c>
      <c r="AA27" s="378">
        <v>84</v>
      </c>
      <c r="AB27" s="63">
        <f t="shared" si="0"/>
        <v>11</v>
      </c>
      <c r="AC27" s="143" t="s">
        <v>184</v>
      </c>
      <c r="AD27" s="77" t="s">
        <v>62</v>
      </c>
      <c r="AE27" s="128" t="s">
        <v>123</v>
      </c>
      <c r="AF27" s="77" t="s">
        <v>990</v>
      </c>
      <c r="AG27" s="77" t="s">
        <v>991</v>
      </c>
      <c r="AH27" s="77" t="s">
        <v>996</v>
      </c>
      <c r="AI27" s="77" t="s">
        <v>997</v>
      </c>
      <c r="AJ27" s="77" t="s">
        <v>5</v>
      </c>
      <c r="AK27" s="77" t="s">
        <v>5</v>
      </c>
      <c r="AL27" s="94" t="s">
        <v>1058</v>
      </c>
      <c r="AM27" s="144" t="s">
        <v>263</v>
      </c>
      <c r="AN27" s="145">
        <v>84</v>
      </c>
      <c r="AP27" s="210" t="str">
        <f t="shared" si="2"/>
        <v/>
      </c>
      <c r="AQ27" s="263"/>
      <c r="AR27" s="210" t="str">
        <f t="shared" si="3"/>
        <v/>
      </c>
      <c r="AS27" s="217"/>
      <c r="AT27" s="210" t="s">
        <v>503</v>
      </c>
      <c r="AU27" s="263"/>
      <c r="AV27" s="217"/>
      <c r="BB27" s="83" t="str">
        <f t="array" ref="BB27">_xlfn.IFS(AQ27="","",LEN(AQ27)-LEN(SUBSTITUTE(AQ27,".",""))=3,LEFT(AQ27,vitri(".",AQ27,3)-1),LEN(AQ27)-LEN(SUBSTITUTE(AQ27,".",""))=2,LEFT(AQ27,vitri(".",AQ27,2)-1),TRUE,LEFT(AQ27,vitri(".",AQ27,1)-1))</f>
        <v/>
      </c>
    </row>
    <row r="28" spans="1:54" ht="16.5" customHeight="1" x14ac:dyDescent="0.25">
      <c r="A28" s="84"/>
      <c r="B28" s="108" t="s">
        <v>184</v>
      </c>
      <c r="C28" s="1" t="s">
        <v>62</v>
      </c>
      <c r="D28" s="159" t="s">
        <v>123</v>
      </c>
      <c r="E28" s="1" t="s">
        <v>998</v>
      </c>
      <c r="F28" s="1" t="s">
        <v>999</v>
      </c>
      <c r="G28" s="1" t="s">
        <v>1000</v>
      </c>
      <c r="H28" s="1" t="s">
        <v>1001</v>
      </c>
      <c r="I28" s="1" t="s">
        <v>5</v>
      </c>
      <c r="J28" s="1" t="s">
        <v>5</v>
      </c>
      <c r="K28" s="94" t="str">
        <f t="shared" si="1"/>
        <v>F_MEQ_SFH_2GA_05</v>
      </c>
      <c r="L28" s="160" t="s">
        <v>257</v>
      </c>
      <c r="M28" s="377">
        <v>78</v>
      </c>
      <c r="P28" s="297" t="s">
        <v>184</v>
      </c>
      <c r="Q28" s="241" t="s">
        <v>62</v>
      </c>
      <c r="R28" s="317" t="s">
        <v>123</v>
      </c>
      <c r="S28" s="241" t="s">
        <v>998</v>
      </c>
      <c r="T28" s="241" t="s">
        <v>999</v>
      </c>
      <c r="U28" s="241" t="s">
        <v>1000</v>
      </c>
      <c r="V28" s="241" t="s">
        <v>1001</v>
      </c>
      <c r="W28" s="241" t="s">
        <v>5</v>
      </c>
      <c r="X28" s="241" t="s">
        <v>5</v>
      </c>
      <c r="Y28" s="215" t="s">
        <v>1059</v>
      </c>
      <c r="Z28" s="318" t="s">
        <v>257</v>
      </c>
      <c r="AA28" s="378">
        <v>78</v>
      </c>
      <c r="AB28" s="63">
        <f t="shared" si="0"/>
        <v>5</v>
      </c>
      <c r="AC28" s="143" t="s">
        <v>184</v>
      </c>
      <c r="AD28" s="77" t="s">
        <v>62</v>
      </c>
      <c r="AE28" s="128" t="s">
        <v>123</v>
      </c>
      <c r="AF28" s="77" t="s">
        <v>998</v>
      </c>
      <c r="AG28" s="77" t="s">
        <v>999</v>
      </c>
      <c r="AH28" s="77" t="s">
        <v>1000</v>
      </c>
      <c r="AI28" s="77" t="s">
        <v>1001</v>
      </c>
      <c r="AJ28" s="77" t="s">
        <v>5</v>
      </c>
      <c r="AK28" s="77" t="s">
        <v>5</v>
      </c>
      <c r="AL28" s="94" t="s">
        <v>1059</v>
      </c>
      <c r="AM28" s="144" t="s">
        <v>257</v>
      </c>
      <c r="AN28" s="145">
        <v>78</v>
      </c>
      <c r="AP28" s="210" t="str">
        <f t="shared" si="2"/>
        <v/>
      </c>
      <c r="AQ28" s="263"/>
      <c r="AR28" s="210" t="str">
        <f t="shared" si="3"/>
        <v/>
      </c>
      <c r="AS28" s="217"/>
      <c r="AT28" s="210" t="s">
        <v>503</v>
      </c>
      <c r="AU28" s="263"/>
      <c r="AV28" s="217"/>
      <c r="BB28" s="83" t="str">
        <f t="array" ref="BB28">_xlfn.IFS(AQ28="","",LEN(AQ28)-LEN(SUBSTITUTE(AQ28,".",""))=3,LEFT(AQ28,vitri(".",AQ28,3)-1),LEN(AQ28)-LEN(SUBSTITUTE(AQ28,".",""))=2,LEFT(AQ28,vitri(".",AQ28,2)-1),TRUE,LEFT(AQ28,vitri(".",AQ28,1)-1))</f>
        <v/>
      </c>
    </row>
    <row r="29" spans="1:54" ht="16.5" customHeight="1" x14ac:dyDescent="0.25">
      <c r="A29" s="84"/>
      <c r="B29" s="108" t="s">
        <v>184</v>
      </c>
      <c r="C29" s="1" t="s">
        <v>62</v>
      </c>
      <c r="D29" s="159" t="s">
        <v>123</v>
      </c>
      <c r="E29" s="1" t="s">
        <v>998</v>
      </c>
      <c r="F29" s="1" t="s">
        <v>999</v>
      </c>
      <c r="G29" s="1" t="s">
        <v>1002</v>
      </c>
      <c r="H29" s="1" t="s">
        <v>1003</v>
      </c>
      <c r="I29" s="1" t="s">
        <v>5</v>
      </c>
      <c r="J29" s="1" t="s">
        <v>5</v>
      </c>
      <c r="K29" s="94" t="str">
        <f t="shared" si="1"/>
        <v>F_MEQ_SFH_4GA_04</v>
      </c>
      <c r="L29" s="160" t="s">
        <v>256</v>
      </c>
      <c r="M29" s="377">
        <v>77</v>
      </c>
      <c r="P29" s="297" t="s">
        <v>184</v>
      </c>
      <c r="Q29" s="241" t="s">
        <v>62</v>
      </c>
      <c r="R29" s="317" t="s">
        <v>123</v>
      </c>
      <c r="S29" s="241" t="s">
        <v>998</v>
      </c>
      <c r="T29" s="241" t="s">
        <v>999</v>
      </c>
      <c r="U29" s="241" t="s">
        <v>1002</v>
      </c>
      <c r="V29" s="241" t="s">
        <v>1003</v>
      </c>
      <c r="W29" s="241" t="s">
        <v>5</v>
      </c>
      <c r="X29" s="241" t="s">
        <v>5</v>
      </c>
      <c r="Y29" s="215" t="s">
        <v>1060</v>
      </c>
      <c r="Z29" s="318" t="s">
        <v>256</v>
      </c>
      <c r="AA29" s="378">
        <v>77</v>
      </c>
      <c r="AB29" s="63">
        <f t="shared" si="0"/>
        <v>4</v>
      </c>
      <c r="AC29" s="143" t="s">
        <v>184</v>
      </c>
      <c r="AD29" s="77" t="s">
        <v>62</v>
      </c>
      <c r="AE29" s="128" t="s">
        <v>123</v>
      </c>
      <c r="AF29" s="77" t="s">
        <v>998</v>
      </c>
      <c r="AG29" s="77" t="s">
        <v>999</v>
      </c>
      <c r="AH29" s="77" t="s">
        <v>1002</v>
      </c>
      <c r="AI29" s="77" t="s">
        <v>1003</v>
      </c>
      <c r="AJ29" s="92" t="s">
        <v>5</v>
      </c>
      <c r="AK29" s="77" t="s">
        <v>5</v>
      </c>
      <c r="AL29" s="94" t="s">
        <v>1060</v>
      </c>
      <c r="AM29" s="144" t="s">
        <v>256</v>
      </c>
      <c r="AN29" s="145">
        <v>77</v>
      </c>
      <c r="AP29" s="210" t="str">
        <f t="shared" si="2"/>
        <v/>
      </c>
      <c r="AQ29" s="263"/>
      <c r="AR29" s="210" t="str">
        <f t="shared" si="3"/>
        <v/>
      </c>
      <c r="AS29" s="217"/>
      <c r="AT29" s="210" t="s">
        <v>503</v>
      </c>
      <c r="AU29" s="263"/>
      <c r="AV29" s="217"/>
      <c r="BB29" s="83" t="str">
        <f t="array" ref="BB29">_xlfn.IFS(AQ29="","",LEN(AQ29)-LEN(SUBSTITUTE(AQ29,".",""))=3,LEFT(AQ29,vitri(".",AQ29,3)-1),LEN(AQ29)-LEN(SUBSTITUTE(AQ29,".",""))=2,LEFT(AQ29,vitri(".",AQ29,2)-1),TRUE,LEFT(AQ29,vitri(".",AQ29,1)-1))</f>
        <v/>
      </c>
    </row>
    <row r="30" spans="1:54" ht="16.5" customHeight="1" x14ac:dyDescent="0.25">
      <c r="A30" s="84"/>
      <c r="B30" s="108" t="s">
        <v>184</v>
      </c>
      <c r="C30" s="1" t="s">
        <v>62</v>
      </c>
      <c r="D30" s="159" t="s">
        <v>123</v>
      </c>
      <c r="E30" s="1" t="s">
        <v>1004</v>
      </c>
      <c r="F30" s="1" t="s">
        <v>1005</v>
      </c>
      <c r="G30" s="1" t="s">
        <v>1006</v>
      </c>
      <c r="H30" s="1" t="s">
        <v>1007</v>
      </c>
      <c r="I30" s="1" t="s">
        <v>5</v>
      </c>
      <c r="J30" s="1" t="s">
        <v>5</v>
      </c>
      <c r="K30" s="94" t="str">
        <f t="shared" si="1"/>
        <v>F_MEQ_TAK_MOL_06</v>
      </c>
      <c r="L30" s="160" t="s">
        <v>258</v>
      </c>
      <c r="M30" s="377">
        <v>79</v>
      </c>
      <c r="P30" s="297" t="s">
        <v>184</v>
      </c>
      <c r="Q30" s="241" t="s">
        <v>62</v>
      </c>
      <c r="R30" s="317" t="s">
        <v>123</v>
      </c>
      <c r="S30" s="241" t="s">
        <v>1004</v>
      </c>
      <c r="T30" s="241" t="s">
        <v>1005</v>
      </c>
      <c r="U30" s="241" t="s">
        <v>1006</v>
      </c>
      <c r="V30" s="241" t="s">
        <v>1007</v>
      </c>
      <c r="W30" s="241" t="s">
        <v>5</v>
      </c>
      <c r="X30" s="241" t="s">
        <v>5</v>
      </c>
      <c r="Y30" s="215" t="s">
        <v>1061</v>
      </c>
      <c r="Z30" s="318" t="s">
        <v>258</v>
      </c>
      <c r="AA30" s="378">
        <v>79</v>
      </c>
      <c r="AB30" s="63">
        <f t="shared" si="0"/>
        <v>6</v>
      </c>
      <c r="AC30" s="143" t="s">
        <v>184</v>
      </c>
      <c r="AD30" s="77" t="s">
        <v>62</v>
      </c>
      <c r="AE30" s="128" t="s">
        <v>123</v>
      </c>
      <c r="AF30" s="77" t="s">
        <v>1004</v>
      </c>
      <c r="AG30" s="77" t="s">
        <v>1005</v>
      </c>
      <c r="AH30" s="77" t="s">
        <v>1006</v>
      </c>
      <c r="AI30" s="77" t="s">
        <v>1007</v>
      </c>
      <c r="AJ30" s="77" t="s">
        <v>5</v>
      </c>
      <c r="AK30" s="77" t="s">
        <v>5</v>
      </c>
      <c r="AL30" s="94" t="s">
        <v>1061</v>
      </c>
      <c r="AM30" s="144" t="s">
        <v>258</v>
      </c>
      <c r="AN30" s="145">
        <v>79</v>
      </c>
      <c r="AP30" s="210" t="str">
        <f t="shared" si="2"/>
        <v/>
      </c>
      <c r="AQ30" s="263"/>
      <c r="AR30" s="210" t="str">
        <f t="shared" si="3"/>
        <v/>
      </c>
      <c r="AS30" s="217"/>
      <c r="AT30" s="210" t="s">
        <v>503</v>
      </c>
      <c r="AU30" s="263"/>
      <c r="AV30" s="217"/>
      <c r="BB30" s="83" t="str">
        <f t="array" ref="BB30">_xlfn.IFS(AQ30="","",LEN(AQ30)-LEN(SUBSTITUTE(AQ30,".",""))=3,LEFT(AQ30,vitri(".",AQ30,3)-1),LEN(AQ30)-LEN(SUBSTITUTE(AQ30,".",""))=2,LEFT(AQ30,vitri(".",AQ30,2)-1),TRUE,LEFT(AQ30,vitri(".",AQ30,1)-1))</f>
        <v/>
      </c>
    </row>
    <row r="31" spans="1:54" ht="16.5" customHeight="1" x14ac:dyDescent="0.25">
      <c r="A31" s="84"/>
      <c r="B31" s="108" t="s">
        <v>184</v>
      </c>
      <c r="C31" s="1" t="s">
        <v>129</v>
      </c>
      <c r="D31" s="159" t="s">
        <v>130</v>
      </c>
      <c r="E31" s="1" t="s">
        <v>135</v>
      </c>
      <c r="F31" s="1" t="s">
        <v>1008</v>
      </c>
      <c r="G31" s="1" t="s">
        <v>1009</v>
      </c>
      <c r="H31" s="1" t="s">
        <v>1010</v>
      </c>
      <c r="I31" s="1" t="s">
        <v>5</v>
      </c>
      <c r="J31" s="1" t="s">
        <v>5</v>
      </c>
      <c r="K31" s="94" t="str">
        <f t="shared" si="1"/>
        <v>F_PIA_BFV_WHT_01</v>
      </c>
      <c r="L31" s="160" t="s">
        <v>253</v>
      </c>
      <c r="M31" s="377">
        <v>36</v>
      </c>
      <c r="P31" s="297" t="s">
        <v>184</v>
      </c>
      <c r="Q31" s="241" t="s">
        <v>129</v>
      </c>
      <c r="R31" s="317" t="s">
        <v>130</v>
      </c>
      <c r="S31" s="241" t="s">
        <v>135</v>
      </c>
      <c r="T31" s="241" t="s">
        <v>1008</v>
      </c>
      <c r="U31" s="241" t="s">
        <v>1009</v>
      </c>
      <c r="V31" s="241" t="s">
        <v>1010</v>
      </c>
      <c r="W31" s="241" t="s">
        <v>5</v>
      </c>
      <c r="X31" s="241" t="s">
        <v>5</v>
      </c>
      <c r="Y31" s="215" t="s">
        <v>1062</v>
      </c>
      <c r="Z31" s="318" t="s">
        <v>253</v>
      </c>
      <c r="AA31" s="378">
        <v>36</v>
      </c>
      <c r="AB31" s="63">
        <f t="shared" si="0"/>
        <v>1</v>
      </c>
      <c r="AC31" s="143" t="s">
        <v>184</v>
      </c>
      <c r="AD31" s="77" t="s">
        <v>129</v>
      </c>
      <c r="AE31" s="128" t="s">
        <v>130</v>
      </c>
      <c r="AF31" s="77" t="s">
        <v>135</v>
      </c>
      <c r="AG31" s="77" t="s">
        <v>1008</v>
      </c>
      <c r="AH31" s="77" t="s">
        <v>1009</v>
      </c>
      <c r="AI31" s="77" t="s">
        <v>1010</v>
      </c>
      <c r="AJ31" s="92" t="s">
        <v>5</v>
      </c>
      <c r="AK31" s="77" t="s">
        <v>5</v>
      </c>
      <c r="AL31" s="94" t="s">
        <v>1062</v>
      </c>
      <c r="AM31" s="144" t="s">
        <v>253</v>
      </c>
      <c r="AN31" s="145">
        <v>36</v>
      </c>
      <c r="AP31" s="210" t="str">
        <f t="shared" si="2"/>
        <v/>
      </c>
      <c r="AQ31" s="263"/>
      <c r="AR31" s="210" t="str">
        <f t="shared" si="3"/>
        <v/>
      </c>
      <c r="AS31" s="217"/>
      <c r="AT31" s="210" t="s">
        <v>503</v>
      </c>
      <c r="AU31" s="263"/>
      <c r="AV31" s="217"/>
      <c r="BB31" s="83" t="str">
        <f t="array" ref="BB31">_xlfn.IFS(AQ31="","",LEN(AQ31)-LEN(SUBSTITUTE(AQ31,".",""))=3,LEFT(AQ31,vitri(".",AQ31,3)-1),LEN(AQ31)-LEN(SUBSTITUTE(AQ31,".",""))=2,LEFT(AQ31,vitri(".",AQ31,2)-1),TRUE,LEFT(AQ31,vitri(".",AQ31,1)-1))</f>
        <v/>
      </c>
    </row>
    <row r="32" spans="1:54" ht="15.75" customHeight="1" x14ac:dyDescent="0.25">
      <c r="B32" s="108" t="s">
        <v>184</v>
      </c>
      <c r="C32" s="1" t="s">
        <v>129</v>
      </c>
      <c r="D32" s="159" t="s">
        <v>130</v>
      </c>
      <c r="E32" s="1" t="s">
        <v>133</v>
      </c>
      <c r="F32" s="1" t="s">
        <v>134</v>
      </c>
      <c r="G32" s="1" t="s">
        <v>5</v>
      </c>
      <c r="H32" s="1" t="s">
        <v>5</v>
      </c>
      <c r="I32" s="1" t="s">
        <v>5</v>
      </c>
      <c r="J32" s="1" t="s">
        <v>5</v>
      </c>
      <c r="K32" s="94" t="str">
        <f t="shared" si="1"/>
        <v>F_PIA_BVA_02</v>
      </c>
      <c r="L32" s="160" t="s">
        <v>254</v>
      </c>
      <c r="M32" s="377">
        <v>34</v>
      </c>
      <c r="P32" s="297" t="s">
        <v>184</v>
      </c>
      <c r="Q32" s="241" t="s">
        <v>129</v>
      </c>
      <c r="R32" s="317" t="s">
        <v>130</v>
      </c>
      <c r="S32" s="241" t="s">
        <v>133</v>
      </c>
      <c r="T32" s="241" t="s">
        <v>134</v>
      </c>
      <c r="U32" s="241" t="s">
        <v>5</v>
      </c>
      <c r="V32" s="241" t="s">
        <v>5</v>
      </c>
      <c r="W32" s="241" t="s">
        <v>5</v>
      </c>
      <c r="X32" s="241" t="s">
        <v>5</v>
      </c>
      <c r="Y32" s="215" t="s">
        <v>1063</v>
      </c>
      <c r="Z32" s="318" t="s">
        <v>254</v>
      </c>
      <c r="AA32" s="378">
        <v>34</v>
      </c>
      <c r="AB32" s="63">
        <f t="shared" si="0"/>
        <v>2</v>
      </c>
      <c r="AC32" s="143" t="s">
        <v>184</v>
      </c>
      <c r="AD32" s="77" t="s">
        <v>129</v>
      </c>
      <c r="AE32" s="128" t="s">
        <v>130</v>
      </c>
      <c r="AF32" s="77" t="s">
        <v>133</v>
      </c>
      <c r="AG32" s="77" t="s">
        <v>134</v>
      </c>
      <c r="AH32" s="77" t="s">
        <v>5</v>
      </c>
      <c r="AI32" s="77" t="s">
        <v>5</v>
      </c>
      <c r="AJ32" s="92" t="s">
        <v>5</v>
      </c>
      <c r="AK32" s="77" t="s">
        <v>5</v>
      </c>
      <c r="AL32" s="94" t="s">
        <v>1063</v>
      </c>
      <c r="AM32" s="144" t="s">
        <v>254</v>
      </c>
      <c r="AN32" s="145">
        <v>34</v>
      </c>
      <c r="AP32" s="210" t="str">
        <f t="shared" si="2"/>
        <v/>
      </c>
      <c r="AQ32" s="263"/>
      <c r="AR32" s="210" t="str">
        <f t="shared" si="3"/>
        <v/>
      </c>
      <c r="AS32" s="217"/>
      <c r="AT32" s="210" t="s">
        <v>503</v>
      </c>
      <c r="AU32" s="263"/>
      <c r="AV32" s="217"/>
      <c r="BB32" s="83" t="str">
        <f t="array" ref="BB32">_xlfn.IFS(AQ32="","",LEN(AQ32)-LEN(SUBSTITUTE(AQ32,".",""))=3,LEFT(AQ32,vitri(".",AQ32,3)-1),LEN(AQ32)-LEN(SUBSTITUTE(AQ32,".",""))=2,LEFT(AQ32,vitri(".",AQ32,2)-1),TRUE,LEFT(AQ32,vitri(".",AQ32,1)-1))</f>
        <v/>
      </c>
    </row>
    <row r="33" spans="1:54" ht="15.75" customHeight="1" x14ac:dyDescent="0.25">
      <c r="A33" s="84"/>
      <c r="B33" s="108" t="s">
        <v>184</v>
      </c>
      <c r="C33" s="1" t="s">
        <v>129</v>
      </c>
      <c r="D33" s="159" t="s">
        <v>130</v>
      </c>
      <c r="E33" s="1" t="s">
        <v>1011</v>
      </c>
      <c r="F33" s="1" t="s">
        <v>1012</v>
      </c>
      <c r="G33" s="1" t="s">
        <v>1013</v>
      </c>
      <c r="H33" s="1" t="s">
        <v>1014</v>
      </c>
      <c r="I33" s="1" t="s">
        <v>5</v>
      </c>
      <c r="J33" s="1" t="s">
        <v>5</v>
      </c>
      <c r="K33" s="94" t="str">
        <f t="shared" si="1"/>
        <v>F_PIA_FLC_B50_03</v>
      </c>
      <c r="L33" s="160" t="s">
        <v>255</v>
      </c>
      <c r="M33" s="377">
        <v>35</v>
      </c>
      <c r="P33" s="297" t="s">
        <v>184</v>
      </c>
      <c r="Q33" s="241" t="s">
        <v>129</v>
      </c>
      <c r="R33" s="317" t="s">
        <v>130</v>
      </c>
      <c r="S33" s="241" t="s">
        <v>1011</v>
      </c>
      <c r="T33" s="241" t="s">
        <v>1012</v>
      </c>
      <c r="U33" s="241" t="s">
        <v>1013</v>
      </c>
      <c r="V33" s="241" t="s">
        <v>1014</v>
      </c>
      <c r="W33" s="241" t="s">
        <v>5</v>
      </c>
      <c r="X33" s="241" t="s">
        <v>5</v>
      </c>
      <c r="Y33" s="215" t="s">
        <v>1064</v>
      </c>
      <c r="Z33" s="318" t="s">
        <v>255</v>
      </c>
      <c r="AA33" s="378">
        <v>35</v>
      </c>
      <c r="AB33" s="63">
        <f t="shared" si="0"/>
        <v>3</v>
      </c>
      <c r="AC33" s="143" t="s">
        <v>184</v>
      </c>
      <c r="AD33" s="77" t="s">
        <v>129</v>
      </c>
      <c r="AE33" s="128" t="s">
        <v>130</v>
      </c>
      <c r="AF33" s="77" t="s">
        <v>1011</v>
      </c>
      <c r="AG33" s="77" t="s">
        <v>1012</v>
      </c>
      <c r="AH33" s="77" t="s">
        <v>1013</v>
      </c>
      <c r="AI33" s="77" t="s">
        <v>1014</v>
      </c>
      <c r="AJ33" s="77" t="s">
        <v>5</v>
      </c>
      <c r="AK33" s="77" t="s">
        <v>5</v>
      </c>
      <c r="AL33" s="94" t="s">
        <v>1064</v>
      </c>
      <c r="AM33" s="144" t="s">
        <v>255</v>
      </c>
      <c r="AN33" s="145">
        <v>35</v>
      </c>
      <c r="AP33" s="210" t="str">
        <f t="shared" si="2"/>
        <v/>
      </c>
      <c r="AQ33" s="263"/>
      <c r="AR33" s="210" t="str">
        <f t="shared" si="3"/>
        <v/>
      </c>
      <c r="AS33" s="217"/>
      <c r="AT33" s="210" t="s">
        <v>503</v>
      </c>
      <c r="AU33" s="263"/>
      <c r="AV33" s="217"/>
      <c r="BB33" s="83" t="str">
        <f t="array" ref="BB33">_xlfn.IFS(AQ33="","",LEN(AQ33)-LEN(SUBSTITUTE(AQ33,".",""))=3,LEFT(AQ33,vitri(".",AQ33,3)-1),LEN(AQ33)-LEN(SUBSTITUTE(AQ33,".",""))=2,LEFT(AQ33,vitri(".",AQ33,2)-1),TRUE,LEFT(AQ33,vitri(".",AQ33,1)-1))</f>
        <v/>
      </c>
    </row>
    <row r="34" spans="1:54" ht="15.75" customHeight="1" x14ac:dyDescent="0.25">
      <c r="A34" s="84"/>
      <c r="B34" s="108" t="s">
        <v>184</v>
      </c>
      <c r="C34" s="1" t="s">
        <v>129</v>
      </c>
      <c r="D34" s="159" t="s">
        <v>130</v>
      </c>
      <c r="E34" s="1" t="s">
        <v>1011</v>
      </c>
      <c r="F34" s="1" t="s">
        <v>1012</v>
      </c>
      <c r="G34" s="1" t="s">
        <v>1015</v>
      </c>
      <c r="H34" s="1" t="s">
        <v>1016</v>
      </c>
      <c r="I34" s="1" t="s">
        <v>5</v>
      </c>
      <c r="J34" s="1" t="s">
        <v>5</v>
      </c>
      <c r="K34" s="94" t="str">
        <f t="shared" si="1"/>
        <v>F_PIA_FLC_O50_04</v>
      </c>
      <c r="L34" s="160" t="s">
        <v>256</v>
      </c>
      <c r="M34" s="377">
        <v>37</v>
      </c>
      <c r="P34" s="297" t="s">
        <v>184</v>
      </c>
      <c r="Q34" s="241" t="s">
        <v>129</v>
      </c>
      <c r="R34" s="317" t="s">
        <v>130</v>
      </c>
      <c r="S34" s="241" t="s">
        <v>1011</v>
      </c>
      <c r="T34" s="241" t="s">
        <v>1012</v>
      </c>
      <c r="U34" s="241" t="s">
        <v>1015</v>
      </c>
      <c r="V34" s="241" t="s">
        <v>1016</v>
      </c>
      <c r="W34" s="241" t="s">
        <v>5</v>
      </c>
      <c r="X34" s="241" t="s">
        <v>5</v>
      </c>
      <c r="Y34" s="215" t="s">
        <v>1065</v>
      </c>
      <c r="Z34" s="318" t="s">
        <v>256</v>
      </c>
      <c r="AA34" s="378">
        <v>37</v>
      </c>
      <c r="AB34" s="63">
        <f t="shared" si="0"/>
        <v>4</v>
      </c>
      <c r="AC34" s="143" t="s">
        <v>184</v>
      </c>
      <c r="AD34" s="77" t="s">
        <v>129</v>
      </c>
      <c r="AE34" s="128" t="s">
        <v>130</v>
      </c>
      <c r="AF34" s="77" t="s">
        <v>1011</v>
      </c>
      <c r="AG34" s="77" t="s">
        <v>1012</v>
      </c>
      <c r="AH34" s="77" t="s">
        <v>1015</v>
      </c>
      <c r="AI34" s="77" t="s">
        <v>1016</v>
      </c>
      <c r="AJ34" s="77" t="s">
        <v>5</v>
      </c>
      <c r="AK34" s="77" t="s">
        <v>5</v>
      </c>
      <c r="AL34" s="94" t="s">
        <v>1065</v>
      </c>
      <c r="AM34" s="144" t="s">
        <v>256</v>
      </c>
      <c r="AN34" s="145">
        <v>37</v>
      </c>
      <c r="AP34" s="210" t="str">
        <f t="shared" si="2"/>
        <v/>
      </c>
      <c r="AQ34" s="263"/>
      <c r="AR34" s="210" t="str">
        <f t="shared" si="3"/>
        <v/>
      </c>
      <c r="AS34" s="217"/>
      <c r="AT34" s="210" t="s">
        <v>503</v>
      </c>
      <c r="AU34" s="263"/>
      <c r="AV34" s="217"/>
      <c r="BB34" s="83" t="str">
        <f t="array" ref="BB34">_xlfn.IFS(AQ34="","",LEN(AQ34)-LEN(SUBSTITUTE(AQ34,".",""))=3,LEFT(AQ34,vitri(".",AQ34,3)-1),LEN(AQ34)-LEN(SUBSTITUTE(AQ34,".",""))=2,LEFT(AQ34,vitri(".",AQ34,2)-1),TRUE,LEFT(AQ34,vitri(".",AQ34,1)-1))</f>
        <v/>
      </c>
    </row>
    <row r="35" spans="1:54" ht="15.75" customHeight="1" x14ac:dyDescent="0.25">
      <c r="A35" s="84"/>
      <c r="B35" s="108" t="s">
        <v>184</v>
      </c>
      <c r="C35" s="1" t="s">
        <v>129</v>
      </c>
      <c r="D35" s="159" t="s">
        <v>130</v>
      </c>
      <c r="E35" s="1" t="s">
        <v>131</v>
      </c>
      <c r="F35" s="1" t="s">
        <v>132</v>
      </c>
      <c r="G35" s="1" t="s">
        <v>1013</v>
      </c>
      <c r="H35" s="1" t="s">
        <v>1014</v>
      </c>
      <c r="I35" s="1" t="s">
        <v>5</v>
      </c>
      <c r="J35" s="1" t="s">
        <v>5</v>
      </c>
      <c r="K35" s="94" t="str">
        <f t="shared" si="1"/>
        <v>F_PIA_GVA_B50_05</v>
      </c>
      <c r="L35" s="160" t="s">
        <v>257</v>
      </c>
      <c r="M35" s="377">
        <v>38</v>
      </c>
      <c r="P35" s="297" t="s">
        <v>184</v>
      </c>
      <c r="Q35" s="241" t="s">
        <v>129</v>
      </c>
      <c r="R35" s="317" t="s">
        <v>130</v>
      </c>
      <c r="S35" s="241" t="s">
        <v>131</v>
      </c>
      <c r="T35" s="241" t="s">
        <v>132</v>
      </c>
      <c r="U35" s="241" t="s">
        <v>1013</v>
      </c>
      <c r="V35" s="241" t="s">
        <v>1014</v>
      </c>
      <c r="W35" s="241" t="s">
        <v>5</v>
      </c>
      <c r="X35" s="241" t="s">
        <v>5</v>
      </c>
      <c r="Y35" s="215" t="s">
        <v>1066</v>
      </c>
      <c r="Z35" s="318" t="s">
        <v>257</v>
      </c>
      <c r="AA35" s="378">
        <v>38</v>
      </c>
      <c r="AB35" s="63">
        <f t="shared" si="0"/>
        <v>5</v>
      </c>
      <c r="AC35" s="143" t="s">
        <v>184</v>
      </c>
      <c r="AD35" s="77" t="s">
        <v>129</v>
      </c>
      <c r="AE35" s="128" t="s">
        <v>130</v>
      </c>
      <c r="AF35" s="77" t="s">
        <v>131</v>
      </c>
      <c r="AG35" s="77" t="s">
        <v>132</v>
      </c>
      <c r="AH35" s="77" t="s">
        <v>1013</v>
      </c>
      <c r="AI35" s="77" t="s">
        <v>1014</v>
      </c>
      <c r="AJ35" s="92" t="s">
        <v>5</v>
      </c>
      <c r="AK35" s="77" t="s">
        <v>5</v>
      </c>
      <c r="AL35" s="94" t="s">
        <v>1066</v>
      </c>
      <c r="AM35" s="144" t="s">
        <v>257</v>
      </c>
      <c r="AN35" s="145">
        <v>38</v>
      </c>
      <c r="AP35" s="210" t="str">
        <f t="shared" si="2"/>
        <v/>
      </c>
      <c r="AQ35" s="263"/>
      <c r="AR35" s="210" t="str">
        <f t="shared" si="3"/>
        <v/>
      </c>
      <c r="AS35" s="217"/>
      <c r="AT35" s="210" t="s">
        <v>503</v>
      </c>
      <c r="AU35" s="263"/>
      <c r="AV35" s="217"/>
      <c r="BB35" s="83" t="str">
        <f t="array" ref="BB35">_xlfn.IFS(AQ35="","",LEN(AQ35)-LEN(SUBSTITUTE(AQ35,".",""))=3,LEFT(AQ35,vitri(".",AQ35,3)-1),LEN(AQ35)-LEN(SUBSTITUTE(AQ35,".",""))=2,LEFT(AQ35,vitri(".",AQ35,2)-1),TRUE,LEFT(AQ35,vitri(".",AQ35,1)-1))</f>
        <v/>
      </c>
    </row>
    <row r="36" spans="1:54" ht="15.75" customHeight="1" x14ac:dyDescent="0.25">
      <c r="A36" s="84"/>
      <c r="B36" s="108" t="s">
        <v>184</v>
      </c>
      <c r="C36" s="1" t="s">
        <v>129</v>
      </c>
      <c r="D36" s="159" t="s">
        <v>130</v>
      </c>
      <c r="E36" s="1" t="s">
        <v>131</v>
      </c>
      <c r="F36" s="1" t="s">
        <v>132</v>
      </c>
      <c r="G36" s="1" t="s">
        <v>1017</v>
      </c>
      <c r="H36" s="1" t="s">
        <v>1016</v>
      </c>
      <c r="I36" s="1" t="s">
        <v>5</v>
      </c>
      <c r="J36" s="1" t="s">
        <v>5</v>
      </c>
      <c r="K36" s="94" t="str">
        <f t="shared" si="1"/>
        <v>F_PIA_GVA_O50_06</v>
      </c>
      <c r="L36" s="160" t="s">
        <v>258</v>
      </c>
      <c r="M36" s="377">
        <v>39</v>
      </c>
      <c r="P36" s="297" t="s">
        <v>184</v>
      </c>
      <c r="Q36" s="241" t="s">
        <v>129</v>
      </c>
      <c r="R36" s="317" t="s">
        <v>130</v>
      </c>
      <c r="S36" s="241" t="s">
        <v>131</v>
      </c>
      <c r="T36" s="241" t="s">
        <v>132</v>
      </c>
      <c r="U36" s="241" t="s">
        <v>1017</v>
      </c>
      <c r="V36" s="241" t="s">
        <v>1016</v>
      </c>
      <c r="W36" s="241" t="s">
        <v>5</v>
      </c>
      <c r="X36" s="241" t="s">
        <v>5</v>
      </c>
      <c r="Y36" s="215" t="s">
        <v>1067</v>
      </c>
      <c r="Z36" s="318" t="s">
        <v>258</v>
      </c>
      <c r="AA36" s="378">
        <v>39</v>
      </c>
      <c r="AB36" s="63">
        <f t="shared" si="0"/>
        <v>6</v>
      </c>
      <c r="AC36" s="143" t="s">
        <v>184</v>
      </c>
      <c r="AD36" s="77" t="s">
        <v>129</v>
      </c>
      <c r="AE36" s="128" t="s">
        <v>130</v>
      </c>
      <c r="AF36" s="77" t="s">
        <v>131</v>
      </c>
      <c r="AG36" s="77" t="s">
        <v>132</v>
      </c>
      <c r="AH36" s="77" t="s">
        <v>1017</v>
      </c>
      <c r="AI36" s="77" t="s">
        <v>1016</v>
      </c>
      <c r="AJ36" s="77" t="s">
        <v>5</v>
      </c>
      <c r="AK36" s="77" t="s">
        <v>5</v>
      </c>
      <c r="AL36" s="94" t="s">
        <v>1067</v>
      </c>
      <c r="AM36" s="144" t="s">
        <v>258</v>
      </c>
      <c r="AN36" s="145">
        <v>39</v>
      </c>
      <c r="AP36" s="210" t="str">
        <f t="shared" si="2"/>
        <v/>
      </c>
      <c r="AQ36" s="263"/>
      <c r="AR36" s="210" t="str">
        <f t="shared" si="3"/>
        <v/>
      </c>
      <c r="AS36" s="217"/>
      <c r="AT36" s="210" t="s">
        <v>503</v>
      </c>
      <c r="AU36" s="263"/>
      <c r="AV36" s="217"/>
      <c r="BB36" s="83" t="str">
        <f t="array" ref="BB36">_xlfn.IFS(AQ36="","",LEN(AQ36)-LEN(SUBSTITUTE(AQ36,".",""))=3,LEFT(AQ36,vitri(".",AQ36,3)-1),LEN(AQ36)-LEN(SUBSTITUTE(AQ36,".",""))=2,LEFT(AQ36,vitri(".",AQ36,2)-1),TRUE,LEFT(AQ36,vitri(".",AQ36,1)-1))</f>
        <v/>
      </c>
    </row>
    <row r="37" spans="1:54" ht="15.75" customHeight="1" x14ac:dyDescent="0.25">
      <c r="A37" s="84"/>
      <c r="B37" s="108" t="s">
        <v>184</v>
      </c>
      <c r="C37" s="1" t="s">
        <v>129</v>
      </c>
      <c r="D37" s="159" t="s">
        <v>130</v>
      </c>
      <c r="E37" s="1" t="s">
        <v>1018</v>
      </c>
      <c r="F37" s="1" t="s">
        <v>1019</v>
      </c>
      <c r="G37" s="1" t="s">
        <v>5</v>
      </c>
      <c r="H37" s="1" t="s">
        <v>5</v>
      </c>
      <c r="I37" s="1" t="s">
        <v>5</v>
      </c>
      <c r="J37" s="1" t="s">
        <v>5</v>
      </c>
      <c r="K37" s="94" t="str">
        <f t="shared" si="1"/>
        <v>F_PIA_PRG_07</v>
      </c>
      <c r="L37" s="160" t="s">
        <v>259</v>
      </c>
      <c r="M37" s="377">
        <v>40</v>
      </c>
      <c r="P37" s="297" t="s">
        <v>184</v>
      </c>
      <c r="Q37" s="241" t="s">
        <v>129</v>
      </c>
      <c r="R37" s="317" t="s">
        <v>130</v>
      </c>
      <c r="S37" s="241" t="s">
        <v>1018</v>
      </c>
      <c r="T37" s="241" t="s">
        <v>1019</v>
      </c>
      <c r="U37" s="241" t="s">
        <v>5</v>
      </c>
      <c r="V37" s="241" t="s">
        <v>5</v>
      </c>
      <c r="W37" s="241" t="s">
        <v>5</v>
      </c>
      <c r="X37" s="241" t="s">
        <v>5</v>
      </c>
      <c r="Y37" s="215" t="s">
        <v>1068</v>
      </c>
      <c r="Z37" s="318" t="s">
        <v>259</v>
      </c>
      <c r="AA37" s="378">
        <v>40</v>
      </c>
      <c r="AB37" s="63">
        <f t="shared" si="0"/>
        <v>7</v>
      </c>
      <c r="AC37" s="143" t="s">
        <v>184</v>
      </c>
      <c r="AD37" s="77" t="s">
        <v>129</v>
      </c>
      <c r="AE37" s="128" t="s">
        <v>130</v>
      </c>
      <c r="AF37" s="77" t="s">
        <v>1018</v>
      </c>
      <c r="AG37" s="77" t="s">
        <v>1019</v>
      </c>
      <c r="AH37" s="77" t="s">
        <v>5</v>
      </c>
      <c r="AI37" s="77" t="s">
        <v>5</v>
      </c>
      <c r="AJ37" s="92" t="s">
        <v>5</v>
      </c>
      <c r="AK37" s="77" t="s">
        <v>5</v>
      </c>
      <c r="AL37" s="94" t="s">
        <v>1068</v>
      </c>
      <c r="AM37" s="144" t="s">
        <v>259</v>
      </c>
      <c r="AN37" s="145">
        <v>40</v>
      </c>
      <c r="AP37" s="210" t="str">
        <f t="shared" si="2"/>
        <v/>
      </c>
      <c r="AQ37" s="263"/>
      <c r="AR37" s="210" t="str">
        <f t="shared" si="3"/>
        <v/>
      </c>
      <c r="AS37" s="217"/>
      <c r="AT37" s="210" t="s">
        <v>503</v>
      </c>
      <c r="AU37" s="263"/>
      <c r="AV37" s="217"/>
      <c r="BB37" s="83" t="str">
        <f t="array" ref="BB37">_xlfn.IFS(AQ37="","",LEN(AQ37)-LEN(SUBSTITUTE(AQ37,".",""))=3,LEFT(AQ37,vitri(".",AQ37,3)-1),LEN(AQ37)-LEN(SUBSTITUTE(AQ37,".",""))=2,LEFT(AQ37,vitri(".",AQ37,2)-1),TRUE,LEFT(AQ37,vitri(".",AQ37,1)-1))</f>
        <v/>
      </c>
    </row>
    <row r="38" spans="1:54" ht="15.75" customHeight="1" x14ac:dyDescent="0.25">
      <c r="A38" s="84"/>
      <c r="B38" s="108" t="s">
        <v>184</v>
      </c>
      <c r="C38" s="1" t="s">
        <v>129</v>
      </c>
      <c r="D38" s="159" t="s">
        <v>130</v>
      </c>
      <c r="E38" s="1" t="s">
        <v>1020</v>
      </c>
      <c r="F38" s="1" t="s">
        <v>1021</v>
      </c>
      <c r="G38" s="1" t="s">
        <v>1013</v>
      </c>
      <c r="H38" s="1" t="s">
        <v>1014</v>
      </c>
      <c r="I38" s="1" t="s">
        <v>5</v>
      </c>
      <c r="J38" s="1" t="s">
        <v>5</v>
      </c>
      <c r="K38" s="94" t="str">
        <f t="shared" si="1"/>
        <v>F_PIA_PRV_B50_08</v>
      </c>
      <c r="L38" s="160" t="s">
        <v>260</v>
      </c>
      <c r="M38" s="377">
        <v>41</v>
      </c>
      <c r="P38" s="297" t="s">
        <v>184</v>
      </c>
      <c r="Q38" s="241" t="s">
        <v>129</v>
      </c>
      <c r="R38" s="317" t="s">
        <v>130</v>
      </c>
      <c r="S38" s="241" t="s">
        <v>1020</v>
      </c>
      <c r="T38" s="241" t="s">
        <v>1021</v>
      </c>
      <c r="U38" s="241" t="s">
        <v>1013</v>
      </c>
      <c r="V38" s="241" t="s">
        <v>1014</v>
      </c>
      <c r="W38" s="241" t="s">
        <v>5</v>
      </c>
      <c r="X38" s="241" t="s">
        <v>5</v>
      </c>
      <c r="Y38" s="215" t="s">
        <v>1069</v>
      </c>
      <c r="Z38" s="318" t="s">
        <v>260</v>
      </c>
      <c r="AA38" s="378">
        <v>41</v>
      </c>
      <c r="AB38" s="63">
        <f t="shared" si="0"/>
        <v>8</v>
      </c>
      <c r="AC38" s="143" t="s">
        <v>184</v>
      </c>
      <c r="AD38" s="77" t="s">
        <v>129</v>
      </c>
      <c r="AE38" s="128" t="s">
        <v>130</v>
      </c>
      <c r="AF38" s="77" t="s">
        <v>1020</v>
      </c>
      <c r="AG38" s="77" t="s">
        <v>1021</v>
      </c>
      <c r="AH38" s="77" t="s">
        <v>1013</v>
      </c>
      <c r="AI38" s="77" t="s">
        <v>1014</v>
      </c>
      <c r="AJ38" s="92" t="s">
        <v>5</v>
      </c>
      <c r="AK38" s="77" t="s">
        <v>5</v>
      </c>
      <c r="AL38" s="94" t="s">
        <v>1069</v>
      </c>
      <c r="AM38" s="144" t="s">
        <v>260</v>
      </c>
      <c r="AN38" s="145">
        <v>41</v>
      </c>
      <c r="AP38" s="210" t="str">
        <f t="shared" si="2"/>
        <v/>
      </c>
      <c r="AQ38" s="263"/>
      <c r="AR38" s="210" t="str">
        <f t="shared" si="3"/>
        <v/>
      </c>
      <c r="AS38" s="217"/>
      <c r="AT38" s="210" t="s">
        <v>503</v>
      </c>
      <c r="AU38" s="263"/>
      <c r="AV38" s="217"/>
      <c r="BB38" s="83" t="str">
        <f t="array" ref="BB38">_xlfn.IFS(AQ38="","",LEN(AQ38)-LEN(SUBSTITUTE(AQ38,".",""))=3,LEFT(AQ38,vitri(".",AQ38,3)-1),LEN(AQ38)-LEN(SUBSTITUTE(AQ38,".",""))=2,LEFT(AQ38,vitri(".",AQ38,2)-1),TRUE,LEFT(AQ38,vitri(".",AQ38,1)-1))</f>
        <v/>
      </c>
    </row>
    <row r="39" spans="1:54" ht="15.75" customHeight="1" x14ac:dyDescent="0.25">
      <c r="A39" s="84"/>
      <c r="B39" s="108" t="s">
        <v>184</v>
      </c>
      <c r="C39" s="1" t="s">
        <v>129</v>
      </c>
      <c r="D39" s="159" t="s">
        <v>130</v>
      </c>
      <c r="E39" s="1" t="s">
        <v>1020</v>
      </c>
      <c r="F39" s="1" t="s">
        <v>1021</v>
      </c>
      <c r="G39" s="1" t="s">
        <v>1017</v>
      </c>
      <c r="H39" s="1" t="s">
        <v>1016</v>
      </c>
      <c r="I39" s="1" t="s">
        <v>5</v>
      </c>
      <c r="J39" s="1" t="s">
        <v>5</v>
      </c>
      <c r="K39" s="94" t="str">
        <f t="shared" si="1"/>
        <v>F_PIA_PRV_O50_09</v>
      </c>
      <c r="L39" s="160" t="s">
        <v>261</v>
      </c>
      <c r="M39" s="377">
        <v>42</v>
      </c>
      <c r="P39" s="297" t="s">
        <v>184</v>
      </c>
      <c r="Q39" s="241" t="s">
        <v>129</v>
      </c>
      <c r="R39" s="317" t="s">
        <v>130</v>
      </c>
      <c r="S39" s="241" t="s">
        <v>1020</v>
      </c>
      <c r="T39" s="241" t="s">
        <v>1021</v>
      </c>
      <c r="U39" s="241" t="s">
        <v>1017</v>
      </c>
      <c r="V39" s="241" t="s">
        <v>1016</v>
      </c>
      <c r="W39" s="241" t="s">
        <v>5</v>
      </c>
      <c r="X39" s="241" t="s">
        <v>5</v>
      </c>
      <c r="Y39" s="215" t="s">
        <v>1070</v>
      </c>
      <c r="Z39" s="318" t="s">
        <v>261</v>
      </c>
      <c r="AA39" s="378">
        <v>42</v>
      </c>
      <c r="AB39" s="63">
        <f t="shared" si="0"/>
        <v>9</v>
      </c>
      <c r="AC39" s="143" t="s">
        <v>184</v>
      </c>
      <c r="AD39" s="77" t="s">
        <v>129</v>
      </c>
      <c r="AE39" s="128" t="s">
        <v>130</v>
      </c>
      <c r="AF39" s="77" t="s">
        <v>1020</v>
      </c>
      <c r="AG39" s="77" t="s">
        <v>1021</v>
      </c>
      <c r="AH39" s="77" t="s">
        <v>1017</v>
      </c>
      <c r="AI39" s="77" t="s">
        <v>1016</v>
      </c>
      <c r="AJ39" s="92" t="s">
        <v>5</v>
      </c>
      <c r="AK39" s="77" t="s">
        <v>5</v>
      </c>
      <c r="AL39" s="94" t="s">
        <v>1070</v>
      </c>
      <c r="AM39" s="144" t="s">
        <v>261</v>
      </c>
      <c r="AN39" s="145">
        <v>42</v>
      </c>
      <c r="AP39" s="210" t="str">
        <f t="shared" si="2"/>
        <v/>
      </c>
      <c r="AQ39" s="263"/>
      <c r="AR39" s="210" t="str">
        <f t="shared" si="3"/>
        <v/>
      </c>
      <c r="AS39" s="217"/>
      <c r="AT39" s="210" t="s">
        <v>503</v>
      </c>
      <c r="AU39" s="263"/>
      <c r="AV39" s="217"/>
      <c r="BB39" s="83" t="str">
        <f t="array" ref="BB39">_xlfn.IFS(AQ39="","",LEN(AQ39)-LEN(SUBSTITUTE(AQ39,".",""))=3,LEFT(AQ39,vitri(".",AQ39,3)-1),LEN(AQ39)-LEN(SUBSTITUTE(AQ39,".",""))=2,LEFT(AQ39,vitri(".",AQ39,2)-1),TRUE,LEFT(AQ39,vitri(".",AQ39,1)-1))</f>
        <v/>
      </c>
    </row>
    <row r="40" spans="1:54" ht="15.75" customHeight="1" x14ac:dyDescent="0.25">
      <c r="A40" s="84"/>
      <c r="B40" s="108" t="s">
        <v>184</v>
      </c>
      <c r="C40" s="1" t="s">
        <v>129</v>
      </c>
      <c r="D40" s="159" t="s">
        <v>130</v>
      </c>
      <c r="E40" s="1" t="s">
        <v>1022</v>
      </c>
      <c r="F40" s="1" t="s">
        <v>1023</v>
      </c>
      <c r="G40" s="1" t="s">
        <v>1013</v>
      </c>
      <c r="H40" s="1" t="s">
        <v>1014</v>
      </c>
      <c r="I40" s="1" t="s">
        <v>5</v>
      </c>
      <c r="J40" s="1" t="s">
        <v>5</v>
      </c>
      <c r="K40" s="94" t="str">
        <f t="shared" si="1"/>
        <v>F_PIA_SCV_B50_11</v>
      </c>
      <c r="L40" s="160" t="s">
        <v>263</v>
      </c>
      <c r="M40" s="377">
        <v>43</v>
      </c>
      <c r="P40" s="297" t="s">
        <v>184</v>
      </c>
      <c r="Q40" s="241" t="s">
        <v>129</v>
      </c>
      <c r="R40" s="317" t="s">
        <v>130</v>
      </c>
      <c r="S40" s="241" t="s">
        <v>1022</v>
      </c>
      <c r="T40" s="241" t="s">
        <v>1023</v>
      </c>
      <c r="U40" s="241" t="s">
        <v>1013</v>
      </c>
      <c r="V40" s="241" t="s">
        <v>1014</v>
      </c>
      <c r="W40" s="241" t="s">
        <v>5</v>
      </c>
      <c r="X40" s="241" t="s">
        <v>5</v>
      </c>
      <c r="Y40" s="215" t="s">
        <v>1071</v>
      </c>
      <c r="Z40" s="318" t="s">
        <v>263</v>
      </c>
      <c r="AA40" s="378">
        <v>43</v>
      </c>
      <c r="AB40" s="63">
        <f t="shared" si="0"/>
        <v>11</v>
      </c>
      <c r="AC40" s="143" t="s">
        <v>184</v>
      </c>
      <c r="AD40" s="77" t="s">
        <v>129</v>
      </c>
      <c r="AE40" s="128" t="s">
        <v>130</v>
      </c>
      <c r="AF40" s="77" t="s">
        <v>1022</v>
      </c>
      <c r="AG40" s="77" t="s">
        <v>1023</v>
      </c>
      <c r="AH40" s="77" t="s">
        <v>1013</v>
      </c>
      <c r="AI40" s="77" t="s">
        <v>1014</v>
      </c>
      <c r="AJ40" s="92" t="s">
        <v>5</v>
      </c>
      <c r="AK40" s="77" t="s">
        <v>5</v>
      </c>
      <c r="AL40" s="94" t="s">
        <v>1071</v>
      </c>
      <c r="AM40" s="144" t="s">
        <v>263</v>
      </c>
      <c r="AN40" s="145">
        <v>43</v>
      </c>
      <c r="AP40" s="210" t="str">
        <f t="shared" si="2"/>
        <v/>
      </c>
      <c r="AQ40" s="263"/>
      <c r="AR40" s="210" t="str">
        <f t="shared" si="3"/>
        <v/>
      </c>
      <c r="AS40" s="217"/>
      <c r="AT40" s="210" t="s">
        <v>503</v>
      </c>
      <c r="AU40" s="263"/>
      <c r="AV40" s="217"/>
      <c r="BB40" s="83" t="str">
        <f t="array" ref="BB40">_xlfn.IFS(AQ40="","",LEN(AQ40)-LEN(SUBSTITUTE(AQ40,".",""))=3,LEFT(AQ40,vitri(".",AQ40,3)-1),LEN(AQ40)-LEN(SUBSTITUTE(AQ40,".",""))=2,LEFT(AQ40,vitri(".",AQ40,2)-1),TRUE,LEFT(AQ40,vitri(".",AQ40,1)-1))</f>
        <v/>
      </c>
    </row>
    <row r="41" spans="1:54" ht="15.75" customHeight="1" x14ac:dyDescent="0.25">
      <c r="A41" s="84"/>
      <c r="B41" s="108" t="s">
        <v>184</v>
      </c>
      <c r="C41" s="1" t="s">
        <v>129</v>
      </c>
      <c r="D41" s="159" t="s">
        <v>130</v>
      </c>
      <c r="E41" s="1" t="s">
        <v>1022</v>
      </c>
      <c r="F41" s="1" t="s">
        <v>1023</v>
      </c>
      <c r="G41" s="1" t="s">
        <v>1017</v>
      </c>
      <c r="H41" s="1" t="s">
        <v>1016</v>
      </c>
      <c r="I41" s="1" t="s">
        <v>5</v>
      </c>
      <c r="J41" s="1" t="s">
        <v>5</v>
      </c>
      <c r="K41" s="94" t="str">
        <f t="shared" si="1"/>
        <v>F_PIA_SCV_O50_12</v>
      </c>
      <c r="L41" s="160" t="s">
        <v>264</v>
      </c>
      <c r="M41" s="377">
        <v>44</v>
      </c>
      <c r="P41" s="297" t="s">
        <v>184</v>
      </c>
      <c r="Q41" s="241" t="s">
        <v>129</v>
      </c>
      <c r="R41" s="317" t="s">
        <v>130</v>
      </c>
      <c r="S41" s="241" t="s">
        <v>1022</v>
      </c>
      <c r="T41" s="241" t="s">
        <v>1023</v>
      </c>
      <c r="U41" s="241" t="s">
        <v>1017</v>
      </c>
      <c r="V41" s="241" t="s">
        <v>1016</v>
      </c>
      <c r="W41" s="241" t="s">
        <v>5</v>
      </c>
      <c r="X41" s="241" t="s">
        <v>5</v>
      </c>
      <c r="Y41" s="215" t="s">
        <v>1072</v>
      </c>
      <c r="Z41" s="318" t="s">
        <v>264</v>
      </c>
      <c r="AA41" s="378">
        <v>44</v>
      </c>
      <c r="AB41" s="63">
        <f t="shared" si="0"/>
        <v>12</v>
      </c>
      <c r="AC41" s="143" t="s">
        <v>184</v>
      </c>
      <c r="AD41" s="77" t="s">
        <v>129</v>
      </c>
      <c r="AE41" s="128" t="s">
        <v>130</v>
      </c>
      <c r="AF41" s="77" t="s">
        <v>1022</v>
      </c>
      <c r="AG41" s="77" t="s">
        <v>1023</v>
      </c>
      <c r="AH41" s="77" t="s">
        <v>1017</v>
      </c>
      <c r="AI41" s="77" t="s">
        <v>1016</v>
      </c>
      <c r="AJ41" s="92" t="s">
        <v>5</v>
      </c>
      <c r="AK41" s="77" t="s">
        <v>5</v>
      </c>
      <c r="AL41" s="94" t="s">
        <v>1072</v>
      </c>
      <c r="AM41" s="144" t="s">
        <v>264</v>
      </c>
      <c r="AN41" s="145">
        <v>44</v>
      </c>
      <c r="AP41" s="210" t="str">
        <f t="shared" si="2"/>
        <v/>
      </c>
      <c r="AQ41" s="263"/>
      <c r="AR41" s="210" t="str">
        <f t="shared" si="3"/>
        <v/>
      </c>
      <c r="AS41" s="217"/>
      <c r="AT41" s="210" t="s">
        <v>503</v>
      </c>
      <c r="AU41" s="263"/>
      <c r="AV41" s="217"/>
      <c r="BB41" s="83" t="str">
        <f t="array" ref="BB41">_xlfn.IFS(AQ41="","",LEN(AQ41)-LEN(SUBSTITUTE(AQ41,".",""))=3,LEFT(AQ41,vitri(".",AQ41,3)-1),LEN(AQ41)-LEN(SUBSTITUTE(AQ41,".",""))=2,LEFT(AQ41,vitri(".",AQ41,2)-1),TRUE,LEFT(AQ41,vitri(".",AQ41,1)-1))</f>
        <v/>
      </c>
    </row>
    <row r="42" spans="1:54" ht="15.75" customHeight="1" x14ac:dyDescent="0.25">
      <c r="A42" s="84"/>
      <c r="B42" s="108" t="s">
        <v>184</v>
      </c>
      <c r="C42" s="1" t="s">
        <v>129</v>
      </c>
      <c r="D42" s="159" t="s">
        <v>130</v>
      </c>
      <c r="E42" s="1" t="s">
        <v>1024</v>
      </c>
      <c r="F42" s="1" t="s">
        <v>1025</v>
      </c>
      <c r="G42" s="1" t="s">
        <v>5</v>
      </c>
      <c r="H42" s="1" t="s">
        <v>5</v>
      </c>
      <c r="I42" s="1" t="s">
        <v>5</v>
      </c>
      <c r="J42" s="1" t="s">
        <v>5</v>
      </c>
      <c r="K42" s="204" t="str">
        <f t="shared" si="1"/>
        <v>F_PIA_SFV_10</v>
      </c>
      <c r="L42" s="160" t="s">
        <v>262</v>
      </c>
      <c r="M42" s="377">
        <v>45</v>
      </c>
      <c r="P42" s="297" t="s">
        <v>184</v>
      </c>
      <c r="Q42" s="241" t="s">
        <v>129</v>
      </c>
      <c r="R42" s="317" t="s">
        <v>130</v>
      </c>
      <c r="S42" s="241" t="s">
        <v>1024</v>
      </c>
      <c r="T42" s="241" t="s">
        <v>1025</v>
      </c>
      <c r="U42" s="241" t="s">
        <v>5</v>
      </c>
      <c r="V42" s="241" t="s">
        <v>5</v>
      </c>
      <c r="W42" s="241" t="s">
        <v>5</v>
      </c>
      <c r="X42" s="241" t="s">
        <v>5</v>
      </c>
      <c r="Y42" s="257" t="s">
        <v>1073</v>
      </c>
      <c r="Z42" s="318" t="s">
        <v>262</v>
      </c>
      <c r="AA42" s="378">
        <v>45</v>
      </c>
      <c r="AB42" s="63">
        <f t="shared" si="0"/>
        <v>10</v>
      </c>
      <c r="AC42" s="143" t="s">
        <v>184</v>
      </c>
      <c r="AD42" s="77" t="s">
        <v>129</v>
      </c>
      <c r="AE42" s="128" t="s">
        <v>130</v>
      </c>
      <c r="AF42" s="77" t="s">
        <v>1024</v>
      </c>
      <c r="AG42" s="77" t="s">
        <v>1025</v>
      </c>
      <c r="AH42" s="77" t="s">
        <v>5</v>
      </c>
      <c r="AI42" s="77" t="s">
        <v>5</v>
      </c>
      <c r="AJ42" s="92" t="s">
        <v>5</v>
      </c>
      <c r="AK42" s="77" t="s">
        <v>5</v>
      </c>
      <c r="AL42" s="94" t="s">
        <v>1073</v>
      </c>
      <c r="AM42" s="144" t="s">
        <v>262</v>
      </c>
      <c r="AN42" s="145">
        <v>45</v>
      </c>
      <c r="AP42" s="210" t="str">
        <f t="shared" si="2"/>
        <v/>
      </c>
      <c r="AQ42" s="263"/>
      <c r="AR42" s="210" t="str">
        <f t="shared" si="3"/>
        <v/>
      </c>
      <c r="AS42" s="217"/>
      <c r="AT42" s="210" t="s">
        <v>503</v>
      </c>
      <c r="AU42" s="263"/>
      <c r="AV42" s="217"/>
      <c r="BB42" s="83" t="str">
        <f t="array" ref="BB42">_xlfn.IFS(AQ42="","",LEN(AQ42)-LEN(SUBSTITUTE(AQ42,".",""))=3,LEFT(AQ42,vitri(".",AQ42,3)-1),LEN(AQ42)-LEN(SUBSTITUTE(AQ42,".",""))=2,LEFT(AQ42,vitri(".",AQ42,2)-1),TRUE,LEFT(AQ42,vitri(".",AQ42,1)-1))</f>
        <v/>
      </c>
    </row>
    <row r="43" spans="1:54" ht="15.75" customHeight="1" x14ac:dyDescent="0.25">
      <c r="A43" s="84"/>
      <c r="B43" s="108" t="s">
        <v>184</v>
      </c>
      <c r="C43" s="1" t="s">
        <v>129</v>
      </c>
      <c r="D43" s="159" t="s">
        <v>130</v>
      </c>
      <c r="E43" s="1" t="s">
        <v>465</v>
      </c>
      <c r="F43" s="1" t="s">
        <v>466</v>
      </c>
      <c r="G43" s="1" t="s">
        <v>1026</v>
      </c>
      <c r="H43" s="1" t="s">
        <v>1026</v>
      </c>
      <c r="I43" s="1" t="s">
        <v>5</v>
      </c>
      <c r="J43" s="1" t="s">
        <v>5</v>
      </c>
      <c r="K43" s="204" t="str">
        <f t="shared" si="1"/>
        <v>F_PIA_WMT_DN25_13</v>
      </c>
      <c r="L43" s="160" t="s">
        <v>265</v>
      </c>
      <c r="M43" s="377">
        <v>47</v>
      </c>
      <c r="P43" s="297" t="s">
        <v>184</v>
      </c>
      <c r="Q43" s="241" t="s">
        <v>129</v>
      </c>
      <c r="R43" s="317" t="s">
        <v>130</v>
      </c>
      <c r="S43" s="241" t="s">
        <v>465</v>
      </c>
      <c r="T43" s="241" t="s">
        <v>466</v>
      </c>
      <c r="U43" s="241" t="s">
        <v>1026</v>
      </c>
      <c r="V43" s="241" t="s">
        <v>1026</v>
      </c>
      <c r="W43" s="241" t="s">
        <v>5</v>
      </c>
      <c r="X43" s="241" t="s">
        <v>5</v>
      </c>
      <c r="Y43" s="257" t="s">
        <v>1074</v>
      </c>
      <c r="Z43" s="318" t="s">
        <v>265</v>
      </c>
      <c r="AA43" s="378">
        <v>47</v>
      </c>
      <c r="AB43" s="63">
        <f t="shared" si="0"/>
        <v>13</v>
      </c>
      <c r="AC43" s="143" t="s">
        <v>184</v>
      </c>
      <c r="AD43" s="77" t="s">
        <v>129</v>
      </c>
      <c r="AE43" s="128" t="s">
        <v>130</v>
      </c>
      <c r="AF43" s="77" t="s">
        <v>465</v>
      </c>
      <c r="AG43" s="77" t="s">
        <v>466</v>
      </c>
      <c r="AH43" s="77" t="s">
        <v>1026</v>
      </c>
      <c r="AI43" s="77" t="s">
        <v>1026</v>
      </c>
      <c r="AJ43" s="92" t="s">
        <v>5</v>
      </c>
      <c r="AK43" s="77" t="s">
        <v>5</v>
      </c>
      <c r="AL43" s="94" t="s">
        <v>1074</v>
      </c>
      <c r="AM43" s="144" t="s">
        <v>265</v>
      </c>
      <c r="AN43" s="145">
        <v>47</v>
      </c>
      <c r="AP43" s="210" t="str">
        <f t="shared" si="2"/>
        <v/>
      </c>
      <c r="AQ43" s="263"/>
      <c r="AR43" s="210" t="str">
        <f t="shared" si="3"/>
        <v/>
      </c>
      <c r="AS43" s="217"/>
      <c r="AT43" s="210" t="s">
        <v>503</v>
      </c>
      <c r="AU43" s="263"/>
      <c r="AV43" s="217"/>
      <c r="BB43" s="83" t="str">
        <f t="array" ref="BB43">_xlfn.IFS(AQ43="","",LEN(AQ43)-LEN(SUBSTITUTE(AQ43,".",""))=3,LEFT(AQ43,vitri(".",AQ43,3)-1),LEN(AQ43)-LEN(SUBSTITUTE(AQ43,".",""))=2,LEFT(AQ43,vitri(".",AQ43,2)-1),TRUE,LEFT(AQ43,vitri(".",AQ43,1)-1))</f>
        <v/>
      </c>
    </row>
    <row r="44" spans="1:54" ht="15.75" customHeight="1" x14ac:dyDescent="0.25">
      <c r="A44" s="84"/>
      <c r="B44" s="108" t="s">
        <v>184</v>
      </c>
      <c r="C44" s="1" t="s">
        <v>129</v>
      </c>
      <c r="D44" s="159" t="s">
        <v>130</v>
      </c>
      <c r="E44" s="1" t="s">
        <v>327</v>
      </c>
      <c r="F44" s="1" t="s">
        <v>328</v>
      </c>
      <c r="G44" s="1" t="s">
        <v>1013</v>
      </c>
      <c r="H44" s="1" t="s">
        <v>1014</v>
      </c>
      <c r="I44" s="1" t="s">
        <v>5</v>
      </c>
      <c r="J44" s="1" t="s">
        <v>5</v>
      </c>
      <c r="K44" s="204" t="str">
        <f t="shared" si="1"/>
        <v>F_PIA_YST_B50_14</v>
      </c>
      <c r="L44" s="160" t="s">
        <v>266</v>
      </c>
      <c r="M44" s="377">
        <v>46</v>
      </c>
      <c r="P44" s="297" t="s">
        <v>184</v>
      </c>
      <c r="Q44" s="241" t="s">
        <v>129</v>
      </c>
      <c r="R44" s="317" t="s">
        <v>130</v>
      </c>
      <c r="S44" s="241" t="s">
        <v>327</v>
      </c>
      <c r="T44" s="241" t="s">
        <v>328</v>
      </c>
      <c r="U44" s="241" t="s">
        <v>1013</v>
      </c>
      <c r="V44" s="241" t="s">
        <v>1014</v>
      </c>
      <c r="W44" s="241" t="s">
        <v>5</v>
      </c>
      <c r="X44" s="241" t="s">
        <v>5</v>
      </c>
      <c r="Y44" s="257" t="s">
        <v>1075</v>
      </c>
      <c r="Z44" s="318" t="s">
        <v>266</v>
      </c>
      <c r="AA44" s="378">
        <v>46</v>
      </c>
      <c r="AB44" s="63">
        <f t="shared" si="0"/>
        <v>14</v>
      </c>
      <c r="AC44" s="143" t="s">
        <v>184</v>
      </c>
      <c r="AD44" s="77" t="s">
        <v>129</v>
      </c>
      <c r="AE44" s="128" t="s">
        <v>130</v>
      </c>
      <c r="AF44" s="77" t="s">
        <v>327</v>
      </c>
      <c r="AG44" s="77" t="s">
        <v>328</v>
      </c>
      <c r="AH44" s="77" t="s">
        <v>1013</v>
      </c>
      <c r="AI44" s="77" t="s">
        <v>1014</v>
      </c>
      <c r="AJ44" s="92" t="s">
        <v>5</v>
      </c>
      <c r="AK44" s="77" t="s">
        <v>5</v>
      </c>
      <c r="AL44" s="94" t="s">
        <v>1075</v>
      </c>
      <c r="AM44" s="144" t="s">
        <v>266</v>
      </c>
      <c r="AN44" s="145">
        <v>46</v>
      </c>
      <c r="AP44" s="210" t="str">
        <f t="shared" si="2"/>
        <v/>
      </c>
      <c r="AQ44" s="263"/>
      <c r="AR44" s="210" t="str">
        <f t="shared" si="3"/>
        <v/>
      </c>
      <c r="AS44" s="217"/>
      <c r="AT44" s="210" t="s">
        <v>503</v>
      </c>
      <c r="AU44" s="263"/>
      <c r="AV44" s="217"/>
      <c r="BB44" s="83" t="str">
        <f t="array" ref="BB44">_xlfn.IFS(AQ44="","",LEN(AQ44)-LEN(SUBSTITUTE(AQ44,".",""))=3,LEFT(AQ44,vitri(".",AQ44,3)-1),LEN(AQ44)-LEN(SUBSTITUTE(AQ44,".",""))=2,LEFT(AQ44,vitri(".",AQ44,2)-1),TRUE,LEFT(AQ44,vitri(".",AQ44,1)-1))</f>
        <v/>
      </c>
    </row>
    <row r="45" spans="1:54" ht="15.75" customHeight="1" x14ac:dyDescent="0.25">
      <c r="A45" s="84"/>
      <c r="B45" s="108" t="s">
        <v>184</v>
      </c>
      <c r="C45" s="1" t="s">
        <v>129</v>
      </c>
      <c r="D45" s="159" t="s">
        <v>130</v>
      </c>
      <c r="E45" s="1" t="s">
        <v>327</v>
      </c>
      <c r="F45" s="1" t="s">
        <v>328</v>
      </c>
      <c r="G45" s="1" t="s">
        <v>1017</v>
      </c>
      <c r="H45" s="1" t="s">
        <v>1016</v>
      </c>
      <c r="I45" s="1" t="s">
        <v>5</v>
      </c>
      <c r="J45" s="1" t="s">
        <v>5</v>
      </c>
      <c r="K45" s="204" t="str">
        <f t="shared" si="1"/>
        <v>F_PIA_YST_O50_15</v>
      </c>
      <c r="L45" s="160" t="s">
        <v>267</v>
      </c>
      <c r="M45" s="377">
        <v>48</v>
      </c>
      <c r="P45" s="297" t="s">
        <v>184</v>
      </c>
      <c r="Q45" s="241" t="s">
        <v>129</v>
      </c>
      <c r="R45" s="317" t="s">
        <v>130</v>
      </c>
      <c r="S45" s="241" t="s">
        <v>327</v>
      </c>
      <c r="T45" s="241" t="s">
        <v>328</v>
      </c>
      <c r="U45" s="241" t="s">
        <v>1017</v>
      </c>
      <c r="V45" s="241" t="s">
        <v>1016</v>
      </c>
      <c r="W45" s="241" t="s">
        <v>5</v>
      </c>
      <c r="X45" s="241" t="s">
        <v>5</v>
      </c>
      <c r="Y45" s="257" t="s">
        <v>1076</v>
      </c>
      <c r="Z45" s="318" t="s">
        <v>267</v>
      </c>
      <c r="AA45" s="378">
        <v>48</v>
      </c>
      <c r="AB45" s="63">
        <f t="shared" si="0"/>
        <v>15</v>
      </c>
      <c r="AC45" s="143" t="s">
        <v>184</v>
      </c>
      <c r="AD45" s="77" t="s">
        <v>129</v>
      </c>
      <c r="AE45" s="128" t="s">
        <v>130</v>
      </c>
      <c r="AF45" s="77" t="s">
        <v>327</v>
      </c>
      <c r="AG45" s="77" t="s">
        <v>328</v>
      </c>
      <c r="AH45" s="77" t="s">
        <v>1017</v>
      </c>
      <c r="AI45" s="77" t="s">
        <v>1016</v>
      </c>
      <c r="AJ45" s="92" t="s">
        <v>5</v>
      </c>
      <c r="AK45" s="77" t="s">
        <v>5</v>
      </c>
      <c r="AL45" s="94" t="s">
        <v>1076</v>
      </c>
      <c r="AM45" s="144" t="s">
        <v>267</v>
      </c>
      <c r="AN45" s="145">
        <v>48</v>
      </c>
      <c r="AP45" s="210" t="str">
        <f t="shared" si="2"/>
        <v/>
      </c>
      <c r="AQ45" s="263"/>
      <c r="AR45" s="210" t="str">
        <f t="shared" si="3"/>
        <v/>
      </c>
      <c r="AS45" s="217"/>
      <c r="AT45" s="210" t="s">
        <v>503</v>
      </c>
      <c r="AU45" s="263"/>
      <c r="AV45" s="217"/>
      <c r="BB45" s="83" t="str">
        <f t="array" ref="BB45">_xlfn.IFS(AQ45="","",LEN(AQ45)-LEN(SUBSTITUTE(AQ45,".",""))=3,LEFT(AQ45,vitri(".",AQ45,3)-1),LEN(AQ45)-LEN(SUBSTITUTE(AQ45,".",""))=2,LEFT(AQ45,vitri(".",AQ45,2)-1),TRUE,LEFT(AQ45,vitri(".",AQ45,1)-1))</f>
        <v/>
      </c>
    </row>
    <row r="46" spans="1:54" ht="15.75" customHeight="1" x14ac:dyDescent="0.25">
      <c r="A46" s="84"/>
      <c r="B46" s="108" t="s">
        <v>184</v>
      </c>
      <c r="C46" s="1" t="s">
        <v>136</v>
      </c>
      <c r="D46" s="159" t="s">
        <v>137</v>
      </c>
      <c r="E46" s="1" t="s">
        <v>1027</v>
      </c>
      <c r="F46" s="1" t="s">
        <v>1028</v>
      </c>
      <c r="G46" s="1" t="s">
        <v>28</v>
      </c>
      <c r="H46" s="1" t="s">
        <v>29</v>
      </c>
      <c r="I46" s="1" t="s">
        <v>142</v>
      </c>
      <c r="J46" s="1" t="s">
        <v>143</v>
      </c>
      <c r="K46" s="204" t="str">
        <f t="shared" si="1"/>
        <v>F_PIF_CAE_STE_FLG_01</v>
      </c>
      <c r="L46" s="160" t="s">
        <v>253</v>
      </c>
      <c r="M46" s="377">
        <v>60</v>
      </c>
      <c r="P46" s="297" t="s">
        <v>184</v>
      </c>
      <c r="Q46" s="241" t="s">
        <v>136</v>
      </c>
      <c r="R46" s="317" t="s">
        <v>137</v>
      </c>
      <c r="S46" s="241" t="s">
        <v>1027</v>
      </c>
      <c r="T46" s="241" t="s">
        <v>1028</v>
      </c>
      <c r="U46" s="241" t="s">
        <v>28</v>
      </c>
      <c r="V46" s="241" t="s">
        <v>29</v>
      </c>
      <c r="W46" s="241" t="s">
        <v>142</v>
      </c>
      <c r="X46" s="241" t="s">
        <v>143</v>
      </c>
      <c r="Y46" s="257" t="s">
        <v>1077</v>
      </c>
      <c r="Z46" s="318" t="s">
        <v>253</v>
      </c>
      <c r="AA46" s="378">
        <v>60</v>
      </c>
      <c r="AB46" s="63">
        <f t="shared" si="0"/>
        <v>1</v>
      </c>
      <c r="AC46" s="143" t="s">
        <v>184</v>
      </c>
      <c r="AD46" s="77" t="s">
        <v>136</v>
      </c>
      <c r="AE46" s="128" t="s">
        <v>137</v>
      </c>
      <c r="AF46" s="77" t="s">
        <v>1027</v>
      </c>
      <c r="AG46" s="77" t="s">
        <v>1028</v>
      </c>
      <c r="AH46" s="77" t="s">
        <v>28</v>
      </c>
      <c r="AI46" s="77" t="s">
        <v>29</v>
      </c>
      <c r="AJ46" s="92" t="s">
        <v>142</v>
      </c>
      <c r="AK46" s="77" t="s">
        <v>143</v>
      </c>
      <c r="AL46" s="94" t="s">
        <v>1077</v>
      </c>
      <c r="AM46" s="144" t="s">
        <v>253</v>
      </c>
      <c r="AN46" s="145">
        <v>60</v>
      </c>
      <c r="AP46" s="210" t="str">
        <f t="shared" si="2"/>
        <v/>
      </c>
      <c r="AQ46" s="263"/>
      <c r="AR46" s="210" t="str">
        <f t="shared" si="3"/>
        <v/>
      </c>
      <c r="AS46" s="217"/>
      <c r="AT46" s="210" t="s">
        <v>503</v>
      </c>
      <c r="AU46" s="263"/>
      <c r="AV46" s="217"/>
      <c r="BB46" s="83" t="str">
        <f t="array" ref="BB46">_xlfn.IFS(AQ46="","",LEN(AQ46)-LEN(SUBSTITUTE(AQ46,".",""))=3,LEFT(AQ46,vitri(".",AQ46,3)-1),LEN(AQ46)-LEN(SUBSTITUTE(AQ46,".",""))=2,LEFT(AQ46,vitri(".",AQ46,2)-1),TRUE,LEFT(AQ46,vitri(".",AQ46,1)-1))</f>
        <v/>
      </c>
    </row>
    <row r="47" spans="1:54" ht="15.75" customHeight="1" x14ac:dyDescent="0.25">
      <c r="A47" s="84"/>
      <c r="B47" s="108" t="s">
        <v>184</v>
      </c>
      <c r="C47" s="1" t="s">
        <v>136</v>
      </c>
      <c r="D47" s="159" t="s">
        <v>137</v>
      </c>
      <c r="E47" s="1" t="s">
        <v>1027</v>
      </c>
      <c r="F47" s="1" t="s">
        <v>1028</v>
      </c>
      <c r="G47" s="1" t="s">
        <v>28</v>
      </c>
      <c r="H47" s="1" t="s">
        <v>29</v>
      </c>
      <c r="I47" s="1" t="s">
        <v>1029</v>
      </c>
      <c r="J47" s="1" t="s">
        <v>1030</v>
      </c>
      <c r="K47" s="204" t="str">
        <f t="shared" si="1"/>
        <v>F_PIF_CAE_STE_THR_04</v>
      </c>
      <c r="L47" s="160" t="s">
        <v>256</v>
      </c>
      <c r="M47" s="377">
        <v>63</v>
      </c>
      <c r="P47" s="297" t="s">
        <v>184</v>
      </c>
      <c r="Q47" s="241" t="s">
        <v>136</v>
      </c>
      <c r="R47" s="317" t="s">
        <v>137</v>
      </c>
      <c r="S47" s="241" t="s">
        <v>1027</v>
      </c>
      <c r="T47" s="241" t="s">
        <v>1028</v>
      </c>
      <c r="U47" s="241" t="s">
        <v>28</v>
      </c>
      <c r="V47" s="241" t="s">
        <v>29</v>
      </c>
      <c r="W47" s="241" t="s">
        <v>1029</v>
      </c>
      <c r="X47" s="241" t="s">
        <v>1030</v>
      </c>
      <c r="Y47" s="257" t="s">
        <v>1078</v>
      </c>
      <c r="Z47" s="318" t="s">
        <v>256</v>
      </c>
      <c r="AA47" s="378">
        <v>63</v>
      </c>
      <c r="AB47" s="63">
        <f t="shared" si="0"/>
        <v>4</v>
      </c>
      <c r="AC47" s="143" t="s">
        <v>184</v>
      </c>
      <c r="AD47" s="77" t="s">
        <v>136</v>
      </c>
      <c r="AE47" s="128" t="s">
        <v>137</v>
      </c>
      <c r="AF47" s="77" t="s">
        <v>1027</v>
      </c>
      <c r="AG47" s="77" t="s">
        <v>1028</v>
      </c>
      <c r="AH47" s="77" t="s">
        <v>28</v>
      </c>
      <c r="AI47" s="77" t="s">
        <v>29</v>
      </c>
      <c r="AJ47" s="92" t="s">
        <v>1029</v>
      </c>
      <c r="AK47" s="77" t="s">
        <v>1030</v>
      </c>
      <c r="AL47" s="94" t="s">
        <v>1078</v>
      </c>
      <c r="AM47" s="144" t="s">
        <v>256</v>
      </c>
      <c r="AN47" s="145">
        <v>63</v>
      </c>
      <c r="AP47" s="210" t="str">
        <f t="shared" si="2"/>
        <v/>
      </c>
      <c r="AQ47" s="263"/>
      <c r="AR47" s="210" t="str">
        <f t="shared" si="3"/>
        <v/>
      </c>
      <c r="AS47" s="217"/>
      <c r="AT47" s="210" t="s">
        <v>503</v>
      </c>
      <c r="AU47" s="263"/>
      <c r="AV47" s="217"/>
      <c r="BB47" s="83" t="str">
        <f t="array" ref="BB47">_xlfn.IFS(AQ47="","",LEN(AQ47)-LEN(SUBSTITUTE(AQ47,".",""))=3,LEFT(AQ47,vitri(".",AQ47,3)-1),LEN(AQ47)-LEN(SUBSTITUTE(AQ47,".",""))=2,LEFT(AQ47,vitri(".",AQ47,2)-1),TRUE,LEFT(AQ47,vitri(".",AQ47,1)-1))</f>
        <v/>
      </c>
    </row>
    <row r="48" spans="1:54" ht="16.5" customHeight="1" x14ac:dyDescent="0.25">
      <c r="A48" s="84"/>
      <c r="B48" s="108" t="s">
        <v>184</v>
      </c>
      <c r="C48" s="1" t="s">
        <v>136</v>
      </c>
      <c r="D48" s="159" t="s">
        <v>137</v>
      </c>
      <c r="E48" s="1" t="s">
        <v>838</v>
      </c>
      <c r="F48" s="1" t="s">
        <v>1031</v>
      </c>
      <c r="G48" s="1" t="s">
        <v>28</v>
      </c>
      <c r="H48" s="1" t="s">
        <v>29</v>
      </c>
      <c r="I48" s="1" t="s">
        <v>1032</v>
      </c>
      <c r="J48" s="1" t="s">
        <v>1033</v>
      </c>
      <c r="K48" s="204" t="str">
        <f t="shared" si="1"/>
        <v>F_PIF_COP_STE_WEL_08</v>
      </c>
      <c r="L48" s="160" t="s">
        <v>260</v>
      </c>
      <c r="M48" s="377">
        <v>67</v>
      </c>
      <c r="O48" s="226"/>
      <c r="P48" s="297" t="s">
        <v>184</v>
      </c>
      <c r="Q48" s="241" t="s">
        <v>136</v>
      </c>
      <c r="R48" s="317" t="s">
        <v>137</v>
      </c>
      <c r="S48" s="241" t="s">
        <v>838</v>
      </c>
      <c r="T48" s="241" t="s">
        <v>1031</v>
      </c>
      <c r="U48" s="241" t="s">
        <v>28</v>
      </c>
      <c r="V48" s="241" t="s">
        <v>29</v>
      </c>
      <c r="W48" s="241" t="s">
        <v>1032</v>
      </c>
      <c r="X48" s="241" t="s">
        <v>1033</v>
      </c>
      <c r="Y48" s="257" t="s">
        <v>1079</v>
      </c>
      <c r="Z48" s="318" t="s">
        <v>260</v>
      </c>
      <c r="AA48" s="378">
        <v>67</v>
      </c>
      <c r="AB48" s="63">
        <f t="shared" si="0"/>
        <v>8</v>
      </c>
      <c r="AC48" s="143" t="s">
        <v>184</v>
      </c>
      <c r="AD48" s="77" t="s">
        <v>136</v>
      </c>
      <c r="AE48" s="128" t="s">
        <v>137</v>
      </c>
      <c r="AF48" s="77" t="s">
        <v>838</v>
      </c>
      <c r="AG48" s="77" t="s">
        <v>1031</v>
      </c>
      <c r="AH48" s="77" t="s">
        <v>28</v>
      </c>
      <c r="AI48" s="77" t="s">
        <v>29</v>
      </c>
      <c r="AJ48" s="92" t="s">
        <v>1032</v>
      </c>
      <c r="AK48" s="77" t="s">
        <v>1033</v>
      </c>
      <c r="AL48" s="94" t="s">
        <v>1079</v>
      </c>
      <c r="AM48" s="144" t="s">
        <v>260</v>
      </c>
      <c r="AN48" s="145">
        <v>67</v>
      </c>
      <c r="AP48" s="210" t="str">
        <f t="shared" si="2"/>
        <v/>
      </c>
      <c r="AQ48" s="263"/>
      <c r="AR48" s="210" t="str">
        <f t="shared" si="3"/>
        <v/>
      </c>
      <c r="AS48" s="217"/>
      <c r="AT48" s="210" t="s">
        <v>503</v>
      </c>
      <c r="AU48" s="263"/>
      <c r="AV48" s="217"/>
      <c r="BB48" s="83" t="str">
        <f t="array" ref="BB48">_xlfn.IFS(AQ48="","",LEN(AQ48)-LEN(SUBSTITUTE(AQ48,".",""))=3,LEFT(AQ48,vitri(".",AQ48,3)-1),LEN(AQ48)-LEN(SUBSTITUTE(AQ48,".",""))=2,LEFT(AQ48,vitri(".",AQ48,2)-1),TRUE,LEFT(AQ48,vitri(".",AQ48,1)-1))</f>
        <v/>
      </c>
    </row>
    <row r="49" spans="1:54" ht="16.5" customHeight="1" x14ac:dyDescent="0.25">
      <c r="A49" s="84"/>
      <c r="B49" s="108" t="s">
        <v>184</v>
      </c>
      <c r="C49" s="1" t="s">
        <v>136</v>
      </c>
      <c r="D49" s="159" t="s">
        <v>137</v>
      </c>
      <c r="E49" s="1" t="s">
        <v>138</v>
      </c>
      <c r="F49" s="1" t="s">
        <v>139</v>
      </c>
      <c r="G49" s="1" t="s">
        <v>28</v>
      </c>
      <c r="H49" s="1" t="s">
        <v>29</v>
      </c>
      <c r="I49" s="1" t="s">
        <v>1029</v>
      </c>
      <c r="J49" s="1" t="s">
        <v>1030</v>
      </c>
      <c r="K49" s="204" t="str">
        <f t="shared" si="1"/>
        <v>F_PIF_ELB_STE_THR_05</v>
      </c>
      <c r="L49" s="160" t="s">
        <v>257</v>
      </c>
      <c r="M49" s="377">
        <v>64</v>
      </c>
      <c r="O49" s="226"/>
      <c r="P49" s="297" t="s">
        <v>184</v>
      </c>
      <c r="Q49" s="241" t="s">
        <v>136</v>
      </c>
      <c r="R49" s="317" t="s">
        <v>137</v>
      </c>
      <c r="S49" s="241" t="s">
        <v>138</v>
      </c>
      <c r="T49" s="241" t="s">
        <v>139</v>
      </c>
      <c r="U49" s="241" t="s">
        <v>28</v>
      </c>
      <c r="V49" s="241" t="s">
        <v>29</v>
      </c>
      <c r="W49" s="241" t="s">
        <v>1029</v>
      </c>
      <c r="X49" s="241" t="s">
        <v>1030</v>
      </c>
      <c r="Y49" s="257" t="s">
        <v>1080</v>
      </c>
      <c r="Z49" s="318" t="s">
        <v>257</v>
      </c>
      <c r="AA49" s="378">
        <v>64</v>
      </c>
      <c r="AB49" s="63">
        <f t="shared" si="0"/>
        <v>5</v>
      </c>
      <c r="AC49" s="143" t="s">
        <v>184</v>
      </c>
      <c r="AD49" s="77" t="s">
        <v>136</v>
      </c>
      <c r="AE49" s="128" t="s">
        <v>137</v>
      </c>
      <c r="AF49" s="77" t="s">
        <v>138</v>
      </c>
      <c r="AG49" s="77" t="s">
        <v>139</v>
      </c>
      <c r="AH49" s="77" t="s">
        <v>28</v>
      </c>
      <c r="AI49" s="77" t="s">
        <v>29</v>
      </c>
      <c r="AJ49" s="92" t="s">
        <v>1029</v>
      </c>
      <c r="AK49" s="77" t="s">
        <v>1030</v>
      </c>
      <c r="AL49" s="94" t="s">
        <v>1080</v>
      </c>
      <c r="AM49" s="144" t="s">
        <v>257</v>
      </c>
      <c r="AN49" s="145">
        <v>64</v>
      </c>
      <c r="AP49" s="210" t="str">
        <f t="shared" si="2"/>
        <v/>
      </c>
      <c r="AQ49" s="263"/>
      <c r="AR49" s="210" t="str">
        <f t="shared" si="3"/>
        <v/>
      </c>
      <c r="AS49" s="217"/>
      <c r="AT49" s="210" t="s">
        <v>503</v>
      </c>
      <c r="AU49" s="263"/>
      <c r="AV49" s="217"/>
      <c r="BB49" s="83" t="str">
        <f t="array" ref="BB49">_xlfn.IFS(AQ49="","",LEN(AQ49)-LEN(SUBSTITUTE(AQ49,".",""))=3,LEFT(AQ49,vitri(".",AQ49,3)-1),LEN(AQ49)-LEN(SUBSTITUTE(AQ49,".",""))=2,LEFT(AQ49,vitri(".",AQ49,2)-1),TRUE,LEFT(AQ49,vitri(".",AQ49,1)-1))</f>
        <v/>
      </c>
    </row>
    <row r="50" spans="1:54" ht="16.5" customHeight="1" x14ac:dyDescent="0.25">
      <c r="A50" s="84"/>
      <c r="B50" s="108" t="s">
        <v>184</v>
      </c>
      <c r="C50" s="1" t="s">
        <v>136</v>
      </c>
      <c r="D50" s="159" t="s">
        <v>137</v>
      </c>
      <c r="E50" s="1" t="s">
        <v>138</v>
      </c>
      <c r="F50" s="1" t="s">
        <v>139</v>
      </c>
      <c r="G50" s="1" t="s">
        <v>28</v>
      </c>
      <c r="H50" s="1" t="s">
        <v>29</v>
      </c>
      <c r="I50" s="1" t="s">
        <v>1032</v>
      </c>
      <c r="J50" s="1" t="s">
        <v>1033</v>
      </c>
      <c r="K50" s="204" t="str">
        <f t="shared" si="1"/>
        <v>F_PIF_ELB_STE_WEL_09</v>
      </c>
      <c r="L50" s="160" t="s">
        <v>261</v>
      </c>
      <c r="M50" s="377">
        <v>68</v>
      </c>
      <c r="O50" s="226"/>
      <c r="P50" s="297" t="s">
        <v>184</v>
      </c>
      <c r="Q50" s="241" t="s">
        <v>136</v>
      </c>
      <c r="R50" s="317" t="s">
        <v>137</v>
      </c>
      <c r="S50" s="241" t="s">
        <v>138</v>
      </c>
      <c r="T50" s="241" t="s">
        <v>139</v>
      </c>
      <c r="U50" s="241" t="s">
        <v>28</v>
      </c>
      <c r="V50" s="241" t="s">
        <v>29</v>
      </c>
      <c r="W50" s="241" t="s">
        <v>1032</v>
      </c>
      <c r="X50" s="241" t="s">
        <v>1033</v>
      </c>
      <c r="Y50" s="257" t="s">
        <v>1081</v>
      </c>
      <c r="Z50" s="318" t="s">
        <v>261</v>
      </c>
      <c r="AA50" s="378">
        <v>68</v>
      </c>
      <c r="AB50" s="63">
        <f t="shared" si="0"/>
        <v>9</v>
      </c>
      <c r="AC50" s="143" t="s">
        <v>184</v>
      </c>
      <c r="AD50" s="77" t="s">
        <v>136</v>
      </c>
      <c r="AE50" s="128" t="s">
        <v>137</v>
      </c>
      <c r="AF50" s="77" t="s">
        <v>138</v>
      </c>
      <c r="AG50" s="77" t="s">
        <v>139</v>
      </c>
      <c r="AH50" s="77" t="s">
        <v>28</v>
      </c>
      <c r="AI50" s="77" t="s">
        <v>29</v>
      </c>
      <c r="AJ50" s="92" t="s">
        <v>1032</v>
      </c>
      <c r="AK50" s="77" t="s">
        <v>1033</v>
      </c>
      <c r="AL50" s="94" t="s">
        <v>1081</v>
      </c>
      <c r="AM50" s="144" t="s">
        <v>261</v>
      </c>
      <c r="AN50" s="145">
        <v>68</v>
      </c>
      <c r="AP50" s="210" t="str">
        <f t="shared" si="2"/>
        <v/>
      </c>
      <c r="AQ50" s="263"/>
      <c r="AR50" s="210" t="str">
        <f t="shared" si="3"/>
        <v/>
      </c>
      <c r="AS50" s="217"/>
      <c r="AT50" s="210" t="s">
        <v>503</v>
      </c>
      <c r="AU50" s="263"/>
      <c r="AV50" s="217"/>
      <c r="BB50" s="83" t="str">
        <f t="array" ref="BB50">_xlfn.IFS(AQ50="","",LEN(AQ50)-LEN(SUBSTITUTE(AQ50,".",""))=3,LEFT(AQ50,vitri(".",AQ50,3)-1),LEN(AQ50)-LEN(SUBSTITUTE(AQ50,".",""))=2,LEFT(AQ50,vitri(".",AQ50,2)-1),TRUE,LEFT(AQ50,vitri(".",AQ50,1)-1))</f>
        <v/>
      </c>
    </row>
    <row r="51" spans="1:54" ht="16.5" customHeight="1" x14ac:dyDescent="0.25">
      <c r="A51" s="84"/>
      <c r="B51" s="108" t="s">
        <v>184</v>
      </c>
      <c r="C51" s="1" t="s">
        <v>136</v>
      </c>
      <c r="D51" s="159" t="s">
        <v>137</v>
      </c>
      <c r="E51" s="1" t="s">
        <v>142</v>
      </c>
      <c r="F51" s="1" t="s">
        <v>143</v>
      </c>
      <c r="G51" s="1" t="s">
        <v>28</v>
      </c>
      <c r="H51" s="1" t="s">
        <v>29</v>
      </c>
      <c r="I51" s="1" t="s">
        <v>49</v>
      </c>
      <c r="J51" s="1" t="s">
        <v>1034</v>
      </c>
      <c r="K51" s="204" t="str">
        <f t="shared" si="1"/>
        <v>F_PIF_FLG_STE_DOB_03</v>
      </c>
      <c r="L51" s="160" t="s">
        <v>255</v>
      </c>
      <c r="M51" s="377">
        <v>62</v>
      </c>
      <c r="O51" s="226"/>
      <c r="P51" s="297" t="s">
        <v>184</v>
      </c>
      <c r="Q51" s="241" t="s">
        <v>136</v>
      </c>
      <c r="R51" s="317" t="s">
        <v>137</v>
      </c>
      <c r="S51" s="241" t="s">
        <v>142</v>
      </c>
      <c r="T51" s="241" t="s">
        <v>143</v>
      </c>
      <c r="U51" s="241" t="s">
        <v>28</v>
      </c>
      <c r="V51" s="241" t="s">
        <v>29</v>
      </c>
      <c r="W51" s="241" t="s">
        <v>49</v>
      </c>
      <c r="X51" s="241" t="s">
        <v>1034</v>
      </c>
      <c r="Y51" s="257" t="s">
        <v>1082</v>
      </c>
      <c r="Z51" s="318" t="s">
        <v>255</v>
      </c>
      <c r="AA51" s="378">
        <v>62</v>
      </c>
      <c r="AB51" s="63">
        <f t="shared" si="0"/>
        <v>3</v>
      </c>
      <c r="AC51" s="143" t="s">
        <v>184</v>
      </c>
      <c r="AD51" s="77" t="s">
        <v>136</v>
      </c>
      <c r="AE51" s="128" t="s">
        <v>137</v>
      </c>
      <c r="AF51" s="77" t="s">
        <v>142</v>
      </c>
      <c r="AG51" s="77" t="s">
        <v>143</v>
      </c>
      <c r="AH51" s="77" t="s">
        <v>28</v>
      </c>
      <c r="AI51" s="77" t="s">
        <v>29</v>
      </c>
      <c r="AJ51" s="92" t="s">
        <v>49</v>
      </c>
      <c r="AK51" s="77" t="s">
        <v>1034</v>
      </c>
      <c r="AL51" s="94" t="s">
        <v>1082</v>
      </c>
      <c r="AM51" s="144" t="s">
        <v>255</v>
      </c>
      <c r="AN51" s="145">
        <v>62</v>
      </c>
      <c r="AP51" s="210" t="str">
        <f t="shared" si="2"/>
        <v/>
      </c>
      <c r="AQ51" s="263"/>
      <c r="AR51" s="210" t="str">
        <f t="shared" si="3"/>
        <v/>
      </c>
      <c r="AS51" s="217"/>
      <c r="AT51" s="210" t="s">
        <v>503</v>
      </c>
      <c r="AU51" s="263"/>
      <c r="AV51" s="217"/>
      <c r="BB51" s="83" t="str">
        <f t="array" ref="BB51">_xlfn.IFS(AQ51="","",LEN(AQ51)-LEN(SUBSTITUTE(AQ51,".",""))=3,LEFT(AQ51,vitri(".",AQ51,3)-1),LEN(AQ51)-LEN(SUBSTITUTE(AQ51,".",""))=2,LEFT(AQ51,vitri(".",AQ51,2)-1),TRUE,LEFT(AQ51,vitri(".",AQ51,1)-1))</f>
        <v/>
      </c>
    </row>
    <row r="52" spans="1:54" ht="16.5" customHeight="1" x14ac:dyDescent="0.25">
      <c r="A52" s="84"/>
      <c r="B52" s="108" t="s">
        <v>184</v>
      </c>
      <c r="C52" s="1" t="s">
        <v>136</v>
      </c>
      <c r="D52" s="159" t="s">
        <v>137</v>
      </c>
      <c r="E52" s="1" t="s">
        <v>142</v>
      </c>
      <c r="F52" s="1" t="s">
        <v>143</v>
      </c>
      <c r="G52" s="1" t="s">
        <v>28</v>
      </c>
      <c r="H52" s="1" t="s">
        <v>29</v>
      </c>
      <c r="I52" s="1" t="s">
        <v>506</v>
      </c>
      <c r="J52" s="1" t="s">
        <v>852</v>
      </c>
      <c r="K52" s="204" t="str">
        <f t="shared" si="1"/>
        <v>F_PIF_FLG_STE_SIG_02</v>
      </c>
      <c r="L52" s="160" t="s">
        <v>254</v>
      </c>
      <c r="M52" s="377">
        <v>61</v>
      </c>
      <c r="O52" s="226"/>
      <c r="P52" s="297" t="s">
        <v>184</v>
      </c>
      <c r="Q52" s="241" t="s">
        <v>136</v>
      </c>
      <c r="R52" s="317" t="s">
        <v>137</v>
      </c>
      <c r="S52" s="241" t="s">
        <v>142</v>
      </c>
      <c r="T52" s="241" t="s">
        <v>143</v>
      </c>
      <c r="U52" s="241" t="s">
        <v>28</v>
      </c>
      <c r="V52" s="241" t="s">
        <v>29</v>
      </c>
      <c r="W52" s="241" t="s">
        <v>506</v>
      </c>
      <c r="X52" s="241" t="s">
        <v>852</v>
      </c>
      <c r="Y52" s="257" t="s">
        <v>1083</v>
      </c>
      <c r="Z52" s="318" t="s">
        <v>254</v>
      </c>
      <c r="AA52" s="378">
        <v>61</v>
      </c>
      <c r="AB52" s="63">
        <f t="shared" si="0"/>
        <v>2</v>
      </c>
      <c r="AC52" s="143" t="s">
        <v>184</v>
      </c>
      <c r="AD52" s="77" t="s">
        <v>136</v>
      </c>
      <c r="AE52" s="128" t="s">
        <v>137</v>
      </c>
      <c r="AF52" s="77" t="s">
        <v>142</v>
      </c>
      <c r="AG52" s="77" t="s">
        <v>143</v>
      </c>
      <c r="AH52" s="77" t="s">
        <v>28</v>
      </c>
      <c r="AI52" s="77" t="s">
        <v>29</v>
      </c>
      <c r="AJ52" s="92" t="s">
        <v>506</v>
      </c>
      <c r="AK52" s="77" t="s">
        <v>852</v>
      </c>
      <c r="AL52" s="94" t="s">
        <v>1083</v>
      </c>
      <c r="AM52" s="144" t="s">
        <v>254</v>
      </c>
      <c r="AN52" s="145">
        <v>61</v>
      </c>
      <c r="AP52" s="210" t="str">
        <f t="shared" si="2"/>
        <v/>
      </c>
      <c r="AQ52" s="263"/>
      <c r="AR52" s="210" t="str">
        <f t="shared" si="3"/>
        <v/>
      </c>
      <c r="AS52" s="217"/>
      <c r="AT52" s="210" t="s">
        <v>503</v>
      </c>
      <c r="AU52" s="263"/>
      <c r="AV52" s="217"/>
      <c r="BB52" s="83" t="str">
        <f t="array" ref="BB52">_xlfn.IFS(AQ52="","",LEN(AQ52)-LEN(SUBSTITUTE(AQ52,".",""))=3,LEFT(AQ52,vitri(".",AQ52,3)-1),LEN(AQ52)-LEN(SUBSTITUTE(AQ52,".",""))=2,LEFT(AQ52,vitri(".",AQ52,2)-1),TRUE,LEFT(AQ52,vitri(".",AQ52,1)-1))</f>
        <v/>
      </c>
    </row>
    <row r="53" spans="1:54" ht="15.75" customHeight="1" x14ac:dyDescent="0.25">
      <c r="A53" s="84"/>
      <c r="B53" s="108" t="s">
        <v>184</v>
      </c>
      <c r="C53" s="1" t="s">
        <v>136</v>
      </c>
      <c r="D53" s="159" t="s">
        <v>137</v>
      </c>
      <c r="E53" s="1" t="s">
        <v>329</v>
      </c>
      <c r="F53" s="1" t="s">
        <v>330</v>
      </c>
      <c r="G53" s="1" t="s">
        <v>28</v>
      </c>
      <c r="H53" s="1" t="s">
        <v>29</v>
      </c>
      <c r="I53" s="1" t="s">
        <v>1029</v>
      </c>
      <c r="J53" s="1" t="s">
        <v>1030</v>
      </c>
      <c r="K53" s="204" t="str">
        <f t="shared" si="1"/>
        <v>F_PIF_RED_STE_THR_07</v>
      </c>
      <c r="L53" s="160" t="s">
        <v>259</v>
      </c>
      <c r="M53" s="377">
        <v>66</v>
      </c>
      <c r="O53" s="226"/>
      <c r="P53" s="297" t="s">
        <v>184</v>
      </c>
      <c r="Q53" s="241" t="s">
        <v>136</v>
      </c>
      <c r="R53" s="317" t="s">
        <v>137</v>
      </c>
      <c r="S53" s="241" t="s">
        <v>329</v>
      </c>
      <c r="T53" s="241" t="s">
        <v>330</v>
      </c>
      <c r="U53" s="241" t="s">
        <v>28</v>
      </c>
      <c r="V53" s="241" t="s">
        <v>29</v>
      </c>
      <c r="W53" s="241" t="s">
        <v>1029</v>
      </c>
      <c r="X53" s="241" t="s">
        <v>1030</v>
      </c>
      <c r="Y53" s="257" t="s">
        <v>1084</v>
      </c>
      <c r="Z53" s="318" t="s">
        <v>259</v>
      </c>
      <c r="AA53" s="378">
        <v>66</v>
      </c>
      <c r="AB53" s="63">
        <f t="shared" si="0"/>
        <v>7</v>
      </c>
      <c r="AC53" s="143" t="s">
        <v>184</v>
      </c>
      <c r="AD53" s="77" t="s">
        <v>136</v>
      </c>
      <c r="AE53" s="128" t="s">
        <v>137</v>
      </c>
      <c r="AF53" s="77" t="s">
        <v>329</v>
      </c>
      <c r="AG53" s="77" t="s">
        <v>330</v>
      </c>
      <c r="AH53" s="77" t="s">
        <v>28</v>
      </c>
      <c r="AI53" s="77" t="s">
        <v>29</v>
      </c>
      <c r="AJ53" s="92" t="s">
        <v>1029</v>
      </c>
      <c r="AK53" s="77" t="s">
        <v>1030</v>
      </c>
      <c r="AL53" s="94" t="s">
        <v>1084</v>
      </c>
      <c r="AM53" s="144" t="s">
        <v>259</v>
      </c>
      <c r="AN53" s="145">
        <v>66</v>
      </c>
      <c r="AP53" s="210" t="str">
        <f t="shared" si="2"/>
        <v/>
      </c>
      <c r="AQ53" s="263"/>
      <c r="AR53" s="210" t="str">
        <f t="shared" si="3"/>
        <v/>
      </c>
      <c r="AS53" s="217"/>
      <c r="AT53" s="210" t="s">
        <v>503</v>
      </c>
      <c r="AU53" s="263"/>
      <c r="AV53" s="217"/>
      <c r="BB53" s="83" t="str">
        <f t="array" ref="BB53">_xlfn.IFS(AQ53="","",LEN(AQ53)-LEN(SUBSTITUTE(AQ53,".",""))=3,LEFT(AQ53,vitri(".",AQ53,3)-1),LEN(AQ53)-LEN(SUBSTITUTE(AQ53,".",""))=2,LEFT(AQ53,vitri(".",AQ53,2)-1),TRUE,LEFT(AQ53,vitri(".",AQ53,1)-1))</f>
        <v/>
      </c>
    </row>
    <row r="54" spans="1:54" ht="15.75" customHeight="1" x14ac:dyDescent="0.25">
      <c r="A54" s="84"/>
      <c r="B54" s="108" t="s">
        <v>184</v>
      </c>
      <c r="C54" s="1" t="s">
        <v>136</v>
      </c>
      <c r="D54" s="159" t="s">
        <v>137</v>
      </c>
      <c r="E54" s="1" t="s">
        <v>329</v>
      </c>
      <c r="F54" s="1" t="s">
        <v>330</v>
      </c>
      <c r="G54" s="1" t="s">
        <v>28</v>
      </c>
      <c r="H54" s="1" t="s">
        <v>29</v>
      </c>
      <c r="I54" s="1" t="s">
        <v>1032</v>
      </c>
      <c r="J54" s="1" t="s">
        <v>1033</v>
      </c>
      <c r="K54" s="204" t="str">
        <f t="shared" si="1"/>
        <v>F_PIF_RED_STE_WEL_12</v>
      </c>
      <c r="L54" s="160" t="s">
        <v>264</v>
      </c>
      <c r="M54" s="377">
        <v>71</v>
      </c>
      <c r="O54" s="226"/>
      <c r="P54" s="297" t="s">
        <v>184</v>
      </c>
      <c r="Q54" s="241" t="s">
        <v>136</v>
      </c>
      <c r="R54" s="317" t="s">
        <v>137</v>
      </c>
      <c r="S54" s="241" t="s">
        <v>329</v>
      </c>
      <c r="T54" s="241" t="s">
        <v>330</v>
      </c>
      <c r="U54" s="241" t="s">
        <v>28</v>
      </c>
      <c r="V54" s="241" t="s">
        <v>29</v>
      </c>
      <c r="W54" s="241" t="s">
        <v>1032</v>
      </c>
      <c r="X54" s="241" t="s">
        <v>1033</v>
      </c>
      <c r="Y54" s="257" t="s">
        <v>1085</v>
      </c>
      <c r="Z54" s="318" t="s">
        <v>264</v>
      </c>
      <c r="AA54" s="378">
        <v>71</v>
      </c>
      <c r="AB54" s="63">
        <f t="shared" si="0"/>
        <v>12</v>
      </c>
      <c r="AC54" s="143" t="s">
        <v>184</v>
      </c>
      <c r="AD54" s="77" t="s">
        <v>136</v>
      </c>
      <c r="AE54" s="128" t="s">
        <v>137</v>
      </c>
      <c r="AF54" s="77" t="s">
        <v>329</v>
      </c>
      <c r="AG54" s="77" t="s">
        <v>330</v>
      </c>
      <c r="AH54" s="77" t="s">
        <v>28</v>
      </c>
      <c r="AI54" s="77" t="s">
        <v>29</v>
      </c>
      <c r="AJ54" s="92" t="s">
        <v>1032</v>
      </c>
      <c r="AK54" s="77" t="s">
        <v>1033</v>
      </c>
      <c r="AL54" s="94" t="s">
        <v>1085</v>
      </c>
      <c r="AM54" s="144" t="s">
        <v>264</v>
      </c>
      <c r="AN54" s="145">
        <v>71</v>
      </c>
      <c r="AP54" s="210" t="str">
        <f t="shared" si="2"/>
        <v/>
      </c>
      <c r="AQ54" s="263"/>
      <c r="AR54" s="210" t="str">
        <f t="shared" si="3"/>
        <v/>
      </c>
      <c r="AS54" s="217"/>
      <c r="AT54" s="210" t="s">
        <v>503</v>
      </c>
      <c r="AU54" s="263"/>
      <c r="AV54" s="217"/>
      <c r="BB54" s="83" t="str">
        <f t="array" ref="BB54">_xlfn.IFS(AQ54="","",LEN(AQ54)-LEN(SUBSTITUTE(AQ54,".",""))=3,LEFT(AQ54,vitri(".",AQ54,3)-1),LEN(AQ54)-LEN(SUBSTITUTE(AQ54,".",""))=2,LEFT(AQ54,vitri(".",AQ54,2)-1),TRUE,LEFT(AQ54,vitri(".",AQ54,1)-1))</f>
        <v/>
      </c>
    </row>
    <row r="55" spans="1:54" ht="15.75" customHeight="1" x14ac:dyDescent="0.25">
      <c r="A55" s="84"/>
      <c r="B55" s="108" t="s">
        <v>184</v>
      </c>
      <c r="C55" s="1" t="s">
        <v>136</v>
      </c>
      <c r="D55" s="159" t="s">
        <v>137</v>
      </c>
      <c r="E55" s="1" t="s">
        <v>1035</v>
      </c>
      <c r="F55" s="1" t="s">
        <v>1036</v>
      </c>
      <c r="G55" s="1" t="s">
        <v>28</v>
      </c>
      <c r="H55" s="1" t="s">
        <v>29</v>
      </c>
      <c r="I55" s="1" t="s">
        <v>1032</v>
      </c>
      <c r="J55" s="1" t="s">
        <v>1033</v>
      </c>
      <c r="K55" s="204" t="str">
        <f t="shared" si="1"/>
        <v>F_PIF_SPU_STE_WEL_10</v>
      </c>
      <c r="L55" s="160" t="s">
        <v>262</v>
      </c>
      <c r="M55" s="377">
        <v>69</v>
      </c>
      <c r="O55" s="226"/>
      <c r="P55" s="297" t="s">
        <v>184</v>
      </c>
      <c r="Q55" s="241" t="s">
        <v>136</v>
      </c>
      <c r="R55" s="317" t="s">
        <v>137</v>
      </c>
      <c r="S55" s="241" t="s">
        <v>1035</v>
      </c>
      <c r="T55" s="241" t="s">
        <v>1036</v>
      </c>
      <c r="U55" s="241" t="s">
        <v>28</v>
      </c>
      <c r="V55" s="241" t="s">
        <v>29</v>
      </c>
      <c r="W55" s="241" t="s">
        <v>1032</v>
      </c>
      <c r="X55" s="241" t="s">
        <v>1033</v>
      </c>
      <c r="Y55" s="257" t="s">
        <v>1086</v>
      </c>
      <c r="Z55" s="318" t="s">
        <v>262</v>
      </c>
      <c r="AA55" s="378">
        <v>69</v>
      </c>
      <c r="AB55" s="63">
        <f t="shared" si="0"/>
        <v>10</v>
      </c>
      <c r="AC55" s="143" t="s">
        <v>184</v>
      </c>
      <c r="AD55" s="77" t="s">
        <v>136</v>
      </c>
      <c r="AE55" s="128" t="s">
        <v>137</v>
      </c>
      <c r="AF55" s="77" t="s">
        <v>1035</v>
      </c>
      <c r="AG55" s="77" t="s">
        <v>1036</v>
      </c>
      <c r="AH55" s="77" t="s">
        <v>28</v>
      </c>
      <c r="AI55" s="77" t="s">
        <v>29</v>
      </c>
      <c r="AJ55" s="92" t="s">
        <v>1032</v>
      </c>
      <c r="AK55" s="77" t="s">
        <v>1033</v>
      </c>
      <c r="AL55" s="94" t="s">
        <v>1086</v>
      </c>
      <c r="AM55" s="144" t="s">
        <v>262</v>
      </c>
      <c r="AN55" s="145">
        <v>69</v>
      </c>
      <c r="AP55" s="210" t="str">
        <f t="shared" si="2"/>
        <v/>
      </c>
      <c r="AQ55" s="263"/>
      <c r="AR55" s="210" t="str">
        <f t="shared" si="3"/>
        <v/>
      </c>
      <c r="AS55" s="217"/>
      <c r="AT55" s="210" t="s">
        <v>503</v>
      </c>
      <c r="AU55" s="263"/>
      <c r="AV55" s="217"/>
      <c r="BB55" s="83" t="str">
        <f t="array" ref="BB55">_xlfn.IFS(AQ55="","",LEN(AQ55)-LEN(SUBSTITUTE(AQ55,".",""))=3,LEFT(AQ55,vitri(".",AQ55,3)-1),LEN(AQ55)-LEN(SUBSTITUTE(AQ55,".",""))=2,LEFT(AQ55,vitri(".",AQ55,2)-1),TRUE,LEFT(AQ55,vitri(".",AQ55,1)-1))</f>
        <v/>
      </c>
    </row>
    <row r="56" spans="1:54" ht="15.75" customHeight="1" x14ac:dyDescent="0.25">
      <c r="A56" s="84"/>
      <c r="B56" s="108" t="s">
        <v>184</v>
      </c>
      <c r="C56" s="1" t="s">
        <v>136</v>
      </c>
      <c r="D56" s="159" t="s">
        <v>137</v>
      </c>
      <c r="E56" s="1" t="s">
        <v>151</v>
      </c>
      <c r="F56" s="1" t="s">
        <v>84</v>
      </c>
      <c r="G56" s="1" t="s">
        <v>28</v>
      </c>
      <c r="H56" s="1" t="s">
        <v>29</v>
      </c>
      <c r="I56" s="1" t="s">
        <v>1029</v>
      </c>
      <c r="J56" s="1" t="s">
        <v>1030</v>
      </c>
      <c r="K56" s="204" t="str">
        <f t="shared" si="1"/>
        <v>F_PIF_TEE_STE_THR_06</v>
      </c>
      <c r="L56" s="160" t="s">
        <v>258</v>
      </c>
      <c r="M56" s="377">
        <v>65</v>
      </c>
      <c r="O56" s="226"/>
      <c r="P56" s="297" t="s">
        <v>184</v>
      </c>
      <c r="Q56" s="241" t="s">
        <v>136</v>
      </c>
      <c r="R56" s="317" t="s">
        <v>137</v>
      </c>
      <c r="S56" s="241" t="s">
        <v>151</v>
      </c>
      <c r="T56" s="241" t="s">
        <v>84</v>
      </c>
      <c r="U56" s="241" t="s">
        <v>28</v>
      </c>
      <c r="V56" s="241" t="s">
        <v>29</v>
      </c>
      <c r="W56" s="241" t="s">
        <v>1029</v>
      </c>
      <c r="X56" s="241" t="s">
        <v>1030</v>
      </c>
      <c r="Y56" s="257" t="s">
        <v>1087</v>
      </c>
      <c r="Z56" s="318" t="s">
        <v>258</v>
      </c>
      <c r="AA56" s="378">
        <v>65</v>
      </c>
      <c r="AB56" s="63">
        <f t="shared" si="0"/>
        <v>6</v>
      </c>
      <c r="AC56" s="143" t="s">
        <v>184</v>
      </c>
      <c r="AD56" s="77" t="s">
        <v>136</v>
      </c>
      <c r="AE56" s="128" t="s">
        <v>137</v>
      </c>
      <c r="AF56" s="77" t="s">
        <v>151</v>
      </c>
      <c r="AG56" s="77" t="s">
        <v>84</v>
      </c>
      <c r="AH56" s="77" t="s">
        <v>28</v>
      </c>
      <c r="AI56" s="77" t="s">
        <v>29</v>
      </c>
      <c r="AJ56" s="92" t="s">
        <v>1029</v>
      </c>
      <c r="AK56" s="77" t="s">
        <v>1030</v>
      </c>
      <c r="AL56" s="94" t="s">
        <v>1087</v>
      </c>
      <c r="AM56" s="144" t="s">
        <v>258</v>
      </c>
      <c r="AN56" s="145">
        <v>65</v>
      </c>
      <c r="AP56" s="210" t="str">
        <f t="shared" si="2"/>
        <v/>
      </c>
      <c r="AQ56" s="263"/>
      <c r="AR56" s="210" t="str">
        <f t="shared" si="3"/>
        <v/>
      </c>
      <c r="AS56" s="217"/>
      <c r="AT56" s="210" t="s">
        <v>503</v>
      </c>
      <c r="AU56" s="263"/>
      <c r="AV56" s="217"/>
      <c r="BB56" s="83" t="str">
        <f t="array" ref="BB56">_xlfn.IFS(AQ56="","",LEN(AQ56)-LEN(SUBSTITUTE(AQ56,".",""))=3,LEFT(AQ56,vitri(".",AQ56,3)-1),LEN(AQ56)-LEN(SUBSTITUTE(AQ56,".",""))=2,LEFT(AQ56,vitri(".",AQ56,2)-1),TRUE,LEFT(AQ56,vitri(".",AQ56,1)-1))</f>
        <v/>
      </c>
    </row>
    <row r="57" spans="1:54" ht="15.75" customHeight="1" x14ac:dyDescent="0.25">
      <c r="A57" s="84"/>
      <c r="B57" s="108" t="s">
        <v>184</v>
      </c>
      <c r="C57" s="1" t="s">
        <v>136</v>
      </c>
      <c r="D57" s="159" t="s">
        <v>137</v>
      </c>
      <c r="E57" s="1" t="s">
        <v>151</v>
      </c>
      <c r="F57" s="1" t="s">
        <v>84</v>
      </c>
      <c r="G57" s="1" t="s">
        <v>28</v>
      </c>
      <c r="H57" s="1" t="s">
        <v>29</v>
      </c>
      <c r="I57" s="1" t="s">
        <v>1032</v>
      </c>
      <c r="J57" s="1" t="s">
        <v>1033</v>
      </c>
      <c r="K57" s="204" t="str">
        <f t="shared" si="1"/>
        <v>F_PIF_TEE_STE_WEL_11</v>
      </c>
      <c r="L57" s="160" t="s">
        <v>263</v>
      </c>
      <c r="M57" s="377">
        <v>70</v>
      </c>
      <c r="O57" s="226"/>
      <c r="P57" s="297" t="s">
        <v>184</v>
      </c>
      <c r="Q57" s="241" t="s">
        <v>136</v>
      </c>
      <c r="R57" s="317" t="s">
        <v>137</v>
      </c>
      <c r="S57" s="241" t="s">
        <v>151</v>
      </c>
      <c r="T57" s="241" t="s">
        <v>84</v>
      </c>
      <c r="U57" s="241" t="s">
        <v>28</v>
      </c>
      <c r="V57" s="241" t="s">
        <v>29</v>
      </c>
      <c r="W57" s="241" t="s">
        <v>1032</v>
      </c>
      <c r="X57" s="241" t="s">
        <v>1033</v>
      </c>
      <c r="Y57" s="257" t="s">
        <v>1088</v>
      </c>
      <c r="Z57" s="318" t="s">
        <v>263</v>
      </c>
      <c r="AA57" s="378">
        <v>70</v>
      </c>
      <c r="AB57" s="63">
        <f t="shared" si="0"/>
        <v>11</v>
      </c>
      <c r="AC57" s="143" t="s">
        <v>184</v>
      </c>
      <c r="AD57" s="77" t="s">
        <v>136</v>
      </c>
      <c r="AE57" s="128" t="s">
        <v>137</v>
      </c>
      <c r="AF57" s="77" t="s">
        <v>151</v>
      </c>
      <c r="AG57" s="77" t="s">
        <v>84</v>
      </c>
      <c r="AH57" s="77" t="s">
        <v>28</v>
      </c>
      <c r="AI57" s="77" t="s">
        <v>29</v>
      </c>
      <c r="AJ57" s="92" t="s">
        <v>1032</v>
      </c>
      <c r="AK57" s="77" t="s">
        <v>1033</v>
      </c>
      <c r="AL57" s="94" t="s">
        <v>1088</v>
      </c>
      <c r="AM57" s="144" t="s">
        <v>263</v>
      </c>
      <c r="AN57" s="145">
        <v>70</v>
      </c>
      <c r="AP57" s="210" t="str">
        <f t="shared" si="2"/>
        <v/>
      </c>
      <c r="AQ57" s="263"/>
      <c r="AR57" s="210" t="str">
        <f t="shared" si="3"/>
        <v/>
      </c>
      <c r="AS57" s="217"/>
      <c r="AT57" s="210" t="s">
        <v>503</v>
      </c>
      <c r="AU57" s="263"/>
      <c r="AV57" s="217"/>
      <c r="BB57" s="83" t="str">
        <f t="array" ref="BB57">_xlfn.IFS(AQ57="","",LEN(AQ57)-LEN(SUBSTITUTE(AQ57,".",""))=3,LEFT(AQ57,vitri(".",AQ57,3)-1),LEN(AQ57)-LEN(SUBSTITUTE(AQ57,".",""))=2,LEFT(AQ57,vitri(".",AQ57,2)-1),TRUE,LEFT(AQ57,vitri(".",AQ57,1)-1))</f>
        <v/>
      </c>
    </row>
    <row r="58" spans="1:54" ht="15.75" customHeight="1" x14ac:dyDescent="0.25">
      <c r="A58" s="84"/>
      <c r="B58" s="108" t="s">
        <v>184</v>
      </c>
      <c r="C58" s="1" t="s">
        <v>172</v>
      </c>
      <c r="D58" s="159" t="s">
        <v>173</v>
      </c>
      <c r="E58" s="1" t="s">
        <v>177</v>
      </c>
      <c r="F58" s="1" t="s">
        <v>170</v>
      </c>
      <c r="G58" s="1" t="s">
        <v>176</v>
      </c>
      <c r="H58" s="1" t="s">
        <v>176</v>
      </c>
      <c r="I58" s="1" t="s">
        <v>5</v>
      </c>
      <c r="J58" s="1" t="s">
        <v>5</v>
      </c>
      <c r="K58" s="204" t="str">
        <f t="shared" si="1"/>
        <v>F_SPK_DOW_K=5.6_01</v>
      </c>
      <c r="L58" s="160" t="s">
        <v>253</v>
      </c>
      <c r="M58" s="377">
        <v>72</v>
      </c>
      <c r="O58" s="226"/>
      <c r="P58" s="297" t="s">
        <v>184</v>
      </c>
      <c r="Q58" s="241" t="s">
        <v>172</v>
      </c>
      <c r="R58" s="317" t="s">
        <v>173</v>
      </c>
      <c r="S58" s="241" t="s">
        <v>177</v>
      </c>
      <c r="T58" s="241" t="s">
        <v>170</v>
      </c>
      <c r="U58" s="241" t="s">
        <v>176</v>
      </c>
      <c r="V58" s="241" t="s">
        <v>176</v>
      </c>
      <c r="W58" s="241" t="s">
        <v>5</v>
      </c>
      <c r="X58" s="241" t="s">
        <v>5</v>
      </c>
      <c r="Y58" s="257" t="s">
        <v>1089</v>
      </c>
      <c r="Z58" s="318" t="s">
        <v>253</v>
      </c>
      <c r="AA58" s="378">
        <v>72</v>
      </c>
      <c r="AB58" s="63">
        <f t="shared" si="0"/>
        <v>1</v>
      </c>
      <c r="AC58" s="143" t="s">
        <v>184</v>
      </c>
      <c r="AD58" s="77" t="s">
        <v>172</v>
      </c>
      <c r="AE58" s="128" t="s">
        <v>173</v>
      </c>
      <c r="AF58" s="77" t="s">
        <v>177</v>
      </c>
      <c r="AG58" s="77" t="s">
        <v>170</v>
      </c>
      <c r="AH58" s="77" t="s">
        <v>176</v>
      </c>
      <c r="AI58" s="77" t="s">
        <v>176</v>
      </c>
      <c r="AJ58" s="92" t="s">
        <v>5</v>
      </c>
      <c r="AK58" s="77" t="s">
        <v>5</v>
      </c>
      <c r="AL58" s="94" t="s">
        <v>1089</v>
      </c>
      <c r="AM58" s="144" t="s">
        <v>253</v>
      </c>
      <c r="AN58" s="145">
        <v>72</v>
      </c>
      <c r="AP58" s="210" t="str">
        <f t="shared" si="2"/>
        <v/>
      </c>
      <c r="AQ58" s="263"/>
      <c r="AR58" s="210" t="str">
        <f t="shared" si="3"/>
        <v/>
      </c>
      <c r="AS58" s="217"/>
      <c r="AT58" s="210" t="s">
        <v>503</v>
      </c>
      <c r="AU58" s="263"/>
      <c r="AV58" s="217"/>
      <c r="BB58" s="83" t="str">
        <f t="array" ref="BB58">_xlfn.IFS(AQ58="","",LEN(AQ58)-LEN(SUBSTITUTE(AQ58,".",""))=3,LEFT(AQ58,vitri(".",AQ58,3)-1),LEN(AQ58)-LEN(SUBSTITUTE(AQ58,".",""))=2,LEFT(AQ58,vitri(".",AQ58,2)-1),TRUE,LEFT(AQ58,vitri(".",AQ58,1)-1))</f>
        <v/>
      </c>
    </row>
    <row r="59" spans="1:54" ht="15.75" customHeight="1" x14ac:dyDescent="0.25">
      <c r="A59" s="84"/>
      <c r="B59" s="108" t="s">
        <v>184</v>
      </c>
      <c r="C59" s="1" t="s">
        <v>172</v>
      </c>
      <c r="D59" s="159" t="s">
        <v>173</v>
      </c>
      <c r="E59" s="1" t="s">
        <v>179</v>
      </c>
      <c r="F59" s="1" t="s">
        <v>180</v>
      </c>
      <c r="G59" s="1" t="s">
        <v>176</v>
      </c>
      <c r="H59" s="1" t="s">
        <v>176</v>
      </c>
      <c r="I59" s="1" t="s">
        <v>5</v>
      </c>
      <c r="J59" s="1" t="s">
        <v>5</v>
      </c>
      <c r="K59" s="204" t="str">
        <f t="shared" si="1"/>
        <v>F_SPK_SID_K=5.6_03</v>
      </c>
      <c r="L59" s="160" t="s">
        <v>255</v>
      </c>
      <c r="M59" s="377">
        <v>57</v>
      </c>
      <c r="P59" s="297" t="s">
        <v>184</v>
      </c>
      <c r="Q59" s="241" t="s">
        <v>172</v>
      </c>
      <c r="R59" s="317" t="s">
        <v>173</v>
      </c>
      <c r="S59" s="241" t="s">
        <v>179</v>
      </c>
      <c r="T59" s="241" t="s">
        <v>180</v>
      </c>
      <c r="U59" s="241" t="s">
        <v>176</v>
      </c>
      <c r="V59" s="241" t="s">
        <v>176</v>
      </c>
      <c r="W59" s="241" t="s">
        <v>5</v>
      </c>
      <c r="X59" s="241" t="s">
        <v>5</v>
      </c>
      <c r="Y59" s="257" t="s">
        <v>1090</v>
      </c>
      <c r="Z59" s="318" t="s">
        <v>255</v>
      </c>
      <c r="AA59" s="378">
        <v>57</v>
      </c>
      <c r="AB59" s="63">
        <f t="shared" si="0"/>
        <v>3</v>
      </c>
      <c r="AC59" s="143" t="s">
        <v>184</v>
      </c>
      <c r="AD59" s="77" t="s">
        <v>172</v>
      </c>
      <c r="AE59" s="128" t="s">
        <v>173</v>
      </c>
      <c r="AF59" s="77" t="s">
        <v>179</v>
      </c>
      <c r="AG59" s="77" t="s">
        <v>180</v>
      </c>
      <c r="AH59" s="77" t="s">
        <v>176</v>
      </c>
      <c r="AI59" s="77" t="s">
        <v>176</v>
      </c>
      <c r="AJ59" s="92" t="s">
        <v>5</v>
      </c>
      <c r="AK59" s="77" t="s">
        <v>5</v>
      </c>
      <c r="AL59" s="94" t="s">
        <v>1090</v>
      </c>
      <c r="AM59" s="144" t="s">
        <v>255</v>
      </c>
      <c r="AN59" s="145">
        <v>57</v>
      </c>
      <c r="AP59" s="210" t="str">
        <f t="shared" si="2"/>
        <v/>
      </c>
      <c r="AQ59" s="263"/>
      <c r="AR59" s="210" t="str">
        <f t="shared" si="3"/>
        <v/>
      </c>
      <c r="AS59" s="217"/>
      <c r="AT59" s="210" t="s">
        <v>503</v>
      </c>
      <c r="AU59" s="263"/>
      <c r="AV59" s="217"/>
      <c r="BB59" s="83" t="str">
        <f t="array" ref="BB59">_xlfn.IFS(AQ59="","",LEN(AQ59)-LEN(SUBSTITUTE(AQ59,".",""))=3,LEFT(AQ59,vitri(".",AQ59,3)-1),LEN(AQ59)-LEN(SUBSTITUTE(AQ59,".",""))=2,LEFT(AQ59,vitri(".",AQ59,2)-1),TRUE,LEFT(AQ59,vitri(".",AQ59,1)-1))</f>
        <v/>
      </c>
    </row>
    <row r="60" spans="1:54" ht="15.75" customHeight="1" x14ac:dyDescent="0.25">
      <c r="A60" s="84"/>
      <c r="B60" s="108" t="s">
        <v>184</v>
      </c>
      <c r="C60" s="1" t="s">
        <v>172</v>
      </c>
      <c r="D60" s="159" t="s">
        <v>173</v>
      </c>
      <c r="E60" s="1" t="s">
        <v>174</v>
      </c>
      <c r="F60" s="1" t="s">
        <v>175</v>
      </c>
      <c r="G60" s="1" t="s">
        <v>178</v>
      </c>
      <c r="H60" s="1" t="s">
        <v>178</v>
      </c>
      <c r="I60" s="1" t="s">
        <v>5</v>
      </c>
      <c r="J60" s="1" t="s">
        <v>5</v>
      </c>
      <c r="K60" s="204" t="str">
        <f t="shared" si="1"/>
        <v>F_SPK_UP_K=11.2_02</v>
      </c>
      <c r="L60" s="160" t="s">
        <v>254</v>
      </c>
      <c r="M60" s="377">
        <v>58</v>
      </c>
      <c r="P60" s="297" t="s">
        <v>184</v>
      </c>
      <c r="Q60" s="241" t="s">
        <v>172</v>
      </c>
      <c r="R60" s="317" t="s">
        <v>173</v>
      </c>
      <c r="S60" s="241" t="s">
        <v>174</v>
      </c>
      <c r="T60" s="241" t="s">
        <v>175</v>
      </c>
      <c r="U60" s="241" t="s">
        <v>178</v>
      </c>
      <c r="V60" s="241" t="s">
        <v>178</v>
      </c>
      <c r="W60" s="241" t="s">
        <v>5</v>
      </c>
      <c r="X60" s="241" t="s">
        <v>5</v>
      </c>
      <c r="Y60" s="257" t="s">
        <v>1091</v>
      </c>
      <c r="Z60" s="318" t="s">
        <v>254</v>
      </c>
      <c r="AA60" s="378">
        <v>58</v>
      </c>
      <c r="AB60" s="63">
        <f t="shared" si="0"/>
        <v>2</v>
      </c>
      <c r="AC60" s="143" t="s">
        <v>184</v>
      </c>
      <c r="AD60" s="77" t="s">
        <v>172</v>
      </c>
      <c r="AE60" s="128" t="s">
        <v>173</v>
      </c>
      <c r="AF60" s="77" t="s">
        <v>174</v>
      </c>
      <c r="AG60" s="77" t="s">
        <v>175</v>
      </c>
      <c r="AH60" s="77" t="s">
        <v>178</v>
      </c>
      <c r="AI60" s="77" t="s">
        <v>178</v>
      </c>
      <c r="AJ60" s="92" t="s">
        <v>5</v>
      </c>
      <c r="AK60" s="77" t="s">
        <v>5</v>
      </c>
      <c r="AL60" s="94" t="s">
        <v>1091</v>
      </c>
      <c r="AM60" s="144" t="s">
        <v>254</v>
      </c>
      <c r="AN60" s="145">
        <v>58</v>
      </c>
      <c r="AP60" s="210" t="str">
        <f t="shared" si="2"/>
        <v/>
      </c>
      <c r="AQ60" s="263"/>
      <c r="AR60" s="210" t="str">
        <f t="shared" si="3"/>
        <v/>
      </c>
      <c r="AS60" s="217"/>
      <c r="AT60" s="210" t="s">
        <v>503</v>
      </c>
      <c r="AU60" s="263"/>
      <c r="AV60" s="217"/>
      <c r="BB60" s="83" t="str">
        <f t="array" ref="BB60">_xlfn.IFS(AQ60="","",LEN(AQ60)-LEN(SUBSTITUTE(AQ60,".",""))=3,LEFT(AQ60,vitri(".",AQ60,3)-1),LEN(AQ60)-LEN(SUBSTITUTE(AQ60,".",""))=2,LEFT(AQ60,vitri(".",AQ60,2)-1),TRUE,LEFT(AQ60,vitri(".",AQ60,1)-1))</f>
        <v/>
      </c>
    </row>
    <row r="61" spans="1:54" ht="15.75" customHeight="1" x14ac:dyDescent="0.25">
      <c r="A61" s="84"/>
      <c r="M61" s="377"/>
      <c r="P61" s="228"/>
      <c r="R61" s="229"/>
      <c r="T61" s="226"/>
      <c r="V61" s="226"/>
      <c r="W61" s="326"/>
      <c r="X61" s="226"/>
      <c r="Y61" s="215"/>
      <c r="Z61" s="231"/>
      <c r="AA61" s="235"/>
      <c r="AB61" s="63" t="str">
        <f t="shared" si="0"/>
        <v/>
      </c>
      <c r="AJ61" s="92"/>
      <c r="AL61" s="94"/>
      <c r="AN61" s="145"/>
      <c r="AP61" s="210" t="str">
        <f t="shared" si="2"/>
        <v/>
      </c>
      <c r="AQ61" s="263"/>
      <c r="AR61" s="210" t="str">
        <f t="shared" si="3"/>
        <v/>
      </c>
      <c r="AS61" s="217"/>
      <c r="AT61" s="210" t="s">
        <v>503</v>
      </c>
      <c r="AU61" s="263"/>
      <c r="AV61" s="217"/>
      <c r="BB61" s="83" t="str">
        <f t="array" ref="BB61">_xlfn.IFS(AQ61="","",LEN(AQ61)-LEN(SUBSTITUTE(AQ61,".",""))=3,LEFT(AQ61,vitri(".",AQ61,3)-1),LEN(AQ61)-LEN(SUBSTITUTE(AQ61,".",""))=2,LEFT(AQ61,vitri(".",AQ61,2)-1),TRUE,LEFT(AQ61,vitri(".",AQ61,1)-1))</f>
        <v/>
      </c>
    </row>
    <row r="62" spans="1:54" ht="15.75" customHeight="1" x14ac:dyDescent="0.25">
      <c r="A62" s="84"/>
      <c r="M62" s="377"/>
      <c r="P62" s="228"/>
      <c r="R62" s="229"/>
      <c r="T62" s="226"/>
      <c r="V62" s="226"/>
      <c r="W62" s="326"/>
      <c r="X62" s="226"/>
      <c r="Z62" s="231"/>
      <c r="AA62" s="327"/>
      <c r="AB62" s="63" t="str">
        <f t="shared" si="0"/>
        <v/>
      </c>
      <c r="AJ62" s="92"/>
      <c r="AL62" s="94"/>
      <c r="AN62" s="145"/>
      <c r="AP62" s="210" t="str">
        <f t="shared" si="2"/>
        <v/>
      </c>
      <c r="AQ62" s="263"/>
      <c r="AR62" s="210" t="str">
        <f t="shared" si="3"/>
        <v/>
      </c>
      <c r="AS62" s="217"/>
      <c r="AT62" s="210" t="s">
        <v>503</v>
      </c>
      <c r="AU62" s="263"/>
      <c r="AV62" s="217"/>
      <c r="BB62" s="83" t="str">
        <f t="array" ref="BB62">_xlfn.IFS(AQ62="","",LEN(AQ62)-LEN(SUBSTITUTE(AQ62,".",""))=3,LEFT(AQ62,vitri(".",AQ62,3)-1),LEN(AQ62)-LEN(SUBSTITUTE(AQ62,".",""))=2,LEFT(AQ62,vitri(".",AQ62,2)-1),TRUE,LEFT(AQ62,vitri(".",AQ62,1)-1))</f>
        <v/>
      </c>
    </row>
    <row r="63" spans="1:54" x14ac:dyDescent="0.25">
      <c r="A63" s="84"/>
      <c r="M63" s="377"/>
      <c r="P63" s="228"/>
      <c r="R63" s="229"/>
      <c r="T63" s="226"/>
      <c r="V63" s="226"/>
      <c r="W63" s="326"/>
      <c r="X63" s="226"/>
      <c r="Y63" s="215"/>
      <c r="Z63" s="231"/>
      <c r="AA63" s="235"/>
      <c r="AB63" s="63" t="str">
        <f t="shared" si="0"/>
        <v/>
      </c>
      <c r="AC63" s="146"/>
      <c r="AG63" s="128"/>
      <c r="AJ63" s="128"/>
      <c r="AM63" s="148"/>
      <c r="AN63" s="148"/>
      <c r="AP63" s="210" t="str">
        <f t="shared" si="2"/>
        <v/>
      </c>
      <c r="AQ63" s="263"/>
      <c r="AR63" s="210" t="str">
        <f t="shared" si="3"/>
        <v/>
      </c>
      <c r="AS63" s="217"/>
      <c r="AT63" s="210" t="s">
        <v>503</v>
      </c>
      <c r="AU63" s="263"/>
      <c r="AV63" s="217"/>
      <c r="BB63" s="83" t="str">
        <f t="array" ref="BB63">_xlfn.IFS(AQ63="","",LEN(AQ63)-LEN(SUBSTITUTE(AQ63,".",""))=3,LEFT(AQ63,vitri(".",AQ63,3)-1),LEN(AQ63)-LEN(SUBSTITUTE(AQ63,".",""))=2,LEFT(AQ63,vitri(".",AQ63,2)-1),TRUE,LEFT(AQ63,vitri(".",AQ63,1)-1))</f>
        <v/>
      </c>
    </row>
    <row r="64" spans="1:54" x14ac:dyDescent="0.25">
      <c r="A64" s="84"/>
      <c r="M64" s="377"/>
      <c r="P64" s="228"/>
      <c r="R64" s="229"/>
      <c r="T64" s="226"/>
      <c r="V64" s="226"/>
      <c r="W64" s="326"/>
      <c r="X64" s="226"/>
      <c r="Z64" s="231"/>
      <c r="AA64" s="327"/>
      <c r="AB64" s="63" t="str">
        <f t="shared" si="0"/>
        <v/>
      </c>
      <c r="AP64" s="210" t="str">
        <f t="shared" si="2"/>
        <v/>
      </c>
      <c r="AQ64" s="263"/>
      <c r="AR64" s="210" t="str">
        <f t="shared" si="3"/>
        <v/>
      </c>
      <c r="AS64" s="217"/>
      <c r="AT64" s="210" t="s">
        <v>503</v>
      </c>
      <c r="AU64" s="263"/>
      <c r="AV64" s="217"/>
      <c r="BB64" s="83" t="str">
        <f t="array" ref="BB64">_xlfn.IFS(AQ64="","",LEN(AQ64)-LEN(SUBSTITUTE(AQ64,".",""))=3,LEFT(AQ64,vitri(".",AQ64,3)-1),LEN(AQ64)-LEN(SUBSTITUTE(AQ64,".",""))=2,LEFT(AQ64,vitri(".",AQ64,2)-1),TRUE,LEFT(AQ64,vitri(".",AQ64,1)-1))</f>
        <v/>
      </c>
    </row>
    <row r="65" spans="1:54" x14ac:dyDescent="0.25">
      <c r="A65" s="84"/>
      <c r="M65" s="377"/>
      <c r="P65" s="228"/>
      <c r="R65" s="229"/>
      <c r="T65" s="226"/>
      <c r="V65" s="226"/>
      <c r="W65" s="326"/>
      <c r="X65" s="226"/>
      <c r="Z65" s="231"/>
      <c r="AA65" s="327"/>
      <c r="AB65" s="63" t="str">
        <f t="shared" si="0"/>
        <v/>
      </c>
      <c r="AP65" s="210" t="str">
        <f t="shared" si="2"/>
        <v/>
      </c>
      <c r="AQ65" s="263"/>
      <c r="AR65" s="210" t="str">
        <f t="shared" si="3"/>
        <v/>
      </c>
      <c r="AS65" s="217"/>
      <c r="AT65" s="210" t="s">
        <v>503</v>
      </c>
      <c r="AU65" s="263"/>
      <c r="AV65" s="217"/>
      <c r="BB65" s="83" t="str">
        <f t="array" ref="BB65">_xlfn.IFS(AQ65="","",LEN(AQ65)-LEN(SUBSTITUTE(AQ65,".",""))=3,LEFT(AQ65,vitri(".",AQ65,3)-1),LEN(AQ65)-LEN(SUBSTITUTE(AQ65,".",""))=2,LEFT(AQ65,vitri(".",AQ65,2)-1),TRUE,LEFT(AQ65,vitri(".",AQ65,1)-1))</f>
        <v/>
      </c>
    </row>
    <row r="66" spans="1:54" x14ac:dyDescent="0.25">
      <c r="A66" s="84"/>
      <c r="M66" s="377"/>
      <c r="P66" s="228"/>
      <c r="R66" s="229"/>
      <c r="T66" s="226"/>
      <c r="V66" s="226"/>
      <c r="W66" s="326"/>
      <c r="X66" s="226"/>
      <c r="Z66" s="231"/>
      <c r="AA66" s="327"/>
      <c r="AB66" s="63" t="str">
        <f t="shared" si="0"/>
        <v/>
      </c>
      <c r="AP66" s="210" t="str">
        <f t="shared" si="2"/>
        <v/>
      </c>
      <c r="AQ66" s="263"/>
      <c r="AR66" s="210" t="str">
        <f t="shared" si="3"/>
        <v/>
      </c>
      <c r="AS66" s="217"/>
      <c r="AT66" s="210" t="s">
        <v>503</v>
      </c>
      <c r="AU66" s="263"/>
      <c r="AV66" s="217"/>
      <c r="BB66" s="83" t="str">
        <f t="array" ref="BB66">_xlfn.IFS(AQ66="","",LEN(AQ66)-LEN(SUBSTITUTE(AQ66,".",""))=3,LEFT(AQ66,vitri(".",AQ66,3)-1),LEN(AQ66)-LEN(SUBSTITUTE(AQ66,".",""))=2,LEFT(AQ66,vitri(".",AQ66,2)-1),TRUE,LEFT(AQ66,vitri(".",AQ66,1)-1))</f>
        <v/>
      </c>
    </row>
    <row r="67" spans="1:54" x14ac:dyDescent="0.25">
      <c r="A67" s="84"/>
      <c r="M67" s="377"/>
      <c r="P67" s="228"/>
      <c r="R67" s="229"/>
      <c r="T67" s="226"/>
      <c r="V67" s="226"/>
      <c r="W67" s="326"/>
      <c r="X67" s="226"/>
      <c r="Z67" s="231"/>
      <c r="AA67" s="327"/>
      <c r="AB67" s="63" t="str">
        <f t="shared" si="0"/>
        <v/>
      </c>
      <c r="AP67" s="210" t="str">
        <f t="shared" si="2"/>
        <v/>
      </c>
      <c r="AQ67" s="263"/>
      <c r="AR67" s="210" t="str">
        <f t="shared" si="3"/>
        <v/>
      </c>
      <c r="AS67" s="217"/>
      <c r="AT67" s="210" t="s">
        <v>503</v>
      </c>
      <c r="AU67" s="263"/>
      <c r="AV67" s="217"/>
      <c r="BB67" s="83" t="str">
        <f t="array" ref="BB67">_xlfn.IFS(AQ67="","",LEN(AQ67)-LEN(SUBSTITUTE(AQ67,".",""))=3,LEFT(AQ67,vitri(".",AQ67,3)-1),LEN(AQ67)-LEN(SUBSTITUTE(AQ67,".",""))=2,LEFT(AQ67,vitri(".",AQ67,2)-1),TRUE,LEFT(AQ67,vitri(".",AQ67,1)-1))</f>
        <v/>
      </c>
    </row>
    <row r="68" spans="1:54" x14ac:dyDescent="0.25">
      <c r="M68" s="377"/>
      <c r="P68" s="228"/>
      <c r="R68" s="229"/>
      <c r="T68" s="226"/>
      <c r="V68" s="226"/>
      <c r="W68" s="226"/>
      <c r="X68" s="226"/>
      <c r="Z68" s="231"/>
      <c r="AA68" s="231"/>
      <c r="AB68" s="63" t="str">
        <f t="shared" si="0"/>
        <v/>
      </c>
      <c r="AP68" s="210" t="str">
        <f t="shared" si="2"/>
        <v/>
      </c>
      <c r="AQ68" s="263"/>
      <c r="AR68" s="210" t="str">
        <f t="shared" si="3"/>
        <v/>
      </c>
      <c r="AS68" s="217"/>
      <c r="AT68" s="210" t="s">
        <v>503</v>
      </c>
      <c r="AU68" s="263"/>
      <c r="AV68" s="217"/>
      <c r="BB68" s="83" t="str">
        <f t="array" ref="BB68">_xlfn.IFS(AQ68="","",LEN(AQ68)-LEN(SUBSTITUTE(AQ68,".",""))=3,LEFT(AQ68,vitri(".",AQ68,3)-1),LEN(AQ68)-LEN(SUBSTITUTE(AQ68,".",""))=2,LEFT(AQ68,vitri(".",AQ68,2)-1),TRUE,LEFT(AQ68,vitri(".",AQ68,1)-1))</f>
        <v/>
      </c>
    </row>
    <row r="69" spans="1:54" x14ac:dyDescent="0.25">
      <c r="M69" s="377"/>
      <c r="P69" s="228"/>
      <c r="R69" s="229"/>
      <c r="T69" s="226"/>
      <c r="V69" s="226"/>
      <c r="W69" s="226"/>
      <c r="X69" s="226"/>
      <c r="Z69" s="231"/>
      <c r="AA69" s="231"/>
      <c r="AB69" s="63" t="str">
        <f t="shared" ref="AB69:AB132" si="4">IF(Z69="","",Z69*1)</f>
        <v/>
      </c>
      <c r="AP69" s="210" t="str">
        <f t="shared" si="2"/>
        <v/>
      </c>
      <c r="AQ69" s="263"/>
      <c r="AR69" s="210" t="str">
        <f t="shared" si="3"/>
        <v/>
      </c>
      <c r="AS69" s="217"/>
      <c r="AT69" s="210" t="s">
        <v>503</v>
      </c>
      <c r="AU69" s="263"/>
      <c r="AV69" s="217"/>
      <c r="BB69" s="83" t="str">
        <f t="array" ref="BB69">_xlfn.IFS(AQ69="","",LEN(AQ69)-LEN(SUBSTITUTE(AQ69,".",""))=3,LEFT(AQ69,vitri(".",AQ69,3)-1),LEN(AQ69)-LEN(SUBSTITUTE(AQ69,".",""))=2,LEFT(AQ69,vitri(".",AQ69,2)-1),TRUE,LEFT(AQ69,vitri(".",AQ69,1)-1))</f>
        <v/>
      </c>
    </row>
    <row r="70" spans="1:54" x14ac:dyDescent="0.25">
      <c r="M70" s="377"/>
      <c r="P70" s="228"/>
      <c r="R70" s="229"/>
      <c r="T70" s="226"/>
      <c r="V70" s="226"/>
      <c r="W70" s="226"/>
      <c r="X70" s="226"/>
      <c r="Z70" s="231"/>
      <c r="AA70" s="231"/>
      <c r="AB70" s="63" t="str">
        <f t="shared" si="4"/>
        <v/>
      </c>
      <c r="AP70" s="210" t="str">
        <f t="shared" ref="AP70:AP133" si="5">IF(AQ70="","",AP69+1)</f>
        <v/>
      </c>
      <c r="AQ70" s="263"/>
      <c r="AR70" s="210" t="str">
        <f t="shared" ref="AR70:AR133" si="6">IF(AP70="","",AP70)</f>
        <v/>
      </c>
      <c r="AS70" s="217"/>
      <c r="AT70" s="210" t="s">
        <v>503</v>
      </c>
      <c r="AU70" s="263"/>
      <c r="AV70" s="217"/>
      <c r="BB70" s="83" t="str">
        <f t="array" ref="BB70">_xlfn.IFS(AQ70="","",LEN(AQ70)-LEN(SUBSTITUTE(AQ70,".",""))=3,LEFT(AQ70,vitri(".",AQ70,3)-1),LEN(AQ70)-LEN(SUBSTITUTE(AQ70,".",""))=2,LEFT(AQ70,vitri(".",AQ70,2)-1),TRUE,LEFT(AQ70,vitri(".",AQ70,1)-1))</f>
        <v/>
      </c>
    </row>
    <row r="71" spans="1:54" x14ac:dyDescent="0.25">
      <c r="M71" s="377"/>
      <c r="P71" s="228"/>
      <c r="R71" s="229"/>
      <c r="T71" s="226"/>
      <c r="V71" s="226"/>
      <c r="W71" s="226"/>
      <c r="X71" s="226"/>
      <c r="Z71" s="231"/>
      <c r="AA71" s="231"/>
      <c r="AB71" s="63" t="str">
        <f t="shared" si="4"/>
        <v/>
      </c>
      <c r="AP71" s="210" t="str">
        <f t="shared" si="5"/>
        <v/>
      </c>
      <c r="AQ71" s="263"/>
      <c r="AR71" s="210" t="str">
        <f t="shared" si="6"/>
        <v/>
      </c>
      <c r="AS71" s="217"/>
      <c r="AT71" s="210" t="s">
        <v>503</v>
      </c>
      <c r="AU71" s="263"/>
      <c r="AV71" s="217"/>
      <c r="BB71" s="83" t="str">
        <f t="array" ref="BB71">_xlfn.IFS(AQ71="","",LEN(AQ71)-LEN(SUBSTITUTE(AQ71,".",""))=3,LEFT(AQ71,vitri(".",AQ71,3)-1),LEN(AQ71)-LEN(SUBSTITUTE(AQ71,".",""))=2,LEFT(AQ71,vitri(".",AQ71,2)-1),TRUE,LEFT(AQ71,vitri(".",AQ71,1)-1))</f>
        <v/>
      </c>
    </row>
    <row r="72" spans="1:54" x14ac:dyDescent="0.25">
      <c r="M72" s="377"/>
      <c r="P72" s="228"/>
      <c r="R72" s="229"/>
      <c r="T72" s="226"/>
      <c r="V72" s="226"/>
      <c r="W72" s="226"/>
      <c r="X72" s="226"/>
      <c r="Z72" s="231"/>
      <c r="AA72" s="231"/>
      <c r="AB72" s="63" t="str">
        <f t="shared" si="4"/>
        <v/>
      </c>
      <c r="AP72" s="210" t="str">
        <f t="shared" si="5"/>
        <v/>
      </c>
      <c r="AQ72" s="263"/>
      <c r="AR72" s="210" t="str">
        <f t="shared" si="6"/>
        <v/>
      </c>
      <c r="AS72" s="217"/>
      <c r="AT72" s="210" t="s">
        <v>503</v>
      </c>
      <c r="AU72" s="263"/>
      <c r="AV72" s="217"/>
      <c r="BB72" s="83" t="str">
        <f t="array" ref="BB72">_xlfn.IFS(AQ72="","",LEN(AQ72)-LEN(SUBSTITUTE(AQ72,".",""))=3,LEFT(AQ72,vitri(".",AQ72,3)-1),LEN(AQ72)-LEN(SUBSTITUTE(AQ72,".",""))=2,LEFT(AQ72,vitri(".",AQ72,2)-1),TRUE,LEFT(AQ72,vitri(".",AQ72,1)-1))</f>
        <v/>
      </c>
    </row>
    <row r="73" spans="1:54" x14ac:dyDescent="0.25">
      <c r="M73" s="377"/>
      <c r="P73" s="228"/>
      <c r="R73" s="229"/>
      <c r="T73" s="226"/>
      <c r="V73" s="226"/>
      <c r="W73" s="226"/>
      <c r="X73" s="226"/>
      <c r="Z73" s="231"/>
      <c r="AA73" s="231"/>
      <c r="AB73" s="63" t="str">
        <f t="shared" si="4"/>
        <v/>
      </c>
      <c r="AP73" s="210" t="str">
        <f t="shared" si="5"/>
        <v/>
      </c>
      <c r="AQ73" s="263"/>
      <c r="AR73" s="210" t="str">
        <f t="shared" si="6"/>
        <v/>
      </c>
      <c r="AS73" s="217"/>
      <c r="AT73" s="210" t="s">
        <v>503</v>
      </c>
      <c r="AU73" s="263"/>
      <c r="AV73" s="217"/>
      <c r="BB73" s="83" t="str">
        <f t="array" ref="BB73">_xlfn.IFS(AQ73="","",LEN(AQ73)-LEN(SUBSTITUTE(AQ73,".",""))=3,LEFT(AQ73,vitri(".",AQ73,3)-1),LEN(AQ73)-LEN(SUBSTITUTE(AQ73,".",""))=2,LEFT(AQ73,vitri(".",AQ73,2)-1),TRUE,LEFT(AQ73,vitri(".",AQ73,1)-1))</f>
        <v/>
      </c>
    </row>
    <row r="74" spans="1:54" x14ac:dyDescent="0.25">
      <c r="M74" s="377"/>
      <c r="T74" s="226"/>
      <c r="V74" s="226"/>
      <c r="AB74" s="63" t="str">
        <f t="shared" si="4"/>
        <v/>
      </c>
      <c r="AP74" s="210" t="str">
        <f t="shared" si="5"/>
        <v/>
      </c>
      <c r="AQ74" s="263"/>
      <c r="AR74" s="210" t="str">
        <f t="shared" si="6"/>
        <v/>
      </c>
      <c r="AS74" s="217"/>
      <c r="AT74" s="210" t="s">
        <v>503</v>
      </c>
      <c r="AU74" s="263"/>
      <c r="AV74" s="217"/>
      <c r="BB74" s="83" t="str">
        <f t="array" ref="BB74">_xlfn.IFS(AQ74="","",LEN(AQ74)-LEN(SUBSTITUTE(AQ74,".",""))=3,LEFT(AQ74,vitri(".",AQ74,3)-1),LEN(AQ74)-LEN(SUBSTITUTE(AQ74,".",""))=2,LEFT(AQ74,vitri(".",AQ74,2)-1),TRUE,LEFT(AQ74,vitri(".",AQ74,1)-1))</f>
        <v/>
      </c>
    </row>
    <row r="75" spans="1:54" x14ac:dyDescent="0.25">
      <c r="M75" s="377"/>
      <c r="T75" s="226"/>
      <c r="V75" s="226"/>
      <c r="AB75" s="63" t="str">
        <f t="shared" si="4"/>
        <v/>
      </c>
      <c r="AP75" s="210" t="str">
        <f t="shared" si="5"/>
        <v/>
      </c>
      <c r="AQ75" s="263"/>
      <c r="AR75" s="210" t="str">
        <f t="shared" si="6"/>
        <v/>
      </c>
      <c r="AS75" s="217"/>
      <c r="AT75" s="210" t="s">
        <v>503</v>
      </c>
      <c r="AU75" s="263"/>
      <c r="AV75" s="217"/>
      <c r="BB75" s="83" t="str">
        <f t="array" ref="BB75">_xlfn.IFS(AQ75="","",LEN(AQ75)-LEN(SUBSTITUTE(AQ75,".",""))=3,LEFT(AQ75,vitri(".",AQ75,3)-1),LEN(AQ75)-LEN(SUBSTITUTE(AQ75,".",""))=2,LEFT(AQ75,vitri(".",AQ75,2)-1),TRUE,LEFT(AQ75,vitri(".",AQ75,1)-1))</f>
        <v/>
      </c>
    </row>
    <row r="76" spans="1:54" x14ac:dyDescent="0.25">
      <c r="M76" s="377"/>
      <c r="T76" s="226"/>
      <c r="V76" s="226"/>
      <c r="AB76" s="63" t="str">
        <f t="shared" si="4"/>
        <v/>
      </c>
      <c r="AP76" s="210" t="str">
        <f t="shared" si="5"/>
        <v/>
      </c>
      <c r="AQ76" s="263"/>
      <c r="AR76" s="210" t="str">
        <f t="shared" si="6"/>
        <v/>
      </c>
      <c r="AS76" s="217"/>
      <c r="AT76" s="210" t="s">
        <v>503</v>
      </c>
      <c r="AU76" s="263"/>
      <c r="AV76" s="217"/>
      <c r="BB76" s="83" t="str">
        <f t="array" ref="BB76">_xlfn.IFS(AQ76="","",LEN(AQ76)-LEN(SUBSTITUTE(AQ76,".",""))=3,LEFT(AQ76,vitri(".",AQ76,3)-1),LEN(AQ76)-LEN(SUBSTITUTE(AQ76,".",""))=2,LEFT(AQ76,vitri(".",AQ76,2)-1),TRUE,LEFT(AQ76,vitri(".",AQ76,1)-1))</f>
        <v/>
      </c>
    </row>
    <row r="77" spans="1:54" x14ac:dyDescent="0.25">
      <c r="M77" s="377"/>
      <c r="T77" s="226"/>
      <c r="V77" s="226"/>
      <c r="AB77" s="63" t="str">
        <f t="shared" si="4"/>
        <v/>
      </c>
      <c r="AP77" s="210" t="str">
        <f t="shared" si="5"/>
        <v/>
      </c>
      <c r="AQ77" s="263"/>
      <c r="AR77" s="210" t="str">
        <f t="shared" si="6"/>
        <v/>
      </c>
      <c r="AS77" s="217"/>
      <c r="AT77" s="210" t="s">
        <v>503</v>
      </c>
      <c r="AU77" s="263"/>
      <c r="AV77" s="217"/>
      <c r="BB77" s="83" t="str">
        <f t="array" ref="BB77">_xlfn.IFS(AQ77="","",LEN(AQ77)-LEN(SUBSTITUTE(AQ77,".",""))=3,LEFT(AQ77,vitri(".",AQ77,3)-1),LEN(AQ77)-LEN(SUBSTITUTE(AQ77,".",""))=2,LEFT(AQ77,vitri(".",AQ77,2)-1),TRUE,LEFT(AQ77,vitri(".",AQ77,1)-1))</f>
        <v/>
      </c>
    </row>
    <row r="78" spans="1:54" x14ac:dyDescent="0.25">
      <c r="M78" s="377"/>
      <c r="T78" s="226"/>
      <c r="V78" s="226"/>
      <c r="AB78" s="63" t="str">
        <f t="shared" si="4"/>
        <v/>
      </c>
      <c r="AP78" s="210" t="str">
        <f t="shared" si="5"/>
        <v/>
      </c>
      <c r="AQ78" s="263"/>
      <c r="AR78" s="210" t="str">
        <f t="shared" si="6"/>
        <v/>
      </c>
      <c r="AS78" s="217"/>
      <c r="AT78" s="210" t="s">
        <v>503</v>
      </c>
      <c r="AU78" s="263"/>
      <c r="AV78" s="217"/>
      <c r="BB78" s="83" t="str">
        <f t="array" ref="BB78">_xlfn.IFS(AQ78="","",LEN(AQ78)-LEN(SUBSTITUTE(AQ78,".",""))=3,LEFT(AQ78,vitri(".",AQ78,3)-1),LEN(AQ78)-LEN(SUBSTITUTE(AQ78,".",""))=2,LEFT(AQ78,vitri(".",AQ78,2)-1),TRUE,LEFT(AQ78,vitri(".",AQ78,1)-1))</f>
        <v/>
      </c>
    </row>
    <row r="79" spans="1:54" x14ac:dyDescent="0.25">
      <c r="M79" s="377"/>
      <c r="T79" s="226"/>
      <c r="V79" s="226"/>
      <c r="AB79" s="63" t="str">
        <f t="shared" si="4"/>
        <v/>
      </c>
      <c r="AP79" s="210" t="str">
        <f t="shared" si="5"/>
        <v/>
      </c>
      <c r="AQ79" s="263"/>
      <c r="AR79" s="210" t="str">
        <f t="shared" si="6"/>
        <v/>
      </c>
      <c r="AS79" s="217"/>
      <c r="AT79" s="210" t="s">
        <v>503</v>
      </c>
      <c r="AU79" s="263"/>
      <c r="AV79" s="217"/>
      <c r="BB79" s="83" t="str">
        <f t="array" ref="BB79">_xlfn.IFS(AQ79="","",LEN(AQ79)-LEN(SUBSTITUTE(AQ79,".",""))=3,LEFT(AQ79,vitri(".",AQ79,3)-1),LEN(AQ79)-LEN(SUBSTITUTE(AQ79,".",""))=2,LEFT(AQ79,vitri(".",AQ79,2)-1),TRUE,LEFT(AQ79,vitri(".",AQ79,1)-1))</f>
        <v/>
      </c>
    </row>
    <row r="80" spans="1:54" x14ac:dyDescent="0.25">
      <c r="M80" s="377"/>
      <c r="T80" s="226"/>
      <c r="V80" s="226"/>
      <c r="AB80" s="63" t="str">
        <f t="shared" si="4"/>
        <v/>
      </c>
      <c r="AP80" s="210" t="str">
        <f t="shared" si="5"/>
        <v/>
      </c>
      <c r="AQ80" s="263"/>
      <c r="AR80" s="210" t="str">
        <f t="shared" si="6"/>
        <v/>
      </c>
      <c r="AS80" s="217"/>
      <c r="AT80" s="210" t="s">
        <v>503</v>
      </c>
      <c r="AU80" s="263"/>
      <c r="AV80" s="217"/>
      <c r="BB80" s="83" t="str">
        <f t="array" ref="BB80">_xlfn.IFS(AQ80="","",LEN(AQ80)-LEN(SUBSTITUTE(AQ80,".",""))=3,LEFT(AQ80,vitri(".",AQ80,3)-1),LEN(AQ80)-LEN(SUBSTITUTE(AQ80,".",""))=2,LEFT(AQ80,vitri(".",AQ80,2)-1),TRUE,LEFT(AQ80,vitri(".",AQ80,1)-1))</f>
        <v/>
      </c>
    </row>
    <row r="81" spans="13:54" x14ac:dyDescent="0.25">
      <c r="M81" s="377"/>
      <c r="T81" s="226"/>
      <c r="V81" s="226"/>
      <c r="AB81" s="63" t="str">
        <f t="shared" si="4"/>
        <v/>
      </c>
      <c r="AP81" s="210" t="str">
        <f t="shared" si="5"/>
        <v/>
      </c>
      <c r="AQ81" s="263"/>
      <c r="AR81" s="210" t="str">
        <f t="shared" si="6"/>
        <v/>
      </c>
      <c r="AS81" s="217"/>
      <c r="AT81" s="210" t="s">
        <v>503</v>
      </c>
      <c r="AU81" s="263"/>
      <c r="AV81" s="217"/>
      <c r="BB81" s="83" t="str">
        <f t="array" ref="BB81">_xlfn.IFS(AQ81="","",LEN(AQ81)-LEN(SUBSTITUTE(AQ81,".",""))=3,LEFT(AQ81,vitri(".",AQ81,3)-1),LEN(AQ81)-LEN(SUBSTITUTE(AQ81,".",""))=2,LEFT(AQ81,vitri(".",AQ81,2)-1),TRUE,LEFT(AQ81,vitri(".",AQ81,1)-1))</f>
        <v/>
      </c>
    </row>
    <row r="82" spans="13:54" x14ac:dyDescent="0.25">
      <c r="M82" s="377"/>
      <c r="T82" s="226"/>
      <c r="V82" s="226"/>
      <c r="AB82" s="63" t="str">
        <f t="shared" si="4"/>
        <v/>
      </c>
      <c r="AP82" s="210" t="str">
        <f t="shared" si="5"/>
        <v/>
      </c>
      <c r="AQ82" s="263"/>
      <c r="AR82" s="210" t="str">
        <f t="shared" si="6"/>
        <v/>
      </c>
      <c r="AS82" s="217"/>
      <c r="AT82" s="210" t="s">
        <v>503</v>
      </c>
      <c r="AU82" s="263"/>
      <c r="AV82" s="217"/>
      <c r="BB82" s="83" t="str">
        <f t="array" ref="BB82">_xlfn.IFS(AQ82="","",LEN(AQ82)-LEN(SUBSTITUTE(AQ82,".",""))=3,LEFT(AQ82,vitri(".",AQ82,3)-1),LEN(AQ82)-LEN(SUBSTITUTE(AQ82,".",""))=2,LEFT(AQ82,vitri(".",AQ82,2)-1),TRUE,LEFT(AQ82,vitri(".",AQ82,1)-1))</f>
        <v/>
      </c>
    </row>
    <row r="83" spans="13:54" x14ac:dyDescent="0.25">
      <c r="M83" s="377"/>
      <c r="T83" s="226"/>
      <c r="V83" s="226"/>
      <c r="AB83" s="63" t="str">
        <f t="shared" si="4"/>
        <v/>
      </c>
      <c r="AP83" s="210" t="str">
        <f t="shared" si="5"/>
        <v/>
      </c>
      <c r="AQ83" s="263"/>
      <c r="AR83" s="210" t="str">
        <f t="shared" si="6"/>
        <v/>
      </c>
      <c r="AS83" s="217"/>
      <c r="AT83" s="210" t="s">
        <v>503</v>
      </c>
      <c r="AU83" s="263"/>
      <c r="AV83" s="217"/>
      <c r="BB83" s="83" t="str">
        <f t="array" ref="BB83">_xlfn.IFS(AQ83="","",LEN(AQ83)-LEN(SUBSTITUTE(AQ83,".",""))=3,LEFT(AQ83,vitri(".",AQ83,3)-1),LEN(AQ83)-LEN(SUBSTITUTE(AQ83,".",""))=2,LEFT(AQ83,vitri(".",AQ83,2)-1),TRUE,LEFT(AQ83,vitri(".",AQ83,1)-1))</f>
        <v/>
      </c>
    </row>
    <row r="84" spans="13:54" x14ac:dyDescent="0.25">
      <c r="M84" s="377"/>
      <c r="T84" s="226"/>
      <c r="V84" s="226"/>
      <c r="AB84" s="63" t="str">
        <f t="shared" si="4"/>
        <v/>
      </c>
      <c r="AP84" s="210" t="str">
        <f t="shared" si="5"/>
        <v/>
      </c>
      <c r="AQ84" s="263"/>
      <c r="AR84" s="210" t="str">
        <f t="shared" si="6"/>
        <v/>
      </c>
      <c r="AS84" s="217"/>
      <c r="AT84" s="210" t="s">
        <v>503</v>
      </c>
      <c r="AU84" s="263"/>
      <c r="AV84" s="217"/>
      <c r="BB84" s="83" t="str">
        <f t="array" ref="BB84">_xlfn.IFS(AQ84="","",LEN(AQ84)-LEN(SUBSTITUTE(AQ84,".",""))=3,LEFT(AQ84,vitri(".",AQ84,3)-1),LEN(AQ84)-LEN(SUBSTITUTE(AQ84,".",""))=2,LEFT(AQ84,vitri(".",AQ84,2)-1),TRUE,LEFT(AQ84,vitri(".",AQ84,1)-1))</f>
        <v/>
      </c>
    </row>
    <row r="85" spans="13:54" x14ac:dyDescent="0.25">
      <c r="M85" s="377"/>
      <c r="T85" s="226"/>
      <c r="V85" s="226"/>
      <c r="AB85" s="63" t="str">
        <f t="shared" si="4"/>
        <v/>
      </c>
      <c r="AP85" s="210" t="str">
        <f t="shared" si="5"/>
        <v/>
      </c>
      <c r="AQ85" s="263"/>
      <c r="AR85" s="210" t="str">
        <f t="shared" si="6"/>
        <v/>
      </c>
      <c r="AS85" s="217"/>
      <c r="AT85" s="210" t="s">
        <v>503</v>
      </c>
      <c r="AU85" s="263"/>
      <c r="AV85" s="217"/>
      <c r="BB85" s="83" t="str">
        <f t="array" ref="BB85">_xlfn.IFS(AQ85="","",LEN(AQ85)-LEN(SUBSTITUTE(AQ85,".",""))=3,LEFT(AQ85,vitri(".",AQ85,3)-1),LEN(AQ85)-LEN(SUBSTITUTE(AQ85,".",""))=2,LEFT(AQ85,vitri(".",AQ85,2)-1),TRUE,LEFT(AQ85,vitri(".",AQ85,1)-1))</f>
        <v/>
      </c>
    </row>
    <row r="86" spans="13:54" x14ac:dyDescent="0.25">
      <c r="M86" s="377"/>
      <c r="T86" s="226"/>
      <c r="V86" s="226"/>
      <c r="AB86" s="63" t="str">
        <f t="shared" si="4"/>
        <v/>
      </c>
      <c r="AP86" s="210" t="str">
        <f t="shared" si="5"/>
        <v/>
      </c>
      <c r="AQ86" s="263"/>
      <c r="AR86" s="210" t="str">
        <f t="shared" si="6"/>
        <v/>
      </c>
      <c r="AS86" s="217"/>
      <c r="AT86" s="210" t="s">
        <v>503</v>
      </c>
      <c r="AU86" s="263"/>
      <c r="AV86" s="217"/>
      <c r="BB86" s="83" t="str">
        <f t="array" ref="BB86">_xlfn.IFS(AQ86="","",LEN(AQ86)-LEN(SUBSTITUTE(AQ86,".",""))=3,LEFT(AQ86,vitri(".",AQ86,3)-1),LEN(AQ86)-LEN(SUBSTITUTE(AQ86,".",""))=2,LEFT(AQ86,vitri(".",AQ86,2)-1),TRUE,LEFT(AQ86,vitri(".",AQ86,1)-1))</f>
        <v/>
      </c>
    </row>
    <row r="87" spans="13:54" x14ac:dyDescent="0.25">
      <c r="M87" s="377"/>
      <c r="T87" s="226"/>
      <c r="V87" s="226"/>
      <c r="AB87" s="63" t="str">
        <f t="shared" si="4"/>
        <v/>
      </c>
      <c r="AP87" s="210" t="str">
        <f t="shared" si="5"/>
        <v/>
      </c>
      <c r="AQ87" s="263"/>
      <c r="AR87" s="210" t="str">
        <f t="shared" si="6"/>
        <v/>
      </c>
      <c r="AS87" s="217"/>
      <c r="AT87" s="210" t="s">
        <v>503</v>
      </c>
      <c r="AU87" s="263"/>
      <c r="AV87" s="217"/>
      <c r="BB87" s="83" t="str">
        <f t="array" ref="BB87">_xlfn.IFS(AQ87="","",LEN(AQ87)-LEN(SUBSTITUTE(AQ87,".",""))=3,LEFT(AQ87,vitri(".",AQ87,3)-1),LEN(AQ87)-LEN(SUBSTITUTE(AQ87,".",""))=2,LEFT(AQ87,vitri(".",AQ87,2)-1),TRUE,LEFT(AQ87,vitri(".",AQ87,1)-1))</f>
        <v/>
      </c>
    </row>
    <row r="88" spans="13:54" x14ac:dyDescent="0.25">
      <c r="M88" s="377"/>
      <c r="T88" s="226"/>
      <c r="V88" s="226"/>
      <c r="AB88" s="63" t="str">
        <f t="shared" si="4"/>
        <v/>
      </c>
      <c r="AP88" s="210" t="str">
        <f t="shared" si="5"/>
        <v/>
      </c>
      <c r="AQ88" s="263"/>
      <c r="AR88" s="210" t="str">
        <f t="shared" si="6"/>
        <v/>
      </c>
      <c r="AS88" s="217"/>
      <c r="AT88" s="210" t="s">
        <v>503</v>
      </c>
      <c r="AU88" s="263"/>
      <c r="AV88" s="217"/>
      <c r="BB88" s="83" t="str">
        <f t="array" ref="BB88">_xlfn.IFS(AQ88="","",LEN(AQ88)-LEN(SUBSTITUTE(AQ88,".",""))=3,LEFT(AQ88,vitri(".",AQ88,3)-1),LEN(AQ88)-LEN(SUBSTITUTE(AQ88,".",""))=2,LEFT(AQ88,vitri(".",AQ88,2)-1),TRUE,LEFT(AQ88,vitri(".",AQ88,1)-1))</f>
        <v/>
      </c>
    </row>
    <row r="89" spans="13:54" x14ac:dyDescent="0.25">
      <c r="M89" s="377"/>
      <c r="T89" s="226"/>
      <c r="V89" s="226"/>
      <c r="AB89" s="63" t="str">
        <f t="shared" si="4"/>
        <v/>
      </c>
      <c r="AP89" s="210" t="str">
        <f t="shared" si="5"/>
        <v/>
      </c>
      <c r="AQ89" s="263"/>
      <c r="AR89" s="210" t="str">
        <f t="shared" si="6"/>
        <v/>
      </c>
      <c r="AS89" s="217"/>
      <c r="AT89" s="210" t="s">
        <v>503</v>
      </c>
      <c r="AU89" s="263"/>
      <c r="AV89" s="217"/>
      <c r="BB89" s="83" t="str">
        <f t="array" ref="BB89">_xlfn.IFS(AQ89="","",LEN(AQ89)-LEN(SUBSTITUTE(AQ89,".",""))=3,LEFT(AQ89,vitri(".",AQ89,3)-1),LEN(AQ89)-LEN(SUBSTITUTE(AQ89,".",""))=2,LEFT(AQ89,vitri(".",AQ89,2)-1),TRUE,LEFT(AQ89,vitri(".",AQ89,1)-1))</f>
        <v/>
      </c>
    </row>
    <row r="90" spans="13:54" x14ac:dyDescent="0.25">
      <c r="M90" s="377"/>
      <c r="T90" s="226"/>
      <c r="V90" s="226"/>
      <c r="AB90" s="63" t="str">
        <f t="shared" si="4"/>
        <v/>
      </c>
      <c r="AP90" s="210" t="str">
        <f t="shared" si="5"/>
        <v/>
      </c>
      <c r="AQ90" s="263"/>
      <c r="AR90" s="210" t="str">
        <f t="shared" si="6"/>
        <v/>
      </c>
      <c r="AS90" s="217"/>
      <c r="AT90" s="210" t="s">
        <v>503</v>
      </c>
      <c r="AU90" s="263"/>
      <c r="AV90" s="217"/>
      <c r="BB90" s="83" t="str">
        <f t="array" ref="BB90">_xlfn.IFS(AQ90="","",LEN(AQ90)-LEN(SUBSTITUTE(AQ90,".",""))=3,LEFT(AQ90,vitri(".",AQ90,3)-1),LEN(AQ90)-LEN(SUBSTITUTE(AQ90,".",""))=2,LEFT(AQ90,vitri(".",AQ90,2)-1),TRUE,LEFT(AQ90,vitri(".",AQ90,1)-1))</f>
        <v/>
      </c>
    </row>
    <row r="91" spans="13:54" x14ac:dyDescent="0.25">
      <c r="M91" s="377"/>
      <c r="T91" s="226"/>
      <c r="V91" s="226"/>
      <c r="AB91" s="63" t="str">
        <f t="shared" si="4"/>
        <v/>
      </c>
      <c r="AP91" s="210" t="str">
        <f t="shared" si="5"/>
        <v/>
      </c>
      <c r="AQ91" s="263"/>
      <c r="AR91" s="210" t="str">
        <f t="shared" si="6"/>
        <v/>
      </c>
      <c r="AS91" s="217"/>
      <c r="AT91" s="210" t="s">
        <v>503</v>
      </c>
      <c r="AU91" s="263"/>
      <c r="AV91" s="217"/>
      <c r="BB91" s="83" t="str">
        <f t="array" ref="BB91">_xlfn.IFS(AQ91="","",LEN(AQ91)-LEN(SUBSTITUTE(AQ91,".",""))=3,LEFT(AQ91,vitri(".",AQ91,3)-1),LEN(AQ91)-LEN(SUBSTITUTE(AQ91,".",""))=2,LEFT(AQ91,vitri(".",AQ91,2)-1),TRUE,LEFT(AQ91,vitri(".",AQ91,1)-1))</f>
        <v/>
      </c>
    </row>
    <row r="92" spans="13:54" x14ac:dyDescent="0.25">
      <c r="M92" s="377"/>
      <c r="T92" s="226"/>
      <c r="V92" s="226"/>
      <c r="AB92" s="63" t="str">
        <f t="shared" si="4"/>
        <v/>
      </c>
      <c r="AP92" s="210" t="str">
        <f t="shared" si="5"/>
        <v/>
      </c>
      <c r="AQ92" s="263"/>
      <c r="AR92" s="210" t="str">
        <f t="shared" si="6"/>
        <v/>
      </c>
      <c r="AS92" s="217"/>
      <c r="AT92" s="210" t="s">
        <v>503</v>
      </c>
      <c r="AU92" s="263"/>
      <c r="AV92" s="217"/>
      <c r="BB92" s="83" t="str">
        <f t="array" ref="BB92">_xlfn.IFS(AQ92="","",LEN(AQ92)-LEN(SUBSTITUTE(AQ92,".",""))=3,LEFT(AQ92,vitri(".",AQ92,3)-1),LEN(AQ92)-LEN(SUBSTITUTE(AQ92,".",""))=2,LEFT(AQ92,vitri(".",AQ92,2)-1),TRUE,LEFT(AQ92,vitri(".",AQ92,1)-1))</f>
        <v/>
      </c>
    </row>
    <row r="93" spans="13:54" x14ac:dyDescent="0.25">
      <c r="M93" s="377"/>
      <c r="T93" s="226"/>
      <c r="V93" s="226"/>
      <c r="AB93" s="63" t="str">
        <f t="shared" si="4"/>
        <v/>
      </c>
      <c r="AP93" s="210" t="str">
        <f t="shared" si="5"/>
        <v/>
      </c>
      <c r="AQ93" s="263"/>
      <c r="AR93" s="210" t="str">
        <f t="shared" si="6"/>
        <v/>
      </c>
      <c r="AS93" s="217"/>
      <c r="AT93" s="210" t="s">
        <v>503</v>
      </c>
      <c r="AU93" s="263"/>
      <c r="AV93" s="217"/>
      <c r="BB93" s="83" t="str">
        <f t="array" ref="BB93">_xlfn.IFS(AQ93="","",LEN(AQ93)-LEN(SUBSTITUTE(AQ93,".",""))=3,LEFT(AQ93,vitri(".",AQ93,3)-1),LEN(AQ93)-LEN(SUBSTITUTE(AQ93,".",""))=2,LEFT(AQ93,vitri(".",AQ93,2)-1),TRUE,LEFT(AQ93,vitri(".",AQ93,1)-1))</f>
        <v/>
      </c>
    </row>
    <row r="94" spans="13:54" x14ac:dyDescent="0.25">
      <c r="M94" s="377"/>
      <c r="T94" s="226"/>
      <c r="V94" s="226"/>
      <c r="AB94" s="63" t="str">
        <f t="shared" si="4"/>
        <v/>
      </c>
      <c r="AP94" s="210" t="str">
        <f t="shared" si="5"/>
        <v/>
      </c>
      <c r="AQ94" s="263"/>
      <c r="AR94" s="210" t="str">
        <f t="shared" si="6"/>
        <v/>
      </c>
      <c r="AS94" s="217"/>
      <c r="AT94" s="210" t="s">
        <v>503</v>
      </c>
      <c r="AU94" s="263"/>
      <c r="AV94" s="217"/>
      <c r="BB94" s="83" t="str">
        <f t="array" ref="BB94">_xlfn.IFS(AQ94="","",LEN(AQ94)-LEN(SUBSTITUTE(AQ94,".",""))=3,LEFT(AQ94,vitri(".",AQ94,3)-1),LEN(AQ94)-LEN(SUBSTITUTE(AQ94,".",""))=2,LEFT(AQ94,vitri(".",AQ94,2)-1),TRUE,LEFT(AQ94,vitri(".",AQ94,1)-1))</f>
        <v/>
      </c>
    </row>
    <row r="95" spans="13:54" x14ac:dyDescent="0.25">
      <c r="M95" s="377"/>
      <c r="T95" s="226"/>
      <c r="V95" s="226"/>
      <c r="AB95" s="63" t="str">
        <f t="shared" si="4"/>
        <v/>
      </c>
      <c r="AP95" s="210" t="str">
        <f t="shared" si="5"/>
        <v/>
      </c>
      <c r="AQ95" s="263"/>
      <c r="AR95" s="210" t="str">
        <f t="shared" si="6"/>
        <v/>
      </c>
      <c r="AS95" s="217"/>
      <c r="AT95" s="210" t="s">
        <v>503</v>
      </c>
      <c r="AU95" s="263"/>
      <c r="AV95" s="217"/>
      <c r="BB95" s="83" t="str">
        <f t="array" ref="BB95">_xlfn.IFS(AQ95="","",LEN(AQ95)-LEN(SUBSTITUTE(AQ95,".",""))=3,LEFT(AQ95,vitri(".",AQ95,3)-1),LEN(AQ95)-LEN(SUBSTITUTE(AQ95,".",""))=2,LEFT(AQ95,vitri(".",AQ95,2)-1),TRUE,LEFT(AQ95,vitri(".",AQ95,1)-1))</f>
        <v/>
      </c>
    </row>
    <row r="96" spans="13:54" x14ac:dyDescent="0.25">
      <c r="M96" s="377"/>
      <c r="T96" s="226"/>
      <c r="V96" s="226"/>
      <c r="AB96" s="63" t="str">
        <f t="shared" si="4"/>
        <v/>
      </c>
      <c r="AP96" s="210" t="str">
        <f t="shared" si="5"/>
        <v/>
      </c>
      <c r="AQ96" s="263"/>
      <c r="AR96" s="210" t="str">
        <f t="shared" si="6"/>
        <v/>
      </c>
      <c r="AS96" s="217"/>
      <c r="AT96" s="210" t="s">
        <v>503</v>
      </c>
      <c r="AU96" s="263"/>
      <c r="AV96" s="217"/>
      <c r="BB96" s="83" t="str">
        <f t="array" ref="BB96">_xlfn.IFS(AQ96="","",LEN(AQ96)-LEN(SUBSTITUTE(AQ96,".",""))=3,LEFT(AQ96,vitri(".",AQ96,3)-1),LEN(AQ96)-LEN(SUBSTITUTE(AQ96,".",""))=2,LEFT(AQ96,vitri(".",AQ96,2)-1),TRUE,LEFT(AQ96,vitri(".",AQ96,1)-1))</f>
        <v/>
      </c>
    </row>
    <row r="97" spans="13:54" x14ac:dyDescent="0.25">
      <c r="M97" s="377"/>
      <c r="T97" s="226"/>
      <c r="V97" s="226"/>
      <c r="AB97" s="63" t="str">
        <f t="shared" si="4"/>
        <v/>
      </c>
      <c r="AP97" s="210" t="str">
        <f t="shared" si="5"/>
        <v/>
      </c>
      <c r="AQ97" s="263"/>
      <c r="AR97" s="210" t="str">
        <f t="shared" si="6"/>
        <v/>
      </c>
      <c r="AS97" s="217"/>
      <c r="AT97" s="210" t="s">
        <v>503</v>
      </c>
      <c r="AU97" s="263"/>
      <c r="AV97" s="217"/>
      <c r="BB97" s="83" t="str">
        <f t="array" ref="BB97">_xlfn.IFS(AQ97="","",LEN(AQ97)-LEN(SUBSTITUTE(AQ97,".",""))=3,LEFT(AQ97,vitri(".",AQ97,3)-1),LEN(AQ97)-LEN(SUBSTITUTE(AQ97,".",""))=2,LEFT(AQ97,vitri(".",AQ97,2)-1),TRUE,LEFT(AQ97,vitri(".",AQ97,1)-1))</f>
        <v/>
      </c>
    </row>
    <row r="98" spans="13:54" x14ac:dyDescent="0.25">
      <c r="M98" s="377"/>
      <c r="T98" s="226"/>
      <c r="V98" s="226"/>
      <c r="AB98" s="63" t="str">
        <f t="shared" si="4"/>
        <v/>
      </c>
      <c r="AP98" s="210" t="str">
        <f t="shared" si="5"/>
        <v/>
      </c>
      <c r="AQ98" s="263"/>
      <c r="AR98" s="210" t="str">
        <f t="shared" si="6"/>
        <v/>
      </c>
      <c r="AS98" s="217"/>
      <c r="AT98" s="210" t="s">
        <v>503</v>
      </c>
      <c r="AU98" s="263"/>
      <c r="AV98" s="217"/>
      <c r="BB98" s="83" t="str">
        <f t="array" ref="BB98">_xlfn.IFS(AQ98="","",LEN(AQ98)-LEN(SUBSTITUTE(AQ98,".",""))=3,LEFT(AQ98,vitri(".",AQ98,3)-1),LEN(AQ98)-LEN(SUBSTITUTE(AQ98,".",""))=2,LEFT(AQ98,vitri(".",AQ98,2)-1),TRUE,LEFT(AQ98,vitri(".",AQ98,1)-1))</f>
        <v/>
      </c>
    </row>
    <row r="99" spans="13:54" x14ac:dyDescent="0.25">
      <c r="M99" s="377"/>
      <c r="T99" s="226"/>
      <c r="V99" s="226"/>
      <c r="AB99" s="63" t="str">
        <f t="shared" si="4"/>
        <v/>
      </c>
      <c r="AP99" s="210" t="str">
        <f t="shared" si="5"/>
        <v/>
      </c>
      <c r="AQ99" s="263"/>
      <c r="AR99" s="210" t="str">
        <f t="shared" si="6"/>
        <v/>
      </c>
      <c r="AS99" s="217"/>
      <c r="AT99" s="210" t="s">
        <v>503</v>
      </c>
      <c r="AU99" s="263"/>
      <c r="AV99" s="217"/>
      <c r="BB99" s="83" t="str">
        <f t="array" ref="BB99">_xlfn.IFS(AQ99="","",LEN(AQ99)-LEN(SUBSTITUTE(AQ99,".",""))=3,LEFT(AQ99,vitri(".",AQ99,3)-1),LEN(AQ99)-LEN(SUBSTITUTE(AQ99,".",""))=2,LEFT(AQ99,vitri(".",AQ99,2)-1),TRUE,LEFT(AQ99,vitri(".",AQ99,1)-1))</f>
        <v/>
      </c>
    </row>
    <row r="100" spans="13:54" x14ac:dyDescent="0.25">
      <c r="M100" s="377"/>
      <c r="T100" s="226"/>
      <c r="V100" s="226"/>
      <c r="AB100" s="63" t="str">
        <f t="shared" si="4"/>
        <v/>
      </c>
      <c r="AP100" s="210" t="str">
        <f t="shared" si="5"/>
        <v/>
      </c>
      <c r="AQ100" s="263"/>
      <c r="AR100" s="210" t="str">
        <f t="shared" si="6"/>
        <v/>
      </c>
      <c r="AS100" s="217"/>
      <c r="AT100" s="210" t="s">
        <v>503</v>
      </c>
      <c r="AU100" s="263"/>
      <c r="AV100" s="217"/>
      <c r="BB100" s="83" t="str">
        <f t="array" ref="BB100">_xlfn.IFS(AQ100="","",LEN(AQ100)-LEN(SUBSTITUTE(AQ100,".",""))=3,LEFT(AQ100,vitri(".",AQ100,3)-1),LEN(AQ100)-LEN(SUBSTITUTE(AQ100,".",""))=2,LEFT(AQ100,vitri(".",AQ100,2)-1),TRUE,LEFT(AQ100,vitri(".",AQ100,1)-1))</f>
        <v/>
      </c>
    </row>
    <row r="101" spans="13:54" x14ac:dyDescent="0.25">
      <c r="M101" s="377"/>
      <c r="T101" s="226"/>
      <c r="V101" s="226"/>
      <c r="AB101" s="63" t="str">
        <f t="shared" si="4"/>
        <v/>
      </c>
      <c r="AP101" s="210" t="str">
        <f t="shared" si="5"/>
        <v/>
      </c>
      <c r="AQ101" s="263"/>
      <c r="AR101" s="210" t="str">
        <f t="shared" si="6"/>
        <v/>
      </c>
      <c r="AS101" s="217"/>
      <c r="AT101" s="210" t="s">
        <v>503</v>
      </c>
      <c r="AU101" s="263"/>
      <c r="AV101" s="217"/>
      <c r="BB101" s="83" t="str">
        <f t="array" ref="BB101">_xlfn.IFS(AQ101="","",LEN(AQ101)-LEN(SUBSTITUTE(AQ101,".",""))=3,LEFT(AQ101,vitri(".",AQ101,3)-1),LEN(AQ101)-LEN(SUBSTITUTE(AQ101,".",""))=2,LEFT(AQ101,vitri(".",AQ101,2)-1),TRUE,LEFT(AQ101,vitri(".",AQ101,1)-1))</f>
        <v/>
      </c>
    </row>
    <row r="102" spans="13:54" x14ac:dyDescent="0.25">
      <c r="M102" s="377"/>
      <c r="T102" s="226"/>
      <c r="V102" s="226"/>
      <c r="AB102" s="63" t="str">
        <f t="shared" si="4"/>
        <v/>
      </c>
      <c r="AP102" s="210" t="str">
        <f t="shared" si="5"/>
        <v/>
      </c>
      <c r="AQ102" s="263"/>
      <c r="AR102" s="210" t="str">
        <f t="shared" si="6"/>
        <v/>
      </c>
      <c r="AS102" s="217"/>
      <c r="AT102" s="210" t="s">
        <v>503</v>
      </c>
      <c r="AU102" s="263"/>
      <c r="AV102" s="217"/>
      <c r="BB102" s="83" t="str">
        <f t="array" ref="BB102">_xlfn.IFS(AQ102="","",LEN(AQ102)-LEN(SUBSTITUTE(AQ102,".",""))=3,LEFT(AQ102,vitri(".",AQ102,3)-1),LEN(AQ102)-LEN(SUBSTITUTE(AQ102,".",""))=2,LEFT(AQ102,vitri(".",AQ102,2)-1),TRUE,LEFT(AQ102,vitri(".",AQ102,1)-1))</f>
        <v/>
      </c>
    </row>
    <row r="103" spans="13:54" x14ac:dyDescent="0.25">
      <c r="M103" s="377"/>
      <c r="T103" s="226"/>
      <c r="V103" s="226"/>
      <c r="AB103" s="63" t="str">
        <f t="shared" si="4"/>
        <v/>
      </c>
      <c r="AP103" s="210" t="str">
        <f t="shared" si="5"/>
        <v/>
      </c>
      <c r="AQ103" s="263"/>
      <c r="AR103" s="210" t="str">
        <f t="shared" si="6"/>
        <v/>
      </c>
      <c r="AS103" s="217"/>
      <c r="AT103" s="210" t="s">
        <v>503</v>
      </c>
      <c r="AU103" s="263"/>
      <c r="AV103" s="217"/>
      <c r="BB103" s="83" t="str">
        <f t="array" ref="BB103">_xlfn.IFS(AQ103="","",LEN(AQ103)-LEN(SUBSTITUTE(AQ103,".",""))=3,LEFT(AQ103,vitri(".",AQ103,3)-1),LEN(AQ103)-LEN(SUBSTITUTE(AQ103,".",""))=2,LEFT(AQ103,vitri(".",AQ103,2)-1),TRUE,LEFT(AQ103,vitri(".",AQ103,1)-1))</f>
        <v/>
      </c>
    </row>
    <row r="104" spans="13:54" x14ac:dyDescent="0.25">
      <c r="M104" s="377"/>
      <c r="T104" s="226"/>
      <c r="V104" s="226"/>
      <c r="AB104" s="63" t="str">
        <f t="shared" si="4"/>
        <v/>
      </c>
      <c r="AP104" s="210" t="str">
        <f t="shared" si="5"/>
        <v/>
      </c>
      <c r="AQ104" s="263"/>
      <c r="AR104" s="210" t="str">
        <f t="shared" si="6"/>
        <v/>
      </c>
      <c r="AS104" s="217"/>
      <c r="AT104" s="210" t="s">
        <v>503</v>
      </c>
      <c r="AU104" s="263"/>
      <c r="AV104" s="217"/>
      <c r="BB104" s="83" t="str">
        <f t="array" ref="BB104">_xlfn.IFS(AQ104="","",LEN(AQ104)-LEN(SUBSTITUTE(AQ104,".",""))=3,LEFT(AQ104,vitri(".",AQ104,3)-1),LEN(AQ104)-LEN(SUBSTITUTE(AQ104,".",""))=2,LEFT(AQ104,vitri(".",AQ104,2)-1),TRUE,LEFT(AQ104,vitri(".",AQ104,1)-1))</f>
        <v/>
      </c>
    </row>
    <row r="105" spans="13:54" x14ac:dyDescent="0.25">
      <c r="M105" s="377"/>
      <c r="T105" s="226"/>
      <c r="V105" s="226"/>
      <c r="AB105" s="63" t="str">
        <f t="shared" si="4"/>
        <v/>
      </c>
      <c r="AP105" s="210" t="str">
        <f t="shared" si="5"/>
        <v/>
      </c>
      <c r="AQ105" s="263"/>
      <c r="AR105" s="210" t="str">
        <f t="shared" si="6"/>
        <v/>
      </c>
      <c r="AS105" s="217"/>
      <c r="AT105" s="210" t="s">
        <v>503</v>
      </c>
      <c r="AU105" s="263"/>
      <c r="AV105" s="217"/>
      <c r="BB105" s="83" t="str">
        <f t="array" ref="BB105">_xlfn.IFS(AQ105="","",LEN(AQ105)-LEN(SUBSTITUTE(AQ105,".",""))=3,LEFT(AQ105,vitri(".",AQ105,3)-1),LEN(AQ105)-LEN(SUBSTITUTE(AQ105,".",""))=2,LEFT(AQ105,vitri(".",AQ105,2)-1),TRUE,LEFT(AQ105,vitri(".",AQ105,1)-1))</f>
        <v/>
      </c>
    </row>
    <row r="106" spans="13:54" x14ac:dyDescent="0.25">
      <c r="M106" s="377"/>
      <c r="T106" s="226"/>
      <c r="V106" s="226"/>
      <c r="AB106" s="63" t="str">
        <f t="shared" si="4"/>
        <v/>
      </c>
      <c r="AP106" s="210" t="str">
        <f t="shared" si="5"/>
        <v/>
      </c>
      <c r="AQ106" s="263"/>
      <c r="AR106" s="210" t="str">
        <f t="shared" si="6"/>
        <v/>
      </c>
      <c r="AS106" s="217"/>
      <c r="AT106" s="210" t="s">
        <v>503</v>
      </c>
      <c r="AU106" s="263"/>
      <c r="AV106" s="217"/>
      <c r="BB106" s="83" t="str">
        <f t="array" ref="BB106">_xlfn.IFS(AQ106="","",LEN(AQ106)-LEN(SUBSTITUTE(AQ106,".",""))=3,LEFT(AQ106,vitri(".",AQ106,3)-1),LEN(AQ106)-LEN(SUBSTITUTE(AQ106,".",""))=2,LEFT(AQ106,vitri(".",AQ106,2)-1),TRUE,LEFT(AQ106,vitri(".",AQ106,1)-1))</f>
        <v/>
      </c>
    </row>
    <row r="107" spans="13:54" x14ac:dyDescent="0.25">
      <c r="M107" s="377"/>
      <c r="T107" s="226"/>
      <c r="V107" s="226"/>
      <c r="AB107" s="63" t="str">
        <f t="shared" si="4"/>
        <v/>
      </c>
      <c r="AP107" s="210" t="str">
        <f t="shared" si="5"/>
        <v/>
      </c>
      <c r="AQ107" s="263"/>
      <c r="AR107" s="210" t="str">
        <f t="shared" si="6"/>
        <v/>
      </c>
      <c r="AS107" s="217"/>
      <c r="AT107" s="210" t="s">
        <v>503</v>
      </c>
      <c r="AU107" s="263"/>
      <c r="AV107" s="217"/>
      <c r="BB107" s="83" t="str">
        <f t="array" ref="BB107">_xlfn.IFS(AQ107="","",LEN(AQ107)-LEN(SUBSTITUTE(AQ107,".",""))=3,LEFT(AQ107,vitri(".",AQ107,3)-1),LEN(AQ107)-LEN(SUBSTITUTE(AQ107,".",""))=2,LEFT(AQ107,vitri(".",AQ107,2)-1),TRUE,LEFT(AQ107,vitri(".",AQ107,1)-1))</f>
        <v/>
      </c>
    </row>
    <row r="108" spans="13:54" x14ac:dyDescent="0.25">
      <c r="M108" s="377"/>
      <c r="T108" s="226"/>
      <c r="V108" s="226"/>
      <c r="AB108" s="63" t="str">
        <f t="shared" si="4"/>
        <v/>
      </c>
      <c r="AP108" s="210" t="str">
        <f t="shared" si="5"/>
        <v/>
      </c>
      <c r="AQ108" s="263"/>
      <c r="AR108" s="210" t="str">
        <f t="shared" si="6"/>
        <v/>
      </c>
      <c r="AS108" s="217"/>
      <c r="AT108" s="210" t="s">
        <v>503</v>
      </c>
      <c r="AU108" s="263"/>
      <c r="AV108" s="217"/>
      <c r="BB108" s="83" t="str">
        <f t="array" ref="BB108">_xlfn.IFS(AQ108="","",LEN(AQ108)-LEN(SUBSTITUTE(AQ108,".",""))=3,LEFT(AQ108,vitri(".",AQ108,3)-1),LEN(AQ108)-LEN(SUBSTITUTE(AQ108,".",""))=2,LEFT(AQ108,vitri(".",AQ108,2)-1),TRUE,LEFT(AQ108,vitri(".",AQ108,1)-1))</f>
        <v/>
      </c>
    </row>
    <row r="109" spans="13:54" x14ac:dyDescent="0.25">
      <c r="M109" s="377"/>
      <c r="T109" s="226"/>
      <c r="V109" s="226"/>
      <c r="AB109" s="63" t="str">
        <f t="shared" si="4"/>
        <v/>
      </c>
      <c r="AP109" s="210" t="str">
        <f t="shared" si="5"/>
        <v/>
      </c>
      <c r="AQ109" s="263"/>
      <c r="AR109" s="210" t="str">
        <f t="shared" si="6"/>
        <v/>
      </c>
      <c r="AS109" s="217"/>
      <c r="AT109" s="210" t="s">
        <v>503</v>
      </c>
      <c r="AU109" s="263"/>
      <c r="AV109" s="217"/>
      <c r="BB109" s="83" t="str">
        <f t="array" ref="BB109">_xlfn.IFS(AQ109="","",LEN(AQ109)-LEN(SUBSTITUTE(AQ109,".",""))=3,LEFT(AQ109,vitri(".",AQ109,3)-1),LEN(AQ109)-LEN(SUBSTITUTE(AQ109,".",""))=2,LEFT(AQ109,vitri(".",AQ109,2)-1),TRUE,LEFT(AQ109,vitri(".",AQ109,1)-1))</f>
        <v/>
      </c>
    </row>
    <row r="110" spans="13:54" x14ac:dyDescent="0.25">
      <c r="M110" s="377"/>
      <c r="T110" s="226"/>
      <c r="V110" s="226"/>
      <c r="AB110" s="63" t="str">
        <f t="shared" si="4"/>
        <v/>
      </c>
      <c r="AP110" s="210" t="str">
        <f t="shared" si="5"/>
        <v/>
      </c>
      <c r="AQ110" s="263"/>
      <c r="AR110" s="210" t="str">
        <f t="shared" si="6"/>
        <v/>
      </c>
      <c r="AS110" s="217"/>
      <c r="AT110" s="210" t="s">
        <v>503</v>
      </c>
      <c r="AU110" s="263"/>
      <c r="AV110" s="217"/>
      <c r="BB110" s="83" t="str">
        <f t="array" ref="BB110">_xlfn.IFS(AQ110="","",LEN(AQ110)-LEN(SUBSTITUTE(AQ110,".",""))=3,LEFT(AQ110,vitri(".",AQ110,3)-1),LEN(AQ110)-LEN(SUBSTITUTE(AQ110,".",""))=2,LEFT(AQ110,vitri(".",AQ110,2)-1),TRUE,LEFT(AQ110,vitri(".",AQ110,1)-1))</f>
        <v/>
      </c>
    </row>
    <row r="111" spans="13:54" x14ac:dyDescent="0.25">
      <c r="M111" s="377"/>
      <c r="T111" s="226"/>
      <c r="V111" s="226"/>
      <c r="AB111" s="63" t="str">
        <f t="shared" si="4"/>
        <v/>
      </c>
      <c r="AP111" s="210" t="str">
        <f t="shared" si="5"/>
        <v/>
      </c>
      <c r="AQ111" s="263"/>
      <c r="AR111" s="210" t="str">
        <f t="shared" si="6"/>
        <v/>
      </c>
      <c r="AS111" s="217"/>
      <c r="AT111" s="210" t="s">
        <v>503</v>
      </c>
      <c r="AU111" s="263"/>
      <c r="AV111" s="217"/>
      <c r="BB111" s="83" t="str">
        <f t="array" ref="BB111">_xlfn.IFS(AQ111="","",LEN(AQ111)-LEN(SUBSTITUTE(AQ111,".",""))=3,LEFT(AQ111,vitri(".",AQ111,3)-1),LEN(AQ111)-LEN(SUBSTITUTE(AQ111,".",""))=2,LEFT(AQ111,vitri(".",AQ111,2)-1),TRUE,LEFT(AQ111,vitri(".",AQ111,1)-1))</f>
        <v/>
      </c>
    </row>
    <row r="112" spans="13:54" x14ac:dyDescent="0.25">
      <c r="M112" s="377"/>
      <c r="T112" s="226"/>
      <c r="V112" s="226"/>
      <c r="AB112" s="63" t="str">
        <f t="shared" si="4"/>
        <v/>
      </c>
      <c r="AP112" s="210" t="str">
        <f t="shared" si="5"/>
        <v/>
      </c>
      <c r="AQ112" s="263"/>
      <c r="AR112" s="210" t="str">
        <f t="shared" si="6"/>
        <v/>
      </c>
      <c r="AS112" s="217"/>
      <c r="AT112" s="210" t="s">
        <v>503</v>
      </c>
      <c r="AU112" s="263"/>
      <c r="AV112" s="217"/>
      <c r="BB112" s="83" t="str">
        <f t="array" ref="BB112">_xlfn.IFS(AQ112="","",LEN(AQ112)-LEN(SUBSTITUTE(AQ112,".",""))=3,LEFT(AQ112,vitri(".",AQ112,3)-1),LEN(AQ112)-LEN(SUBSTITUTE(AQ112,".",""))=2,LEFT(AQ112,vitri(".",AQ112,2)-1),TRUE,LEFT(AQ112,vitri(".",AQ112,1)-1))</f>
        <v/>
      </c>
    </row>
    <row r="113" spans="13:54" x14ac:dyDescent="0.25">
      <c r="M113" s="377"/>
      <c r="T113" s="226"/>
      <c r="V113" s="226"/>
      <c r="AB113" s="63" t="str">
        <f t="shared" si="4"/>
        <v/>
      </c>
      <c r="AP113" s="210" t="str">
        <f t="shared" si="5"/>
        <v/>
      </c>
      <c r="AQ113" s="263"/>
      <c r="AR113" s="210" t="str">
        <f t="shared" si="6"/>
        <v/>
      </c>
      <c r="AS113" s="217"/>
      <c r="AT113" s="210" t="s">
        <v>503</v>
      </c>
      <c r="AU113" s="263"/>
      <c r="AV113" s="217"/>
      <c r="BB113" s="83" t="str">
        <f t="array" ref="BB113">_xlfn.IFS(AQ113="","",LEN(AQ113)-LEN(SUBSTITUTE(AQ113,".",""))=3,LEFT(AQ113,vitri(".",AQ113,3)-1),LEN(AQ113)-LEN(SUBSTITUTE(AQ113,".",""))=2,LEFT(AQ113,vitri(".",AQ113,2)-1),TRUE,LEFT(AQ113,vitri(".",AQ113,1)-1))</f>
        <v/>
      </c>
    </row>
    <row r="114" spans="13:54" x14ac:dyDescent="0.25">
      <c r="M114" s="377"/>
      <c r="T114" s="226"/>
      <c r="V114" s="226"/>
      <c r="AB114" s="63" t="str">
        <f t="shared" si="4"/>
        <v/>
      </c>
      <c r="AP114" s="210" t="str">
        <f t="shared" si="5"/>
        <v/>
      </c>
      <c r="AQ114" s="263"/>
      <c r="AR114" s="210" t="str">
        <f t="shared" si="6"/>
        <v/>
      </c>
      <c r="AS114" s="217"/>
      <c r="AT114" s="210" t="s">
        <v>503</v>
      </c>
      <c r="AU114" s="263"/>
      <c r="AV114" s="217"/>
      <c r="BB114" s="83" t="str">
        <f t="array" ref="BB114">_xlfn.IFS(AQ114="","",LEN(AQ114)-LEN(SUBSTITUTE(AQ114,".",""))=3,LEFT(AQ114,vitri(".",AQ114,3)-1),LEN(AQ114)-LEN(SUBSTITUTE(AQ114,".",""))=2,LEFT(AQ114,vitri(".",AQ114,2)-1),TRUE,LEFT(AQ114,vitri(".",AQ114,1)-1))</f>
        <v/>
      </c>
    </row>
    <row r="115" spans="13:54" x14ac:dyDescent="0.25">
      <c r="M115" s="377"/>
      <c r="T115" s="226"/>
      <c r="V115" s="226"/>
      <c r="AB115" s="63" t="str">
        <f t="shared" si="4"/>
        <v/>
      </c>
      <c r="AP115" s="210" t="str">
        <f t="shared" si="5"/>
        <v/>
      </c>
      <c r="AQ115" s="263"/>
      <c r="AR115" s="210" t="str">
        <f t="shared" si="6"/>
        <v/>
      </c>
      <c r="AS115" s="217"/>
      <c r="AT115" s="210" t="s">
        <v>503</v>
      </c>
      <c r="AU115" s="263"/>
      <c r="AV115" s="217"/>
      <c r="BB115" s="83" t="str">
        <f t="array" ref="BB115">_xlfn.IFS(AQ115="","",LEN(AQ115)-LEN(SUBSTITUTE(AQ115,".",""))=3,LEFT(AQ115,vitri(".",AQ115,3)-1),LEN(AQ115)-LEN(SUBSTITUTE(AQ115,".",""))=2,LEFT(AQ115,vitri(".",AQ115,2)-1),TRUE,LEFT(AQ115,vitri(".",AQ115,1)-1))</f>
        <v/>
      </c>
    </row>
    <row r="116" spans="13:54" x14ac:dyDescent="0.25">
      <c r="M116" s="377"/>
      <c r="T116" s="226"/>
      <c r="V116" s="226"/>
      <c r="AB116" s="63" t="str">
        <f t="shared" si="4"/>
        <v/>
      </c>
      <c r="AP116" s="210" t="str">
        <f t="shared" si="5"/>
        <v/>
      </c>
      <c r="AQ116" s="263"/>
      <c r="AR116" s="210" t="str">
        <f t="shared" si="6"/>
        <v/>
      </c>
      <c r="AS116" s="217"/>
      <c r="AT116" s="210" t="s">
        <v>503</v>
      </c>
      <c r="AU116" s="263"/>
      <c r="AV116" s="217"/>
      <c r="BB116" s="83" t="str">
        <f t="array" ref="BB116">_xlfn.IFS(AQ116="","",LEN(AQ116)-LEN(SUBSTITUTE(AQ116,".",""))=3,LEFT(AQ116,vitri(".",AQ116,3)-1),LEN(AQ116)-LEN(SUBSTITUTE(AQ116,".",""))=2,LEFT(AQ116,vitri(".",AQ116,2)-1),TRUE,LEFT(AQ116,vitri(".",AQ116,1)-1))</f>
        <v/>
      </c>
    </row>
    <row r="117" spans="13:54" x14ac:dyDescent="0.25">
      <c r="M117" s="377"/>
      <c r="T117" s="226"/>
      <c r="V117" s="226"/>
      <c r="AB117" s="63" t="str">
        <f t="shared" si="4"/>
        <v/>
      </c>
      <c r="AP117" s="210" t="str">
        <f t="shared" si="5"/>
        <v/>
      </c>
      <c r="AQ117" s="263"/>
      <c r="AR117" s="210" t="str">
        <f t="shared" si="6"/>
        <v/>
      </c>
      <c r="AS117" s="217"/>
      <c r="AT117" s="210" t="s">
        <v>503</v>
      </c>
      <c r="AU117" s="263"/>
      <c r="AV117" s="217"/>
      <c r="BB117" s="83" t="str">
        <f t="array" ref="BB117">_xlfn.IFS(AQ117="","",LEN(AQ117)-LEN(SUBSTITUTE(AQ117,".",""))=3,LEFT(AQ117,vitri(".",AQ117,3)-1),LEN(AQ117)-LEN(SUBSTITUTE(AQ117,".",""))=2,LEFT(AQ117,vitri(".",AQ117,2)-1),TRUE,LEFT(AQ117,vitri(".",AQ117,1)-1))</f>
        <v/>
      </c>
    </row>
    <row r="118" spans="13:54" x14ac:dyDescent="0.25">
      <c r="M118" s="377"/>
      <c r="T118" s="226"/>
      <c r="V118" s="226"/>
      <c r="AB118" s="63" t="str">
        <f t="shared" si="4"/>
        <v/>
      </c>
      <c r="AP118" s="210" t="str">
        <f t="shared" si="5"/>
        <v/>
      </c>
      <c r="AQ118" s="263"/>
      <c r="AR118" s="210" t="str">
        <f t="shared" si="6"/>
        <v/>
      </c>
      <c r="AS118" s="217"/>
      <c r="AT118" s="210" t="s">
        <v>503</v>
      </c>
      <c r="AU118" s="263"/>
      <c r="AV118" s="217"/>
      <c r="BB118" s="83" t="str">
        <f t="array" ref="BB118">_xlfn.IFS(AQ118="","",LEN(AQ118)-LEN(SUBSTITUTE(AQ118,".",""))=3,LEFT(AQ118,vitri(".",AQ118,3)-1),LEN(AQ118)-LEN(SUBSTITUTE(AQ118,".",""))=2,LEFT(AQ118,vitri(".",AQ118,2)-1),TRUE,LEFT(AQ118,vitri(".",AQ118,1)-1))</f>
        <v/>
      </c>
    </row>
    <row r="119" spans="13:54" x14ac:dyDescent="0.25">
      <c r="M119" s="377"/>
      <c r="T119" s="226"/>
      <c r="V119" s="226"/>
      <c r="AB119" s="63" t="str">
        <f t="shared" si="4"/>
        <v/>
      </c>
      <c r="AP119" s="210" t="str">
        <f t="shared" si="5"/>
        <v/>
      </c>
      <c r="AQ119" s="263"/>
      <c r="AR119" s="210" t="str">
        <f t="shared" si="6"/>
        <v/>
      </c>
      <c r="AS119" s="217"/>
      <c r="AT119" s="210" t="s">
        <v>503</v>
      </c>
      <c r="AU119" s="263"/>
      <c r="AV119" s="217"/>
      <c r="BB119" s="83" t="str">
        <f t="array" ref="BB119">_xlfn.IFS(AQ119="","",LEN(AQ119)-LEN(SUBSTITUTE(AQ119,".",""))=3,LEFT(AQ119,vitri(".",AQ119,3)-1),LEN(AQ119)-LEN(SUBSTITUTE(AQ119,".",""))=2,LEFT(AQ119,vitri(".",AQ119,2)-1),TRUE,LEFT(AQ119,vitri(".",AQ119,1)-1))</f>
        <v/>
      </c>
    </row>
    <row r="120" spans="13:54" x14ac:dyDescent="0.25">
      <c r="M120" s="377"/>
      <c r="T120" s="226"/>
      <c r="V120" s="226"/>
      <c r="AB120" s="63" t="str">
        <f t="shared" si="4"/>
        <v/>
      </c>
      <c r="AP120" s="210" t="str">
        <f t="shared" si="5"/>
        <v/>
      </c>
      <c r="AQ120" s="263"/>
      <c r="AR120" s="210" t="str">
        <f t="shared" si="6"/>
        <v/>
      </c>
      <c r="AS120" s="217"/>
      <c r="AT120" s="210" t="s">
        <v>503</v>
      </c>
      <c r="AU120" s="263"/>
      <c r="AV120" s="217"/>
      <c r="BB120" s="83" t="str">
        <f t="array" ref="BB120">_xlfn.IFS(AQ120="","",LEN(AQ120)-LEN(SUBSTITUTE(AQ120,".",""))=3,LEFT(AQ120,vitri(".",AQ120,3)-1),LEN(AQ120)-LEN(SUBSTITUTE(AQ120,".",""))=2,LEFT(AQ120,vitri(".",AQ120,2)-1),TRUE,LEFT(AQ120,vitri(".",AQ120,1)-1))</f>
        <v/>
      </c>
    </row>
    <row r="121" spans="13:54" x14ac:dyDescent="0.25">
      <c r="M121" s="377"/>
      <c r="T121" s="226"/>
      <c r="V121" s="226"/>
      <c r="AB121" s="63" t="str">
        <f t="shared" si="4"/>
        <v/>
      </c>
      <c r="AP121" s="210" t="str">
        <f t="shared" si="5"/>
        <v/>
      </c>
      <c r="AQ121" s="263"/>
      <c r="AR121" s="210" t="str">
        <f t="shared" si="6"/>
        <v/>
      </c>
      <c r="AS121" s="217"/>
      <c r="AT121" s="210" t="s">
        <v>503</v>
      </c>
      <c r="AU121" s="263"/>
      <c r="AV121" s="217"/>
      <c r="BB121" s="83" t="str">
        <f t="array" ref="BB121">_xlfn.IFS(AQ121="","",LEN(AQ121)-LEN(SUBSTITUTE(AQ121,".",""))=3,LEFT(AQ121,vitri(".",AQ121,3)-1),LEN(AQ121)-LEN(SUBSTITUTE(AQ121,".",""))=2,LEFT(AQ121,vitri(".",AQ121,2)-1),TRUE,LEFT(AQ121,vitri(".",AQ121,1)-1))</f>
        <v/>
      </c>
    </row>
    <row r="122" spans="13:54" x14ac:dyDescent="0.25">
      <c r="M122" s="377"/>
      <c r="T122" s="226"/>
      <c r="V122" s="226"/>
      <c r="AB122" s="63" t="str">
        <f t="shared" si="4"/>
        <v/>
      </c>
      <c r="AP122" s="210" t="str">
        <f t="shared" si="5"/>
        <v/>
      </c>
      <c r="AQ122" s="263"/>
      <c r="AR122" s="210" t="str">
        <f t="shared" si="6"/>
        <v/>
      </c>
      <c r="AS122" s="217"/>
      <c r="AT122" s="210" t="s">
        <v>503</v>
      </c>
      <c r="AU122" s="263"/>
      <c r="AV122" s="217"/>
      <c r="BB122" s="83" t="str">
        <f t="array" ref="BB122">_xlfn.IFS(AQ122="","",LEN(AQ122)-LEN(SUBSTITUTE(AQ122,".",""))=3,LEFT(AQ122,vitri(".",AQ122,3)-1),LEN(AQ122)-LEN(SUBSTITUTE(AQ122,".",""))=2,LEFT(AQ122,vitri(".",AQ122,2)-1),TRUE,LEFT(AQ122,vitri(".",AQ122,1)-1))</f>
        <v/>
      </c>
    </row>
    <row r="123" spans="13:54" x14ac:dyDescent="0.25">
      <c r="M123" s="377"/>
      <c r="T123" s="226"/>
      <c r="V123" s="226"/>
      <c r="AB123" s="63" t="str">
        <f t="shared" si="4"/>
        <v/>
      </c>
      <c r="AP123" s="210" t="str">
        <f t="shared" si="5"/>
        <v/>
      </c>
      <c r="AQ123" s="263"/>
      <c r="AR123" s="210" t="str">
        <f t="shared" si="6"/>
        <v/>
      </c>
      <c r="AS123" s="217"/>
      <c r="AT123" s="210" t="s">
        <v>503</v>
      </c>
      <c r="AU123" s="263"/>
      <c r="AV123" s="217"/>
      <c r="BB123" s="83" t="str">
        <f t="array" ref="BB123">_xlfn.IFS(AQ123="","",LEN(AQ123)-LEN(SUBSTITUTE(AQ123,".",""))=3,LEFT(AQ123,vitri(".",AQ123,3)-1),LEN(AQ123)-LEN(SUBSTITUTE(AQ123,".",""))=2,LEFT(AQ123,vitri(".",AQ123,2)-1),TRUE,LEFT(AQ123,vitri(".",AQ123,1)-1))</f>
        <v/>
      </c>
    </row>
    <row r="124" spans="13:54" x14ac:dyDescent="0.25">
      <c r="M124" s="377"/>
      <c r="T124" s="226"/>
      <c r="V124" s="226"/>
      <c r="AB124" s="63" t="str">
        <f t="shared" si="4"/>
        <v/>
      </c>
      <c r="AP124" s="210" t="str">
        <f t="shared" si="5"/>
        <v/>
      </c>
      <c r="AQ124" s="263"/>
      <c r="AR124" s="210" t="str">
        <f t="shared" si="6"/>
        <v/>
      </c>
      <c r="AS124" s="217"/>
      <c r="AT124" s="210" t="s">
        <v>503</v>
      </c>
      <c r="AU124" s="263"/>
      <c r="AV124" s="217"/>
      <c r="BB124" s="83" t="str">
        <f t="array" ref="BB124">_xlfn.IFS(AQ124="","",LEN(AQ124)-LEN(SUBSTITUTE(AQ124,".",""))=3,LEFT(AQ124,vitri(".",AQ124,3)-1),LEN(AQ124)-LEN(SUBSTITUTE(AQ124,".",""))=2,LEFT(AQ124,vitri(".",AQ124,2)-1),TRUE,LEFT(AQ124,vitri(".",AQ124,1)-1))</f>
        <v/>
      </c>
    </row>
    <row r="125" spans="13:54" x14ac:dyDescent="0.25">
      <c r="M125" s="377"/>
      <c r="T125" s="226"/>
      <c r="V125" s="226"/>
      <c r="AB125" s="63" t="str">
        <f t="shared" si="4"/>
        <v/>
      </c>
      <c r="AP125" s="210" t="str">
        <f t="shared" si="5"/>
        <v/>
      </c>
      <c r="AQ125" s="263"/>
      <c r="AR125" s="210" t="str">
        <f t="shared" si="6"/>
        <v/>
      </c>
      <c r="AS125" s="217"/>
      <c r="AT125" s="210" t="s">
        <v>503</v>
      </c>
      <c r="AU125" s="263"/>
      <c r="AV125" s="217"/>
      <c r="BB125" s="83" t="str">
        <f t="array" ref="BB125">_xlfn.IFS(AQ125="","",LEN(AQ125)-LEN(SUBSTITUTE(AQ125,".",""))=3,LEFT(AQ125,vitri(".",AQ125,3)-1),LEN(AQ125)-LEN(SUBSTITUTE(AQ125,".",""))=2,LEFT(AQ125,vitri(".",AQ125,2)-1),TRUE,LEFT(AQ125,vitri(".",AQ125,1)-1))</f>
        <v/>
      </c>
    </row>
    <row r="126" spans="13:54" x14ac:dyDescent="0.25">
      <c r="M126" s="377"/>
      <c r="T126" s="226"/>
      <c r="V126" s="226"/>
      <c r="AB126" s="63" t="str">
        <f t="shared" si="4"/>
        <v/>
      </c>
      <c r="AP126" s="210" t="str">
        <f t="shared" si="5"/>
        <v/>
      </c>
      <c r="AQ126" s="263"/>
      <c r="AR126" s="210" t="str">
        <f t="shared" si="6"/>
        <v/>
      </c>
      <c r="AS126" s="217"/>
      <c r="AT126" s="210" t="s">
        <v>503</v>
      </c>
      <c r="AU126" s="263"/>
      <c r="AV126" s="217"/>
      <c r="BB126" s="83" t="str">
        <f t="array" ref="BB126">_xlfn.IFS(AQ126="","",LEN(AQ126)-LEN(SUBSTITUTE(AQ126,".",""))=3,LEFT(AQ126,vitri(".",AQ126,3)-1),LEN(AQ126)-LEN(SUBSTITUTE(AQ126,".",""))=2,LEFT(AQ126,vitri(".",AQ126,2)-1),TRUE,LEFT(AQ126,vitri(".",AQ126,1)-1))</f>
        <v/>
      </c>
    </row>
    <row r="127" spans="13:54" x14ac:dyDescent="0.25">
      <c r="M127" s="377"/>
      <c r="T127" s="226"/>
      <c r="V127" s="226"/>
      <c r="AB127" s="63" t="str">
        <f t="shared" si="4"/>
        <v/>
      </c>
      <c r="AP127" s="210" t="str">
        <f t="shared" si="5"/>
        <v/>
      </c>
      <c r="AQ127" s="263"/>
      <c r="AR127" s="210" t="str">
        <f t="shared" si="6"/>
        <v/>
      </c>
      <c r="AS127" s="217"/>
      <c r="AT127" s="210" t="s">
        <v>503</v>
      </c>
      <c r="AU127" s="263"/>
      <c r="AV127" s="217"/>
      <c r="BB127" s="83" t="str">
        <f t="array" ref="BB127">_xlfn.IFS(AQ127="","",LEN(AQ127)-LEN(SUBSTITUTE(AQ127,".",""))=3,LEFT(AQ127,vitri(".",AQ127,3)-1),LEN(AQ127)-LEN(SUBSTITUTE(AQ127,".",""))=2,LEFT(AQ127,vitri(".",AQ127,2)-1),TRUE,LEFT(AQ127,vitri(".",AQ127,1)-1))</f>
        <v/>
      </c>
    </row>
    <row r="128" spans="13:54" x14ac:dyDescent="0.25">
      <c r="M128" s="377"/>
      <c r="T128" s="226"/>
      <c r="V128" s="226"/>
      <c r="AB128" s="63" t="str">
        <f t="shared" si="4"/>
        <v/>
      </c>
      <c r="AP128" s="210" t="str">
        <f t="shared" si="5"/>
        <v/>
      </c>
      <c r="AQ128" s="263"/>
      <c r="AR128" s="210" t="str">
        <f t="shared" si="6"/>
        <v/>
      </c>
      <c r="AS128" s="217"/>
      <c r="AT128" s="210" t="s">
        <v>503</v>
      </c>
      <c r="AU128" s="263"/>
      <c r="AV128" s="217"/>
      <c r="BB128" s="83" t="str">
        <f t="array" ref="BB128">_xlfn.IFS(AQ128="","",LEN(AQ128)-LEN(SUBSTITUTE(AQ128,".",""))=3,LEFT(AQ128,vitri(".",AQ128,3)-1),LEN(AQ128)-LEN(SUBSTITUTE(AQ128,".",""))=2,LEFT(AQ128,vitri(".",AQ128,2)-1),TRUE,LEFT(AQ128,vitri(".",AQ128,1)-1))</f>
        <v/>
      </c>
    </row>
    <row r="129" spans="13:54" x14ac:dyDescent="0.25">
      <c r="M129" s="377"/>
      <c r="T129" s="226"/>
      <c r="V129" s="226"/>
      <c r="AB129" s="63" t="str">
        <f t="shared" si="4"/>
        <v/>
      </c>
      <c r="AP129" s="210" t="str">
        <f t="shared" si="5"/>
        <v/>
      </c>
      <c r="AQ129" s="263"/>
      <c r="AR129" s="210" t="str">
        <f t="shared" si="6"/>
        <v/>
      </c>
      <c r="AS129" s="217"/>
      <c r="AT129" s="210" t="s">
        <v>503</v>
      </c>
      <c r="AU129" s="263"/>
      <c r="AV129" s="217"/>
      <c r="BB129" s="83" t="str">
        <f t="array" ref="BB129">_xlfn.IFS(AQ129="","",LEN(AQ129)-LEN(SUBSTITUTE(AQ129,".",""))=3,LEFT(AQ129,vitri(".",AQ129,3)-1),LEN(AQ129)-LEN(SUBSTITUTE(AQ129,".",""))=2,LEFT(AQ129,vitri(".",AQ129,2)-1),TRUE,LEFT(AQ129,vitri(".",AQ129,1)-1))</f>
        <v/>
      </c>
    </row>
    <row r="130" spans="13:54" x14ac:dyDescent="0.25">
      <c r="M130" s="377"/>
      <c r="T130" s="226"/>
      <c r="V130" s="226"/>
      <c r="AB130" s="63" t="str">
        <f t="shared" si="4"/>
        <v/>
      </c>
      <c r="AP130" s="210" t="str">
        <f t="shared" si="5"/>
        <v/>
      </c>
      <c r="AQ130" s="263"/>
      <c r="AR130" s="210" t="str">
        <f t="shared" si="6"/>
        <v/>
      </c>
      <c r="AS130" s="217"/>
      <c r="AT130" s="210" t="s">
        <v>503</v>
      </c>
      <c r="AU130" s="263"/>
      <c r="AV130" s="217"/>
      <c r="BB130" s="83" t="str">
        <f t="array" ref="BB130">_xlfn.IFS(AQ130="","",LEN(AQ130)-LEN(SUBSTITUTE(AQ130,".",""))=3,LEFT(AQ130,vitri(".",AQ130,3)-1),LEN(AQ130)-LEN(SUBSTITUTE(AQ130,".",""))=2,LEFT(AQ130,vitri(".",AQ130,2)-1),TRUE,LEFT(AQ130,vitri(".",AQ130,1)-1))</f>
        <v/>
      </c>
    </row>
    <row r="131" spans="13:54" x14ac:dyDescent="0.25">
      <c r="M131" s="377"/>
      <c r="T131" s="226"/>
      <c r="V131" s="226"/>
      <c r="AB131" s="63" t="str">
        <f t="shared" si="4"/>
        <v/>
      </c>
      <c r="AP131" s="210" t="str">
        <f t="shared" si="5"/>
        <v/>
      </c>
      <c r="AQ131" s="263"/>
      <c r="AR131" s="210" t="str">
        <f t="shared" si="6"/>
        <v/>
      </c>
      <c r="AS131" s="217"/>
      <c r="AT131" s="210" t="s">
        <v>503</v>
      </c>
      <c r="AU131" s="263"/>
      <c r="AV131" s="217"/>
      <c r="BB131" s="83" t="str">
        <f t="array" ref="BB131">_xlfn.IFS(AQ131="","",LEN(AQ131)-LEN(SUBSTITUTE(AQ131,".",""))=3,LEFT(AQ131,vitri(".",AQ131,3)-1),LEN(AQ131)-LEN(SUBSTITUTE(AQ131,".",""))=2,LEFT(AQ131,vitri(".",AQ131,2)-1),TRUE,LEFT(AQ131,vitri(".",AQ131,1)-1))</f>
        <v/>
      </c>
    </row>
    <row r="132" spans="13:54" x14ac:dyDescent="0.25">
      <c r="M132" s="377"/>
      <c r="T132" s="226"/>
      <c r="V132" s="226"/>
      <c r="AB132" s="63" t="str">
        <f t="shared" si="4"/>
        <v/>
      </c>
      <c r="AP132" s="210" t="str">
        <f t="shared" si="5"/>
        <v/>
      </c>
      <c r="AQ132" s="263"/>
      <c r="AR132" s="210" t="str">
        <f t="shared" si="6"/>
        <v/>
      </c>
      <c r="AS132" s="217"/>
      <c r="AT132" s="210" t="s">
        <v>503</v>
      </c>
      <c r="AU132" s="263"/>
      <c r="AV132" s="217"/>
      <c r="BB132" s="83" t="str">
        <f t="array" ref="BB132">_xlfn.IFS(AQ132="","",LEN(AQ132)-LEN(SUBSTITUTE(AQ132,".",""))=3,LEFT(AQ132,vitri(".",AQ132,3)-1),LEN(AQ132)-LEN(SUBSTITUTE(AQ132,".",""))=2,LEFT(AQ132,vitri(".",AQ132,2)-1),TRUE,LEFT(AQ132,vitri(".",AQ132,1)-1))</f>
        <v/>
      </c>
    </row>
    <row r="133" spans="13:54" x14ac:dyDescent="0.25">
      <c r="M133" s="377"/>
      <c r="T133" s="226"/>
      <c r="V133" s="226"/>
      <c r="AB133" s="63" t="str">
        <f t="shared" ref="AB133:AB196" si="7">IF(Z133="","",Z133*1)</f>
        <v/>
      </c>
      <c r="AP133" s="210" t="str">
        <f t="shared" si="5"/>
        <v/>
      </c>
      <c r="AQ133" s="263"/>
      <c r="AR133" s="210" t="str">
        <f t="shared" si="6"/>
        <v/>
      </c>
      <c r="AS133" s="217"/>
      <c r="AT133" s="210" t="s">
        <v>503</v>
      </c>
      <c r="AU133" s="263"/>
      <c r="AV133" s="217"/>
      <c r="BB133" s="83" t="str">
        <f t="array" ref="BB133">_xlfn.IFS(AQ133="","",LEN(AQ133)-LEN(SUBSTITUTE(AQ133,".",""))=3,LEFT(AQ133,vitri(".",AQ133,3)-1),LEN(AQ133)-LEN(SUBSTITUTE(AQ133,".",""))=2,LEFT(AQ133,vitri(".",AQ133,2)-1),TRUE,LEFT(AQ133,vitri(".",AQ133,1)-1))</f>
        <v/>
      </c>
    </row>
    <row r="134" spans="13:54" x14ac:dyDescent="0.25">
      <c r="M134" s="377"/>
      <c r="T134" s="226"/>
      <c r="V134" s="226"/>
      <c r="AB134" s="63" t="str">
        <f t="shared" si="7"/>
        <v/>
      </c>
      <c r="AP134" s="210" t="str">
        <f t="shared" ref="AP134:AP197" si="8">IF(AQ134="","",AP133+1)</f>
        <v/>
      </c>
      <c r="AQ134" s="263"/>
      <c r="AR134" s="210" t="str">
        <f t="shared" ref="AR134:AR197" si="9">IF(AP134="","",AP134)</f>
        <v/>
      </c>
      <c r="AS134" s="217"/>
      <c r="AT134" s="210" t="s">
        <v>503</v>
      </c>
      <c r="AU134" s="263"/>
      <c r="AV134" s="217"/>
      <c r="BB134" s="83" t="str">
        <f t="array" ref="BB134">_xlfn.IFS(AQ134="","",LEN(AQ134)-LEN(SUBSTITUTE(AQ134,".",""))=3,LEFT(AQ134,vitri(".",AQ134,3)-1),LEN(AQ134)-LEN(SUBSTITUTE(AQ134,".",""))=2,LEFT(AQ134,vitri(".",AQ134,2)-1),TRUE,LEFT(AQ134,vitri(".",AQ134,1)-1))</f>
        <v/>
      </c>
    </row>
    <row r="135" spans="13:54" x14ac:dyDescent="0.25">
      <c r="M135" s="377"/>
      <c r="T135" s="226"/>
      <c r="V135" s="226"/>
      <c r="AB135" s="63" t="str">
        <f t="shared" si="7"/>
        <v/>
      </c>
      <c r="AP135" s="210" t="str">
        <f t="shared" si="8"/>
        <v/>
      </c>
      <c r="AQ135" s="263"/>
      <c r="AR135" s="210" t="str">
        <f t="shared" si="9"/>
        <v/>
      </c>
      <c r="AS135" s="217"/>
      <c r="AT135" s="210" t="s">
        <v>503</v>
      </c>
      <c r="AU135" s="263"/>
      <c r="AV135" s="217"/>
      <c r="BB135" s="83" t="str">
        <f t="array" ref="BB135">_xlfn.IFS(AQ135="","",LEN(AQ135)-LEN(SUBSTITUTE(AQ135,".",""))=3,LEFT(AQ135,vitri(".",AQ135,3)-1),LEN(AQ135)-LEN(SUBSTITUTE(AQ135,".",""))=2,LEFT(AQ135,vitri(".",AQ135,2)-1),TRUE,LEFT(AQ135,vitri(".",AQ135,1)-1))</f>
        <v/>
      </c>
    </row>
    <row r="136" spans="13:54" x14ac:dyDescent="0.25">
      <c r="M136" s="377"/>
      <c r="T136" s="226"/>
      <c r="V136" s="226"/>
      <c r="AB136" s="63" t="str">
        <f t="shared" si="7"/>
        <v/>
      </c>
      <c r="AP136" s="210" t="str">
        <f t="shared" si="8"/>
        <v/>
      </c>
      <c r="AQ136" s="263"/>
      <c r="AR136" s="210" t="str">
        <f t="shared" si="9"/>
        <v/>
      </c>
      <c r="AS136" s="217"/>
      <c r="AT136" s="210" t="s">
        <v>503</v>
      </c>
      <c r="AU136" s="263"/>
      <c r="AV136" s="217"/>
      <c r="BB136" s="83" t="str">
        <f t="array" ref="BB136">_xlfn.IFS(AQ136="","",LEN(AQ136)-LEN(SUBSTITUTE(AQ136,".",""))=3,LEFT(AQ136,vitri(".",AQ136,3)-1),LEN(AQ136)-LEN(SUBSTITUTE(AQ136,".",""))=2,LEFT(AQ136,vitri(".",AQ136,2)-1),TRUE,LEFT(AQ136,vitri(".",AQ136,1)-1))</f>
        <v/>
      </c>
    </row>
    <row r="137" spans="13:54" x14ac:dyDescent="0.25">
      <c r="M137" s="377"/>
      <c r="T137" s="226"/>
      <c r="V137" s="226"/>
      <c r="AB137" s="63" t="str">
        <f t="shared" si="7"/>
        <v/>
      </c>
      <c r="AP137" s="210" t="str">
        <f t="shared" si="8"/>
        <v/>
      </c>
      <c r="AQ137" s="263"/>
      <c r="AR137" s="210" t="str">
        <f t="shared" si="9"/>
        <v/>
      </c>
      <c r="AS137" s="217"/>
      <c r="AT137" s="210" t="s">
        <v>503</v>
      </c>
      <c r="AU137" s="263"/>
      <c r="AV137" s="217"/>
      <c r="BB137" s="83" t="str">
        <f t="array" ref="BB137">_xlfn.IFS(AQ137="","",LEN(AQ137)-LEN(SUBSTITUTE(AQ137,".",""))=3,LEFT(AQ137,vitri(".",AQ137,3)-1),LEN(AQ137)-LEN(SUBSTITUTE(AQ137,".",""))=2,LEFT(AQ137,vitri(".",AQ137,2)-1),TRUE,LEFT(AQ137,vitri(".",AQ137,1)-1))</f>
        <v/>
      </c>
    </row>
    <row r="138" spans="13:54" x14ac:dyDescent="0.25">
      <c r="M138" s="377"/>
      <c r="T138" s="226"/>
      <c r="V138" s="226"/>
      <c r="AB138" s="63" t="str">
        <f t="shared" si="7"/>
        <v/>
      </c>
      <c r="AP138" s="210" t="str">
        <f t="shared" si="8"/>
        <v/>
      </c>
      <c r="AQ138" s="263"/>
      <c r="AR138" s="210" t="str">
        <f t="shared" si="9"/>
        <v/>
      </c>
      <c r="AS138" s="217"/>
      <c r="AT138" s="210" t="s">
        <v>503</v>
      </c>
      <c r="AU138" s="263"/>
      <c r="AV138" s="217"/>
      <c r="BB138" s="83" t="str">
        <f t="array" ref="BB138">_xlfn.IFS(AQ138="","",LEN(AQ138)-LEN(SUBSTITUTE(AQ138,".",""))=3,LEFT(AQ138,vitri(".",AQ138,3)-1),LEN(AQ138)-LEN(SUBSTITUTE(AQ138,".",""))=2,LEFT(AQ138,vitri(".",AQ138,2)-1),TRUE,LEFT(AQ138,vitri(".",AQ138,1)-1))</f>
        <v/>
      </c>
    </row>
    <row r="139" spans="13:54" x14ac:dyDescent="0.25">
      <c r="M139" s="377"/>
      <c r="T139" s="226"/>
      <c r="V139" s="226"/>
      <c r="AB139" s="63" t="str">
        <f t="shared" si="7"/>
        <v/>
      </c>
      <c r="AP139" s="210" t="str">
        <f t="shared" si="8"/>
        <v/>
      </c>
      <c r="AQ139" s="263"/>
      <c r="AR139" s="210" t="str">
        <f t="shared" si="9"/>
        <v/>
      </c>
      <c r="AS139" s="217"/>
      <c r="AT139" s="210" t="s">
        <v>503</v>
      </c>
      <c r="AU139" s="263"/>
      <c r="AV139" s="217"/>
      <c r="BB139" s="83" t="str">
        <f t="array" ref="BB139">_xlfn.IFS(AQ139="","",LEN(AQ139)-LEN(SUBSTITUTE(AQ139,".",""))=3,LEFT(AQ139,vitri(".",AQ139,3)-1),LEN(AQ139)-LEN(SUBSTITUTE(AQ139,".",""))=2,LEFT(AQ139,vitri(".",AQ139,2)-1),TRUE,LEFT(AQ139,vitri(".",AQ139,1)-1))</f>
        <v/>
      </c>
    </row>
    <row r="140" spans="13:54" x14ac:dyDescent="0.25">
      <c r="M140" s="377"/>
      <c r="T140" s="226"/>
      <c r="V140" s="226"/>
      <c r="AB140" s="63" t="str">
        <f t="shared" si="7"/>
        <v/>
      </c>
      <c r="AP140" s="210" t="str">
        <f t="shared" si="8"/>
        <v/>
      </c>
      <c r="AQ140" s="263"/>
      <c r="AR140" s="210" t="str">
        <f t="shared" si="9"/>
        <v/>
      </c>
      <c r="AS140" s="217"/>
      <c r="AT140" s="210" t="s">
        <v>503</v>
      </c>
      <c r="AU140" s="263"/>
      <c r="AV140" s="217"/>
      <c r="BB140" s="83" t="str">
        <f t="array" ref="BB140">_xlfn.IFS(AQ140="","",LEN(AQ140)-LEN(SUBSTITUTE(AQ140,".",""))=3,LEFT(AQ140,vitri(".",AQ140,3)-1),LEN(AQ140)-LEN(SUBSTITUTE(AQ140,".",""))=2,LEFT(AQ140,vitri(".",AQ140,2)-1),TRUE,LEFT(AQ140,vitri(".",AQ140,1)-1))</f>
        <v/>
      </c>
    </row>
    <row r="141" spans="13:54" x14ac:dyDescent="0.25">
      <c r="M141" s="377"/>
      <c r="T141" s="226"/>
      <c r="V141" s="226"/>
      <c r="AB141" s="63" t="str">
        <f t="shared" si="7"/>
        <v/>
      </c>
      <c r="AP141" s="210" t="str">
        <f t="shared" si="8"/>
        <v/>
      </c>
      <c r="AQ141" s="263"/>
      <c r="AR141" s="210" t="str">
        <f t="shared" si="9"/>
        <v/>
      </c>
      <c r="AS141" s="217"/>
      <c r="AT141" s="210" t="s">
        <v>503</v>
      </c>
      <c r="AU141" s="263"/>
      <c r="AV141" s="217"/>
      <c r="BB141" s="83" t="str">
        <f t="array" ref="BB141">_xlfn.IFS(AQ141="","",LEN(AQ141)-LEN(SUBSTITUTE(AQ141,".",""))=3,LEFT(AQ141,vitri(".",AQ141,3)-1),LEN(AQ141)-LEN(SUBSTITUTE(AQ141,".",""))=2,LEFT(AQ141,vitri(".",AQ141,2)-1),TRUE,LEFT(AQ141,vitri(".",AQ141,1)-1))</f>
        <v/>
      </c>
    </row>
    <row r="142" spans="13:54" x14ac:dyDescent="0.25">
      <c r="M142" s="377"/>
      <c r="T142" s="226"/>
      <c r="V142" s="226"/>
      <c r="AB142" s="63" t="str">
        <f t="shared" si="7"/>
        <v/>
      </c>
      <c r="AP142" s="210" t="str">
        <f t="shared" si="8"/>
        <v/>
      </c>
      <c r="AQ142" s="263"/>
      <c r="AR142" s="210" t="str">
        <f t="shared" si="9"/>
        <v/>
      </c>
      <c r="AS142" s="217"/>
      <c r="AT142" s="210" t="s">
        <v>503</v>
      </c>
      <c r="AU142" s="263"/>
      <c r="AV142" s="217"/>
      <c r="BB142" s="83" t="str">
        <f t="array" ref="BB142">_xlfn.IFS(AQ142="","",LEN(AQ142)-LEN(SUBSTITUTE(AQ142,".",""))=3,LEFT(AQ142,vitri(".",AQ142,3)-1),LEN(AQ142)-LEN(SUBSTITUTE(AQ142,".",""))=2,LEFT(AQ142,vitri(".",AQ142,2)-1),TRUE,LEFT(AQ142,vitri(".",AQ142,1)-1))</f>
        <v/>
      </c>
    </row>
    <row r="143" spans="13:54" x14ac:dyDescent="0.25">
      <c r="M143" s="377"/>
      <c r="T143" s="226"/>
      <c r="V143" s="226"/>
      <c r="AB143" s="63" t="str">
        <f t="shared" si="7"/>
        <v/>
      </c>
      <c r="AP143" s="210" t="str">
        <f t="shared" si="8"/>
        <v/>
      </c>
      <c r="AQ143" s="263"/>
      <c r="AR143" s="210" t="str">
        <f t="shared" si="9"/>
        <v/>
      </c>
      <c r="AS143" s="217"/>
      <c r="AT143" s="210" t="s">
        <v>503</v>
      </c>
      <c r="AU143" s="263"/>
      <c r="AV143" s="217"/>
      <c r="BB143" s="83" t="str">
        <f t="array" ref="BB143">_xlfn.IFS(AQ143="","",LEN(AQ143)-LEN(SUBSTITUTE(AQ143,".",""))=3,LEFT(AQ143,vitri(".",AQ143,3)-1),LEN(AQ143)-LEN(SUBSTITUTE(AQ143,".",""))=2,LEFT(AQ143,vitri(".",AQ143,2)-1),TRUE,LEFT(AQ143,vitri(".",AQ143,1)-1))</f>
        <v/>
      </c>
    </row>
    <row r="144" spans="13:54" x14ac:dyDescent="0.25">
      <c r="M144" s="377"/>
      <c r="T144" s="226"/>
      <c r="V144" s="226"/>
      <c r="AB144" s="63" t="str">
        <f t="shared" si="7"/>
        <v/>
      </c>
      <c r="AP144" s="210" t="str">
        <f t="shared" si="8"/>
        <v/>
      </c>
      <c r="AQ144" s="263"/>
      <c r="AR144" s="210" t="str">
        <f t="shared" si="9"/>
        <v/>
      </c>
      <c r="AS144" s="217"/>
      <c r="AT144" s="210" t="s">
        <v>503</v>
      </c>
      <c r="AU144" s="263"/>
      <c r="AV144" s="217"/>
      <c r="BB144" s="83" t="str">
        <f t="array" ref="BB144">_xlfn.IFS(AQ144="","",LEN(AQ144)-LEN(SUBSTITUTE(AQ144,".",""))=3,LEFT(AQ144,vitri(".",AQ144,3)-1),LEN(AQ144)-LEN(SUBSTITUTE(AQ144,".",""))=2,LEFT(AQ144,vitri(".",AQ144,2)-1),TRUE,LEFT(AQ144,vitri(".",AQ144,1)-1))</f>
        <v/>
      </c>
    </row>
    <row r="145" spans="13:54" x14ac:dyDescent="0.25">
      <c r="M145" s="377"/>
      <c r="T145" s="226"/>
      <c r="V145" s="226"/>
      <c r="AB145" s="63" t="str">
        <f t="shared" si="7"/>
        <v/>
      </c>
      <c r="AP145" s="210" t="str">
        <f t="shared" si="8"/>
        <v/>
      </c>
      <c r="AQ145" s="263"/>
      <c r="AR145" s="210" t="str">
        <f t="shared" si="9"/>
        <v/>
      </c>
      <c r="AS145" s="217"/>
      <c r="AT145" s="210" t="s">
        <v>503</v>
      </c>
      <c r="AU145" s="263"/>
      <c r="AV145" s="217"/>
      <c r="BB145" s="83" t="str">
        <f t="array" ref="BB145">_xlfn.IFS(AQ145="","",LEN(AQ145)-LEN(SUBSTITUTE(AQ145,".",""))=3,LEFT(AQ145,vitri(".",AQ145,3)-1),LEN(AQ145)-LEN(SUBSTITUTE(AQ145,".",""))=2,LEFT(AQ145,vitri(".",AQ145,2)-1),TRUE,LEFT(AQ145,vitri(".",AQ145,1)-1))</f>
        <v/>
      </c>
    </row>
    <row r="146" spans="13:54" x14ac:dyDescent="0.25">
      <c r="M146" s="377"/>
      <c r="T146" s="226"/>
      <c r="V146" s="226"/>
      <c r="AB146" s="63" t="str">
        <f t="shared" si="7"/>
        <v/>
      </c>
      <c r="AP146" s="210" t="str">
        <f t="shared" si="8"/>
        <v/>
      </c>
      <c r="AQ146" s="263"/>
      <c r="AR146" s="210" t="str">
        <f t="shared" si="9"/>
        <v/>
      </c>
      <c r="AS146" s="217"/>
      <c r="AT146" s="210" t="s">
        <v>503</v>
      </c>
      <c r="AU146" s="263"/>
      <c r="AV146" s="217"/>
      <c r="BB146" s="83" t="str">
        <f t="array" ref="BB146">_xlfn.IFS(AQ146="","",LEN(AQ146)-LEN(SUBSTITUTE(AQ146,".",""))=3,LEFT(AQ146,vitri(".",AQ146,3)-1),LEN(AQ146)-LEN(SUBSTITUTE(AQ146,".",""))=2,LEFT(AQ146,vitri(".",AQ146,2)-1),TRUE,LEFT(AQ146,vitri(".",AQ146,1)-1))</f>
        <v/>
      </c>
    </row>
    <row r="147" spans="13:54" x14ac:dyDescent="0.25">
      <c r="M147" s="377"/>
      <c r="T147" s="226"/>
      <c r="V147" s="226"/>
      <c r="AB147" s="63" t="str">
        <f t="shared" si="7"/>
        <v/>
      </c>
      <c r="AP147" s="210" t="str">
        <f t="shared" si="8"/>
        <v/>
      </c>
      <c r="AQ147" s="263"/>
      <c r="AR147" s="210" t="str">
        <f t="shared" si="9"/>
        <v/>
      </c>
      <c r="AS147" s="217"/>
      <c r="AT147" s="210" t="s">
        <v>503</v>
      </c>
      <c r="AU147" s="263"/>
      <c r="AV147" s="217"/>
      <c r="BB147" s="83" t="str">
        <f t="array" ref="BB147">_xlfn.IFS(AQ147="","",LEN(AQ147)-LEN(SUBSTITUTE(AQ147,".",""))=3,LEFT(AQ147,vitri(".",AQ147,3)-1),LEN(AQ147)-LEN(SUBSTITUTE(AQ147,".",""))=2,LEFT(AQ147,vitri(".",AQ147,2)-1),TRUE,LEFT(AQ147,vitri(".",AQ147,1)-1))</f>
        <v/>
      </c>
    </row>
    <row r="148" spans="13:54" x14ac:dyDescent="0.25">
      <c r="M148" s="377"/>
      <c r="T148" s="226"/>
      <c r="V148" s="226"/>
      <c r="AB148" s="63" t="str">
        <f t="shared" si="7"/>
        <v/>
      </c>
      <c r="AP148" s="210" t="str">
        <f t="shared" si="8"/>
        <v/>
      </c>
      <c r="AQ148" s="263"/>
      <c r="AR148" s="210" t="str">
        <f t="shared" si="9"/>
        <v/>
      </c>
      <c r="AS148" s="217"/>
      <c r="AT148" s="210" t="s">
        <v>503</v>
      </c>
      <c r="AU148" s="263"/>
      <c r="AV148" s="217"/>
      <c r="BB148" s="83" t="str">
        <f t="array" ref="BB148">_xlfn.IFS(AQ148="","",LEN(AQ148)-LEN(SUBSTITUTE(AQ148,".",""))=3,LEFT(AQ148,vitri(".",AQ148,3)-1),LEN(AQ148)-LEN(SUBSTITUTE(AQ148,".",""))=2,LEFT(AQ148,vitri(".",AQ148,2)-1),TRUE,LEFT(AQ148,vitri(".",AQ148,1)-1))</f>
        <v/>
      </c>
    </row>
    <row r="149" spans="13:54" x14ac:dyDescent="0.25">
      <c r="M149" s="377"/>
      <c r="T149" s="226"/>
      <c r="V149" s="226"/>
      <c r="AB149" s="63" t="str">
        <f t="shared" si="7"/>
        <v/>
      </c>
      <c r="AP149" s="210" t="str">
        <f t="shared" si="8"/>
        <v/>
      </c>
      <c r="AQ149" s="263"/>
      <c r="AR149" s="210" t="str">
        <f t="shared" si="9"/>
        <v/>
      </c>
      <c r="AS149" s="217"/>
      <c r="AT149" s="210" t="s">
        <v>503</v>
      </c>
      <c r="AU149" s="263"/>
      <c r="AV149" s="217"/>
      <c r="BB149" s="83" t="str">
        <f t="array" ref="BB149">_xlfn.IFS(AQ149="","",LEN(AQ149)-LEN(SUBSTITUTE(AQ149,".",""))=3,LEFT(AQ149,vitri(".",AQ149,3)-1),LEN(AQ149)-LEN(SUBSTITUTE(AQ149,".",""))=2,LEFT(AQ149,vitri(".",AQ149,2)-1),TRUE,LEFT(AQ149,vitri(".",AQ149,1)-1))</f>
        <v/>
      </c>
    </row>
    <row r="150" spans="13:54" x14ac:dyDescent="0.25">
      <c r="M150" s="377"/>
      <c r="T150" s="226"/>
      <c r="V150" s="226"/>
      <c r="AB150" s="63" t="str">
        <f t="shared" si="7"/>
        <v/>
      </c>
      <c r="AP150" s="210" t="str">
        <f t="shared" si="8"/>
        <v/>
      </c>
      <c r="AQ150" s="263"/>
      <c r="AR150" s="210" t="str">
        <f t="shared" si="9"/>
        <v/>
      </c>
      <c r="AS150" s="217"/>
      <c r="AT150" s="210" t="s">
        <v>503</v>
      </c>
      <c r="AU150" s="263"/>
      <c r="AV150" s="217"/>
      <c r="BB150" s="83" t="str">
        <f t="array" ref="BB150">_xlfn.IFS(AQ150="","",LEN(AQ150)-LEN(SUBSTITUTE(AQ150,".",""))=3,LEFT(AQ150,vitri(".",AQ150,3)-1),LEN(AQ150)-LEN(SUBSTITUTE(AQ150,".",""))=2,LEFT(AQ150,vitri(".",AQ150,2)-1),TRUE,LEFT(AQ150,vitri(".",AQ150,1)-1))</f>
        <v/>
      </c>
    </row>
    <row r="151" spans="13:54" x14ac:dyDescent="0.25">
      <c r="M151" s="377"/>
      <c r="T151" s="226"/>
      <c r="V151" s="226"/>
      <c r="AB151" s="63" t="str">
        <f t="shared" si="7"/>
        <v/>
      </c>
      <c r="AP151" s="210" t="str">
        <f t="shared" si="8"/>
        <v/>
      </c>
      <c r="AQ151" s="263"/>
      <c r="AR151" s="210" t="str">
        <f t="shared" si="9"/>
        <v/>
      </c>
      <c r="AS151" s="217"/>
      <c r="AT151" s="210" t="s">
        <v>503</v>
      </c>
      <c r="AU151" s="263"/>
      <c r="AV151" s="217"/>
      <c r="BB151" s="83" t="str">
        <f t="array" ref="BB151">_xlfn.IFS(AQ151="","",LEN(AQ151)-LEN(SUBSTITUTE(AQ151,".",""))=3,LEFT(AQ151,vitri(".",AQ151,3)-1),LEN(AQ151)-LEN(SUBSTITUTE(AQ151,".",""))=2,LEFT(AQ151,vitri(".",AQ151,2)-1),TRUE,LEFT(AQ151,vitri(".",AQ151,1)-1))</f>
        <v/>
      </c>
    </row>
    <row r="152" spans="13:54" x14ac:dyDescent="0.25">
      <c r="M152" s="377"/>
      <c r="T152" s="226"/>
      <c r="V152" s="226"/>
      <c r="AB152" s="63" t="str">
        <f t="shared" si="7"/>
        <v/>
      </c>
      <c r="AP152" s="210" t="str">
        <f t="shared" si="8"/>
        <v/>
      </c>
      <c r="AQ152" s="263"/>
      <c r="AR152" s="210" t="str">
        <f t="shared" si="9"/>
        <v/>
      </c>
      <c r="AS152" s="217"/>
      <c r="AT152" s="210" t="s">
        <v>503</v>
      </c>
      <c r="AU152" s="263"/>
      <c r="AV152" s="217"/>
      <c r="BB152" s="83" t="str">
        <f t="array" ref="BB152">_xlfn.IFS(AQ152="","",LEN(AQ152)-LEN(SUBSTITUTE(AQ152,".",""))=3,LEFT(AQ152,vitri(".",AQ152,3)-1),LEN(AQ152)-LEN(SUBSTITUTE(AQ152,".",""))=2,LEFT(AQ152,vitri(".",AQ152,2)-1),TRUE,LEFT(AQ152,vitri(".",AQ152,1)-1))</f>
        <v/>
      </c>
    </row>
    <row r="153" spans="13:54" x14ac:dyDescent="0.25">
      <c r="M153" s="377"/>
      <c r="T153" s="226"/>
      <c r="V153" s="226"/>
      <c r="AB153" s="63" t="str">
        <f t="shared" si="7"/>
        <v/>
      </c>
      <c r="AP153" s="210" t="str">
        <f t="shared" si="8"/>
        <v/>
      </c>
      <c r="AQ153" s="263"/>
      <c r="AR153" s="210" t="str">
        <f t="shared" si="9"/>
        <v/>
      </c>
      <c r="AS153" s="217"/>
      <c r="AT153" s="210" t="s">
        <v>503</v>
      </c>
      <c r="AU153" s="263"/>
      <c r="AV153" s="217"/>
      <c r="BB153" s="83" t="str">
        <f t="array" ref="BB153">_xlfn.IFS(AQ153="","",LEN(AQ153)-LEN(SUBSTITUTE(AQ153,".",""))=3,LEFT(AQ153,vitri(".",AQ153,3)-1),LEN(AQ153)-LEN(SUBSTITUTE(AQ153,".",""))=2,LEFT(AQ153,vitri(".",AQ153,2)-1),TRUE,LEFT(AQ153,vitri(".",AQ153,1)-1))</f>
        <v/>
      </c>
    </row>
    <row r="154" spans="13:54" x14ac:dyDescent="0.25">
      <c r="M154" s="377"/>
      <c r="T154" s="226"/>
      <c r="V154" s="226"/>
      <c r="AB154" s="63" t="str">
        <f t="shared" si="7"/>
        <v/>
      </c>
      <c r="AP154" s="210" t="str">
        <f t="shared" si="8"/>
        <v/>
      </c>
      <c r="AQ154" s="263"/>
      <c r="AR154" s="210" t="str">
        <f t="shared" si="9"/>
        <v/>
      </c>
      <c r="AS154" s="217"/>
      <c r="AT154" s="210" t="s">
        <v>503</v>
      </c>
      <c r="AU154" s="263"/>
      <c r="AV154" s="217"/>
      <c r="BB154" s="83" t="str">
        <f t="array" ref="BB154">_xlfn.IFS(AQ154="","",LEN(AQ154)-LEN(SUBSTITUTE(AQ154,".",""))=3,LEFT(AQ154,vitri(".",AQ154,3)-1),LEN(AQ154)-LEN(SUBSTITUTE(AQ154,".",""))=2,LEFT(AQ154,vitri(".",AQ154,2)-1),TRUE,LEFT(AQ154,vitri(".",AQ154,1)-1))</f>
        <v/>
      </c>
    </row>
    <row r="155" spans="13:54" x14ac:dyDescent="0.25">
      <c r="M155" s="377"/>
      <c r="T155" s="226"/>
      <c r="V155" s="226"/>
      <c r="AB155" s="63" t="str">
        <f t="shared" si="7"/>
        <v/>
      </c>
      <c r="AP155" s="210" t="str">
        <f t="shared" si="8"/>
        <v/>
      </c>
      <c r="AQ155" s="263"/>
      <c r="AR155" s="210" t="str">
        <f t="shared" si="9"/>
        <v/>
      </c>
      <c r="AS155" s="217"/>
      <c r="AT155" s="210" t="s">
        <v>503</v>
      </c>
      <c r="AU155" s="263"/>
      <c r="AV155" s="217"/>
      <c r="BB155" s="83" t="str">
        <f t="array" ref="BB155">_xlfn.IFS(AQ155="","",LEN(AQ155)-LEN(SUBSTITUTE(AQ155,".",""))=3,LEFT(AQ155,vitri(".",AQ155,3)-1),LEN(AQ155)-LEN(SUBSTITUTE(AQ155,".",""))=2,LEFT(AQ155,vitri(".",AQ155,2)-1),TRUE,LEFT(AQ155,vitri(".",AQ155,1)-1))</f>
        <v/>
      </c>
    </row>
    <row r="156" spans="13:54" x14ac:dyDescent="0.25">
      <c r="M156" s="377"/>
      <c r="T156" s="226"/>
      <c r="V156" s="226"/>
      <c r="AB156" s="63" t="str">
        <f t="shared" si="7"/>
        <v/>
      </c>
      <c r="AP156" s="210" t="str">
        <f t="shared" si="8"/>
        <v/>
      </c>
      <c r="AQ156" s="263"/>
      <c r="AR156" s="210" t="str">
        <f t="shared" si="9"/>
        <v/>
      </c>
      <c r="AS156" s="217"/>
      <c r="AT156" s="210" t="s">
        <v>503</v>
      </c>
      <c r="AU156" s="263"/>
      <c r="AV156" s="217"/>
      <c r="BB156" s="83" t="str">
        <f t="array" ref="BB156">_xlfn.IFS(AQ156="","",LEN(AQ156)-LEN(SUBSTITUTE(AQ156,".",""))=3,LEFT(AQ156,vitri(".",AQ156,3)-1),LEN(AQ156)-LEN(SUBSTITUTE(AQ156,".",""))=2,LEFT(AQ156,vitri(".",AQ156,2)-1),TRUE,LEFT(AQ156,vitri(".",AQ156,1)-1))</f>
        <v/>
      </c>
    </row>
    <row r="157" spans="13:54" x14ac:dyDescent="0.25">
      <c r="M157" s="377"/>
      <c r="T157" s="226"/>
      <c r="V157" s="226"/>
      <c r="AB157" s="63" t="str">
        <f t="shared" si="7"/>
        <v/>
      </c>
      <c r="AP157" s="210" t="str">
        <f t="shared" si="8"/>
        <v/>
      </c>
      <c r="AQ157" s="263"/>
      <c r="AR157" s="210" t="str">
        <f t="shared" si="9"/>
        <v/>
      </c>
      <c r="AS157" s="217"/>
      <c r="AT157" s="210" t="s">
        <v>503</v>
      </c>
      <c r="AU157" s="263"/>
      <c r="AV157" s="217"/>
      <c r="BB157" s="83" t="str">
        <f t="array" ref="BB157">_xlfn.IFS(AQ157="","",LEN(AQ157)-LEN(SUBSTITUTE(AQ157,".",""))=3,LEFT(AQ157,vitri(".",AQ157,3)-1),LEN(AQ157)-LEN(SUBSTITUTE(AQ157,".",""))=2,LEFT(AQ157,vitri(".",AQ157,2)-1),TRUE,LEFT(AQ157,vitri(".",AQ157,1)-1))</f>
        <v/>
      </c>
    </row>
    <row r="158" spans="13:54" x14ac:dyDescent="0.25">
      <c r="M158" s="377"/>
      <c r="T158" s="226"/>
      <c r="V158" s="226"/>
      <c r="AB158" s="63" t="str">
        <f t="shared" si="7"/>
        <v/>
      </c>
      <c r="AP158" s="210" t="str">
        <f t="shared" si="8"/>
        <v/>
      </c>
      <c r="AQ158" s="263"/>
      <c r="AR158" s="210" t="str">
        <f t="shared" si="9"/>
        <v/>
      </c>
      <c r="AS158" s="217"/>
      <c r="AT158" s="210" t="s">
        <v>503</v>
      </c>
      <c r="AU158" s="263"/>
      <c r="AV158" s="217"/>
      <c r="BB158" s="83" t="str">
        <f t="array" ref="BB158">_xlfn.IFS(AQ158="","",LEN(AQ158)-LEN(SUBSTITUTE(AQ158,".",""))=3,LEFT(AQ158,vitri(".",AQ158,3)-1),LEN(AQ158)-LEN(SUBSTITUTE(AQ158,".",""))=2,LEFT(AQ158,vitri(".",AQ158,2)-1),TRUE,LEFT(AQ158,vitri(".",AQ158,1)-1))</f>
        <v/>
      </c>
    </row>
    <row r="159" spans="13:54" x14ac:dyDescent="0.25">
      <c r="M159" s="377"/>
      <c r="T159" s="226"/>
      <c r="V159" s="226"/>
      <c r="AB159" s="63" t="str">
        <f t="shared" si="7"/>
        <v/>
      </c>
      <c r="AP159" s="210" t="str">
        <f t="shared" si="8"/>
        <v/>
      </c>
      <c r="AQ159" s="263"/>
      <c r="AR159" s="210" t="str">
        <f t="shared" si="9"/>
        <v/>
      </c>
      <c r="AS159" s="217"/>
      <c r="AT159" s="210" t="s">
        <v>503</v>
      </c>
      <c r="AU159" s="263"/>
      <c r="AV159" s="217"/>
      <c r="BB159" s="83" t="str">
        <f t="array" ref="BB159">_xlfn.IFS(AQ159="","",LEN(AQ159)-LEN(SUBSTITUTE(AQ159,".",""))=3,LEFT(AQ159,vitri(".",AQ159,3)-1),LEN(AQ159)-LEN(SUBSTITUTE(AQ159,".",""))=2,LEFT(AQ159,vitri(".",AQ159,2)-1),TRUE,LEFT(AQ159,vitri(".",AQ159,1)-1))</f>
        <v/>
      </c>
    </row>
    <row r="160" spans="13:54" x14ac:dyDescent="0.25">
      <c r="M160" s="377"/>
      <c r="T160" s="226"/>
      <c r="V160" s="226"/>
      <c r="AB160" s="63" t="str">
        <f t="shared" si="7"/>
        <v/>
      </c>
      <c r="AP160" s="210" t="str">
        <f t="shared" si="8"/>
        <v/>
      </c>
      <c r="AQ160" s="263"/>
      <c r="AR160" s="210" t="str">
        <f t="shared" si="9"/>
        <v/>
      </c>
      <c r="AS160" s="217"/>
      <c r="AT160" s="210" t="s">
        <v>503</v>
      </c>
      <c r="AU160" s="263"/>
      <c r="AV160" s="217"/>
      <c r="BB160" s="83" t="str">
        <f t="array" ref="BB160">_xlfn.IFS(AQ160="","",LEN(AQ160)-LEN(SUBSTITUTE(AQ160,".",""))=3,LEFT(AQ160,vitri(".",AQ160,3)-1),LEN(AQ160)-LEN(SUBSTITUTE(AQ160,".",""))=2,LEFT(AQ160,vitri(".",AQ160,2)-1),TRUE,LEFT(AQ160,vitri(".",AQ160,1)-1))</f>
        <v/>
      </c>
    </row>
    <row r="161" spans="13:54" x14ac:dyDescent="0.25">
      <c r="M161" s="377"/>
      <c r="T161" s="226"/>
      <c r="V161" s="226"/>
      <c r="AB161" s="63" t="str">
        <f t="shared" si="7"/>
        <v/>
      </c>
      <c r="AP161" s="210" t="str">
        <f t="shared" si="8"/>
        <v/>
      </c>
      <c r="AQ161" s="263"/>
      <c r="AR161" s="210" t="str">
        <f t="shared" si="9"/>
        <v/>
      </c>
      <c r="AS161" s="217"/>
      <c r="AT161" s="210" t="s">
        <v>503</v>
      </c>
      <c r="AU161" s="263"/>
      <c r="AV161" s="217"/>
      <c r="BB161" s="83" t="str">
        <f t="array" ref="BB161">_xlfn.IFS(AQ161="","",LEN(AQ161)-LEN(SUBSTITUTE(AQ161,".",""))=3,LEFT(AQ161,vitri(".",AQ161,3)-1),LEN(AQ161)-LEN(SUBSTITUTE(AQ161,".",""))=2,LEFT(AQ161,vitri(".",AQ161,2)-1),TRUE,LEFT(AQ161,vitri(".",AQ161,1)-1))</f>
        <v/>
      </c>
    </row>
    <row r="162" spans="13:54" x14ac:dyDescent="0.25">
      <c r="M162" s="377"/>
      <c r="T162" s="226"/>
      <c r="V162" s="226"/>
      <c r="AB162" s="63" t="str">
        <f t="shared" si="7"/>
        <v/>
      </c>
      <c r="AP162" s="210" t="str">
        <f t="shared" si="8"/>
        <v/>
      </c>
      <c r="AQ162" s="263"/>
      <c r="AR162" s="210" t="str">
        <f t="shared" si="9"/>
        <v/>
      </c>
      <c r="AS162" s="217"/>
      <c r="AT162" s="210" t="s">
        <v>503</v>
      </c>
      <c r="AU162" s="263"/>
      <c r="AV162" s="217"/>
      <c r="BB162" s="83" t="str">
        <f t="array" ref="BB162">_xlfn.IFS(AQ162="","",LEN(AQ162)-LEN(SUBSTITUTE(AQ162,".",""))=3,LEFT(AQ162,vitri(".",AQ162,3)-1),LEN(AQ162)-LEN(SUBSTITUTE(AQ162,".",""))=2,LEFT(AQ162,vitri(".",AQ162,2)-1),TRUE,LEFT(AQ162,vitri(".",AQ162,1)-1))</f>
        <v/>
      </c>
    </row>
    <row r="163" spans="13:54" x14ac:dyDescent="0.25">
      <c r="M163" s="377"/>
      <c r="T163" s="226"/>
      <c r="V163" s="226"/>
      <c r="AB163" s="63" t="str">
        <f t="shared" si="7"/>
        <v/>
      </c>
      <c r="AP163" s="210" t="str">
        <f t="shared" si="8"/>
        <v/>
      </c>
      <c r="AQ163" s="263"/>
      <c r="AR163" s="210" t="str">
        <f t="shared" si="9"/>
        <v/>
      </c>
      <c r="AS163" s="217"/>
      <c r="AT163" s="210" t="s">
        <v>503</v>
      </c>
      <c r="AU163" s="263"/>
      <c r="AV163" s="217"/>
      <c r="BB163" s="83" t="str">
        <f t="array" ref="BB163">_xlfn.IFS(AQ163="","",LEN(AQ163)-LEN(SUBSTITUTE(AQ163,".",""))=3,LEFT(AQ163,vitri(".",AQ163,3)-1),LEN(AQ163)-LEN(SUBSTITUTE(AQ163,".",""))=2,LEFT(AQ163,vitri(".",AQ163,2)-1),TRUE,LEFT(AQ163,vitri(".",AQ163,1)-1))</f>
        <v/>
      </c>
    </row>
    <row r="164" spans="13:54" x14ac:dyDescent="0.25">
      <c r="M164" s="377"/>
      <c r="T164" s="226"/>
      <c r="V164" s="226"/>
      <c r="AB164" s="63" t="str">
        <f t="shared" si="7"/>
        <v/>
      </c>
      <c r="AP164" s="210" t="str">
        <f t="shared" si="8"/>
        <v/>
      </c>
      <c r="AQ164" s="263"/>
      <c r="AR164" s="210" t="str">
        <f t="shared" si="9"/>
        <v/>
      </c>
      <c r="AS164" s="217"/>
      <c r="AT164" s="210" t="s">
        <v>503</v>
      </c>
      <c r="AU164" s="263"/>
      <c r="AV164" s="217"/>
      <c r="BB164" s="83" t="str">
        <f t="array" ref="BB164">_xlfn.IFS(AQ164="","",LEN(AQ164)-LEN(SUBSTITUTE(AQ164,".",""))=3,LEFT(AQ164,vitri(".",AQ164,3)-1),LEN(AQ164)-LEN(SUBSTITUTE(AQ164,".",""))=2,LEFT(AQ164,vitri(".",AQ164,2)-1),TRUE,LEFT(AQ164,vitri(".",AQ164,1)-1))</f>
        <v/>
      </c>
    </row>
    <row r="165" spans="13:54" x14ac:dyDescent="0.25">
      <c r="M165" s="377"/>
      <c r="T165" s="226"/>
      <c r="V165" s="226"/>
      <c r="AB165" s="63" t="str">
        <f t="shared" si="7"/>
        <v/>
      </c>
      <c r="AP165" s="210" t="str">
        <f t="shared" si="8"/>
        <v/>
      </c>
      <c r="AQ165" s="263"/>
      <c r="AR165" s="210" t="str">
        <f t="shared" si="9"/>
        <v/>
      </c>
      <c r="AS165" s="217"/>
      <c r="AT165" s="210" t="s">
        <v>503</v>
      </c>
      <c r="AU165" s="263"/>
      <c r="AV165" s="217"/>
      <c r="BB165" s="83" t="str">
        <f t="array" ref="BB165">_xlfn.IFS(AQ165="","",LEN(AQ165)-LEN(SUBSTITUTE(AQ165,".",""))=3,LEFT(AQ165,vitri(".",AQ165,3)-1),LEN(AQ165)-LEN(SUBSTITUTE(AQ165,".",""))=2,LEFT(AQ165,vitri(".",AQ165,2)-1),TRUE,LEFT(AQ165,vitri(".",AQ165,1)-1))</f>
        <v/>
      </c>
    </row>
    <row r="166" spans="13:54" x14ac:dyDescent="0.25">
      <c r="M166" s="377"/>
      <c r="T166" s="226"/>
      <c r="V166" s="226"/>
      <c r="AB166" s="63" t="str">
        <f t="shared" si="7"/>
        <v/>
      </c>
      <c r="AP166" s="210" t="str">
        <f t="shared" si="8"/>
        <v/>
      </c>
      <c r="AQ166" s="263"/>
      <c r="AR166" s="210" t="str">
        <f t="shared" si="9"/>
        <v/>
      </c>
      <c r="AS166" s="217"/>
      <c r="AT166" s="210" t="s">
        <v>503</v>
      </c>
      <c r="AU166" s="263"/>
      <c r="AV166" s="217"/>
      <c r="BB166" s="83" t="str">
        <f t="array" ref="BB166">_xlfn.IFS(AQ166="","",LEN(AQ166)-LEN(SUBSTITUTE(AQ166,".",""))=3,LEFT(AQ166,vitri(".",AQ166,3)-1),LEN(AQ166)-LEN(SUBSTITUTE(AQ166,".",""))=2,LEFT(AQ166,vitri(".",AQ166,2)-1),TRUE,LEFT(AQ166,vitri(".",AQ166,1)-1))</f>
        <v/>
      </c>
    </row>
    <row r="167" spans="13:54" x14ac:dyDescent="0.25">
      <c r="M167" s="377"/>
      <c r="T167" s="226"/>
      <c r="V167" s="226"/>
      <c r="AB167" s="63" t="str">
        <f t="shared" si="7"/>
        <v/>
      </c>
      <c r="AP167" s="210" t="str">
        <f t="shared" si="8"/>
        <v/>
      </c>
      <c r="AQ167" s="263"/>
      <c r="AR167" s="210" t="str">
        <f t="shared" si="9"/>
        <v/>
      </c>
      <c r="AS167" s="217"/>
      <c r="AT167" s="210" t="s">
        <v>503</v>
      </c>
      <c r="AU167" s="263"/>
      <c r="AV167" s="217"/>
      <c r="BB167" s="83" t="str">
        <f t="array" ref="BB167">_xlfn.IFS(AQ167="","",LEN(AQ167)-LEN(SUBSTITUTE(AQ167,".",""))=3,LEFT(AQ167,vitri(".",AQ167,3)-1),LEN(AQ167)-LEN(SUBSTITUTE(AQ167,".",""))=2,LEFT(AQ167,vitri(".",AQ167,2)-1),TRUE,LEFT(AQ167,vitri(".",AQ167,1)-1))</f>
        <v/>
      </c>
    </row>
    <row r="168" spans="13:54" x14ac:dyDescent="0.25">
      <c r="M168" s="377"/>
      <c r="T168" s="226"/>
      <c r="V168" s="226"/>
      <c r="AB168" s="63" t="str">
        <f t="shared" si="7"/>
        <v/>
      </c>
      <c r="AP168" s="210" t="str">
        <f t="shared" si="8"/>
        <v/>
      </c>
      <c r="AQ168" s="263"/>
      <c r="AR168" s="210" t="str">
        <f t="shared" si="9"/>
        <v/>
      </c>
      <c r="AS168" s="217"/>
      <c r="AT168" s="210" t="s">
        <v>503</v>
      </c>
      <c r="AU168" s="263"/>
      <c r="AV168" s="217"/>
      <c r="BB168" s="83" t="str">
        <f t="array" ref="BB168">_xlfn.IFS(AQ168="","",LEN(AQ168)-LEN(SUBSTITUTE(AQ168,".",""))=3,LEFT(AQ168,vitri(".",AQ168,3)-1),LEN(AQ168)-LEN(SUBSTITUTE(AQ168,".",""))=2,LEFT(AQ168,vitri(".",AQ168,2)-1),TRUE,LEFT(AQ168,vitri(".",AQ168,1)-1))</f>
        <v/>
      </c>
    </row>
    <row r="169" spans="13:54" x14ac:dyDescent="0.25">
      <c r="M169" s="377"/>
      <c r="T169" s="226"/>
      <c r="V169" s="226"/>
      <c r="AB169" s="63" t="str">
        <f t="shared" si="7"/>
        <v/>
      </c>
      <c r="AP169" s="210" t="str">
        <f t="shared" si="8"/>
        <v/>
      </c>
      <c r="AQ169" s="263"/>
      <c r="AR169" s="210" t="str">
        <f t="shared" si="9"/>
        <v/>
      </c>
      <c r="AS169" s="217"/>
      <c r="AT169" s="210" t="s">
        <v>503</v>
      </c>
      <c r="AU169" s="263"/>
      <c r="AV169" s="217"/>
      <c r="BB169" s="83" t="str">
        <f t="array" ref="BB169">_xlfn.IFS(AQ169="","",LEN(AQ169)-LEN(SUBSTITUTE(AQ169,".",""))=3,LEFT(AQ169,vitri(".",AQ169,3)-1),LEN(AQ169)-LEN(SUBSTITUTE(AQ169,".",""))=2,LEFT(AQ169,vitri(".",AQ169,2)-1),TRUE,LEFT(AQ169,vitri(".",AQ169,1)-1))</f>
        <v/>
      </c>
    </row>
    <row r="170" spans="13:54" x14ac:dyDescent="0.25">
      <c r="M170" s="377"/>
      <c r="T170" s="226"/>
      <c r="V170" s="226"/>
      <c r="AB170" s="63" t="str">
        <f t="shared" si="7"/>
        <v/>
      </c>
      <c r="AP170" s="210" t="str">
        <f t="shared" si="8"/>
        <v/>
      </c>
      <c r="AQ170" s="263"/>
      <c r="AR170" s="210" t="str">
        <f t="shared" si="9"/>
        <v/>
      </c>
      <c r="AS170" s="217"/>
      <c r="AT170" s="210" t="s">
        <v>503</v>
      </c>
      <c r="AU170" s="263"/>
      <c r="AV170" s="217"/>
      <c r="BB170" s="83" t="str">
        <f t="array" ref="BB170">_xlfn.IFS(AQ170="","",LEN(AQ170)-LEN(SUBSTITUTE(AQ170,".",""))=3,LEFT(AQ170,vitri(".",AQ170,3)-1),LEN(AQ170)-LEN(SUBSTITUTE(AQ170,".",""))=2,LEFT(AQ170,vitri(".",AQ170,2)-1),TRUE,LEFT(AQ170,vitri(".",AQ170,1)-1))</f>
        <v/>
      </c>
    </row>
    <row r="171" spans="13:54" x14ac:dyDescent="0.25">
      <c r="M171" s="377"/>
      <c r="T171" s="226"/>
      <c r="V171" s="226"/>
      <c r="AB171" s="63" t="str">
        <f t="shared" si="7"/>
        <v/>
      </c>
      <c r="AP171" s="210" t="str">
        <f t="shared" si="8"/>
        <v/>
      </c>
      <c r="AQ171" s="263"/>
      <c r="AR171" s="210" t="str">
        <f t="shared" si="9"/>
        <v/>
      </c>
      <c r="AS171" s="217"/>
      <c r="AT171" s="210" t="s">
        <v>503</v>
      </c>
      <c r="AU171" s="263"/>
      <c r="AV171" s="217"/>
      <c r="BB171" s="83" t="str">
        <f t="array" ref="BB171">_xlfn.IFS(AQ171="","",LEN(AQ171)-LEN(SUBSTITUTE(AQ171,".",""))=3,LEFT(AQ171,vitri(".",AQ171,3)-1),LEN(AQ171)-LEN(SUBSTITUTE(AQ171,".",""))=2,LEFT(AQ171,vitri(".",AQ171,2)-1),TRUE,LEFT(AQ171,vitri(".",AQ171,1)-1))</f>
        <v/>
      </c>
    </row>
    <row r="172" spans="13:54" x14ac:dyDescent="0.25">
      <c r="M172" s="377"/>
      <c r="T172" s="226"/>
      <c r="V172" s="226"/>
      <c r="AB172" s="63" t="str">
        <f t="shared" si="7"/>
        <v/>
      </c>
      <c r="AP172" s="210" t="str">
        <f t="shared" si="8"/>
        <v/>
      </c>
      <c r="AQ172" s="263"/>
      <c r="AR172" s="210" t="str">
        <f t="shared" si="9"/>
        <v/>
      </c>
      <c r="AS172" s="217"/>
      <c r="AT172" s="210" t="s">
        <v>503</v>
      </c>
      <c r="AU172" s="263"/>
      <c r="AV172" s="217"/>
      <c r="BB172" s="83" t="str">
        <f t="array" ref="BB172">_xlfn.IFS(AQ172="","",LEN(AQ172)-LEN(SUBSTITUTE(AQ172,".",""))=3,LEFT(AQ172,vitri(".",AQ172,3)-1),LEN(AQ172)-LEN(SUBSTITUTE(AQ172,".",""))=2,LEFT(AQ172,vitri(".",AQ172,2)-1),TRUE,LEFT(AQ172,vitri(".",AQ172,1)-1))</f>
        <v/>
      </c>
    </row>
    <row r="173" spans="13:54" x14ac:dyDescent="0.25">
      <c r="M173" s="377"/>
      <c r="T173" s="226"/>
      <c r="V173" s="226"/>
      <c r="AB173" s="63" t="str">
        <f t="shared" si="7"/>
        <v/>
      </c>
      <c r="AP173" s="210" t="str">
        <f t="shared" si="8"/>
        <v/>
      </c>
      <c r="AQ173" s="263"/>
      <c r="AR173" s="210" t="str">
        <f t="shared" si="9"/>
        <v/>
      </c>
      <c r="AS173" s="217"/>
      <c r="AT173" s="210" t="s">
        <v>503</v>
      </c>
      <c r="AU173" s="263"/>
      <c r="AV173" s="217"/>
      <c r="BB173" s="83" t="str">
        <f t="array" ref="BB173">_xlfn.IFS(AQ173="","",LEN(AQ173)-LEN(SUBSTITUTE(AQ173,".",""))=3,LEFT(AQ173,vitri(".",AQ173,3)-1),LEN(AQ173)-LEN(SUBSTITUTE(AQ173,".",""))=2,LEFT(AQ173,vitri(".",AQ173,2)-1),TRUE,LEFT(AQ173,vitri(".",AQ173,1)-1))</f>
        <v/>
      </c>
    </row>
    <row r="174" spans="13:54" x14ac:dyDescent="0.25">
      <c r="M174" s="377"/>
      <c r="T174" s="226"/>
      <c r="V174" s="226"/>
      <c r="AB174" s="63" t="str">
        <f t="shared" si="7"/>
        <v/>
      </c>
      <c r="AP174" s="210" t="str">
        <f t="shared" si="8"/>
        <v/>
      </c>
      <c r="AQ174" s="263"/>
      <c r="AR174" s="210" t="str">
        <f t="shared" si="9"/>
        <v/>
      </c>
      <c r="AS174" s="217"/>
      <c r="AT174" s="210" t="s">
        <v>503</v>
      </c>
      <c r="AU174" s="263"/>
      <c r="AV174" s="217"/>
      <c r="BB174" s="83" t="str">
        <f t="array" ref="BB174">_xlfn.IFS(AQ174="","",LEN(AQ174)-LEN(SUBSTITUTE(AQ174,".",""))=3,LEFT(AQ174,vitri(".",AQ174,3)-1),LEN(AQ174)-LEN(SUBSTITUTE(AQ174,".",""))=2,LEFT(AQ174,vitri(".",AQ174,2)-1),TRUE,LEFT(AQ174,vitri(".",AQ174,1)-1))</f>
        <v/>
      </c>
    </row>
    <row r="175" spans="13:54" x14ac:dyDescent="0.25">
      <c r="M175" s="377"/>
      <c r="T175" s="226"/>
      <c r="V175" s="226"/>
      <c r="AB175" s="63" t="str">
        <f t="shared" si="7"/>
        <v/>
      </c>
      <c r="AP175" s="210" t="str">
        <f t="shared" si="8"/>
        <v/>
      </c>
      <c r="AQ175" s="263"/>
      <c r="AR175" s="210" t="str">
        <f t="shared" si="9"/>
        <v/>
      </c>
      <c r="AS175" s="217"/>
      <c r="AT175" s="210" t="s">
        <v>503</v>
      </c>
      <c r="AU175" s="263"/>
      <c r="AV175" s="217"/>
      <c r="BB175" s="83" t="str">
        <f t="array" ref="BB175">_xlfn.IFS(AQ175="","",LEN(AQ175)-LEN(SUBSTITUTE(AQ175,".",""))=3,LEFT(AQ175,vitri(".",AQ175,3)-1),LEN(AQ175)-LEN(SUBSTITUTE(AQ175,".",""))=2,LEFT(AQ175,vitri(".",AQ175,2)-1),TRUE,LEFT(AQ175,vitri(".",AQ175,1)-1))</f>
        <v/>
      </c>
    </row>
    <row r="176" spans="13:54" x14ac:dyDescent="0.25">
      <c r="M176" s="377"/>
      <c r="T176" s="226"/>
      <c r="V176" s="226"/>
      <c r="AB176" s="63" t="str">
        <f t="shared" si="7"/>
        <v/>
      </c>
      <c r="AP176" s="210" t="str">
        <f t="shared" si="8"/>
        <v/>
      </c>
      <c r="AQ176" s="263"/>
      <c r="AR176" s="210" t="str">
        <f t="shared" si="9"/>
        <v/>
      </c>
      <c r="AS176" s="217"/>
      <c r="AT176" s="210" t="s">
        <v>503</v>
      </c>
      <c r="AU176" s="263"/>
      <c r="AV176" s="217"/>
      <c r="BB176" s="83" t="str">
        <f t="array" ref="BB176">_xlfn.IFS(AQ176="","",LEN(AQ176)-LEN(SUBSTITUTE(AQ176,".",""))=3,LEFT(AQ176,vitri(".",AQ176,3)-1),LEN(AQ176)-LEN(SUBSTITUTE(AQ176,".",""))=2,LEFT(AQ176,vitri(".",AQ176,2)-1),TRUE,LEFT(AQ176,vitri(".",AQ176,1)-1))</f>
        <v/>
      </c>
    </row>
    <row r="177" spans="13:54" x14ac:dyDescent="0.25">
      <c r="M177" s="377"/>
      <c r="T177" s="226"/>
      <c r="V177" s="226"/>
      <c r="AB177" s="63" t="str">
        <f t="shared" si="7"/>
        <v/>
      </c>
      <c r="AP177" s="210" t="str">
        <f t="shared" si="8"/>
        <v/>
      </c>
      <c r="AQ177" s="263"/>
      <c r="AR177" s="210" t="str">
        <f t="shared" si="9"/>
        <v/>
      </c>
      <c r="AS177" s="217"/>
      <c r="AT177" s="210" t="s">
        <v>503</v>
      </c>
      <c r="AU177" s="263"/>
      <c r="AV177" s="217"/>
      <c r="BB177" s="83" t="str">
        <f t="array" ref="BB177">_xlfn.IFS(AQ177="","",LEN(AQ177)-LEN(SUBSTITUTE(AQ177,".",""))=3,LEFT(AQ177,vitri(".",AQ177,3)-1),LEN(AQ177)-LEN(SUBSTITUTE(AQ177,".",""))=2,LEFT(AQ177,vitri(".",AQ177,2)-1),TRUE,LEFT(AQ177,vitri(".",AQ177,1)-1))</f>
        <v/>
      </c>
    </row>
    <row r="178" spans="13:54" x14ac:dyDescent="0.25">
      <c r="M178" s="377"/>
      <c r="T178" s="226"/>
      <c r="V178" s="226"/>
      <c r="AB178" s="63" t="str">
        <f t="shared" si="7"/>
        <v/>
      </c>
      <c r="AP178" s="210" t="str">
        <f t="shared" si="8"/>
        <v/>
      </c>
      <c r="AQ178" s="263"/>
      <c r="AR178" s="210" t="str">
        <f t="shared" si="9"/>
        <v/>
      </c>
      <c r="AS178" s="217"/>
      <c r="AT178" s="210" t="s">
        <v>503</v>
      </c>
      <c r="AU178" s="263"/>
      <c r="AV178" s="217"/>
      <c r="BB178" s="83" t="str">
        <f t="array" ref="BB178">_xlfn.IFS(AQ178="","",LEN(AQ178)-LEN(SUBSTITUTE(AQ178,".",""))=3,LEFT(AQ178,vitri(".",AQ178,3)-1),LEN(AQ178)-LEN(SUBSTITUTE(AQ178,".",""))=2,LEFT(AQ178,vitri(".",AQ178,2)-1),TRUE,LEFT(AQ178,vitri(".",AQ178,1)-1))</f>
        <v/>
      </c>
    </row>
    <row r="179" spans="13:54" x14ac:dyDescent="0.25">
      <c r="M179" s="377"/>
      <c r="T179" s="226"/>
      <c r="V179" s="226"/>
      <c r="AB179" s="63" t="str">
        <f t="shared" si="7"/>
        <v/>
      </c>
      <c r="AP179" s="210" t="str">
        <f t="shared" si="8"/>
        <v/>
      </c>
      <c r="AQ179" s="263"/>
      <c r="AR179" s="210" t="str">
        <f t="shared" si="9"/>
        <v/>
      </c>
      <c r="AS179" s="217"/>
      <c r="AT179" s="210" t="s">
        <v>503</v>
      </c>
      <c r="AU179" s="263"/>
      <c r="AV179" s="217"/>
      <c r="BB179" s="83" t="str">
        <f t="array" ref="BB179">_xlfn.IFS(AQ179="","",LEN(AQ179)-LEN(SUBSTITUTE(AQ179,".",""))=3,LEFT(AQ179,vitri(".",AQ179,3)-1),LEN(AQ179)-LEN(SUBSTITUTE(AQ179,".",""))=2,LEFT(AQ179,vitri(".",AQ179,2)-1),TRUE,LEFT(AQ179,vitri(".",AQ179,1)-1))</f>
        <v/>
      </c>
    </row>
    <row r="180" spans="13:54" x14ac:dyDescent="0.25">
      <c r="M180" s="377"/>
      <c r="T180" s="226"/>
      <c r="V180" s="226"/>
      <c r="AB180" s="63" t="str">
        <f t="shared" si="7"/>
        <v/>
      </c>
      <c r="AP180" s="210" t="str">
        <f t="shared" si="8"/>
        <v/>
      </c>
      <c r="AQ180" s="263"/>
      <c r="AR180" s="210" t="str">
        <f t="shared" si="9"/>
        <v/>
      </c>
      <c r="AS180" s="217"/>
      <c r="AT180" s="210" t="s">
        <v>503</v>
      </c>
      <c r="AU180" s="263"/>
      <c r="AV180" s="217"/>
      <c r="BB180" s="83" t="str">
        <f t="array" ref="BB180">_xlfn.IFS(AQ180="","",LEN(AQ180)-LEN(SUBSTITUTE(AQ180,".",""))=3,LEFT(AQ180,vitri(".",AQ180,3)-1),LEN(AQ180)-LEN(SUBSTITUTE(AQ180,".",""))=2,LEFT(AQ180,vitri(".",AQ180,2)-1),TRUE,LEFT(AQ180,vitri(".",AQ180,1)-1))</f>
        <v/>
      </c>
    </row>
    <row r="181" spans="13:54" x14ac:dyDescent="0.25">
      <c r="M181" s="377"/>
      <c r="T181" s="226"/>
      <c r="V181" s="226"/>
      <c r="AB181" s="63" t="str">
        <f t="shared" si="7"/>
        <v/>
      </c>
      <c r="AP181" s="210" t="str">
        <f t="shared" si="8"/>
        <v/>
      </c>
      <c r="AQ181" s="263"/>
      <c r="AR181" s="210" t="str">
        <f t="shared" si="9"/>
        <v/>
      </c>
      <c r="AS181" s="217"/>
      <c r="AT181" s="210" t="s">
        <v>503</v>
      </c>
      <c r="AU181" s="263"/>
      <c r="AV181" s="217"/>
      <c r="BB181" s="83" t="str">
        <f t="array" ref="BB181">_xlfn.IFS(AQ181="","",LEN(AQ181)-LEN(SUBSTITUTE(AQ181,".",""))=3,LEFT(AQ181,vitri(".",AQ181,3)-1),LEN(AQ181)-LEN(SUBSTITUTE(AQ181,".",""))=2,LEFT(AQ181,vitri(".",AQ181,2)-1),TRUE,LEFT(AQ181,vitri(".",AQ181,1)-1))</f>
        <v/>
      </c>
    </row>
    <row r="182" spans="13:54" x14ac:dyDescent="0.25">
      <c r="M182" s="377"/>
      <c r="T182" s="226"/>
      <c r="V182" s="226"/>
      <c r="AB182" s="63" t="str">
        <f t="shared" si="7"/>
        <v/>
      </c>
      <c r="AP182" s="210" t="str">
        <f t="shared" si="8"/>
        <v/>
      </c>
      <c r="AQ182" s="263"/>
      <c r="AR182" s="210" t="str">
        <f t="shared" si="9"/>
        <v/>
      </c>
      <c r="AS182" s="217"/>
      <c r="AT182" s="210" t="s">
        <v>503</v>
      </c>
      <c r="AU182" s="263"/>
      <c r="AV182" s="217"/>
      <c r="BB182" s="83" t="str">
        <f t="array" ref="BB182">_xlfn.IFS(AQ182="","",LEN(AQ182)-LEN(SUBSTITUTE(AQ182,".",""))=3,LEFT(AQ182,vitri(".",AQ182,3)-1),LEN(AQ182)-LEN(SUBSTITUTE(AQ182,".",""))=2,LEFT(AQ182,vitri(".",AQ182,2)-1),TRUE,LEFT(AQ182,vitri(".",AQ182,1)-1))</f>
        <v/>
      </c>
    </row>
    <row r="183" spans="13:54" x14ac:dyDescent="0.25">
      <c r="M183" s="377"/>
      <c r="T183" s="226"/>
      <c r="V183" s="226"/>
      <c r="AB183" s="63" t="str">
        <f t="shared" si="7"/>
        <v/>
      </c>
      <c r="AP183" s="210" t="str">
        <f t="shared" si="8"/>
        <v/>
      </c>
      <c r="AQ183" s="263"/>
      <c r="AR183" s="210" t="str">
        <f t="shared" si="9"/>
        <v/>
      </c>
      <c r="AS183" s="217"/>
      <c r="AT183" s="210" t="s">
        <v>503</v>
      </c>
      <c r="AU183" s="263"/>
      <c r="AV183" s="217"/>
      <c r="BB183" s="83" t="str">
        <f t="array" ref="BB183">_xlfn.IFS(AQ183="","",LEN(AQ183)-LEN(SUBSTITUTE(AQ183,".",""))=3,LEFT(AQ183,vitri(".",AQ183,3)-1),LEN(AQ183)-LEN(SUBSTITUTE(AQ183,".",""))=2,LEFT(AQ183,vitri(".",AQ183,2)-1),TRUE,LEFT(AQ183,vitri(".",AQ183,1)-1))</f>
        <v/>
      </c>
    </row>
    <row r="184" spans="13:54" x14ac:dyDescent="0.25">
      <c r="M184" s="377"/>
      <c r="T184" s="226"/>
      <c r="V184" s="226"/>
      <c r="AB184" s="63" t="str">
        <f t="shared" si="7"/>
        <v/>
      </c>
      <c r="AP184" s="210" t="str">
        <f t="shared" si="8"/>
        <v/>
      </c>
      <c r="AQ184" s="263"/>
      <c r="AR184" s="210" t="str">
        <f t="shared" si="9"/>
        <v/>
      </c>
      <c r="AS184" s="217"/>
      <c r="AT184" s="210" t="s">
        <v>503</v>
      </c>
      <c r="AU184" s="263"/>
      <c r="AV184" s="217"/>
      <c r="BB184" s="83" t="str">
        <f t="array" ref="BB184">_xlfn.IFS(AQ184="","",LEN(AQ184)-LEN(SUBSTITUTE(AQ184,".",""))=3,LEFT(AQ184,vitri(".",AQ184,3)-1),LEN(AQ184)-LEN(SUBSTITUTE(AQ184,".",""))=2,LEFT(AQ184,vitri(".",AQ184,2)-1),TRUE,LEFT(AQ184,vitri(".",AQ184,1)-1))</f>
        <v/>
      </c>
    </row>
    <row r="185" spans="13:54" x14ac:dyDescent="0.25">
      <c r="M185" s="377"/>
      <c r="T185" s="226"/>
      <c r="V185" s="226"/>
      <c r="AB185" s="63" t="str">
        <f t="shared" si="7"/>
        <v/>
      </c>
      <c r="AP185" s="210" t="str">
        <f t="shared" si="8"/>
        <v/>
      </c>
      <c r="AQ185" s="263"/>
      <c r="AR185" s="210" t="str">
        <f t="shared" si="9"/>
        <v/>
      </c>
      <c r="AS185" s="217"/>
      <c r="AT185" s="210" t="s">
        <v>503</v>
      </c>
      <c r="AU185" s="263"/>
      <c r="AV185" s="217"/>
      <c r="BB185" s="83" t="str">
        <f t="array" ref="BB185">_xlfn.IFS(AQ185="","",LEN(AQ185)-LEN(SUBSTITUTE(AQ185,".",""))=3,LEFT(AQ185,vitri(".",AQ185,3)-1),LEN(AQ185)-LEN(SUBSTITUTE(AQ185,".",""))=2,LEFT(AQ185,vitri(".",AQ185,2)-1),TRUE,LEFT(AQ185,vitri(".",AQ185,1)-1))</f>
        <v/>
      </c>
    </row>
    <row r="186" spans="13:54" x14ac:dyDescent="0.25">
      <c r="M186" s="377"/>
      <c r="T186" s="226"/>
      <c r="V186" s="226"/>
      <c r="AB186" s="63" t="str">
        <f t="shared" si="7"/>
        <v/>
      </c>
      <c r="AP186" s="210" t="str">
        <f t="shared" si="8"/>
        <v/>
      </c>
      <c r="AQ186" s="263"/>
      <c r="AR186" s="210" t="str">
        <f t="shared" si="9"/>
        <v/>
      </c>
      <c r="AS186" s="217"/>
      <c r="AT186" s="210" t="s">
        <v>503</v>
      </c>
      <c r="AU186" s="263"/>
      <c r="AV186" s="217"/>
      <c r="BB186" s="83" t="str">
        <f t="array" ref="BB186">_xlfn.IFS(AQ186="","",LEN(AQ186)-LEN(SUBSTITUTE(AQ186,".",""))=3,LEFT(AQ186,vitri(".",AQ186,3)-1),LEN(AQ186)-LEN(SUBSTITUTE(AQ186,".",""))=2,LEFT(AQ186,vitri(".",AQ186,2)-1),TRUE,LEFT(AQ186,vitri(".",AQ186,1)-1))</f>
        <v/>
      </c>
    </row>
    <row r="187" spans="13:54" x14ac:dyDescent="0.25">
      <c r="M187" s="377"/>
      <c r="T187" s="226"/>
      <c r="V187" s="226"/>
      <c r="AB187" s="63" t="str">
        <f t="shared" si="7"/>
        <v/>
      </c>
      <c r="AP187" s="210" t="str">
        <f t="shared" si="8"/>
        <v/>
      </c>
      <c r="AQ187" s="263"/>
      <c r="AR187" s="210" t="str">
        <f t="shared" si="9"/>
        <v/>
      </c>
      <c r="AS187" s="217"/>
      <c r="AT187" s="210" t="s">
        <v>503</v>
      </c>
      <c r="AU187" s="263"/>
      <c r="AV187" s="217"/>
      <c r="BB187" s="83" t="str">
        <f t="array" ref="BB187">_xlfn.IFS(AQ187="","",LEN(AQ187)-LEN(SUBSTITUTE(AQ187,".",""))=3,LEFT(AQ187,vitri(".",AQ187,3)-1),LEN(AQ187)-LEN(SUBSTITUTE(AQ187,".",""))=2,LEFT(AQ187,vitri(".",AQ187,2)-1),TRUE,LEFT(AQ187,vitri(".",AQ187,1)-1))</f>
        <v/>
      </c>
    </row>
    <row r="188" spans="13:54" x14ac:dyDescent="0.25">
      <c r="M188" s="377"/>
      <c r="T188" s="226"/>
      <c r="V188" s="226"/>
      <c r="AB188" s="63" t="str">
        <f t="shared" si="7"/>
        <v/>
      </c>
      <c r="AP188" s="210" t="str">
        <f t="shared" si="8"/>
        <v/>
      </c>
      <c r="AQ188" s="263"/>
      <c r="AR188" s="210" t="str">
        <f t="shared" si="9"/>
        <v/>
      </c>
      <c r="AS188" s="217"/>
      <c r="AT188" s="210" t="s">
        <v>503</v>
      </c>
      <c r="AU188" s="263"/>
      <c r="AV188" s="217"/>
      <c r="BB188" s="83" t="str">
        <f t="array" ref="BB188">_xlfn.IFS(AQ188="","",LEN(AQ188)-LEN(SUBSTITUTE(AQ188,".",""))=3,LEFT(AQ188,vitri(".",AQ188,3)-1),LEN(AQ188)-LEN(SUBSTITUTE(AQ188,".",""))=2,LEFT(AQ188,vitri(".",AQ188,2)-1),TRUE,LEFT(AQ188,vitri(".",AQ188,1)-1))</f>
        <v/>
      </c>
    </row>
    <row r="189" spans="13:54" x14ac:dyDescent="0.25">
      <c r="M189" s="377"/>
      <c r="T189" s="226"/>
      <c r="V189" s="226"/>
      <c r="AB189" s="63" t="str">
        <f t="shared" si="7"/>
        <v/>
      </c>
      <c r="AP189" s="210" t="str">
        <f t="shared" si="8"/>
        <v/>
      </c>
      <c r="AQ189" s="263"/>
      <c r="AR189" s="210" t="str">
        <f t="shared" si="9"/>
        <v/>
      </c>
      <c r="AS189" s="217"/>
      <c r="AT189" s="210" t="s">
        <v>503</v>
      </c>
      <c r="AU189" s="263"/>
      <c r="AV189" s="217"/>
      <c r="BB189" s="83" t="str">
        <f t="array" ref="BB189">_xlfn.IFS(AQ189="","",LEN(AQ189)-LEN(SUBSTITUTE(AQ189,".",""))=3,LEFT(AQ189,vitri(".",AQ189,3)-1),LEN(AQ189)-LEN(SUBSTITUTE(AQ189,".",""))=2,LEFT(AQ189,vitri(".",AQ189,2)-1),TRUE,LEFT(AQ189,vitri(".",AQ189,1)-1))</f>
        <v/>
      </c>
    </row>
    <row r="190" spans="13:54" x14ac:dyDescent="0.25">
      <c r="M190" s="377"/>
      <c r="T190" s="226"/>
      <c r="V190" s="226"/>
      <c r="AB190" s="63" t="str">
        <f t="shared" si="7"/>
        <v/>
      </c>
      <c r="AP190" s="210" t="str">
        <f t="shared" si="8"/>
        <v/>
      </c>
      <c r="AQ190" s="263"/>
      <c r="AR190" s="210" t="str">
        <f t="shared" si="9"/>
        <v/>
      </c>
      <c r="AS190" s="217"/>
      <c r="AT190" s="210" t="s">
        <v>503</v>
      </c>
      <c r="AU190" s="263"/>
      <c r="AV190" s="217"/>
      <c r="BB190" s="83" t="str">
        <f t="array" ref="BB190">_xlfn.IFS(AQ190="","",LEN(AQ190)-LEN(SUBSTITUTE(AQ190,".",""))=3,LEFT(AQ190,vitri(".",AQ190,3)-1),LEN(AQ190)-LEN(SUBSTITUTE(AQ190,".",""))=2,LEFT(AQ190,vitri(".",AQ190,2)-1),TRUE,LEFT(AQ190,vitri(".",AQ190,1)-1))</f>
        <v/>
      </c>
    </row>
    <row r="191" spans="13:54" x14ac:dyDescent="0.25">
      <c r="M191" s="377"/>
      <c r="T191" s="226"/>
      <c r="V191" s="226"/>
      <c r="AB191" s="63" t="str">
        <f t="shared" si="7"/>
        <v/>
      </c>
      <c r="AP191" s="210" t="str">
        <f t="shared" si="8"/>
        <v/>
      </c>
      <c r="AR191" s="210" t="str">
        <f t="shared" si="9"/>
        <v/>
      </c>
      <c r="AT191" s="210" t="s">
        <v>503</v>
      </c>
      <c r="BB191" s="83" t="str">
        <f t="array" ref="BB191">_xlfn.IFS(AQ191="","",LEN(AQ191)-LEN(SUBSTITUTE(AQ191,".",""))=3,LEFT(AQ191,vitri(".",AQ191,3)-1),LEN(AQ191)-LEN(SUBSTITUTE(AQ191,".",""))=2,LEFT(AQ191,vitri(".",AQ191,2)-1),TRUE,LEFT(AQ191,vitri(".",AQ191,1)-1))</f>
        <v/>
      </c>
    </row>
    <row r="192" spans="13:54" x14ac:dyDescent="0.25">
      <c r="M192" s="377"/>
      <c r="T192" s="226"/>
      <c r="V192" s="226"/>
      <c r="AB192" s="63" t="str">
        <f t="shared" si="7"/>
        <v/>
      </c>
      <c r="AP192" s="210" t="str">
        <f t="shared" si="8"/>
        <v/>
      </c>
      <c r="AR192" s="210" t="str">
        <f t="shared" si="9"/>
        <v/>
      </c>
      <c r="AT192" s="210" t="s">
        <v>503</v>
      </c>
      <c r="BB192" s="83" t="str">
        <f t="array" ref="BB192">_xlfn.IFS(AQ192="","",LEN(AQ192)-LEN(SUBSTITUTE(AQ192,".",""))=3,LEFT(AQ192,vitri(".",AQ192,3)-1),LEN(AQ192)-LEN(SUBSTITUTE(AQ192,".",""))=2,LEFT(AQ192,vitri(".",AQ192,2)-1),TRUE,LEFT(AQ192,vitri(".",AQ192,1)-1))</f>
        <v/>
      </c>
    </row>
    <row r="193" spans="13:54" x14ac:dyDescent="0.25">
      <c r="M193" s="377"/>
      <c r="T193" s="226"/>
      <c r="V193" s="226"/>
      <c r="AB193" s="63" t="str">
        <f t="shared" si="7"/>
        <v/>
      </c>
      <c r="AP193" s="210" t="str">
        <f t="shared" si="8"/>
        <v/>
      </c>
      <c r="AR193" s="210" t="str">
        <f t="shared" si="9"/>
        <v/>
      </c>
      <c r="AT193" s="210" t="s">
        <v>503</v>
      </c>
      <c r="BB193" s="83" t="str">
        <f t="array" ref="BB193">_xlfn.IFS(AQ193="","",LEN(AQ193)-LEN(SUBSTITUTE(AQ193,".",""))=3,LEFT(AQ193,vitri(".",AQ193,3)-1),LEN(AQ193)-LEN(SUBSTITUTE(AQ193,".",""))=2,LEFT(AQ193,vitri(".",AQ193,2)-1),TRUE,LEFT(AQ193,vitri(".",AQ193,1)-1))</f>
        <v/>
      </c>
    </row>
    <row r="194" spans="13:54" x14ac:dyDescent="0.25">
      <c r="M194" s="377"/>
      <c r="T194" s="226"/>
      <c r="V194" s="226"/>
      <c r="AB194" s="63" t="str">
        <f t="shared" si="7"/>
        <v/>
      </c>
      <c r="AP194" s="210" t="str">
        <f t="shared" si="8"/>
        <v/>
      </c>
      <c r="AR194" s="210" t="str">
        <f t="shared" si="9"/>
        <v/>
      </c>
      <c r="AT194" s="210" t="s">
        <v>503</v>
      </c>
      <c r="BB194" s="83" t="str">
        <f t="array" ref="BB194">_xlfn.IFS(AQ194="","",LEN(AQ194)-LEN(SUBSTITUTE(AQ194,".",""))=3,LEFT(AQ194,vitri(".",AQ194,3)-1),LEN(AQ194)-LEN(SUBSTITUTE(AQ194,".",""))=2,LEFT(AQ194,vitri(".",AQ194,2)-1),TRUE,LEFT(AQ194,vitri(".",AQ194,1)-1))</f>
        <v/>
      </c>
    </row>
    <row r="195" spans="13:54" x14ac:dyDescent="0.25">
      <c r="M195" s="377"/>
      <c r="T195" s="226"/>
      <c r="V195" s="226"/>
      <c r="AB195" s="63" t="str">
        <f t="shared" si="7"/>
        <v/>
      </c>
      <c r="AP195" s="210" t="str">
        <f t="shared" si="8"/>
        <v/>
      </c>
      <c r="AR195" s="210" t="str">
        <f t="shared" si="9"/>
        <v/>
      </c>
      <c r="AT195" s="210" t="s">
        <v>503</v>
      </c>
      <c r="BB195" s="83" t="str">
        <f t="array" ref="BB195">_xlfn.IFS(AQ195="","",LEN(AQ195)-LEN(SUBSTITUTE(AQ195,".",""))=3,LEFT(AQ195,vitri(".",AQ195,3)-1),LEN(AQ195)-LEN(SUBSTITUTE(AQ195,".",""))=2,LEFT(AQ195,vitri(".",AQ195,2)-1),TRUE,LEFT(AQ195,vitri(".",AQ195,1)-1))</f>
        <v/>
      </c>
    </row>
    <row r="196" spans="13:54" x14ac:dyDescent="0.25">
      <c r="M196" s="377"/>
      <c r="T196" s="226"/>
      <c r="V196" s="226"/>
      <c r="AB196" s="63" t="str">
        <f t="shared" si="7"/>
        <v/>
      </c>
      <c r="AP196" s="210" t="str">
        <f t="shared" si="8"/>
        <v/>
      </c>
      <c r="AR196" s="210" t="str">
        <f t="shared" si="9"/>
        <v/>
      </c>
      <c r="AT196" s="210" t="s">
        <v>503</v>
      </c>
      <c r="BB196" s="83" t="str">
        <f t="array" ref="BB196">_xlfn.IFS(AQ196="","",LEN(AQ196)-LEN(SUBSTITUTE(AQ196,".",""))=3,LEFT(AQ196,vitri(".",AQ196,3)-1),LEN(AQ196)-LEN(SUBSTITUTE(AQ196,".",""))=2,LEFT(AQ196,vitri(".",AQ196,2)-1),TRUE,LEFT(AQ196,vitri(".",AQ196,1)-1))</f>
        <v/>
      </c>
    </row>
    <row r="197" spans="13:54" x14ac:dyDescent="0.25">
      <c r="M197" s="377"/>
      <c r="T197" s="226"/>
      <c r="V197" s="226"/>
      <c r="AB197" s="63" t="str">
        <f t="shared" ref="AB197:AB202" si="10">IF(Z197="","",Z197*1)</f>
        <v/>
      </c>
      <c r="AP197" s="210" t="str">
        <f t="shared" si="8"/>
        <v/>
      </c>
      <c r="AR197" s="210" t="str">
        <f t="shared" si="9"/>
        <v/>
      </c>
      <c r="AT197" s="210" t="s">
        <v>503</v>
      </c>
      <c r="BB197" s="83" t="str">
        <f t="array" ref="BB197">_xlfn.IFS(AQ197="","",LEN(AQ197)-LEN(SUBSTITUTE(AQ197,".",""))=3,LEFT(AQ197,vitri(".",AQ197,3)-1),LEN(AQ197)-LEN(SUBSTITUTE(AQ197,".",""))=2,LEFT(AQ197,vitri(".",AQ197,2)-1),TRUE,LEFT(AQ197,vitri(".",AQ197,1)-1))</f>
        <v/>
      </c>
    </row>
    <row r="198" spans="13:54" x14ac:dyDescent="0.25">
      <c r="M198" s="377"/>
      <c r="T198" s="226"/>
      <c r="V198" s="226"/>
      <c r="AB198" s="63" t="str">
        <f t="shared" si="10"/>
        <v/>
      </c>
      <c r="AP198" s="210" t="str">
        <f>IF(AQ198="","",AP197+1)</f>
        <v/>
      </c>
      <c r="AR198" s="210" t="str">
        <f>IF(AP198="","",AP198)</f>
        <v/>
      </c>
      <c r="AT198" s="210" t="s">
        <v>503</v>
      </c>
      <c r="BB198" s="83" t="str">
        <f t="array" ref="BB198">_xlfn.IFS(AQ198="","",LEN(AQ198)-LEN(SUBSTITUTE(AQ198,".",""))=3,LEFT(AQ198,vitri(".",AQ198,3)-1),LEN(AQ198)-LEN(SUBSTITUTE(AQ198,".",""))=2,LEFT(AQ198,vitri(".",AQ198,2)-1),TRUE,LEFT(AQ198,vitri(".",AQ198,1)-1))</f>
        <v/>
      </c>
    </row>
    <row r="199" spans="13:54" x14ac:dyDescent="0.25">
      <c r="M199" s="377"/>
      <c r="T199" s="226"/>
      <c r="V199" s="226"/>
      <c r="AB199" s="63" t="str">
        <f t="shared" si="10"/>
        <v/>
      </c>
      <c r="AP199" s="210" t="str">
        <f>IF(AQ199="","",AP198+1)</f>
        <v/>
      </c>
      <c r="AR199" s="210" t="str">
        <f>IF(AP199="","",AP199)</f>
        <v/>
      </c>
      <c r="AT199" s="210" t="s">
        <v>503</v>
      </c>
      <c r="BB199" s="83" t="str">
        <f t="array" ref="BB199">_xlfn.IFS(AQ199="","",LEN(AQ199)-LEN(SUBSTITUTE(AQ199,".",""))=3,LEFT(AQ199,vitri(".",AQ199,3)-1),LEN(AQ199)-LEN(SUBSTITUTE(AQ199,".",""))=2,LEFT(AQ199,vitri(".",AQ199,2)-1),TRUE,LEFT(AQ199,vitri(".",AQ199,1)-1))</f>
        <v/>
      </c>
    </row>
    <row r="200" spans="13:54" x14ac:dyDescent="0.25">
      <c r="M200" s="377"/>
      <c r="T200" s="226"/>
      <c r="V200" s="226"/>
      <c r="AB200" s="63" t="str">
        <f t="shared" si="10"/>
        <v/>
      </c>
      <c r="AP200" s="210" t="str">
        <f>IF(AQ200="","",AP199+1)</f>
        <v/>
      </c>
      <c r="AR200" s="210" t="str">
        <f>IF(AP200="","",AP200)</f>
        <v/>
      </c>
      <c r="AT200" s="210" t="s">
        <v>503</v>
      </c>
      <c r="BB200" s="83" t="str">
        <f t="array" ref="BB200">_xlfn.IFS(AQ200="","",LEN(AQ200)-LEN(SUBSTITUTE(AQ200,".",""))=3,LEFT(AQ200,vitri(".",AQ200,3)-1),LEN(AQ200)-LEN(SUBSTITUTE(AQ200,".",""))=2,LEFT(AQ200,vitri(".",AQ200,2)-1),TRUE,LEFT(AQ200,vitri(".",AQ200,1)-1))</f>
        <v/>
      </c>
    </row>
    <row r="201" spans="13:54" x14ac:dyDescent="0.25">
      <c r="M201" s="377"/>
      <c r="T201" s="226"/>
      <c r="V201" s="226"/>
      <c r="AB201" s="63" t="str">
        <f t="shared" si="10"/>
        <v/>
      </c>
      <c r="AP201" s="210" t="str">
        <f>IF(AQ201="","",AP200+1)</f>
        <v/>
      </c>
      <c r="AR201" s="210" t="str">
        <f>IF(AS201="","",AR200+1)</f>
        <v/>
      </c>
      <c r="AT201" s="210" t="s">
        <v>503</v>
      </c>
      <c r="BB201" s="83" t="str">
        <f t="array" ref="BB201">_xlfn.IFS(AQ201="","",LEN(AQ201)-LEN(SUBSTITUTE(AQ201,".",""))=3,LEFT(AQ201,vitri(".",AQ201,3)-1),LEN(AQ201)-LEN(SUBSTITUTE(AQ201,".",""))=2,LEFT(AQ201,vitri(".",AQ201,2)-1),TRUE,LEFT(AQ201,vitri(".",AQ201,1)-1))</f>
        <v/>
      </c>
    </row>
    <row r="202" spans="13:54" x14ac:dyDescent="0.25">
      <c r="M202" s="377"/>
      <c r="T202" s="226"/>
      <c r="V202" s="226"/>
      <c r="AB202" s="63" t="str">
        <f t="shared" si="10"/>
        <v/>
      </c>
      <c r="BB202" s="83" t="str">
        <f t="array" ref="BB202">_xlfn.IFS(AQ202="","",LEN(AQ202)-LEN(SUBSTITUTE(AQ202,".",""))=3,LEFT(AQ202,vitri(".",AQ202,3)-1),LEN(AQ202)-LEN(SUBSTITUTE(AQ202,".",""))=2,LEFT(AQ202,vitri(".",AQ202,2)-1),TRUE,LEFT(AQ202,vitri(".",AQ202,1)-1))</f>
        <v/>
      </c>
    </row>
    <row r="203" spans="13:54" x14ac:dyDescent="0.25">
      <c r="M203" s="377"/>
      <c r="T203" s="226"/>
      <c r="V203" s="226"/>
      <c r="BB203" s="83" t="str">
        <f t="array" ref="BB203">_xlfn.IFS(AQ203="","",LEN(AQ203)-LEN(SUBSTITUTE(AQ203,".",""))=3,LEFT(AQ203,vitri(".",AQ203,3)-1),LEN(AQ203)-LEN(SUBSTITUTE(AQ203,".",""))=2,LEFT(AQ203,vitri(".",AQ203,2)-1),TRUE,LEFT(AQ203,vitri(".",AQ203,1)-1))</f>
        <v/>
      </c>
    </row>
    <row r="204" spans="13:54" x14ac:dyDescent="0.25">
      <c r="M204" s="377"/>
      <c r="T204" s="226"/>
      <c r="V204" s="226"/>
      <c r="BB204" s="83" t="str">
        <f t="array" ref="BB204">_xlfn.IFS(AQ204="","",LEN(AQ204)-LEN(SUBSTITUTE(AQ204,".",""))=3,LEFT(AQ204,vitri(".",AQ204,3)-1),LEN(AQ204)-LEN(SUBSTITUTE(AQ204,".",""))=2,LEFT(AQ204,vitri(".",AQ204,2)-1),TRUE,LEFT(AQ204,vitri(".",AQ204,1)-1))</f>
        <v/>
      </c>
    </row>
    <row r="205" spans="13:54" x14ac:dyDescent="0.25">
      <c r="M205" s="377"/>
      <c r="T205" s="226"/>
      <c r="V205" s="226"/>
      <c r="BB205" s="83" t="str">
        <f t="array" ref="BB205">_xlfn.IFS(AQ205="","",LEN(AQ205)-LEN(SUBSTITUTE(AQ205,".",""))=3,LEFT(AQ205,vitri(".",AQ205,3)-1),LEN(AQ205)-LEN(SUBSTITUTE(AQ205,".",""))=2,LEFT(AQ205,vitri(".",AQ205,2)-1),TRUE,LEFT(AQ205,vitri(".",AQ205,1)-1))</f>
        <v/>
      </c>
    </row>
    <row r="206" spans="13:54" x14ac:dyDescent="0.25">
      <c r="M206" s="377"/>
      <c r="T206" s="226"/>
      <c r="V206" s="226"/>
      <c r="BB206" s="83" t="str">
        <f t="array" ref="BB206">_xlfn.IFS(AQ206="","",LEN(AQ206)-LEN(SUBSTITUTE(AQ206,".",""))=3,LEFT(AQ206,vitri(".",AQ206,3)-1),LEN(AQ206)-LEN(SUBSTITUTE(AQ206,".",""))=2,LEFT(AQ206,vitri(".",AQ206,2)-1),TRUE,LEFT(AQ206,vitri(".",AQ206,1)-1))</f>
        <v/>
      </c>
    </row>
    <row r="207" spans="13:54" x14ac:dyDescent="0.25">
      <c r="M207" s="377"/>
      <c r="T207" s="226"/>
      <c r="V207" s="226"/>
      <c r="BB207" s="83" t="str">
        <f t="array" ref="BB207">_xlfn.IFS(AQ207="","",LEN(AQ207)-LEN(SUBSTITUTE(AQ207,".",""))=3,LEFT(AQ207,vitri(".",AQ207,3)-1),LEN(AQ207)-LEN(SUBSTITUTE(AQ207,".",""))=2,LEFT(AQ207,vitri(".",AQ207,2)-1),TRUE,LEFT(AQ207,vitri(".",AQ207,1)-1))</f>
        <v/>
      </c>
    </row>
    <row r="208" spans="13:54" x14ac:dyDescent="0.25">
      <c r="M208" s="377"/>
      <c r="T208" s="226"/>
      <c r="V208" s="226"/>
      <c r="BB208" s="83" t="str">
        <f t="array" ref="BB208">_xlfn.IFS(AQ208="","",LEN(AQ208)-LEN(SUBSTITUTE(AQ208,".",""))=3,LEFT(AQ208,vitri(".",AQ208,3)-1),LEN(AQ208)-LEN(SUBSTITUTE(AQ208,".",""))=2,LEFT(AQ208,vitri(".",AQ208,2)-1),TRUE,LEFT(AQ208,vitri(".",AQ208,1)-1))</f>
        <v/>
      </c>
    </row>
    <row r="209" spans="13:54" x14ac:dyDescent="0.25">
      <c r="M209" s="377"/>
      <c r="T209" s="226"/>
      <c r="V209" s="226"/>
      <c r="BB209" s="83" t="str">
        <f t="array" ref="BB209">_xlfn.IFS(AQ209="","",LEN(AQ209)-LEN(SUBSTITUTE(AQ209,".",""))=3,LEFT(AQ209,vitri(".",AQ209,3)-1),LEN(AQ209)-LEN(SUBSTITUTE(AQ209,".",""))=2,LEFT(AQ209,vitri(".",AQ209,2)-1),TRUE,LEFT(AQ209,vitri(".",AQ209,1)-1))</f>
        <v/>
      </c>
    </row>
    <row r="210" spans="13:54" x14ac:dyDescent="0.25">
      <c r="M210" s="377"/>
      <c r="T210" s="226"/>
      <c r="V210" s="226"/>
      <c r="BB210" s="83" t="str">
        <f t="array" ref="BB210">_xlfn.IFS(AQ210="","",LEN(AQ210)-LEN(SUBSTITUTE(AQ210,".",""))=3,LEFT(AQ210,vitri(".",AQ210,3)-1),LEN(AQ210)-LEN(SUBSTITUTE(AQ210,".",""))=2,LEFT(AQ210,vitri(".",AQ210,2)-1),TRUE,LEFT(AQ210,vitri(".",AQ210,1)-1))</f>
        <v/>
      </c>
    </row>
    <row r="211" spans="13:54" x14ac:dyDescent="0.25">
      <c r="M211" s="377"/>
      <c r="BB211" s="83" t="str">
        <f t="array" ref="BB211">_xlfn.IFS(AQ211="","",LEN(AQ211)-LEN(SUBSTITUTE(AQ211,".",""))=3,LEFT(AQ211,vitri(".",AQ211,3)-1),LEN(AQ211)-LEN(SUBSTITUTE(AQ211,".",""))=2,LEFT(AQ211,vitri(".",AQ211,2)-1),TRUE,LEFT(AQ211,vitri(".",AQ211,1)-1))</f>
        <v/>
      </c>
    </row>
    <row r="212" spans="13:54" x14ac:dyDescent="0.25">
      <c r="M212" s="377"/>
      <c r="BB212" s="83" t="str">
        <f t="array" ref="BB212">_xlfn.IFS(AQ212="","",LEN(AQ212)-LEN(SUBSTITUTE(AQ212,".",""))=3,LEFT(AQ212,vitri(".",AQ212,3)-1),LEN(AQ212)-LEN(SUBSTITUTE(AQ212,".",""))=2,LEFT(AQ212,vitri(".",AQ212,2)-1),TRUE,LEFT(AQ212,vitri(".",AQ212,1)-1))</f>
        <v/>
      </c>
    </row>
    <row r="213" spans="13:54" x14ac:dyDescent="0.25">
      <c r="M213" s="377"/>
      <c r="BB213" s="83" t="str">
        <f t="array" ref="BB213">_xlfn.IFS(AQ213="","",LEN(AQ213)-LEN(SUBSTITUTE(AQ213,".",""))=3,LEFT(AQ213,vitri(".",AQ213,3)-1),LEN(AQ213)-LEN(SUBSTITUTE(AQ213,".",""))=2,LEFT(AQ213,vitri(".",AQ213,2)-1),TRUE,LEFT(AQ213,vitri(".",AQ213,1)-1))</f>
        <v/>
      </c>
    </row>
    <row r="214" spans="13:54" x14ac:dyDescent="0.25">
      <c r="M214" s="377"/>
      <c r="BB214" s="83" t="str">
        <f t="array" ref="BB214">_xlfn.IFS(AQ214="","",LEN(AQ214)-LEN(SUBSTITUTE(AQ214,".",""))=3,LEFT(AQ214,vitri(".",AQ214,3)-1),LEN(AQ214)-LEN(SUBSTITUTE(AQ214,".",""))=2,LEFT(AQ214,vitri(".",AQ214,2)-1),TRUE,LEFT(AQ214,vitri(".",AQ214,1)-1))</f>
        <v/>
      </c>
    </row>
    <row r="215" spans="13:54" x14ac:dyDescent="0.25">
      <c r="M215" s="377"/>
      <c r="BB215" s="83" t="str">
        <f t="array" ref="BB215">_xlfn.IFS(AQ215="","",LEN(AQ215)-LEN(SUBSTITUTE(AQ215,".",""))=3,LEFT(AQ215,vitri(".",AQ215,3)-1),LEN(AQ215)-LEN(SUBSTITUTE(AQ215,".",""))=2,LEFT(AQ215,vitri(".",AQ215,2)-1),TRUE,LEFT(AQ215,vitri(".",AQ215,1)-1))</f>
        <v/>
      </c>
    </row>
    <row r="216" spans="13:54" x14ac:dyDescent="0.25">
      <c r="M216" s="377"/>
      <c r="BB216" s="83" t="str">
        <f t="array" ref="BB216">_xlfn.IFS(AQ216="","",LEN(AQ216)-LEN(SUBSTITUTE(AQ216,".",""))=3,LEFT(AQ216,vitri(".",AQ216,3)-1),LEN(AQ216)-LEN(SUBSTITUTE(AQ216,".",""))=2,LEFT(AQ216,vitri(".",AQ216,2)-1),TRUE,LEFT(AQ216,vitri(".",AQ216,1)-1))</f>
        <v/>
      </c>
    </row>
    <row r="217" spans="13:54" x14ac:dyDescent="0.25">
      <c r="M217" s="377"/>
      <c r="BB217" s="83" t="str">
        <f t="array" ref="BB217">_xlfn.IFS(AQ217="","",LEN(AQ217)-LEN(SUBSTITUTE(AQ217,".",""))=3,LEFT(AQ217,vitri(".",AQ217,3)-1),LEN(AQ217)-LEN(SUBSTITUTE(AQ217,".",""))=2,LEFT(AQ217,vitri(".",AQ217,2)-1),TRUE,LEFT(AQ217,vitri(".",AQ217,1)-1))</f>
        <v/>
      </c>
    </row>
    <row r="218" spans="13:54" x14ac:dyDescent="0.25">
      <c r="M218" s="377"/>
      <c r="BB218" s="83" t="str">
        <f t="array" ref="BB218">_xlfn.IFS(AQ218="","",LEN(AQ218)-LEN(SUBSTITUTE(AQ218,".",""))=3,LEFT(AQ218,vitri(".",AQ218,3)-1),LEN(AQ218)-LEN(SUBSTITUTE(AQ218,".",""))=2,LEFT(AQ218,vitri(".",AQ218,2)-1),TRUE,LEFT(AQ218,vitri(".",AQ218,1)-1))</f>
        <v/>
      </c>
    </row>
    <row r="219" spans="13:54" x14ac:dyDescent="0.25">
      <c r="M219" s="377"/>
      <c r="BB219" s="83" t="str">
        <f t="array" ref="BB219">_xlfn.IFS(AQ219="","",LEN(AQ219)-LEN(SUBSTITUTE(AQ219,".",""))=3,LEFT(AQ219,vitri(".",AQ219,3)-1),LEN(AQ219)-LEN(SUBSTITUTE(AQ219,".",""))=2,LEFT(AQ219,vitri(".",AQ219,2)-1),TRUE,LEFT(AQ219,vitri(".",AQ219,1)-1))</f>
        <v/>
      </c>
    </row>
    <row r="220" spans="13:54" x14ac:dyDescent="0.25">
      <c r="M220" s="377"/>
      <c r="BB220" s="83" t="str">
        <f t="array" ref="BB220">_xlfn.IFS(AQ220="","",LEN(AQ220)-LEN(SUBSTITUTE(AQ220,".",""))=3,LEFT(AQ220,vitri(".",AQ220,3)-1),LEN(AQ220)-LEN(SUBSTITUTE(AQ220,".",""))=2,LEFT(AQ220,vitri(".",AQ220,2)-1),TRUE,LEFT(AQ220,vitri(".",AQ220,1)-1))</f>
        <v/>
      </c>
    </row>
    <row r="221" spans="13:54" x14ac:dyDescent="0.25">
      <c r="M221" s="377"/>
      <c r="BB221" s="83" t="str">
        <f t="array" ref="BB221">_xlfn.IFS(AQ221="","",LEN(AQ221)-LEN(SUBSTITUTE(AQ221,".",""))=3,LEFT(AQ221,vitri(".",AQ221,3)-1),LEN(AQ221)-LEN(SUBSTITUTE(AQ221,".",""))=2,LEFT(AQ221,vitri(".",AQ221,2)-1),TRUE,LEFT(AQ221,vitri(".",AQ221,1)-1))</f>
        <v/>
      </c>
    </row>
    <row r="222" spans="13:54" x14ac:dyDescent="0.25">
      <c r="M222" s="377"/>
      <c r="BB222" s="83" t="str">
        <f t="array" ref="BB222">_xlfn.IFS(AQ222="","",LEN(AQ222)-LEN(SUBSTITUTE(AQ222,".",""))=3,LEFT(AQ222,vitri(".",AQ222,3)-1),LEN(AQ222)-LEN(SUBSTITUTE(AQ222,".",""))=2,LEFT(AQ222,vitri(".",AQ222,2)-1),TRUE,LEFT(AQ222,vitri(".",AQ222,1)-1))</f>
        <v/>
      </c>
    </row>
    <row r="223" spans="13:54" x14ac:dyDescent="0.25">
      <c r="M223" s="377"/>
      <c r="BB223" s="83" t="str">
        <f t="array" ref="BB223">_xlfn.IFS(AQ223="","",LEN(AQ223)-LEN(SUBSTITUTE(AQ223,".",""))=3,LEFT(AQ223,vitri(".",AQ223,3)-1),LEN(AQ223)-LEN(SUBSTITUTE(AQ223,".",""))=2,LEFT(AQ223,vitri(".",AQ223,2)-1),TRUE,LEFT(AQ223,vitri(".",AQ223,1)-1))</f>
        <v/>
      </c>
    </row>
    <row r="224" spans="13:54" x14ac:dyDescent="0.25">
      <c r="M224" s="377"/>
      <c r="BB224" s="83" t="str">
        <f t="array" ref="BB224">_xlfn.IFS(AQ224="","",LEN(AQ224)-LEN(SUBSTITUTE(AQ224,".",""))=3,LEFT(AQ224,vitri(".",AQ224,3)-1),LEN(AQ224)-LEN(SUBSTITUTE(AQ224,".",""))=2,LEFT(AQ224,vitri(".",AQ224,2)-1),TRUE,LEFT(AQ224,vitri(".",AQ224,1)-1))</f>
        <v/>
      </c>
    </row>
    <row r="225" spans="13:54" x14ac:dyDescent="0.25">
      <c r="M225" s="377"/>
      <c r="BB225" s="83" t="str">
        <f t="array" ref="BB225">_xlfn.IFS(AQ225="","",LEN(AQ225)-LEN(SUBSTITUTE(AQ225,".",""))=3,LEFT(AQ225,vitri(".",AQ225,3)-1),LEN(AQ225)-LEN(SUBSTITUTE(AQ225,".",""))=2,LEFT(AQ225,vitri(".",AQ225,2)-1),TRUE,LEFT(AQ225,vitri(".",AQ225,1)-1))</f>
        <v/>
      </c>
    </row>
    <row r="226" spans="13:54" x14ac:dyDescent="0.25">
      <c r="M226" s="377"/>
      <c r="BB226" s="83" t="str">
        <f t="array" ref="BB226">_xlfn.IFS(AQ226="","",LEN(AQ226)-LEN(SUBSTITUTE(AQ226,".",""))=3,LEFT(AQ226,vitri(".",AQ226,3)-1),LEN(AQ226)-LEN(SUBSTITUTE(AQ226,".",""))=2,LEFT(AQ226,vitri(".",AQ226,2)-1),TRUE,LEFT(AQ226,vitri(".",AQ226,1)-1))</f>
        <v/>
      </c>
    </row>
    <row r="227" spans="13:54" x14ac:dyDescent="0.25">
      <c r="M227" s="377"/>
      <c r="BB227" s="83" t="str">
        <f t="array" ref="BB227">_xlfn.IFS(AQ227="","",LEN(AQ227)-LEN(SUBSTITUTE(AQ227,".",""))=3,LEFT(AQ227,vitri(".",AQ227,3)-1),LEN(AQ227)-LEN(SUBSTITUTE(AQ227,".",""))=2,LEFT(AQ227,vitri(".",AQ227,2)-1),TRUE,LEFT(AQ227,vitri(".",AQ227,1)-1))</f>
        <v/>
      </c>
    </row>
    <row r="228" spans="13:54" x14ac:dyDescent="0.25">
      <c r="M228" s="377"/>
      <c r="BB228" s="83" t="str">
        <f t="array" ref="BB228">_xlfn.IFS(AQ228="","",LEN(AQ228)-LEN(SUBSTITUTE(AQ228,".",""))=3,LEFT(AQ228,vitri(".",AQ228,3)-1),LEN(AQ228)-LEN(SUBSTITUTE(AQ228,".",""))=2,LEFT(AQ228,vitri(".",AQ228,2)-1),TRUE,LEFT(AQ228,vitri(".",AQ228,1)-1))</f>
        <v/>
      </c>
    </row>
    <row r="229" spans="13:54" x14ac:dyDescent="0.25">
      <c r="M229" s="377"/>
      <c r="BB229" s="83" t="str">
        <f t="array" ref="BB229">_xlfn.IFS(AQ229="","",LEN(AQ229)-LEN(SUBSTITUTE(AQ229,".",""))=3,LEFT(AQ229,vitri(".",AQ229,3)-1),LEN(AQ229)-LEN(SUBSTITUTE(AQ229,".",""))=2,LEFT(AQ229,vitri(".",AQ229,2)-1),TRUE,LEFT(AQ229,vitri(".",AQ229,1)-1))</f>
        <v/>
      </c>
    </row>
    <row r="230" spans="13:54" x14ac:dyDescent="0.25">
      <c r="M230" s="377"/>
      <c r="BB230" s="83" t="str">
        <f t="array" ref="BB230">_xlfn.IFS(AQ230="","",LEN(AQ230)-LEN(SUBSTITUTE(AQ230,".",""))=3,LEFT(AQ230,vitri(".",AQ230,3)-1),LEN(AQ230)-LEN(SUBSTITUTE(AQ230,".",""))=2,LEFT(AQ230,vitri(".",AQ230,2)-1),TRUE,LEFT(AQ230,vitri(".",AQ230,1)-1))</f>
        <v/>
      </c>
    </row>
    <row r="231" spans="13:54" x14ac:dyDescent="0.25">
      <c r="M231" s="377"/>
      <c r="BB231" s="83" t="str">
        <f t="array" ref="BB231">_xlfn.IFS(AQ231="","",LEN(AQ231)-LEN(SUBSTITUTE(AQ231,".",""))=3,LEFT(AQ231,vitri(".",AQ231,3)-1),LEN(AQ231)-LEN(SUBSTITUTE(AQ231,".",""))=2,LEFT(AQ231,vitri(".",AQ231,2)-1),TRUE,LEFT(AQ231,vitri(".",AQ231,1)-1))</f>
        <v/>
      </c>
    </row>
    <row r="232" spans="13:54" x14ac:dyDescent="0.25">
      <c r="M232" s="377"/>
      <c r="BB232" s="83" t="str">
        <f t="array" ref="BB232">_xlfn.IFS(AQ232="","",LEN(AQ232)-LEN(SUBSTITUTE(AQ232,".",""))=3,LEFT(AQ232,vitri(".",AQ232,3)-1),LEN(AQ232)-LEN(SUBSTITUTE(AQ232,".",""))=2,LEFT(AQ232,vitri(".",AQ232,2)-1),TRUE,LEFT(AQ232,vitri(".",AQ232,1)-1))</f>
        <v/>
      </c>
    </row>
    <row r="233" spans="13:54" x14ac:dyDescent="0.25">
      <c r="M233" s="377"/>
      <c r="BB233" s="83" t="str">
        <f t="array" ref="BB233">_xlfn.IFS(AQ233="","",LEN(AQ233)-LEN(SUBSTITUTE(AQ233,".",""))=3,LEFT(AQ233,vitri(".",AQ233,3)-1),LEN(AQ233)-LEN(SUBSTITUTE(AQ233,".",""))=2,LEFT(AQ233,vitri(".",AQ233,2)-1),TRUE,LEFT(AQ233,vitri(".",AQ233,1)-1))</f>
        <v/>
      </c>
    </row>
    <row r="234" spans="13:54" x14ac:dyDescent="0.25">
      <c r="M234" s="377"/>
      <c r="BB234" s="83" t="str">
        <f t="array" ref="BB234">_xlfn.IFS(AQ234="","",LEN(AQ234)-LEN(SUBSTITUTE(AQ234,".",""))=3,LEFT(AQ234,vitri(".",AQ234,3)-1),LEN(AQ234)-LEN(SUBSTITUTE(AQ234,".",""))=2,LEFT(AQ234,vitri(".",AQ234,2)-1),TRUE,LEFT(AQ234,vitri(".",AQ234,1)-1))</f>
        <v/>
      </c>
    </row>
    <row r="235" spans="13:54" x14ac:dyDescent="0.25">
      <c r="M235" s="377"/>
      <c r="BB235" s="83" t="str">
        <f t="array" ref="BB235">_xlfn.IFS(AQ235="","",LEN(AQ235)-LEN(SUBSTITUTE(AQ235,".",""))=3,LEFT(AQ235,vitri(".",AQ235,3)-1),LEN(AQ235)-LEN(SUBSTITUTE(AQ235,".",""))=2,LEFT(AQ235,vitri(".",AQ235,2)-1),TRUE,LEFT(AQ235,vitri(".",AQ235,1)-1))</f>
        <v/>
      </c>
    </row>
    <row r="236" spans="13:54" x14ac:dyDescent="0.25">
      <c r="M236" s="377"/>
      <c r="BB236" s="83" t="str">
        <f t="array" ref="BB236">_xlfn.IFS(AQ236="","",LEN(AQ236)-LEN(SUBSTITUTE(AQ236,".",""))=3,LEFT(AQ236,vitri(".",AQ236,3)-1),LEN(AQ236)-LEN(SUBSTITUTE(AQ236,".",""))=2,LEFT(AQ236,vitri(".",AQ236,2)-1),TRUE,LEFT(AQ236,vitri(".",AQ236,1)-1))</f>
        <v/>
      </c>
    </row>
    <row r="237" spans="13:54" x14ac:dyDescent="0.25">
      <c r="M237" s="377"/>
      <c r="BB237" s="83" t="str">
        <f t="array" ref="BB237">_xlfn.IFS(AQ237="","",LEN(AQ237)-LEN(SUBSTITUTE(AQ237,".",""))=3,LEFT(AQ237,vitri(".",AQ237,3)-1),LEN(AQ237)-LEN(SUBSTITUTE(AQ237,".",""))=2,LEFT(AQ237,vitri(".",AQ237,2)-1),TRUE,LEFT(AQ237,vitri(".",AQ237,1)-1))</f>
        <v/>
      </c>
    </row>
    <row r="238" spans="13:54" x14ac:dyDescent="0.25">
      <c r="M238" s="377"/>
      <c r="BB238" s="83" t="str">
        <f t="array" ref="BB238">_xlfn.IFS(AQ238="","",LEN(AQ238)-LEN(SUBSTITUTE(AQ238,".",""))=3,LEFT(AQ238,vitri(".",AQ238,3)-1),LEN(AQ238)-LEN(SUBSTITUTE(AQ238,".",""))=2,LEFT(AQ238,vitri(".",AQ238,2)-1),TRUE,LEFT(AQ238,vitri(".",AQ238,1)-1))</f>
        <v/>
      </c>
    </row>
    <row r="239" spans="13:54" x14ac:dyDescent="0.25">
      <c r="M239" s="377"/>
      <c r="BB239" s="83" t="str">
        <f t="array" ref="BB239">_xlfn.IFS(AQ239="","",LEN(AQ239)-LEN(SUBSTITUTE(AQ239,".",""))=3,LEFT(AQ239,vitri(".",AQ239,3)-1),LEN(AQ239)-LEN(SUBSTITUTE(AQ239,".",""))=2,LEFT(AQ239,vitri(".",AQ239,2)-1),TRUE,LEFT(AQ239,vitri(".",AQ239,1)-1))</f>
        <v/>
      </c>
    </row>
    <row r="240" spans="13:54" x14ac:dyDescent="0.25">
      <c r="M240" s="377"/>
      <c r="BB240" s="83" t="str">
        <f t="array" ref="BB240">_xlfn.IFS(AQ240="","",LEN(AQ240)-LEN(SUBSTITUTE(AQ240,".",""))=3,LEFT(AQ240,vitri(".",AQ240,3)-1),LEN(AQ240)-LEN(SUBSTITUTE(AQ240,".",""))=2,LEFT(AQ240,vitri(".",AQ240,2)-1),TRUE,LEFT(AQ240,vitri(".",AQ240,1)-1))</f>
        <v/>
      </c>
    </row>
    <row r="241" spans="13:54" x14ac:dyDescent="0.25">
      <c r="M241" s="377"/>
      <c r="BB241" s="83" t="str">
        <f t="array" ref="BB241">_xlfn.IFS(AQ241="","",LEN(AQ241)-LEN(SUBSTITUTE(AQ241,".",""))=3,LEFT(AQ241,vitri(".",AQ241,3)-1),LEN(AQ241)-LEN(SUBSTITUTE(AQ241,".",""))=2,LEFT(AQ241,vitri(".",AQ241,2)-1),TRUE,LEFT(AQ241,vitri(".",AQ241,1)-1))</f>
        <v/>
      </c>
    </row>
    <row r="242" spans="13:54" x14ac:dyDescent="0.25">
      <c r="M242" s="377"/>
      <c r="BB242" s="83" t="str">
        <f t="array" ref="BB242">_xlfn.IFS(AQ242="","",LEN(AQ242)-LEN(SUBSTITUTE(AQ242,".",""))=3,LEFT(AQ242,vitri(".",AQ242,3)-1),LEN(AQ242)-LEN(SUBSTITUTE(AQ242,".",""))=2,LEFT(AQ242,vitri(".",AQ242,2)-1),TRUE,LEFT(AQ242,vitri(".",AQ242,1)-1))</f>
        <v/>
      </c>
    </row>
    <row r="243" spans="13:54" x14ac:dyDescent="0.25">
      <c r="M243" s="377"/>
      <c r="BB243" s="83" t="str">
        <f t="array" ref="BB243">_xlfn.IFS(AQ243="","",LEN(AQ243)-LEN(SUBSTITUTE(AQ243,".",""))=3,LEFT(AQ243,vitri(".",AQ243,3)-1),LEN(AQ243)-LEN(SUBSTITUTE(AQ243,".",""))=2,LEFT(AQ243,vitri(".",AQ243,2)-1),TRUE,LEFT(AQ243,vitri(".",AQ243,1)-1))</f>
        <v/>
      </c>
    </row>
    <row r="244" spans="13:54" x14ac:dyDescent="0.25">
      <c r="M244" s="377"/>
      <c r="BB244" s="83" t="str">
        <f t="array" ref="BB244">_xlfn.IFS(AQ244="","",LEN(AQ244)-LEN(SUBSTITUTE(AQ244,".",""))=3,LEFT(AQ244,vitri(".",AQ244,3)-1),LEN(AQ244)-LEN(SUBSTITUTE(AQ244,".",""))=2,LEFT(AQ244,vitri(".",AQ244,2)-1),TRUE,LEFT(AQ244,vitri(".",AQ244,1)-1))</f>
        <v/>
      </c>
    </row>
    <row r="245" spans="13:54" x14ac:dyDescent="0.25">
      <c r="M245" s="377"/>
      <c r="BB245" s="83" t="str">
        <f t="array" ref="BB245">_xlfn.IFS(AQ245="","",LEN(AQ245)-LEN(SUBSTITUTE(AQ245,".",""))=3,LEFT(AQ245,vitri(".",AQ245,3)-1),LEN(AQ245)-LEN(SUBSTITUTE(AQ245,".",""))=2,LEFT(AQ245,vitri(".",AQ245,2)-1),TRUE,LEFT(AQ245,vitri(".",AQ245,1)-1))</f>
        <v/>
      </c>
    </row>
    <row r="246" spans="13:54" x14ac:dyDescent="0.25">
      <c r="M246" s="377"/>
      <c r="BB246" s="83" t="str">
        <f t="array" ref="BB246">_xlfn.IFS(AQ246="","",LEN(AQ246)-LEN(SUBSTITUTE(AQ246,".",""))=3,LEFT(AQ246,vitri(".",AQ246,3)-1),LEN(AQ246)-LEN(SUBSTITUTE(AQ246,".",""))=2,LEFT(AQ246,vitri(".",AQ246,2)-1),TRUE,LEFT(AQ246,vitri(".",AQ246,1)-1))</f>
        <v/>
      </c>
    </row>
    <row r="247" spans="13:54" x14ac:dyDescent="0.25">
      <c r="M247" s="377"/>
      <c r="BB247" s="83" t="str">
        <f t="array" ref="BB247">_xlfn.IFS(AQ247="","",LEN(AQ247)-LEN(SUBSTITUTE(AQ247,".",""))=3,LEFT(AQ247,vitri(".",AQ247,3)-1),LEN(AQ247)-LEN(SUBSTITUTE(AQ247,".",""))=2,LEFT(AQ247,vitri(".",AQ247,2)-1),TRUE,LEFT(AQ247,vitri(".",AQ247,1)-1))</f>
        <v/>
      </c>
    </row>
    <row r="248" spans="13:54" x14ac:dyDescent="0.25">
      <c r="M248" s="377"/>
      <c r="BB248" s="83" t="str">
        <f t="array" ref="BB248">_xlfn.IFS(AQ248="","",LEN(AQ248)-LEN(SUBSTITUTE(AQ248,".",""))=3,LEFT(AQ248,vitri(".",AQ248,3)-1),LEN(AQ248)-LEN(SUBSTITUTE(AQ248,".",""))=2,LEFT(AQ248,vitri(".",AQ248,2)-1),TRUE,LEFT(AQ248,vitri(".",AQ248,1)-1))</f>
        <v/>
      </c>
    </row>
    <row r="249" spans="13:54" x14ac:dyDescent="0.25">
      <c r="M249" s="377"/>
      <c r="BB249" s="83" t="str">
        <f t="array" ref="BB249">_xlfn.IFS(AQ249="","",LEN(AQ249)-LEN(SUBSTITUTE(AQ249,".",""))=3,LEFT(AQ249,vitri(".",AQ249,3)-1),LEN(AQ249)-LEN(SUBSTITUTE(AQ249,".",""))=2,LEFT(AQ249,vitri(".",AQ249,2)-1),TRUE,LEFT(AQ249,vitri(".",AQ249,1)-1))</f>
        <v/>
      </c>
    </row>
    <row r="250" spans="13:54" x14ac:dyDescent="0.25">
      <c r="M250" s="377"/>
      <c r="BB250" s="83" t="str">
        <f t="array" ref="BB250">_xlfn.IFS(AQ250="","",LEN(AQ250)-LEN(SUBSTITUTE(AQ250,".",""))=3,LEFT(AQ250,vitri(".",AQ250,3)-1),LEN(AQ250)-LEN(SUBSTITUTE(AQ250,".",""))=2,LEFT(AQ250,vitri(".",AQ250,2)-1),TRUE,LEFT(AQ250,vitri(".",AQ250,1)-1))</f>
        <v/>
      </c>
    </row>
    <row r="251" spans="13:54" x14ac:dyDescent="0.25">
      <c r="M251" s="377"/>
      <c r="BB251" s="83" t="str">
        <f t="array" ref="BB251">_xlfn.IFS(AQ251="","",LEN(AQ251)-LEN(SUBSTITUTE(AQ251,".",""))=3,LEFT(AQ251,vitri(".",AQ251,3)-1),LEN(AQ251)-LEN(SUBSTITUTE(AQ251,".",""))=2,LEFT(AQ251,vitri(".",AQ251,2)-1),TRUE,LEFT(AQ251,vitri(".",AQ251,1)-1))</f>
        <v/>
      </c>
    </row>
    <row r="252" spans="13:54" x14ac:dyDescent="0.25">
      <c r="M252" s="377"/>
      <c r="BB252" s="83" t="str">
        <f t="array" ref="BB252">_xlfn.IFS(AQ252="","",LEN(AQ252)-LEN(SUBSTITUTE(AQ252,".",""))=3,LEFT(AQ252,vitri(".",AQ252,3)-1),LEN(AQ252)-LEN(SUBSTITUTE(AQ252,".",""))=2,LEFT(AQ252,vitri(".",AQ252,2)-1),TRUE,LEFT(AQ252,vitri(".",AQ252,1)-1))</f>
        <v/>
      </c>
    </row>
    <row r="253" spans="13:54" x14ac:dyDescent="0.25">
      <c r="M253" s="377"/>
      <c r="BB253" s="83" t="str">
        <f t="array" ref="BB253">_xlfn.IFS(AQ253="","",LEN(AQ253)-LEN(SUBSTITUTE(AQ253,".",""))=3,LEFT(AQ253,vitri(".",AQ253,3)-1),LEN(AQ253)-LEN(SUBSTITUTE(AQ253,".",""))=2,LEFT(AQ253,vitri(".",AQ253,2)-1),TRUE,LEFT(AQ253,vitri(".",AQ253,1)-1))</f>
        <v/>
      </c>
    </row>
    <row r="254" spans="13:54" x14ac:dyDescent="0.25">
      <c r="M254" s="377"/>
      <c r="BB254" s="83" t="str">
        <f t="array" ref="BB254">_xlfn.IFS(AQ254="","",LEN(AQ254)-LEN(SUBSTITUTE(AQ254,".",""))=3,LEFT(AQ254,vitri(".",AQ254,3)-1),LEN(AQ254)-LEN(SUBSTITUTE(AQ254,".",""))=2,LEFT(AQ254,vitri(".",AQ254,2)-1),TRUE,LEFT(AQ254,vitri(".",AQ254,1)-1))</f>
        <v/>
      </c>
    </row>
    <row r="255" spans="13:54" x14ac:dyDescent="0.25">
      <c r="M255" s="377"/>
      <c r="BB255" s="83" t="str">
        <f t="array" ref="BB255">_xlfn.IFS(AQ255="","",LEN(AQ255)-LEN(SUBSTITUTE(AQ255,".",""))=3,LEFT(AQ255,vitri(".",AQ255,3)-1),LEN(AQ255)-LEN(SUBSTITUTE(AQ255,".",""))=2,LEFT(AQ255,vitri(".",AQ255,2)-1),TRUE,LEFT(AQ255,vitri(".",AQ255,1)-1))</f>
        <v/>
      </c>
    </row>
    <row r="256" spans="13:54" x14ac:dyDescent="0.25">
      <c r="M256" s="377"/>
      <c r="BB256" s="83" t="str">
        <f t="array" ref="BB256">_xlfn.IFS(AQ256="","",LEN(AQ256)-LEN(SUBSTITUTE(AQ256,".",""))=3,LEFT(AQ256,vitri(".",AQ256,3)-1),LEN(AQ256)-LEN(SUBSTITUTE(AQ256,".",""))=2,LEFT(AQ256,vitri(".",AQ256,2)-1),TRUE,LEFT(AQ256,vitri(".",AQ256,1)-1))</f>
        <v/>
      </c>
    </row>
    <row r="257" spans="13:54" x14ac:dyDescent="0.25">
      <c r="M257" s="377"/>
      <c r="BB257" s="83" t="str">
        <f t="array" ref="BB257">_xlfn.IFS(AQ257="","",LEN(AQ257)-LEN(SUBSTITUTE(AQ257,".",""))=3,LEFT(AQ257,vitri(".",AQ257,3)-1),LEN(AQ257)-LEN(SUBSTITUTE(AQ257,".",""))=2,LEFT(AQ257,vitri(".",AQ257,2)-1),TRUE,LEFT(AQ257,vitri(".",AQ257,1)-1))</f>
        <v/>
      </c>
    </row>
    <row r="258" spans="13:54" x14ac:dyDescent="0.25">
      <c r="M258" s="377"/>
      <c r="BB258" s="83" t="str">
        <f t="array" ref="BB258">_xlfn.IFS(AQ258="","",LEN(AQ258)-LEN(SUBSTITUTE(AQ258,".",""))=3,LEFT(AQ258,vitri(".",AQ258,3)-1),LEN(AQ258)-LEN(SUBSTITUTE(AQ258,".",""))=2,LEFT(AQ258,vitri(".",AQ258,2)-1),TRUE,LEFT(AQ258,vitri(".",AQ258,1)-1))</f>
        <v/>
      </c>
    </row>
    <row r="259" spans="13:54" x14ac:dyDescent="0.25">
      <c r="M259" s="377"/>
      <c r="BB259" s="83" t="str">
        <f t="array" ref="BB259">_xlfn.IFS(AQ259="","",LEN(AQ259)-LEN(SUBSTITUTE(AQ259,".",""))=3,LEFT(AQ259,vitri(".",AQ259,3)-1),LEN(AQ259)-LEN(SUBSTITUTE(AQ259,".",""))=2,LEFT(AQ259,vitri(".",AQ259,2)-1),TRUE,LEFT(AQ259,vitri(".",AQ259,1)-1))</f>
        <v/>
      </c>
    </row>
    <row r="260" spans="13:54" x14ac:dyDescent="0.25">
      <c r="M260" s="377"/>
      <c r="BB260" s="83" t="str">
        <f t="array" ref="BB260">_xlfn.IFS(AQ260="","",LEN(AQ260)-LEN(SUBSTITUTE(AQ260,".",""))=3,LEFT(AQ260,vitri(".",AQ260,3)-1),LEN(AQ260)-LEN(SUBSTITUTE(AQ260,".",""))=2,LEFT(AQ260,vitri(".",AQ260,2)-1),TRUE,LEFT(AQ260,vitri(".",AQ260,1)-1))</f>
        <v/>
      </c>
    </row>
    <row r="261" spans="13:54" x14ac:dyDescent="0.25">
      <c r="M261" s="377"/>
      <c r="BB261" s="83" t="str">
        <f t="array" ref="BB261">_xlfn.IFS(AQ261="","",LEN(AQ261)-LEN(SUBSTITUTE(AQ261,".",""))=3,LEFT(AQ261,vitri(".",AQ261,3)-1),LEN(AQ261)-LEN(SUBSTITUTE(AQ261,".",""))=2,LEFT(AQ261,vitri(".",AQ261,2)-1),TRUE,LEFT(AQ261,vitri(".",AQ261,1)-1))</f>
        <v/>
      </c>
    </row>
    <row r="262" spans="13:54" x14ac:dyDescent="0.25">
      <c r="M262" s="377"/>
      <c r="BB262" s="83" t="str">
        <f t="array" ref="BB262">_xlfn.IFS(AQ262="","",LEN(AQ262)-LEN(SUBSTITUTE(AQ262,".",""))=3,LEFT(AQ262,vitri(".",AQ262,3)-1),LEN(AQ262)-LEN(SUBSTITUTE(AQ262,".",""))=2,LEFT(AQ262,vitri(".",AQ262,2)-1),TRUE,LEFT(AQ262,vitri(".",AQ262,1)-1))</f>
        <v/>
      </c>
    </row>
    <row r="263" spans="13:54" x14ac:dyDescent="0.25">
      <c r="M263" s="377"/>
      <c r="BB263" s="83" t="str">
        <f t="array" ref="BB263">_xlfn.IFS(AQ263="","",LEN(AQ263)-LEN(SUBSTITUTE(AQ263,".",""))=3,LEFT(AQ263,vitri(".",AQ263,3)-1),LEN(AQ263)-LEN(SUBSTITUTE(AQ263,".",""))=2,LEFT(AQ263,vitri(".",AQ263,2)-1),TRUE,LEFT(AQ263,vitri(".",AQ263,1)-1))</f>
        <v/>
      </c>
    </row>
    <row r="264" spans="13:54" x14ac:dyDescent="0.25">
      <c r="M264" s="377"/>
      <c r="BB264" s="83" t="str">
        <f t="array" ref="BB264">_xlfn.IFS(AQ264="","",LEN(AQ264)-LEN(SUBSTITUTE(AQ264,".",""))=3,LEFT(AQ264,vitri(".",AQ264,3)-1),LEN(AQ264)-LEN(SUBSTITUTE(AQ264,".",""))=2,LEFT(AQ264,vitri(".",AQ264,2)-1),TRUE,LEFT(AQ264,vitri(".",AQ264,1)-1))</f>
        <v/>
      </c>
    </row>
    <row r="265" spans="13:54" x14ac:dyDescent="0.25">
      <c r="M265" s="377"/>
      <c r="BB265" s="83" t="str">
        <f t="array" ref="BB265">_xlfn.IFS(AQ265="","",LEN(AQ265)-LEN(SUBSTITUTE(AQ265,".",""))=3,LEFT(AQ265,vitri(".",AQ265,3)-1),LEN(AQ265)-LEN(SUBSTITUTE(AQ265,".",""))=2,LEFT(AQ265,vitri(".",AQ265,2)-1),TRUE,LEFT(AQ265,vitri(".",AQ265,1)-1))</f>
        <v/>
      </c>
    </row>
    <row r="266" spans="13:54" x14ac:dyDescent="0.25">
      <c r="M266" s="377"/>
      <c r="BB266" s="83" t="str">
        <f t="array" ref="BB266">_xlfn.IFS(AQ266="","",LEN(AQ266)-LEN(SUBSTITUTE(AQ266,".",""))=3,LEFT(AQ266,vitri(".",AQ266,3)-1),LEN(AQ266)-LEN(SUBSTITUTE(AQ266,".",""))=2,LEFT(AQ266,vitri(".",AQ266,2)-1),TRUE,LEFT(AQ266,vitri(".",AQ266,1)-1))</f>
        <v/>
      </c>
    </row>
    <row r="267" spans="13:54" x14ac:dyDescent="0.25">
      <c r="M267" s="377"/>
      <c r="BB267" s="83" t="str">
        <f t="array" ref="BB267">_xlfn.IFS(AQ267="","",LEN(AQ267)-LEN(SUBSTITUTE(AQ267,".",""))=3,LEFT(AQ267,vitri(".",AQ267,3)-1),LEN(AQ267)-LEN(SUBSTITUTE(AQ267,".",""))=2,LEFT(AQ267,vitri(".",AQ267,2)-1),TRUE,LEFT(AQ267,vitri(".",AQ267,1)-1))</f>
        <v/>
      </c>
    </row>
    <row r="268" spans="13:54" x14ac:dyDescent="0.25">
      <c r="M268" s="377"/>
      <c r="BB268" s="83" t="str">
        <f t="array" ref="BB268">_xlfn.IFS(AQ268="","",LEN(AQ268)-LEN(SUBSTITUTE(AQ268,".",""))=3,LEFT(AQ268,vitri(".",AQ268,3)-1),LEN(AQ268)-LEN(SUBSTITUTE(AQ268,".",""))=2,LEFT(AQ268,vitri(".",AQ268,2)-1),TRUE,LEFT(AQ268,vitri(".",AQ268,1)-1))</f>
        <v/>
      </c>
    </row>
    <row r="269" spans="13:54" x14ac:dyDescent="0.25">
      <c r="M269" s="377"/>
      <c r="BB269" s="83" t="str">
        <f t="array" ref="BB269">_xlfn.IFS(AQ269="","",LEN(AQ269)-LEN(SUBSTITUTE(AQ269,".",""))=3,LEFT(AQ269,vitri(".",AQ269,3)-1),LEN(AQ269)-LEN(SUBSTITUTE(AQ269,".",""))=2,LEFT(AQ269,vitri(".",AQ269,2)-1),TRUE,LEFT(AQ269,vitri(".",AQ269,1)-1))</f>
        <v/>
      </c>
    </row>
    <row r="270" spans="13:54" x14ac:dyDescent="0.25">
      <c r="M270" s="377"/>
      <c r="BB270" s="83" t="str">
        <f t="array" ref="BB270">_xlfn.IFS(AQ270="","",LEN(AQ270)-LEN(SUBSTITUTE(AQ270,".",""))=3,LEFT(AQ270,vitri(".",AQ270,3)-1),LEN(AQ270)-LEN(SUBSTITUTE(AQ270,".",""))=2,LEFT(AQ270,vitri(".",AQ270,2)-1),TRUE,LEFT(AQ270,vitri(".",AQ270,1)-1))</f>
        <v/>
      </c>
    </row>
    <row r="271" spans="13:54" x14ac:dyDescent="0.25">
      <c r="M271" s="377"/>
      <c r="BB271" s="83" t="str">
        <f t="array" ref="BB271">_xlfn.IFS(AQ271="","",LEN(AQ271)-LEN(SUBSTITUTE(AQ271,".",""))=3,LEFT(AQ271,vitri(".",AQ271,3)-1),LEN(AQ271)-LEN(SUBSTITUTE(AQ271,".",""))=2,LEFT(AQ271,vitri(".",AQ271,2)-1),TRUE,LEFT(AQ271,vitri(".",AQ271,1)-1))</f>
        <v/>
      </c>
    </row>
    <row r="272" spans="13:54" x14ac:dyDescent="0.25">
      <c r="M272" s="377"/>
      <c r="BB272" s="83" t="str">
        <f t="array" ref="BB272">_xlfn.IFS(AQ272="","",LEN(AQ272)-LEN(SUBSTITUTE(AQ272,".",""))=3,LEFT(AQ272,vitri(".",AQ272,3)-1),LEN(AQ272)-LEN(SUBSTITUTE(AQ272,".",""))=2,LEFT(AQ272,vitri(".",AQ272,2)-1),TRUE,LEFT(AQ272,vitri(".",AQ272,1)-1))</f>
        <v/>
      </c>
    </row>
    <row r="273" spans="13:54" x14ac:dyDescent="0.25">
      <c r="M273" s="377"/>
      <c r="BB273" s="83" t="str">
        <f t="array" ref="BB273">_xlfn.IFS(AQ273="","",LEN(AQ273)-LEN(SUBSTITUTE(AQ273,".",""))=3,LEFT(AQ273,vitri(".",AQ273,3)-1),LEN(AQ273)-LEN(SUBSTITUTE(AQ273,".",""))=2,LEFT(AQ273,vitri(".",AQ273,2)-1),TRUE,LEFT(AQ273,vitri(".",AQ273,1)-1))</f>
        <v/>
      </c>
    </row>
    <row r="274" spans="13:54" x14ac:dyDescent="0.25">
      <c r="M274" s="377"/>
      <c r="BB274" s="83" t="str">
        <f t="array" ref="BB274">_xlfn.IFS(AQ274="","",LEN(AQ274)-LEN(SUBSTITUTE(AQ274,".",""))=3,LEFT(AQ274,vitri(".",AQ274,3)-1),LEN(AQ274)-LEN(SUBSTITUTE(AQ274,".",""))=2,LEFT(AQ274,vitri(".",AQ274,2)-1),TRUE,LEFT(AQ274,vitri(".",AQ274,1)-1))</f>
        <v/>
      </c>
    </row>
    <row r="275" spans="13:54" x14ac:dyDescent="0.25">
      <c r="M275" s="377"/>
      <c r="BB275" s="83" t="str">
        <f t="array" ref="BB275">_xlfn.IFS(AQ275="","",LEN(AQ275)-LEN(SUBSTITUTE(AQ275,".",""))=3,LEFT(AQ275,vitri(".",AQ275,3)-1),LEN(AQ275)-LEN(SUBSTITUTE(AQ275,".",""))=2,LEFT(AQ275,vitri(".",AQ275,2)-1),TRUE,LEFT(AQ275,vitri(".",AQ275,1)-1))</f>
        <v/>
      </c>
    </row>
    <row r="276" spans="13:54" x14ac:dyDescent="0.25">
      <c r="M276" s="377"/>
      <c r="BB276" s="83" t="str">
        <f t="array" ref="BB276">_xlfn.IFS(AQ276="","",LEN(AQ276)-LEN(SUBSTITUTE(AQ276,".",""))=3,LEFT(AQ276,vitri(".",AQ276,3)-1),LEN(AQ276)-LEN(SUBSTITUTE(AQ276,".",""))=2,LEFT(AQ276,vitri(".",AQ276,2)-1),TRUE,LEFT(AQ276,vitri(".",AQ276,1)-1))</f>
        <v/>
      </c>
    </row>
    <row r="277" spans="13:54" x14ac:dyDescent="0.25">
      <c r="M277" s="377"/>
      <c r="BB277" s="83" t="str">
        <f t="array" ref="BB277">_xlfn.IFS(AQ277="","",LEN(AQ277)-LEN(SUBSTITUTE(AQ277,".",""))=3,LEFT(AQ277,vitri(".",AQ277,3)-1),LEN(AQ277)-LEN(SUBSTITUTE(AQ277,".",""))=2,LEFT(AQ277,vitri(".",AQ277,2)-1),TRUE,LEFT(AQ277,vitri(".",AQ277,1)-1))</f>
        <v/>
      </c>
    </row>
    <row r="278" spans="13:54" x14ac:dyDescent="0.25">
      <c r="M278" s="377"/>
      <c r="BB278" s="83" t="str">
        <f t="array" ref="BB278">_xlfn.IFS(AQ278="","",LEN(AQ278)-LEN(SUBSTITUTE(AQ278,".",""))=3,LEFT(AQ278,vitri(".",AQ278,3)-1),LEN(AQ278)-LEN(SUBSTITUTE(AQ278,".",""))=2,LEFT(AQ278,vitri(".",AQ278,2)-1),TRUE,LEFT(AQ278,vitri(".",AQ278,1)-1))</f>
        <v/>
      </c>
    </row>
    <row r="279" spans="13:54" x14ac:dyDescent="0.25">
      <c r="M279" s="377"/>
      <c r="BB279" s="83" t="str">
        <f t="array" ref="BB279">_xlfn.IFS(AQ279="","",LEN(AQ279)-LEN(SUBSTITUTE(AQ279,".",""))=3,LEFT(AQ279,vitri(".",AQ279,3)-1),LEN(AQ279)-LEN(SUBSTITUTE(AQ279,".",""))=2,LEFT(AQ279,vitri(".",AQ279,2)-1),TRUE,LEFT(AQ279,vitri(".",AQ279,1)-1))</f>
        <v/>
      </c>
    </row>
    <row r="280" spans="13:54" x14ac:dyDescent="0.25">
      <c r="M280" s="377"/>
      <c r="BB280" s="83" t="str">
        <f t="array" ref="BB280">_xlfn.IFS(AQ280="","",LEN(AQ280)-LEN(SUBSTITUTE(AQ280,".",""))=3,LEFT(AQ280,vitri(".",AQ280,3)-1),LEN(AQ280)-LEN(SUBSTITUTE(AQ280,".",""))=2,LEFT(AQ280,vitri(".",AQ280,2)-1),TRUE,LEFT(AQ280,vitri(".",AQ280,1)-1))</f>
        <v/>
      </c>
    </row>
    <row r="281" spans="13:54" x14ac:dyDescent="0.25">
      <c r="M281" s="377"/>
      <c r="BB281" s="83" t="str">
        <f t="array" ref="BB281">_xlfn.IFS(AQ281="","",LEN(AQ281)-LEN(SUBSTITUTE(AQ281,".",""))=3,LEFT(AQ281,vitri(".",AQ281,3)-1),LEN(AQ281)-LEN(SUBSTITUTE(AQ281,".",""))=2,LEFT(AQ281,vitri(".",AQ281,2)-1),TRUE,LEFT(AQ281,vitri(".",AQ281,1)-1))</f>
        <v/>
      </c>
    </row>
    <row r="282" spans="13:54" x14ac:dyDescent="0.25">
      <c r="M282" s="377"/>
      <c r="BB282" s="83" t="str">
        <f t="array" ref="BB282">_xlfn.IFS(AQ282="","",LEN(AQ282)-LEN(SUBSTITUTE(AQ282,".",""))=3,LEFT(AQ282,vitri(".",AQ282,3)-1),LEN(AQ282)-LEN(SUBSTITUTE(AQ282,".",""))=2,LEFT(AQ282,vitri(".",AQ282,2)-1),TRUE,LEFT(AQ282,vitri(".",AQ282,1)-1))</f>
        <v/>
      </c>
    </row>
    <row r="283" spans="13:54" x14ac:dyDescent="0.25">
      <c r="M283" s="377"/>
      <c r="BB283" s="83" t="str">
        <f t="array" ref="BB283">_xlfn.IFS(AQ283="","",LEN(AQ283)-LEN(SUBSTITUTE(AQ283,".",""))=3,LEFT(AQ283,vitri(".",AQ283,3)-1),LEN(AQ283)-LEN(SUBSTITUTE(AQ283,".",""))=2,LEFT(AQ283,vitri(".",AQ283,2)-1),TRUE,LEFT(AQ283,vitri(".",AQ283,1)-1))</f>
        <v/>
      </c>
    </row>
    <row r="284" spans="13:54" x14ac:dyDescent="0.25">
      <c r="M284" s="377"/>
      <c r="BB284" s="83" t="str">
        <f t="array" ref="BB284">_xlfn.IFS(AQ284="","",LEN(AQ284)-LEN(SUBSTITUTE(AQ284,".",""))=3,LEFT(AQ284,vitri(".",AQ284,3)-1),LEN(AQ284)-LEN(SUBSTITUTE(AQ284,".",""))=2,LEFT(AQ284,vitri(".",AQ284,2)-1),TRUE,LEFT(AQ284,vitri(".",AQ284,1)-1))</f>
        <v/>
      </c>
    </row>
    <row r="285" spans="13:54" x14ac:dyDescent="0.25">
      <c r="M285" s="377"/>
      <c r="BB285" s="83" t="str">
        <f t="array" ref="BB285">_xlfn.IFS(AQ285="","",LEN(AQ285)-LEN(SUBSTITUTE(AQ285,".",""))=3,LEFT(AQ285,vitri(".",AQ285,3)-1),LEN(AQ285)-LEN(SUBSTITUTE(AQ285,".",""))=2,LEFT(AQ285,vitri(".",AQ285,2)-1),TRUE,LEFT(AQ285,vitri(".",AQ285,1)-1))</f>
        <v/>
      </c>
    </row>
    <row r="286" spans="13:54" x14ac:dyDescent="0.25">
      <c r="M286" s="377"/>
      <c r="BB286" s="83" t="str">
        <f t="array" ref="BB286">_xlfn.IFS(AQ286="","",LEN(AQ286)-LEN(SUBSTITUTE(AQ286,".",""))=3,LEFT(AQ286,vitri(".",AQ286,3)-1),LEN(AQ286)-LEN(SUBSTITUTE(AQ286,".",""))=2,LEFT(AQ286,vitri(".",AQ286,2)-1),TRUE,LEFT(AQ286,vitri(".",AQ286,1)-1))</f>
        <v/>
      </c>
    </row>
    <row r="287" spans="13:54" x14ac:dyDescent="0.25">
      <c r="M287" s="377"/>
      <c r="BB287" s="83" t="str">
        <f t="array" ref="BB287">_xlfn.IFS(AQ287="","",LEN(AQ287)-LEN(SUBSTITUTE(AQ287,".",""))=3,LEFT(AQ287,vitri(".",AQ287,3)-1),LEN(AQ287)-LEN(SUBSTITUTE(AQ287,".",""))=2,LEFT(AQ287,vitri(".",AQ287,2)-1),TRUE,LEFT(AQ287,vitri(".",AQ287,1)-1))</f>
        <v/>
      </c>
    </row>
    <row r="288" spans="13:54" x14ac:dyDescent="0.25">
      <c r="M288" s="377"/>
      <c r="BB288" s="83" t="str">
        <f t="array" ref="BB288">_xlfn.IFS(AQ288="","",LEN(AQ288)-LEN(SUBSTITUTE(AQ288,".",""))=3,LEFT(AQ288,vitri(".",AQ288,3)-1),LEN(AQ288)-LEN(SUBSTITUTE(AQ288,".",""))=2,LEFT(AQ288,vitri(".",AQ288,2)-1),TRUE,LEFT(AQ288,vitri(".",AQ288,1)-1))</f>
        <v/>
      </c>
    </row>
    <row r="289" spans="13:54" x14ac:dyDescent="0.25">
      <c r="M289" s="377"/>
      <c r="BB289" s="83" t="str">
        <f t="array" ref="BB289">_xlfn.IFS(AQ289="","",LEN(AQ289)-LEN(SUBSTITUTE(AQ289,".",""))=3,LEFT(AQ289,vitri(".",AQ289,3)-1),LEN(AQ289)-LEN(SUBSTITUTE(AQ289,".",""))=2,LEFT(AQ289,vitri(".",AQ289,2)-1),TRUE,LEFT(AQ289,vitri(".",AQ289,1)-1))</f>
        <v/>
      </c>
    </row>
    <row r="290" spans="13:54" x14ac:dyDescent="0.25">
      <c r="M290" s="377"/>
      <c r="BB290" s="83" t="str">
        <f t="array" ref="BB290">_xlfn.IFS(AQ290="","",LEN(AQ290)-LEN(SUBSTITUTE(AQ290,".",""))=3,LEFT(AQ290,vitri(".",AQ290,3)-1),LEN(AQ290)-LEN(SUBSTITUTE(AQ290,".",""))=2,LEFT(AQ290,vitri(".",AQ290,2)-1),TRUE,LEFT(AQ290,vitri(".",AQ290,1)-1))</f>
        <v/>
      </c>
    </row>
    <row r="291" spans="13:54" x14ac:dyDescent="0.25">
      <c r="M291" s="377"/>
      <c r="BB291" s="83" t="str">
        <f t="array" ref="BB291">_xlfn.IFS(AQ291="","",LEN(AQ291)-LEN(SUBSTITUTE(AQ291,".",""))=3,LEFT(AQ291,vitri(".",AQ291,3)-1),LEN(AQ291)-LEN(SUBSTITUTE(AQ291,".",""))=2,LEFT(AQ291,vitri(".",AQ291,2)-1),TRUE,LEFT(AQ291,vitri(".",AQ291,1)-1))</f>
        <v/>
      </c>
    </row>
    <row r="292" spans="13:54" x14ac:dyDescent="0.25">
      <c r="M292" s="377"/>
      <c r="BB292" s="83" t="str">
        <f t="array" ref="BB292">_xlfn.IFS(AQ292="","",LEN(AQ292)-LEN(SUBSTITUTE(AQ292,".",""))=3,LEFT(AQ292,vitri(".",AQ292,3)-1),LEN(AQ292)-LEN(SUBSTITUTE(AQ292,".",""))=2,LEFT(AQ292,vitri(".",AQ292,2)-1),TRUE,LEFT(AQ292,vitri(".",AQ292,1)-1))</f>
        <v/>
      </c>
    </row>
    <row r="293" spans="13:54" x14ac:dyDescent="0.25">
      <c r="M293" s="377"/>
      <c r="BB293" s="83" t="str">
        <f t="array" ref="BB293">_xlfn.IFS(AQ293="","",LEN(AQ293)-LEN(SUBSTITUTE(AQ293,".",""))=3,LEFT(AQ293,vitri(".",AQ293,3)-1),LEN(AQ293)-LEN(SUBSTITUTE(AQ293,".",""))=2,LEFT(AQ293,vitri(".",AQ293,2)-1),TRUE,LEFT(AQ293,vitri(".",AQ293,1)-1))</f>
        <v/>
      </c>
    </row>
    <row r="294" spans="13:54" x14ac:dyDescent="0.25">
      <c r="M294" s="377"/>
      <c r="BB294" s="83" t="str">
        <f t="array" ref="BB294">_xlfn.IFS(AQ294="","",LEN(AQ294)-LEN(SUBSTITUTE(AQ294,".",""))=3,LEFT(AQ294,vitri(".",AQ294,3)-1),LEN(AQ294)-LEN(SUBSTITUTE(AQ294,".",""))=2,LEFT(AQ294,vitri(".",AQ294,2)-1),TRUE,LEFT(AQ294,vitri(".",AQ294,1)-1))</f>
        <v/>
      </c>
    </row>
    <row r="295" spans="13:54" x14ac:dyDescent="0.25">
      <c r="M295" s="377"/>
      <c r="BB295" s="83" t="str">
        <f t="array" ref="BB295">_xlfn.IFS(AQ295="","",LEN(AQ295)-LEN(SUBSTITUTE(AQ295,".",""))=3,LEFT(AQ295,vitri(".",AQ295,3)-1),LEN(AQ295)-LEN(SUBSTITUTE(AQ295,".",""))=2,LEFT(AQ295,vitri(".",AQ295,2)-1),TRUE,LEFT(AQ295,vitri(".",AQ295,1)-1))</f>
        <v/>
      </c>
    </row>
    <row r="296" spans="13:54" x14ac:dyDescent="0.25">
      <c r="M296" s="377"/>
      <c r="BB296" s="83" t="str">
        <f t="array" ref="BB296">_xlfn.IFS(AQ296="","",LEN(AQ296)-LEN(SUBSTITUTE(AQ296,".",""))=3,LEFT(AQ296,vitri(".",AQ296,3)-1),LEN(AQ296)-LEN(SUBSTITUTE(AQ296,".",""))=2,LEFT(AQ296,vitri(".",AQ296,2)-1),TRUE,LEFT(AQ296,vitri(".",AQ296,1)-1))</f>
        <v/>
      </c>
    </row>
    <row r="297" spans="13:54" x14ac:dyDescent="0.25">
      <c r="M297" s="377"/>
      <c r="BB297" s="83" t="str">
        <f t="array" ref="BB297">_xlfn.IFS(AQ297="","",LEN(AQ297)-LEN(SUBSTITUTE(AQ297,".",""))=3,LEFT(AQ297,vitri(".",AQ297,3)-1),LEN(AQ297)-LEN(SUBSTITUTE(AQ297,".",""))=2,LEFT(AQ297,vitri(".",AQ297,2)-1),TRUE,LEFT(AQ297,vitri(".",AQ297,1)-1))</f>
        <v/>
      </c>
    </row>
    <row r="298" spans="13:54" x14ac:dyDescent="0.25">
      <c r="M298" s="377"/>
      <c r="BB298" s="83" t="str">
        <f t="array" ref="BB298">_xlfn.IFS(AQ298="","",LEN(AQ298)-LEN(SUBSTITUTE(AQ298,".",""))=3,LEFT(AQ298,vitri(".",AQ298,3)-1),LEN(AQ298)-LEN(SUBSTITUTE(AQ298,".",""))=2,LEFT(AQ298,vitri(".",AQ298,2)-1),TRUE,LEFT(AQ298,vitri(".",AQ298,1)-1))</f>
        <v/>
      </c>
    </row>
    <row r="299" spans="13:54" x14ac:dyDescent="0.25">
      <c r="M299" s="377"/>
      <c r="BB299" s="83" t="str">
        <f t="array" ref="BB299">_xlfn.IFS(AQ299="","",LEN(AQ299)-LEN(SUBSTITUTE(AQ299,".",""))=3,LEFT(AQ299,vitri(".",AQ299,3)-1),LEN(AQ299)-LEN(SUBSTITUTE(AQ299,".",""))=2,LEFT(AQ299,vitri(".",AQ299,2)-1),TRUE,LEFT(AQ299,vitri(".",AQ299,1)-1))</f>
        <v/>
      </c>
    </row>
    <row r="300" spans="13:54" x14ac:dyDescent="0.25">
      <c r="M300" s="377"/>
      <c r="BB300" s="83" t="str">
        <f t="array" ref="BB300">_xlfn.IFS(AQ300="","",LEN(AQ300)-LEN(SUBSTITUTE(AQ300,".",""))=3,LEFT(AQ300,vitri(".",AQ300,3)-1),LEN(AQ300)-LEN(SUBSTITUTE(AQ300,".",""))=2,LEFT(AQ300,vitri(".",AQ300,2)-1),TRUE,LEFT(AQ300,vitri(".",AQ300,1)-1))</f>
        <v/>
      </c>
    </row>
    <row r="301" spans="13:54" x14ac:dyDescent="0.25">
      <c r="M301" s="377"/>
      <c r="BB301" s="83" t="str">
        <f t="array" ref="BB301">_xlfn.IFS(AQ301="","",LEN(AQ301)-LEN(SUBSTITUTE(AQ301,".",""))=3,LEFT(AQ301,vitri(".",AQ301,3)-1),LEN(AQ301)-LEN(SUBSTITUTE(AQ301,".",""))=2,LEFT(AQ301,vitri(".",AQ301,2)-1),TRUE,LEFT(AQ301,vitri(".",AQ301,1)-1))</f>
        <v/>
      </c>
    </row>
    <row r="302" spans="13:54" x14ac:dyDescent="0.25">
      <c r="M302" s="377"/>
      <c r="BB302" s="83" t="str">
        <f t="array" ref="BB302">_xlfn.IFS(AQ302="","",LEN(AQ302)-LEN(SUBSTITUTE(AQ302,".",""))=3,LEFT(AQ302,vitri(".",AQ302,3)-1),LEN(AQ302)-LEN(SUBSTITUTE(AQ302,".",""))=2,LEFT(AQ302,vitri(".",AQ302,2)-1),TRUE,LEFT(AQ302,vitri(".",AQ302,1)-1))</f>
        <v/>
      </c>
    </row>
    <row r="303" spans="13:54" x14ac:dyDescent="0.25">
      <c r="M303" s="377"/>
      <c r="BB303" s="83" t="str">
        <f t="array" ref="BB303">_xlfn.IFS(AQ303="","",LEN(AQ303)-LEN(SUBSTITUTE(AQ303,".",""))=3,LEFT(AQ303,vitri(".",AQ303,3)-1),LEN(AQ303)-LEN(SUBSTITUTE(AQ303,".",""))=2,LEFT(AQ303,vitri(".",AQ303,2)-1),TRUE,LEFT(AQ303,vitri(".",AQ303,1)-1))</f>
        <v/>
      </c>
    </row>
    <row r="304" spans="13:54" x14ac:dyDescent="0.25">
      <c r="M304" s="377"/>
      <c r="BB304" s="83" t="str">
        <f t="array" ref="BB304">_xlfn.IFS(AQ304="","",LEN(AQ304)-LEN(SUBSTITUTE(AQ304,".",""))=3,LEFT(AQ304,vitri(".",AQ304,3)-1),LEN(AQ304)-LEN(SUBSTITUTE(AQ304,".",""))=2,LEFT(AQ304,vitri(".",AQ304,2)-1),TRUE,LEFT(AQ304,vitri(".",AQ304,1)-1))</f>
        <v/>
      </c>
    </row>
    <row r="305" spans="13:54" x14ac:dyDescent="0.25">
      <c r="M305" s="377"/>
      <c r="BB305" s="83" t="str">
        <f t="array" ref="BB305">_xlfn.IFS(AQ305="","",LEN(AQ305)-LEN(SUBSTITUTE(AQ305,".",""))=3,LEFT(AQ305,vitri(".",AQ305,3)-1),LEN(AQ305)-LEN(SUBSTITUTE(AQ305,".",""))=2,LEFT(AQ305,vitri(".",AQ305,2)-1),TRUE,LEFT(AQ305,vitri(".",AQ305,1)-1))</f>
        <v/>
      </c>
    </row>
    <row r="306" spans="13:54" x14ac:dyDescent="0.25">
      <c r="M306" s="377"/>
      <c r="BB306" s="83" t="str">
        <f t="array" ref="BB306">_xlfn.IFS(AQ306="","",LEN(AQ306)-LEN(SUBSTITUTE(AQ306,".",""))=3,LEFT(AQ306,vitri(".",AQ306,3)-1),LEN(AQ306)-LEN(SUBSTITUTE(AQ306,".",""))=2,LEFT(AQ306,vitri(".",AQ306,2)-1),TRUE,LEFT(AQ306,vitri(".",AQ306,1)-1))</f>
        <v/>
      </c>
    </row>
    <row r="307" spans="13:54" x14ac:dyDescent="0.25">
      <c r="M307" s="377"/>
      <c r="BB307" s="83" t="str">
        <f t="array" ref="BB307">_xlfn.IFS(AQ307="","",LEN(AQ307)-LEN(SUBSTITUTE(AQ307,".",""))=3,LEFT(AQ307,vitri(".",AQ307,3)-1),LEN(AQ307)-LEN(SUBSTITUTE(AQ307,".",""))=2,LEFT(AQ307,vitri(".",AQ307,2)-1),TRUE,LEFT(AQ307,vitri(".",AQ307,1)-1))</f>
        <v/>
      </c>
    </row>
    <row r="308" spans="13:54" x14ac:dyDescent="0.25">
      <c r="M308" s="377"/>
      <c r="BB308" s="83" t="str">
        <f t="array" ref="BB308">_xlfn.IFS(AQ308="","",LEN(AQ308)-LEN(SUBSTITUTE(AQ308,".",""))=3,LEFT(AQ308,vitri(".",AQ308,3)-1),LEN(AQ308)-LEN(SUBSTITUTE(AQ308,".",""))=2,LEFT(AQ308,vitri(".",AQ308,2)-1),TRUE,LEFT(AQ308,vitri(".",AQ308,1)-1))</f>
        <v/>
      </c>
    </row>
    <row r="309" spans="13:54" x14ac:dyDescent="0.25">
      <c r="M309" s="377"/>
      <c r="BB309" s="83" t="str">
        <f t="array" ref="BB309">_xlfn.IFS(AQ309="","",LEN(AQ309)-LEN(SUBSTITUTE(AQ309,".",""))=3,LEFT(AQ309,vitri(".",AQ309,3)-1),LEN(AQ309)-LEN(SUBSTITUTE(AQ309,".",""))=2,LEFT(AQ309,vitri(".",AQ309,2)-1),TRUE,LEFT(AQ309,vitri(".",AQ309,1)-1))</f>
        <v/>
      </c>
    </row>
    <row r="310" spans="13:54" x14ac:dyDescent="0.25">
      <c r="M310" s="377"/>
      <c r="BB310" s="83" t="str">
        <f t="array" ref="BB310">_xlfn.IFS(AQ310="","",LEN(AQ310)-LEN(SUBSTITUTE(AQ310,".",""))=3,LEFT(AQ310,vitri(".",AQ310,3)-1),LEN(AQ310)-LEN(SUBSTITUTE(AQ310,".",""))=2,LEFT(AQ310,vitri(".",AQ310,2)-1),TRUE,LEFT(AQ310,vitri(".",AQ310,1)-1))</f>
        <v/>
      </c>
    </row>
    <row r="311" spans="13:54" x14ac:dyDescent="0.25">
      <c r="M311" s="377"/>
      <c r="BB311" s="83" t="str">
        <f t="array" ref="BB311">_xlfn.IFS(AQ311="","",LEN(AQ311)-LEN(SUBSTITUTE(AQ311,".",""))=3,LEFT(AQ311,vitri(".",AQ311,3)-1),LEN(AQ311)-LEN(SUBSTITUTE(AQ311,".",""))=2,LEFT(AQ311,vitri(".",AQ311,2)-1),TRUE,LEFT(AQ311,vitri(".",AQ311,1)-1))</f>
        <v/>
      </c>
    </row>
    <row r="312" spans="13:54" x14ac:dyDescent="0.25">
      <c r="M312" s="377"/>
      <c r="BB312" s="83" t="str">
        <f t="array" ref="BB312">_xlfn.IFS(AQ312="","",LEN(AQ312)-LEN(SUBSTITUTE(AQ312,".",""))=3,LEFT(AQ312,vitri(".",AQ312,3)-1),LEN(AQ312)-LEN(SUBSTITUTE(AQ312,".",""))=2,LEFT(AQ312,vitri(".",AQ312,2)-1),TRUE,LEFT(AQ312,vitri(".",AQ312,1)-1))</f>
        <v/>
      </c>
    </row>
    <row r="313" spans="13:54" x14ac:dyDescent="0.25">
      <c r="M313" s="377"/>
      <c r="BB313" s="83" t="str">
        <f t="array" ref="BB313">_xlfn.IFS(AQ313="","",LEN(AQ313)-LEN(SUBSTITUTE(AQ313,".",""))=3,LEFT(AQ313,vitri(".",AQ313,3)-1),LEN(AQ313)-LEN(SUBSTITUTE(AQ313,".",""))=2,LEFT(AQ313,vitri(".",AQ313,2)-1),TRUE,LEFT(AQ313,vitri(".",AQ313,1)-1))</f>
        <v/>
      </c>
    </row>
    <row r="314" spans="13:54" x14ac:dyDescent="0.25">
      <c r="M314" s="377"/>
      <c r="BB314" s="83" t="str">
        <f t="array" ref="BB314">_xlfn.IFS(AQ314="","",LEN(AQ314)-LEN(SUBSTITUTE(AQ314,".",""))=3,LEFT(AQ314,vitri(".",AQ314,3)-1),LEN(AQ314)-LEN(SUBSTITUTE(AQ314,".",""))=2,LEFT(AQ314,vitri(".",AQ314,2)-1),TRUE,LEFT(AQ314,vitri(".",AQ314,1)-1))</f>
        <v/>
      </c>
    </row>
    <row r="315" spans="13:54" x14ac:dyDescent="0.25">
      <c r="M315" s="377"/>
      <c r="BB315" s="83" t="str">
        <f t="array" ref="BB315">_xlfn.IFS(AQ315="","",LEN(AQ315)-LEN(SUBSTITUTE(AQ315,".",""))=3,LEFT(AQ315,vitri(".",AQ315,3)-1),LEN(AQ315)-LEN(SUBSTITUTE(AQ315,".",""))=2,LEFT(AQ315,vitri(".",AQ315,2)-1),TRUE,LEFT(AQ315,vitri(".",AQ315,1)-1))</f>
        <v/>
      </c>
    </row>
    <row r="316" spans="13:54" x14ac:dyDescent="0.25">
      <c r="M316" s="377"/>
      <c r="BB316" s="83" t="str">
        <f t="array" ref="BB316">_xlfn.IFS(AQ316="","",LEN(AQ316)-LEN(SUBSTITUTE(AQ316,".",""))=3,LEFT(AQ316,vitri(".",AQ316,3)-1),LEN(AQ316)-LEN(SUBSTITUTE(AQ316,".",""))=2,LEFT(AQ316,vitri(".",AQ316,2)-1),TRUE,LEFT(AQ316,vitri(".",AQ316,1)-1))</f>
        <v/>
      </c>
    </row>
    <row r="317" spans="13:54" x14ac:dyDescent="0.25">
      <c r="M317" s="377"/>
      <c r="BB317" s="83" t="str">
        <f t="array" ref="BB317">_xlfn.IFS(AQ317="","",LEN(AQ317)-LEN(SUBSTITUTE(AQ317,".",""))=3,LEFT(AQ317,vitri(".",AQ317,3)-1),LEN(AQ317)-LEN(SUBSTITUTE(AQ317,".",""))=2,LEFT(AQ317,vitri(".",AQ317,2)-1),TRUE,LEFT(AQ317,vitri(".",AQ317,1)-1))</f>
        <v/>
      </c>
    </row>
    <row r="318" spans="13:54" x14ac:dyDescent="0.25">
      <c r="M318" s="377"/>
      <c r="BB318" s="83" t="str">
        <f t="array" ref="BB318">_xlfn.IFS(AQ318="","",LEN(AQ318)-LEN(SUBSTITUTE(AQ318,".",""))=3,LEFT(AQ318,vitri(".",AQ318,3)-1),LEN(AQ318)-LEN(SUBSTITUTE(AQ318,".",""))=2,LEFT(AQ318,vitri(".",AQ318,2)-1),TRUE,LEFT(AQ318,vitri(".",AQ318,1)-1))</f>
        <v/>
      </c>
    </row>
    <row r="319" spans="13:54" x14ac:dyDescent="0.25">
      <c r="M319" s="377"/>
      <c r="BB319" s="83" t="str">
        <f t="array" ref="BB319">_xlfn.IFS(AQ319="","",LEN(AQ319)-LEN(SUBSTITUTE(AQ319,".",""))=3,LEFT(AQ319,vitri(".",AQ319,3)-1),LEN(AQ319)-LEN(SUBSTITUTE(AQ319,".",""))=2,LEFT(AQ319,vitri(".",AQ319,2)-1),TRUE,LEFT(AQ319,vitri(".",AQ319,1)-1))</f>
        <v/>
      </c>
    </row>
    <row r="320" spans="13:54" x14ac:dyDescent="0.25">
      <c r="M320" s="377"/>
      <c r="BB320" s="83" t="str">
        <f t="array" ref="BB320">_xlfn.IFS(AQ320="","",LEN(AQ320)-LEN(SUBSTITUTE(AQ320,".",""))=3,LEFT(AQ320,vitri(".",AQ320,3)-1),LEN(AQ320)-LEN(SUBSTITUTE(AQ320,".",""))=2,LEFT(AQ320,vitri(".",AQ320,2)-1),TRUE,LEFT(AQ320,vitri(".",AQ320,1)-1))</f>
        <v/>
      </c>
    </row>
    <row r="321" spans="13:54" x14ac:dyDescent="0.25">
      <c r="M321" s="377"/>
      <c r="BB321" s="83" t="str">
        <f t="array" ref="BB321">_xlfn.IFS(AQ321="","",LEN(AQ321)-LEN(SUBSTITUTE(AQ321,".",""))=3,LEFT(AQ321,vitri(".",AQ321,3)-1),LEN(AQ321)-LEN(SUBSTITUTE(AQ321,".",""))=2,LEFT(AQ321,vitri(".",AQ321,2)-1),TRUE,LEFT(AQ321,vitri(".",AQ321,1)-1))</f>
        <v/>
      </c>
    </row>
    <row r="322" spans="13:54" x14ac:dyDescent="0.25">
      <c r="M322" s="377"/>
      <c r="BB322" s="83" t="str">
        <f t="array" ref="BB322">_xlfn.IFS(AQ322="","",LEN(AQ322)-LEN(SUBSTITUTE(AQ322,".",""))=3,LEFT(AQ322,vitri(".",AQ322,3)-1),LEN(AQ322)-LEN(SUBSTITUTE(AQ322,".",""))=2,LEFT(AQ322,vitri(".",AQ322,2)-1),TRUE,LEFT(AQ322,vitri(".",AQ322,1)-1))</f>
        <v/>
      </c>
    </row>
    <row r="323" spans="13:54" x14ac:dyDescent="0.25">
      <c r="M323" s="377"/>
      <c r="BB323" s="83" t="str">
        <f t="array" ref="BB323">_xlfn.IFS(AQ323="","",LEN(AQ323)-LEN(SUBSTITUTE(AQ323,".",""))=3,LEFT(AQ323,vitri(".",AQ323,3)-1),LEN(AQ323)-LEN(SUBSTITUTE(AQ323,".",""))=2,LEFT(AQ323,vitri(".",AQ323,2)-1),TRUE,LEFT(AQ323,vitri(".",AQ323,1)-1))</f>
        <v/>
      </c>
    </row>
    <row r="324" spans="13:54" x14ac:dyDescent="0.25">
      <c r="M324" s="377"/>
      <c r="BB324" s="83" t="str">
        <f t="array" ref="BB324">_xlfn.IFS(AQ324="","",LEN(AQ324)-LEN(SUBSTITUTE(AQ324,".",""))=3,LEFT(AQ324,vitri(".",AQ324,3)-1),LEN(AQ324)-LEN(SUBSTITUTE(AQ324,".",""))=2,LEFT(AQ324,vitri(".",AQ324,2)-1),TRUE,LEFT(AQ324,vitri(".",AQ324,1)-1))</f>
        <v/>
      </c>
    </row>
    <row r="325" spans="13:54" x14ac:dyDescent="0.25">
      <c r="M325" s="377"/>
      <c r="BB325" s="83" t="str">
        <f t="array" ref="BB325">_xlfn.IFS(AQ325="","",LEN(AQ325)-LEN(SUBSTITUTE(AQ325,".",""))=3,LEFT(AQ325,vitri(".",AQ325,3)-1),LEN(AQ325)-LEN(SUBSTITUTE(AQ325,".",""))=2,LEFT(AQ325,vitri(".",AQ325,2)-1),TRUE,LEFT(AQ325,vitri(".",AQ325,1)-1))</f>
        <v/>
      </c>
    </row>
    <row r="326" spans="13:54" x14ac:dyDescent="0.25">
      <c r="M326" s="377"/>
      <c r="BB326" s="83" t="str">
        <f t="array" ref="BB326">_xlfn.IFS(AQ326="","",LEN(AQ326)-LEN(SUBSTITUTE(AQ326,".",""))=3,LEFT(AQ326,vitri(".",AQ326,3)-1),LEN(AQ326)-LEN(SUBSTITUTE(AQ326,".",""))=2,LEFT(AQ326,vitri(".",AQ326,2)-1),TRUE,LEFT(AQ326,vitri(".",AQ326,1)-1))</f>
        <v/>
      </c>
    </row>
    <row r="327" spans="13:54" x14ac:dyDescent="0.25">
      <c r="M327" s="377"/>
      <c r="BB327" s="83" t="str">
        <f t="array" ref="BB327">_xlfn.IFS(AQ327="","",LEN(AQ327)-LEN(SUBSTITUTE(AQ327,".",""))=3,LEFT(AQ327,vitri(".",AQ327,3)-1),LEN(AQ327)-LEN(SUBSTITUTE(AQ327,".",""))=2,LEFT(AQ327,vitri(".",AQ327,2)-1),TRUE,LEFT(AQ327,vitri(".",AQ327,1)-1))</f>
        <v/>
      </c>
    </row>
    <row r="328" spans="13:54" x14ac:dyDescent="0.25">
      <c r="M328" s="377"/>
      <c r="BB328" s="83" t="str">
        <f t="array" ref="BB328">_xlfn.IFS(AQ328="","",LEN(AQ328)-LEN(SUBSTITUTE(AQ328,".",""))=3,LEFT(AQ328,vitri(".",AQ328,3)-1),LEN(AQ328)-LEN(SUBSTITUTE(AQ328,".",""))=2,LEFT(AQ328,vitri(".",AQ328,2)-1),TRUE,LEFT(AQ328,vitri(".",AQ328,1)-1))</f>
        <v/>
      </c>
    </row>
    <row r="329" spans="13:54" x14ac:dyDescent="0.25">
      <c r="M329" s="377"/>
      <c r="BB329" s="83" t="str">
        <f t="array" ref="BB329">_xlfn.IFS(AQ329="","",LEN(AQ329)-LEN(SUBSTITUTE(AQ329,".",""))=3,LEFT(AQ329,vitri(".",AQ329,3)-1),LEN(AQ329)-LEN(SUBSTITUTE(AQ329,".",""))=2,LEFT(AQ329,vitri(".",AQ329,2)-1),TRUE,LEFT(AQ329,vitri(".",AQ329,1)-1))</f>
        <v/>
      </c>
    </row>
    <row r="330" spans="13:54" x14ac:dyDescent="0.25">
      <c r="M330" s="377"/>
      <c r="BB330" s="83" t="str">
        <f t="array" ref="BB330">_xlfn.IFS(AQ330="","",LEN(AQ330)-LEN(SUBSTITUTE(AQ330,".",""))=3,LEFT(AQ330,vitri(".",AQ330,3)-1),LEN(AQ330)-LEN(SUBSTITUTE(AQ330,".",""))=2,LEFT(AQ330,vitri(".",AQ330,2)-1),TRUE,LEFT(AQ330,vitri(".",AQ330,1)-1))</f>
        <v/>
      </c>
    </row>
    <row r="331" spans="13:54" x14ac:dyDescent="0.25">
      <c r="M331" s="377"/>
      <c r="BB331" s="83" t="str">
        <f t="array" ref="BB331">_xlfn.IFS(AQ331="","",LEN(AQ331)-LEN(SUBSTITUTE(AQ331,".",""))=3,LEFT(AQ331,vitri(".",AQ331,3)-1),LEN(AQ331)-LEN(SUBSTITUTE(AQ331,".",""))=2,LEFT(AQ331,vitri(".",AQ331,2)-1),TRUE,LEFT(AQ331,vitri(".",AQ331,1)-1))</f>
        <v/>
      </c>
    </row>
    <row r="332" spans="13:54" x14ac:dyDescent="0.25">
      <c r="M332" s="377"/>
      <c r="BB332" s="83" t="str">
        <f t="array" ref="BB332">_xlfn.IFS(AQ332="","",LEN(AQ332)-LEN(SUBSTITUTE(AQ332,".",""))=3,LEFT(AQ332,vitri(".",AQ332,3)-1),LEN(AQ332)-LEN(SUBSTITUTE(AQ332,".",""))=2,LEFT(AQ332,vitri(".",AQ332,2)-1),TRUE,LEFT(AQ332,vitri(".",AQ332,1)-1))</f>
        <v/>
      </c>
    </row>
    <row r="333" spans="13:54" x14ac:dyDescent="0.25">
      <c r="M333" s="377"/>
      <c r="BB333" s="83" t="str">
        <f t="array" ref="BB333">_xlfn.IFS(AQ333="","",LEN(AQ333)-LEN(SUBSTITUTE(AQ333,".",""))=3,LEFT(AQ333,vitri(".",AQ333,3)-1),LEN(AQ333)-LEN(SUBSTITUTE(AQ333,".",""))=2,LEFT(AQ333,vitri(".",AQ333,2)-1),TRUE,LEFT(AQ333,vitri(".",AQ333,1)-1))</f>
        <v/>
      </c>
    </row>
    <row r="334" spans="13:54" x14ac:dyDescent="0.25">
      <c r="M334" s="377"/>
      <c r="BB334" s="83" t="str">
        <f t="array" ref="BB334">_xlfn.IFS(AQ334="","",LEN(AQ334)-LEN(SUBSTITUTE(AQ334,".",""))=3,LEFT(AQ334,vitri(".",AQ334,3)-1),LEN(AQ334)-LEN(SUBSTITUTE(AQ334,".",""))=2,LEFT(AQ334,vitri(".",AQ334,2)-1),TRUE,LEFT(AQ334,vitri(".",AQ334,1)-1))</f>
        <v/>
      </c>
    </row>
    <row r="335" spans="13:54" x14ac:dyDescent="0.25">
      <c r="M335" s="377"/>
      <c r="BB335" s="83" t="str">
        <f t="array" ref="BB335">_xlfn.IFS(AQ335="","",LEN(AQ335)-LEN(SUBSTITUTE(AQ335,".",""))=3,LEFT(AQ335,vitri(".",AQ335,3)-1),LEN(AQ335)-LEN(SUBSTITUTE(AQ335,".",""))=2,LEFT(AQ335,vitri(".",AQ335,2)-1),TRUE,LEFT(AQ335,vitri(".",AQ335,1)-1))</f>
        <v/>
      </c>
    </row>
    <row r="336" spans="13:54" x14ac:dyDescent="0.25">
      <c r="M336" s="377"/>
      <c r="BB336" s="83" t="str">
        <f t="array" ref="BB336">_xlfn.IFS(AQ336="","",LEN(AQ336)-LEN(SUBSTITUTE(AQ336,".",""))=3,LEFT(AQ336,vitri(".",AQ336,3)-1),LEN(AQ336)-LEN(SUBSTITUTE(AQ336,".",""))=2,LEFT(AQ336,vitri(".",AQ336,2)-1),TRUE,LEFT(AQ336,vitri(".",AQ336,1)-1))</f>
        <v/>
      </c>
    </row>
    <row r="337" spans="13:54" x14ac:dyDescent="0.25">
      <c r="M337" s="377"/>
      <c r="BB337" s="83" t="str">
        <f t="array" ref="BB337">_xlfn.IFS(AQ337="","",LEN(AQ337)-LEN(SUBSTITUTE(AQ337,".",""))=3,LEFT(AQ337,vitri(".",AQ337,3)-1),LEN(AQ337)-LEN(SUBSTITUTE(AQ337,".",""))=2,LEFT(AQ337,vitri(".",AQ337,2)-1),TRUE,LEFT(AQ337,vitri(".",AQ337,1)-1))</f>
        <v/>
      </c>
    </row>
    <row r="338" spans="13:54" x14ac:dyDescent="0.25">
      <c r="M338" s="377"/>
      <c r="BB338" s="83" t="str">
        <f t="array" ref="BB338">_xlfn.IFS(AQ338="","",LEN(AQ338)-LEN(SUBSTITUTE(AQ338,".",""))=3,LEFT(AQ338,vitri(".",AQ338,3)-1),LEN(AQ338)-LEN(SUBSTITUTE(AQ338,".",""))=2,LEFT(AQ338,vitri(".",AQ338,2)-1),TRUE,LEFT(AQ338,vitri(".",AQ338,1)-1))</f>
        <v/>
      </c>
    </row>
    <row r="339" spans="13:54" x14ac:dyDescent="0.25">
      <c r="M339" s="377"/>
      <c r="BB339" s="83" t="str">
        <f t="array" ref="BB339">_xlfn.IFS(AQ339="","",LEN(AQ339)-LEN(SUBSTITUTE(AQ339,".",""))=3,LEFT(AQ339,vitri(".",AQ339,3)-1),LEN(AQ339)-LEN(SUBSTITUTE(AQ339,".",""))=2,LEFT(AQ339,vitri(".",AQ339,2)-1),TRUE,LEFT(AQ339,vitri(".",AQ339,1)-1))</f>
        <v/>
      </c>
    </row>
    <row r="340" spans="13:54" x14ac:dyDescent="0.25">
      <c r="M340" s="377"/>
      <c r="BB340" s="83" t="str">
        <f t="array" ref="BB340">_xlfn.IFS(AQ340="","",LEN(AQ340)-LEN(SUBSTITUTE(AQ340,".",""))=3,LEFT(AQ340,vitri(".",AQ340,3)-1),LEN(AQ340)-LEN(SUBSTITUTE(AQ340,".",""))=2,LEFT(AQ340,vitri(".",AQ340,2)-1),TRUE,LEFT(AQ340,vitri(".",AQ340,1)-1))</f>
        <v/>
      </c>
    </row>
    <row r="341" spans="13:54" x14ac:dyDescent="0.25">
      <c r="M341" s="377"/>
      <c r="BB341" s="83" t="str">
        <f t="array" ref="BB341">_xlfn.IFS(AQ341="","",LEN(AQ341)-LEN(SUBSTITUTE(AQ341,".",""))=3,LEFT(AQ341,vitri(".",AQ341,3)-1),LEN(AQ341)-LEN(SUBSTITUTE(AQ341,".",""))=2,LEFT(AQ341,vitri(".",AQ341,2)-1),TRUE,LEFT(AQ341,vitri(".",AQ341,1)-1))</f>
        <v/>
      </c>
    </row>
    <row r="342" spans="13:54" x14ac:dyDescent="0.25">
      <c r="M342" s="377"/>
      <c r="BB342" s="83" t="str">
        <f t="array" ref="BB342">_xlfn.IFS(AQ342="","",LEN(AQ342)-LEN(SUBSTITUTE(AQ342,".",""))=3,LEFT(AQ342,vitri(".",AQ342,3)-1),LEN(AQ342)-LEN(SUBSTITUTE(AQ342,".",""))=2,LEFT(AQ342,vitri(".",AQ342,2)-1),TRUE,LEFT(AQ342,vitri(".",AQ342,1)-1))</f>
        <v/>
      </c>
    </row>
    <row r="343" spans="13:54" x14ac:dyDescent="0.25">
      <c r="M343" s="377"/>
      <c r="BB343" s="83" t="str">
        <f t="array" ref="BB343">_xlfn.IFS(AQ343="","",LEN(AQ343)-LEN(SUBSTITUTE(AQ343,".",""))=3,LEFT(AQ343,vitri(".",AQ343,3)-1),LEN(AQ343)-LEN(SUBSTITUTE(AQ343,".",""))=2,LEFT(AQ343,vitri(".",AQ343,2)-1),TRUE,LEFT(AQ343,vitri(".",AQ343,1)-1))</f>
        <v/>
      </c>
    </row>
    <row r="344" spans="13:54" x14ac:dyDescent="0.25">
      <c r="M344" s="377"/>
      <c r="BB344" s="83" t="str">
        <f t="array" ref="BB344">_xlfn.IFS(AQ344="","",LEN(AQ344)-LEN(SUBSTITUTE(AQ344,".",""))=3,LEFT(AQ344,vitri(".",AQ344,3)-1),LEN(AQ344)-LEN(SUBSTITUTE(AQ344,".",""))=2,LEFT(AQ344,vitri(".",AQ344,2)-1),TRUE,LEFT(AQ344,vitri(".",AQ344,1)-1))</f>
        <v/>
      </c>
    </row>
    <row r="345" spans="13:54" x14ac:dyDescent="0.25">
      <c r="M345" s="377"/>
      <c r="BB345" s="83" t="str">
        <f t="array" ref="BB345">_xlfn.IFS(AQ345="","",LEN(AQ345)-LEN(SUBSTITUTE(AQ345,".",""))=3,LEFT(AQ345,vitri(".",AQ345,3)-1),LEN(AQ345)-LEN(SUBSTITUTE(AQ345,".",""))=2,LEFT(AQ345,vitri(".",AQ345,2)-1),TRUE,LEFT(AQ345,vitri(".",AQ345,1)-1))</f>
        <v/>
      </c>
    </row>
    <row r="346" spans="13:54" x14ac:dyDescent="0.25">
      <c r="M346" s="377"/>
      <c r="BB346" s="83" t="str">
        <f t="array" ref="BB346">_xlfn.IFS(AQ346="","",LEN(AQ346)-LEN(SUBSTITUTE(AQ346,".",""))=3,LEFT(AQ346,vitri(".",AQ346,3)-1),LEN(AQ346)-LEN(SUBSTITUTE(AQ346,".",""))=2,LEFT(AQ346,vitri(".",AQ346,2)-1),TRUE,LEFT(AQ346,vitri(".",AQ346,1)-1))</f>
        <v/>
      </c>
    </row>
    <row r="347" spans="13:54" x14ac:dyDescent="0.25">
      <c r="M347" s="377"/>
      <c r="BB347" s="83" t="str">
        <f t="array" ref="BB347">_xlfn.IFS(AQ347="","",LEN(AQ347)-LEN(SUBSTITUTE(AQ347,".",""))=3,LEFT(AQ347,vitri(".",AQ347,3)-1),LEN(AQ347)-LEN(SUBSTITUTE(AQ347,".",""))=2,LEFT(AQ347,vitri(".",AQ347,2)-1),TRUE,LEFT(AQ347,vitri(".",AQ347,1)-1))</f>
        <v/>
      </c>
    </row>
    <row r="348" spans="13:54" x14ac:dyDescent="0.25">
      <c r="M348" s="377"/>
      <c r="BB348" s="83" t="str">
        <f t="array" ref="BB348">_xlfn.IFS(AQ348="","",LEN(AQ348)-LEN(SUBSTITUTE(AQ348,".",""))=3,LEFT(AQ348,vitri(".",AQ348,3)-1),LEN(AQ348)-LEN(SUBSTITUTE(AQ348,".",""))=2,LEFT(AQ348,vitri(".",AQ348,2)-1),TRUE,LEFT(AQ348,vitri(".",AQ348,1)-1))</f>
        <v/>
      </c>
    </row>
    <row r="349" spans="13:54" x14ac:dyDescent="0.25">
      <c r="M349" s="377"/>
      <c r="BB349" s="83" t="str">
        <f t="array" ref="BB349">_xlfn.IFS(AQ349="","",LEN(AQ349)-LEN(SUBSTITUTE(AQ349,".",""))=3,LEFT(AQ349,vitri(".",AQ349,3)-1),LEN(AQ349)-LEN(SUBSTITUTE(AQ349,".",""))=2,LEFT(AQ349,vitri(".",AQ349,2)-1),TRUE,LEFT(AQ349,vitri(".",AQ349,1)-1))</f>
        <v/>
      </c>
    </row>
    <row r="350" spans="13:54" x14ac:dyDescent="0.25">
      <c r="M350" s="377"/>
      <c r="BB350" s="83" t="str">
        <f t="array" ref="BB350">_xlfn.IFS(AQ350="","",LEN(AQ350)-LEN(SUBSTITUTE(AQ350,".",""))=3,LEFT(AQ350,vitri(".",AQ350,3)-1),LEN(AQ350)-LEN(SUBSTITUTE(AQ350,".",""))=2,LEFT(AQ350,vitri(".",AQ350,2)-1),TRUE,LEFT(AQ350,vitri(".",AQ350,1)-1))</f>
        <v/>
      </c>
    </row>
    <row r="351" spans="13:54" x14ac:dyDescent="0.25">
      <c r="M351" s="377"/>
      <c r="BB351" s="83" t="str">
        <f t="array" ref="BB351">_xlfn.IFS(AQ351="","",LEN(AQ351)-LEN(SUBSTITUTE(AQ351,".",""))=3,LEFT(AQ351,vitri(".",AQ351,3)-1),LEN(AQ351)-LEN(SUBSTITUTE(AQ351,".",""))=2,LEFT(AQ351,vitri(".",AQ351,2)-1),TRUE,LEFT(AQ351,vitri(".",AQ351,1)-1))</f>
        <v/>
      </c>
    </row>
    <row r="352" spans="13:54" x14ac:dyDescent="0.25">
      <c r="M352" s="377"/>
      <c r="BB352" s="83" t="str">
        <f t="array" ref="BB352">_xlfn.IFS(AQ352="","",LEN(AQ352)-LEN(SUBSTITUTE(AQ352,".",""))=3,LEFT(AQ352,vitri(".",AQ352,3)-1),LEN(AQ352)-LEN(SUBSTITUTE(AQ352,".",""))=2,LEFT(AQ352,vitri(".",AQ352,2)-1),TRUE,LEFT(AQ352,vitri(".",AQ352,1)-1))</f>
        <v/>
      </c>
    </row>
    <row r="353" spans="13:54" x14ac:dyDescent="0.25">
      <c r="M353" s="377"/>
      <c r="BB353" s="83" t="str">
        <f t="array" ref="BB353">_xlfn.IFS(AQ353="","",LEN(AQ353)-LEN(SUBSTITUTE(AQ353,".",""))=3,LEFT(AQ353,vitri(".",AQ353,3)-1),LEN(AQ353)-LEN(SUBSTITUTE(AQ353,".",""))=2,LEFT(AQ353,vitri(".",AQ353,2)-1),TRUE,LEFT(AQ353,vitri(".",AQ353,1)-1))</f>
        <v/>
      </c>
    </row>
    <row r="354" spans="13:54" x14ac:dyDescent="0.25">
      <c r="M354" s="377"/>
      <c r="BB354" s="83" t="str">
        <f t="array" ref="BB354">_xlfn.IFS(AQ354="","",LEN(AQ354)-LEN(SUBSTITUTE(AQ354,".",""))=3,LEFT(AQ354,vitri(".",AQ354,3)-1),LEN(AQ354)-LEN(SUBSTITUTE(AQ354,".",""))=2,LEFT(AQ354,vitri(".",AQ354,2)-1),TRUE,LEFT(AQ354,vitri(".",AQ354,1)-1))</f>
        <v/>
      </c>
    </row>
    <row r="355" spans="13:54" x14ac:dyDescent="0.25">
      <c r="M355" s="377"/>
      <c r="BB355" s="83" t="str">
        <f t="array" ref="BB355">_xlfn.IFS(AQ355="","",LEN(AQ355)-LEN(SUBSTITUTE(AQ355,".",""))=3,LEFT(AQ355,vitri(".",AQ355,3)-1),LEN(AQ355)-LEN(SUBSTITUTE(AQ355,".",""))=2,LEFT(AQ355,vitri(".",AQ355,2)-1),TRUE,LEFT(AQ355,vitri(".",AQ355,1)-1))</f>
        <v/>
      </c>
    </row>
    <row r="356" spans="13:54" x14ac:dyDescent="0.25">
      <c r="M356" s="377"/>
      <c r="BB356" s="83" t="str">
        <f t="array" ref="BB356">_xlfn.IFS(AQ356="","",LEN(AQ356)-LEN(SUBSTITUTE(AQ356,".",""))=3,LEFT(AQ356,vitri(".",AQ356,3)-1),LEN(AQ356)-LEN(SUBSTITUTE(AQ356,".",""))=2,LEFT(AQ356,vitri(".",AQ356,2)-1),TRUE,LEFT(AQ356,vitri(".",AQ356,1)-1))</f>
        <v/>
      </c>
    </row>
    <row r="357" spans="13:54" x14ac:dyDescent="0.25">
      <c r="M357" s="377"/>
      <c r="BB357" s="83" t="str">
        <f t="array" ref="BB357">_xlfn.IFS(AQ357="","",LEN(AQ357)-LEN(SUBSTITUTE(AQ357,".",""))=3,LEFT(AQ357,vitri(".",AQ357,3)-1),LEN(AQ357)-LEN(SUBSTITUTE(AQ357,".",""))=2,LEFT(AQ357,vitri(".",AQ357,2)-1),TRUE,LEFT(AQ357,vitri(".",AQ357,1)-1))</f>
        <v/>
      </c>
    </row>
    <row r="358" spans="13:54" x14ac:dyDescent="0.25">
      <c r="M358" s="377"/>
      <c r="BB358" s="83" t="str">
        <f t="array" ref="BB358">_xlfn.IFS(AQ358="","",LEN(AQ358)-LEN(SUBSTITUTE(AQ358,".",""))=3,LEFT(AQ358,vitri(".",AQ358,3)-1),LEN(AQ358)-LEN(SUBSTITUTE(AQ358,".",""))=2,LEFT(AQ358,vitri(".",AQ358,2)-1),TRUE,LEFT(AQ358,vitri(".",AQ358,1)-1))</f>
        <v/>
      </c>
    </row>
    <row r="359" spans="13:54" x14ac:dyDescent="0.25">
      <c r="M359" s="377"/>
      <c r="BB359" s="83" t="str">
        <f t="array" ref="BB359">_xlfn.IFS(AQ359="","",LEN(AQ359)-LEN(SUBSTITUTE(AQ359,".",""))=3,LEFT(AQ359,vitri(".",AQ359,3)-1),LEN(AQ359)-LEN(SUBSTITUTE(AQ359,".",""))=2,LEFT(AQ359,vitri(".",AQ359,2)-1),TRUE,LEFT(AQ359,vitri(".",AQ359,1)-1))</f>
        <v/>
      </c>
    </row>
    <row r="360" spans="13:54" x14ac:dyDescent="0.25">
      <c r="M360" s="377"/>
      <c r="BB360" s="83" t="str">
        <f t="array" ref="BB360">_xlfn.IFS(AQ360="","",LEN(AQ360)-LEN(SUBSTITUTE(AQ360,".",""))=3,LEFT(AQ360,vitri(".",AQ360,3)-1),LEN(AQ360)-LEN(SUBSTITUTE(AQ360,".",""))=2,LEFT(AQ360,vitri(".",AQ360,2)-1),TRUE,LEFT(AQ360,vitri(".",AQ360,1)-1))</f>
        <v/>
      </c>
    </row>
    <row r="361" spans="13:54" x14ac:dyDescent="0.25">
      <c r="M361" s="377"/>
      <c r="BB361" s="83" t="str">
        <f t="array" ref="BB361">_xlfn.IFS(AQ361="","",LEN(AQ361)-LEN(SUBSTITUTE(AQ361,".",""))=3,LEFT(AQ361,vitri(".",AQ361,3)-1),LEN(AQ361)-LEN(SUBSTITUTE(AQ361,".",""))=2,LEFT(AQ361,vitri(".",AQ361,2)-1),TRUE,LEFT(AQ361,vitri(".",AQ361,1)-1))</f>
        <v/>
      </c>
    </row>
    <row r="362" spans="13:54" x14ac:dyDescent="0.25">
      <c r="M362" s="377"/>
      <c r="BB362" s="83" t="str">
        <f t="array" ref="BB362">_xlfn.IFS(AQ362="","",LEN(AQ362)-LEN(SUBSTITUTE(AQ362,".",""))=3,LEFT(AQ362,vitri(".",AQ362,3)-1),LEN(AQ362)-LEN(SUBSTITUTE(AQ362,".",""))=2,LEFT(AQ362,vitri(".",AQ362,2)-1),TRUE,LEFT(AQ362,vitri(".",AQ362,1)-1))</f>
        <v/>
      </c>
    </row>
    <row r="363" spans="13:54" x14ac:dyDescent="0.25">
      <c r="M363" s="377"/>
      <c r="BB363" s="83" t="str">
        <f t="array" ref="BB363">_xlfn.IFS(AQ363="","",LEN(AQ363)-LEN(SUBSTITUTE(AQ363,".",""))=3,LEFT(AQ363,vitri(".",AQ363,3)-1),LEN(AQ363)-LEN(SUBSTITUTE(AQ363,".",""))=2,LEFT(AQ363,vitri(".",AQ363,2)-1),TRUE,LEFT(AQ363,vitri(".",AQ363,1)-1))</f>
        <v/>
      </c>
    </row>
    <row r="364" spans="13:54" x14ac:dyDescent="0.25">
      <c r="M364" s="377"/>
      <c r="BB364" s="83" t="str">
        <f t="array" ref="BB364">_xlfn.IFS(AQ364="","",LEN(AQ364)-LEN(SUBSTITUTE(AQ364,".",""))=3,LEFT(AQ364,vitri(".",AQ364,3)-1),LEN(AQ364)-LEN(SUBSTITUTE(AQ364,".",""))=2,LEFT(AQ364,vitri(".",AQ364,2)-1),TRUE,LEFT(AQ364,vitri(".",AQ364,1)-1))</f>
        <v/>
      </c>
    </row>
    <row r="365" spans="13:54" x14ac:dyDescent="0.25">
      <c r="M365" s="377"/>
      <c r="BB365" s="83" t="str">
        <f t="array" ref="BB365">_xlfn.IFS(AQ365="","",LEN(AQ365)-LEN(SUBSTITUTE(AQ365,".",""))=3,LEFT(AQ365,vitri(".",AQ365,3)-1),LEN(AQ365)-LEN(SUBSTITUTE(AQ365,".",""))=2,LEFT(AQ365,vitri(".",AQ365,2)-1),TRUE,LEFT(AQ365,vitri(".",AQ365,1)-1))</f>
        <v/>
      </c>
    </row>
    <row r="366" spans="13:54" x14ac:dyDescent="0.25">
      <c r="M366" s="377"/>
      <c r="BB366" s="83" t="str">
        <f t="array" ref="BB366">_xlfn.IFS(AQ366="","",LEN(AQ366)-LEN(SUBSTITUTE(AQ366,".",""))=3,LEFT(AQ366,vitri(".",AQ366,3)-1),LEN(AQ366)-LEN(SUBSTITUTE(AQ366,".",""))=2,LEFT(AQ366,vitri(".",AQ366,2)-1),TRUE,LEFT(AQ366,vitri(".",AQ366,1)-1))</f>
        <v/>
      </c>
    </row>
    <row r="367" spans="13:54" x14ac:dyDescent="0.25">
      <c r="M367" s="377"/>
      <c r="BB367" s="83" t="str">
        <f t="array" ref="BB367">_xlfn.IFS(AQ367="","",LEN(AQ367)-LEN(SUBSTITUTE(AQ367,".",""))=3,LEFT(AQ367,vitri(".",AQ367,3)-1),LEN(AQ367)-LEN(SUBSTITUTE(AQ367,".",""))=2,LEFT(AQ367,vitri(".",AQ367,2)-1),TRUE,LEFT(AQ367,vitri(".",AQ367,1)-1))</f>
        <v/>
      </c>
    </row>
    <row r="368" spans="13:54" x14ac:dyDescent="0.25">
      <c r="M368" s="377"/>
      <c r="BB368" s="83" t="str">
        <f t="array" ref="BB368">_xlfn.IFS(AQ368="","",LEN(AQ368)-LEN(SUBSTITUTE(AQ368,".",""))=3,LEFT(AQ368,vitri(".",AQ368,3)-1),LEN(AQ368)-LEN(SUBSTITUTE(AQ368,".",""))=2,LEFT(AQ368,vitri(".",AQ368,2)-1),TRUE,LEFT(AQ368,vitri(".",AQ368,1)-1))</f>
        <v/>
      </c>
    </row>
    <row r="369" spans="13:54" x14ac:dyDescent="0.25">
      <c r="M369" s="377"/>
      <c r="BB369" s="83" t="str">
        <f t="array" ref="BB369">_xlfn.IFS(AQ369="","",LEN(AQ369)-LEN(SUBSTITUTE(AQ369,".",""))=3,LEFT(AQ369,vitri(".",AQ369,3)-1),LEN(AQ369)-LEN(SUBSTITUTE(AQ369,".",""))=2,LEFT(AQ369,vitri(".",AQ369,2)-1),TRUE,LEFT(AQ369,vitri(".",AQ369,1)-1))</f>
        <v/>
      </c>
    </row>
    <row r="370" spans="13:54" x14ac:dyDescent="0.25">
      <c r="M370" s="377"/>
      <c r="BB370" s="83" t="str">
        <f t="array" ref="BB370">_xlfn.IFS(AQ370="","",LEN(AQ370)-LEN(SUBSTITUTE(AQ370,".",""))=3,LEFT(AQ370,vitri(".",AQ370,3)-1),LEN(AQ370)-LEN(SUBSTITUTE(AQ370,".",""))=2,LEFT(AQ370,vitri(".",AQ370,2)-1),TRUE,LEFT(AQ370,vitri(".",AQ370,1)-1))</f>
        <v/>
      </c>
    </row>
    <row r="371" spans="13:54" x14ac:dyDescent="0.25">
      <c r="M371" s="377"/>
      <c r="BB371" s="83" t="str">
        <f t="array" ref="BB371">_xlfn.IFS(AQ371="","",LEN(AQ371)-LEN(SUBSTITUTE(AQ371,".",""))=3,LEFT(AQ371,vitri(".",AQ371,3)-1),LEN(AQ371)-LEN(SUBSTITUTE(AQ371,".",""))=2,LEFT(AQ371,vitri(".",AQ371,2)-1),TRUE,LEFT(AQ371,vitri(".",AQ371,1)-1))</f>
        <v/>
      </c>
    </row>
    <row r="372" spans="13:54" x14ac:dyDescent="0.25">
      <c r="M372" s="377"/>
      <c r="BB372" s="83" t="str">
        <f t="array" ref="BB372">_xlfn.IFS(AQ372="","",LEN(AQ372)-LEN(SUBSTITUTE(AQ372,".",""))=3,LEFT(AQ372,vitri(".",AQ372,3)-1),LEN(AQ372)-LEN(SUBSTITUTE(AQ372,".",""))=2,LEFT(AQ372,vitri(".",AQ372,2)-1),TRUE,LEFT(AQ372,vitri(".",AQ372,1)-1))</f>
        <v/>
      </c>
    </row>
    <row r="373" spans="13:54" x14ac:dyDescent="0.25">
      <c r="M373" s="377"/>
      <c r="BB373" s="83" t="str">
        <f t="array" ref="BB373">_xlfn.IFS(AQ373="","",LEN(AQ373)-LEN(SUBSTITUTE(AQ373,".",""))=3,LEFT(AQ373,vitri(".",AQ373,3)-1),LEN(AQ373)-LEN(SUBSTITUTE(AQ373,".",""))=2,LEFT(AQ373,vitri(".",AQ373,2)-1),TRUE,LEFT(AQ373,vitri(".",AQ373,1)-1))</f>
        <v/>
      </c>
    </row>
    <row r="374" spans="13:54" x14ac:dyDescent="0.25">
      <c r="M374" s="377"/>
      <c r="BB374" s="83" t="str">
        <f t="array" ref="BB374">_xlfn.IFS(AQ374="","",LEN(AQ374)-LEN(SUBSTITUTE(AQ374,".",""))=3,LEFT(AQ374,vitri(".",AQ374,3)-1),LEN(AQ374)-LEN(SUBSTITUTE(AQ374,".",""))=2,LEFT(AQ374,vitri(".",AQ374,2)-1),TRUE,LEFT(AQ374,vitri(".",AQ374,1)-1))</f>
        <v/>
      </c>
    </row>
    <row r="375" spans="13:54" x14ac:dyDescent="0.25">
      <c r="M375" s="377"/>
      <c r="BB375" s="83" t="str">
        <f t="array" ref="BB375">_xlfn.IFS(AQ375="","",LEN(AQ375)-LEN(SUBSTITUTE(AQ375,".",""))=3,LEFT(AQ375,vitri(".",AQ375,3)-1),LEN(AQ375)-LEN(SUBSTITUTE(AQ375,".",""))=2,LEFT(AQ375,vitri(".",AQ375,2)-1),TRUE,LEFT(AQ375,vitri(".",AQ375,1)-1))</f>
        <v/>
      </c>
    </row>
    <row r="376" spans="13:54" x14ac:dyDescent="0.25">
      <c r="M376" s="377"/>
      <c r="BB376" s="83" t="str">
        <f t="array" ref="BB376">_xlfn.IFS(AQ376="","",LEN(AQ376)-LEN(SUBSTITUTE(AQ376,".",""))=3,LEFT(AQ376,vitri(".",AQ376,3)-1),LEN(AQ376)-LEN(SUBSTITUTE(AQ376,".",""))=2,LEFT(AQ376,vitri(".",AQ376,2)-1),TRUE,LEFT(AQ376,vitri(".",AQ376,1)-1))</f>
        <v/>
      </c>
    </row>
    <row r="377" spans="13:54" x14ac:dyDescent="0.25">
      <c r="M377" s="377"/>
      <c r="BB377" s="83" t="str">
        <f t="array" ref="BB377">_xlfn.IFS(AQ377="","",LEN(AQ377)-LEN(SUBSTITUTE(AQ377,".",""))=3,LEFT(AQ377,vitri(".",AQ377,3)-1),LEN(AQ377)-LEN(SUBSTITUTE(AQ377,".",""))=2,LEFT(AQ377,vitri(".",AQ377,2)-1),TRUE,LEFT(AQ377,vitri(".",AQ377,1)-1))</f>
        <v/>
      </c>
    </row>
    <row r="378" spans="13:54" x14ac:dyDescent="0.25">
      <c r="M378" s="377"/>
      <c r="BB378" s="83" t="str">
        <f t="array" ref="BB378">_xlfn.IFS(AQ378="","",LEN(AQ378)-LEN(SUBSTITUTE(AQ378,".",""))=3,LEFT(AQ378,vitri(".",AQ378,3)-1),LEN(AQ378)-LEN(SUBSTITUTE(AQ378,".",""))=2,LEFT(AQ378,vitri(".",AQ378,2)-1),TRUE,LEFT(AQ378,vitri(".",AQ378,1)-1))</f>
        <v/>
      </c>
    </row>
    <row r="379" spans="13:54" x14ac:dyDescent="0.25">
      <c r="M379" s="377"/>
      <c r="BB379" s="83" t="str">
        <f t="array" ref="BB379">_xlfn.IFS(AQ379="","",LEN(AQ379)-LEN(SUBSTITUTE(AQ379,".",""))=3,LEFT(AQ379,vitri(".",AQ379,3)-1),LEN(AQ379)-LEN(SUBSTITUTE(AQ379,".",""))=2,LEFT(AQ379,vitri(".",AQ379,2)-1),TRUE,LEFT(AQ379,vitri(".",AQ379,1)-1))</f>
        <v/>
      </c>
    </row>
    <row r="380" spans="13:54" x14ac:dyDescent="0.25">
      <c r="M380" s="377"/>
      <c r="BB380" s="83" t="str">
        <f t="array" ref="BB380">_xlfn.IFS(AQ380="","",LEN(AQ380)-LEN(SUBSTITUTE(AQ380,".",""))=3,LEFT(AQ380,vitri(".",AQ380,3)-1),LEN(AQ380)-LEN(SUBSTITUTE(AQ380,".",""))=2,LEFT(AQ380,vitri(".",AQ380,2)-1),TRUE,LEFT(AQ380,vitri(".",AQ380,1)-1))</f>
        <v/>
      </c>
    </row>
    <row r="381" spans="13:54" x14ac:dyDescent="0.25">
      <c r="M381" s="377"/>
      <c r="BB381" s="83" t="str">
        <f t="array" ref="BB381">_xlfn.IFS(AQ381="","",LEN(AQ381)-LEN(SUBSTITUTE(AQ381,".",""))=3,LEFT(AQ381,vitri(".",AQ381,3)-1),LEN(AQ381)-LEN(SUBSTITUTE(AQ381,".",""))=2,LEFT(AQ381,vitri(".",AQ381,2)-1),TRUE,LEFT(AQ381,vitri(".",AQ381,1)-1))</f>
        <v/>
      </c>
    </row>
    <row r="382" spans="13:54" x14ac:dyDescent="0.25">
      <c r="M382" s="377"/>
      <c r="BB382" s="83" t="str">
        <f t="array" ref="BB382">_xlfn.IFS(AQ382="","",LEN(AQ382)-LEN(SUBSTITUTE(AQ382,".",""))=3,LEFT(AQ382,vitri(".",AQ382,3)-1),LEN(AQ382)-LEN(SUBSTITUTE(AQ382,".",""))=2,LEFT(AQ382,vitri(".",AQ382,2)-1),TRUE,LEFT(AQ382,vitri(".",AQ382,1)-1))</f>
        <v/>
      </c>
    </row>
    <row r="383" spans="13:54" x14ac:dyDescent="0.25">
      <c r="M383" s="377"/>
      <c r="BB383" s="83" t="str">
        <f t="array" ref="BB383">_xlfn.IFS(AQ383="","",LEN(AQ383)-LEN(SUBSTITUTE(AQ383,".",""))=3,LEFT(AQ383,vitri(".",AQ383,3)-1),LEN(AQ383)-LEN(SUBSTITUTE(AQ383,".",""))=2,LEFT(AQ383,vitri(".",AQ383,2)-1),TRUE,LEFT(AQ383,vitri(".",AQ383,1)-1))</f>
        <v/>
      </c>
    </row>
    <row r="384" spans="13:54" x14ac:dyDescent="0.25">
      <c r="M384" s="377"/>
      <c r="BB384" s="83" t="str">
        <f t="array" ref="BB384">_xlfn.IFS(AQ384="","",LEN(AQ384)-LEN(SUBSTITUTE(AQ384,".",""))=3,LEFT(AQ384,vitri(".",AQ384,3)-1),LEN(AQ384)-LEN(SUBSTITUTE(AQ384,".",""))=2,LEFT(AQ384,vitri(".",AQ384,2)-1),TRUE,LEFT(AQ384,vitri(".",AQ384,1)-1))</f>
        <v/>
      </c>
    </row>
    <row r="385" spans="13:54" x14ac:dyDescent="0.25">
      <c r="M385" s="377"/>
      <c r="BB385" s="83" t="str">
        <f t="array" ref="BB385">_xlfn.IFS(AQ385="","",LEN(AQ385)-LEN(SUBSTITUTE(AQ385,".",""))=3,LEFT(AQ385,vitri(".",AQ385,3)-1),LEN(AQ385)-LEN(SUBSTITUTE(AQ385,".",""))=2,LEFT(AQ385,vitri(".",AQ385,2)-1),TRUE,LEFT(AQ385,vitri(".",AQ385,1)-1))</f>
        <v/>
      </c>
    </row>
    <row r="386" spans="13:54" x14ac:dyDescent="0.25">
      <c r="M386" s="377"/>
      <c r="BB386" s="83" t="str">
        <f t="array" ref="BB386">_xlfn.IFS(AQ386="","",LEN(AQ386)-LEN(SUBSTITUTE(AQ386,".",""))=3,LEFT(AQ386,vitri(".",AQ386,3)-1),LEN(AQ386)-LEN(SUBSTITUTE(AQ386,".",""))=2,LEFT(AQ386,vitri(".",AQ386,2)-1),TRUE,LEFT(AQ386,vitri(".",AQ386,1)-1))</f>
        <v/>
      </c>
    </row>
    <row r="387" spans="13:54" x14ac:dyDescent="0.25">
      <c r="M387" s="377"/>
      <c r="BB387" s="83" t="str">
        <f t="array" ref="BB387">_xlfn.IFS(AQ387="","",LEN(AQ387)-LEN(SUBSTITUTE(AQ387,".",""))=3,LEFT(AQ387,vitri(".",AQ387,3)-1),LEN(AQ387)-LEN(SUBSTITUTE(AQ387,".",""))=2,LEFT(AQ387,vitri(".",AQ387,2)-1),TRUE,LEFT(AQ387,vitri(".",AQ387,1)-1))</f>
        <v/>
      </c>
    </row>
    <row r="388" spans="13:54" x14ac:dyDescent="0.25">
      <c r="M388" s="377"/>
      <c r="BB388" s="83" t="str">
        <f t="array" ref="BB388">_xlfn.IFS(AQ388="","",LEN(AQ388)-LEN(SUBSTITUTE(AQ388,".",""))=3,LEFT(AQ388,vitri(".",AQ388,3)-1),LEN(AQ388)-LEN(SUBSTITUTE(AQ388,".",""))=2,LEFT(AQ388,vitri(".",AQ388,2)-1),TRUE,LEFT(AQ388,vitri(".",AQ388,1)-1))</f>
        <v/>
      </c>
    </row>
    <row r="389" spans="13:54" x14ac:dyDescent="0.25">
      <c r="M389" s="377"/>
      <c r="BB389" s="83" t="str">
        <f t="array" ref="BB389">_xlfn.IFS(AQ389="","",LEN(AQ389)-LEN(SUBSTITUTE(AQ389,".",""))=3,LEFT(AQ389,vitri(".",AQ389,3)-1),LEN(AQ389)-LEN(SUBSTITUTE(AQ389,".",""))=2,LEFT(AQ389,vitri(".",AQ389,2)-1),TRUE,LEFT(AQ389,vitri(".",AQ389,1)-1))</f>
        <v/>
      </c>
    </row>
    <row r="390" spans="13:54" x14ac:dyDescent="0.25">
      <c r="M390" s="377"/>
      <c r="BB390" s="83" t="str">
        <f t="array" ref="BB390">_xlfn.IFS(AQ390="","",LEN(AQ390)-LEN(SUBSTITUTE(AQ390,".",""))=3,LEFT(AQ390,vitri(".",AQ390,3)-1),LEN(AQ390)-LEN(SUBSTITUTE(AQ390,".",""))=2,LEFT(AQ390,vitri(".",AQ390,2)-1),TRUE,LEFT(AQ390,vitri(".",AQ390,1)-1))</f>
        <v/>
      </c>
    </row>
    <row r="391" spans="13:54" x14ac:dyDescent="0.25">
      <c r="M391" s="377"/>
      <c r="BB391" s="83" t="str">
        <f t="array" ref="BB391">_xlfn.IFS(AQ391="","",LEN(AQ391)-LEN(SUBSTITUTE(AQ391,".",""))=3,LEFT(AQ391,vitri(".",AQ391,3)-1),LEN(AQ391)-LEN(SUBSTITUTE(AQ391,".",""))=2,LEFT(AQ391,vitri(".",AQ391,2)-1),TRUE,LEFT(AQ391,vitri(".",AQ391,1)-1))</f>
        <v/>
      </c>
    </row>
    <row r="392" spans="13:54" x14ac:dyDescent="0.25">
      <c r="M392" s="377"/>
      <c r="BB392" s="83" t="str">
        <f t="array" ref="BB392">_xlfn.IFS(AQ392="","",LEN(AQ392)-LEN(SUBSTITUTE(AQ392,".",""))=3,LEFT(AQ392,vitri(".",AQ392,3)-1),LEN(AQ392)-LEN(SUBSTITUTE(AQ392,".",""))=2,LEFT(AQ392,vitri(".",AQ392,2)-1),TRUE,LEFT(AQ392,vitri(".",AQ392,1)-1))</f>
        <v/>
      </c>
    </row>
    <row r="393" spans="13:54" x14ac:dyDescent="0.25">
      <c r="M393" s="377"/>
      <c r="BB393" s="83" t="str">
        <f t="array" ref="BB393">_xlfn.IFS(AQ393="","",LEN(AQ393)-LEN(SUBSTITUTE(AQ393,".",""))=3,LEFT(AQ393,vitri(".",AQ393,3)-1),LEN(AQ393)-LEN(SUBSTITUTE(AQ393,".",""))=2,LEFT(AQ393,vitri(".",AQ393,2)-1),TRUE,LEFT(AQ393,vitri(".",AQ393,1)-1))</f>
        <v/>
      </c>
    </row>
    <row r="394" spans="13:54" x14ac:dyDescent="0.25">
      <c r="M394" s="377"/>
      <c r="BB394" s="83" t="str">
        <f t="array" ref="BB394">_xlfn.IFS(AQ394="","",LEN(AQ394)-LEN(SUBSTITUTE(AQ394,".",""))=3,LEFT(AQ394,vitri(".",AQ394,3)-1),LEN(AQ394)-LEN(SUBSTITUTE(AQ394,".",""))=2,LEFT(AQ394,vitri(".",AQ394,2)-1),TRUE,LEFT(AQ394,vitri(".",AQ394,1)-1))</f>
        <v/>
      </c>
    </row>
    <row r="395" spans="13:54" x14ac:dyDescent="0.25">
      <c r="M395" s="377"/>
      <c r="BB395" s="83" t="str">
        <f t="array" ref="BB395">_xlfn.IFS(AQ395="","",LEN(AQ395)-LEN(SUBSTITUTE(AQ395,".",""))=3,LEFT(AQ395,vitri(".",AQ395,3)-1),LEN(AQ395)-LEN(SUBSTITUTE(AQ395,".",""))=2,LEFT(AQ395,vitri(".",AQ395,2)-1),TRUE,LEFT(AQ395,vitri(".",AQ395,1)-1))</f>
        <v/>
      </c>
    </row>
    <row r="396" spans="13:54" x14ac:dyDescent="0.25">
      <c r="M396" s="377"/>
      <c r="BB396" s="83" t="str">
        <f t="array" ref="BB396">_xlfn.IFS(AQ396="","",LEN(AQ396)-LEN(SUBSTITUTE(AQ396,".",""))=3,LEFT(AQ396,vitri(".",AQ396,3)-1),LEN(AQ396)-LEN(SUBSTITUTE(AQ396,".",""))=2,LEFT(AQ396,vitri(".",AQ396,2)-1),TRUE,LEFT(AQ396,vitri(".",AQ396,1)-1))</f>
        <v/>
      </c>
    </row>
    <row r="397" spans="13:54" x14ac:dyDescent="0.25">
      <c r="M397" s="377"/>
      <c r="BB397" s="83" t="str">
        <f t="array" ref="BB397">_xlfn.IFS(AQ397="","",LEN(AQ397)-LEN(SUBSTITUTE(AQ397,".",""))=3,LEFT(AQ397,vitri(".",AQ397,3)-1),LEN(AQ397)-LEN(SUBSTITUTE(AQ397,".",""))=2,LEFT(AQ397,vitri(".",AQ397,2)-1),TRUE,LEFT(AQ397,vitri(".",AQ397,1)-1))</f>
        <v/>
      </c>
    </row>
    <row r="398" spans="13:54" x14ac:dyDescent="0.25">
      <c r="M398" s="377"/>
      <c r="BB398" s="83" t="str">
        <f t="array" ref="BB398">_xlfn.IFS(AQ398="","",LEN(AQ398)-LEN(SUBSTITUTE(AQ398,".",""))=3,LEFT(AQ398,vitri(".",AQ398,3)-1),LEN(AQ398)-LEN(SUBSTITUTE(AQ398,".",""))=2,LEFT(AQ398,vitri(".",AQ398,2)-1),TRUE,LEFT(AQ398,vitri(".",AQ398,1)-1))</f>
        <v/>
      </c>
    </row>
    <row r="399" spans="13:54" x14ac:dyDescent="0.25">
      <c r="M399" s="377"/>
      <c r="BB399" s="83" t="str">
        <f t="array" ref="BB399">_xlfn.IFS(AQ399="","",LEN(AQ399)-LEN(SUBSTITUTE(AQ399,".",""))=3,LEFT(AQ399,vitri(".",AQ399,3)-1),LEN(AQ399)-LEN(SUBSTITUTE(AQ399,".",""))=2,LEFT(AQ399,vitri(".",AQ399,2)-1),TRUE,LEFT(AQ399,vitri(".",AQ399,1)-1))</f>
        <v/>
      </c>
    </row>
    <row r="400" spans="13:54" x14ac:dyDescent="0.25">
      <c r="M400" s="377"/>
      <c r="BB400" s="83" t="str">
        <f t="array" ref="BB400">_xlfn.IFS(AQ400="","",LEN(AQ400)-LEN(SUBSTITUTE(AQ400,".",""))=3,LEFT(AQ400,vitri(".",AQ400,3)-1),LEN(AQ400)-LEN(SUBSTITUTE(AQ400,".",""))=2,LEFT(AQ400,vitri(".",AQ400,2)-1),TRUE,LEFT(AQ400,vitri(".",AQ400,1)-1))</f>
        <v/>
      </c>
    </row>
    <row r="401" spans="13:54" x14ac:dyDescent="0.25">
      <c r="M401" s="377"/>
      <c r="BB401" s="83" t="str">
        <f t="array" ref="BB401">_xlfn.IFS(AQ401="","",LEN(AQ401)-LEN(SUBSTITUTE(AQ401,".",""))=3,LEFT(AQ401,vitri(".",AQ401,3)-1),LEN(AQ401)-LEN(SUBSTITUTE(AQ401,".",""))=2,LEFT(AQ401,vitri(".",AQ401,2)-1),TRUE,LEFT(AQ401,vitri(".",AQ401,1)-1))</f>
        <v/>
      </c>
    </row>
    <row r="402" spans="13:54" x14ac:dyDescent="0.25">
      <c r="M402" s="377"/>
      <c r="BB402" s="83" t="str">
        <f t="array" ref="BB402">_xlfn.IFS(AQ402="","",LEN(AQ402)-LEN(SUBSTITUTE(AQ402,".",""))=3,LEFT(AQ402,vitri(".",AQ402,3)-1),LEN(AQ402)-LEN(SUBSTITUTE(AQ402,".",""))=2,LEFT(AQ402,vitri(".",AQ402,2)-1),TRUE,LEFT(AQ402,vitri(".",AQ402,1)-1))</f>
        <v/>
      </c>
    </row>
    <row r="403" spans="13:54" x14ac:dyDescent="0.25">
      <c r="M403" s="377"/>
      <c r="BB403" s="83" t="str">
        <f t="array" ref="BB403">_xlfn.IFS(AQ403="","",LEN(AQ403)-LEN(SUBSTITUTE(AQ403,".",""))=3,LEFT(AQ403,vitri(".",AQ403,3)-1),LEN(AQ403)-LEN(SUBSTITUTE(AQ403,".",""))=2,LEFT(AQ403,vitri(".",AQ403,2)-1),TRUE,LEFT(AQ403,vitri(".",AQ403,1)-1))</f>
        <v/>
      </c>
    </row>
    <row r="404" spans="13:54" x14ac:dyDescent="0.25">
      <c r="M404" s="377"/>
      <c r="BB404" s="83" t="str">
        <f t="array" ref="BB404">_xlfn.IFS(AQ404="","",LEN(AQ404)-LEN(SUBSTITUTE(AQ404,".",""))=3,LEFT(AQ404,vitri(".",AQ404,3)-1),LEN(AQ404)-LEN(SUBSTITUTE(AQ404,".",""))=2,LEFT(AQ404,vitri(".",AQ404,2)-1),TRUE,LEFT(AQ404,vitri(".",AQ404,1)-1))</f>
        <v/>
      </c>
    </row>
    <row r="405" spans="13:54" x14ac:dyDescent="0.25">
      <c r="M405" s="377"/>
      <c r="BB405" s="83" t="str">
        <f t="array" ref="BB405">_xlfn.IFS(AQ405="","",LEN(AQ405)-LEN(SUBSTITUTE(AQ405,".",""))=3,LEFT(AQ405,vitri(".",AQ405,3)-1),LEN(AQ405)-LEN(SUBSTITUTE(AQ405,".",""))=2,LEFT(AQ405,vitri(".",AQ405,2)-1),TRUE,LEFT(AQ405,vitri(".",AQ405,1)-1))</f>
        <v/>
      </c>
    </row>
    <row r="406" spans="13:54" x14ac:dyDescent="0.25">
      <c r="M406" s="377"/>
      <c r="BB406" s="83" t="str">
        <f t="array" ref="BB406">_xlfn.IFS(AQ406="","",LEN(AQ406)-LEN(SUBSTITUTE(AQ406,".",""))=3,LEFT(AQ406,vitri(".",AQ406,3)-1),LEN(AQ406)-LEN(SUBSTITUTE(AQ406,".",""))=2,LEFT(AQ406,vitri(".",AQ406,2)-1),TRUE,LEFT(AQ406,vitri(".",AQ406,1)-1))</f>
        <v/>
      </c>
    </row>
    <row r="407" spans="13:54" x14ac:dyDescent="0.25">
      <c r="M407" s="377"/>
      <c r="BB407" s="83" t="str">
        <f t="array" ref="BB407">_xlfn.IFS(AQ407="","",LEN(AQ407)-LEN(SUBSTITUTE(AQ407,".",""))=3,LEFT(AQ407,vitri(".",AQ407,3)-1),LEN(AQ407)-LEN(SUBSTITUTE(AQ407,".",""))=2,LEFT(AQ407,vitri(".",AQ407,2)-1),TRUE,LEFT(AQ407,vitri(".",AQ407,1)-1))</f>
        <v/>
      </c>
    </row>
    <row r="408" spans="13:54" x14ac:dyDescent="0.25">
      <c r="M408" s="377"/>
      <c r="BB408" s="83" t="str">
        <f t="array" ref="BB408">_xlfn.IFS(AQ408="","",LEN(AQ408)-LEN(SUBSTITUTE(AQ408,".",""))=3,LEFT(AQ408,vitri(".",AQ408,3)-1),LEN(AQ408)-LEN(SUBSTITUTE(AQ408,".",""))=2,LEFT(AQ408,vitri(".",AQ408,2)-1),TRUE,LEFT(AQ408,vitri(".",AQ408,1)-1))</f>
        <v/>
      </c>
    </row>
    <row r="409" spans="13:54" x14ac:dyDescent="0.25">
      <c r="M409" s="377"/>
      <c r="BB409" s="83" t="str">
        <f t="array" ref="BB409">_xlfn.IFS(AQ409="","",LEN(AQ409)-LEN(SUBSTITUTE(AQ409,".",""))=3,LEFT(AQ409,vitri(".",AQ409,3)-1),LEN(AQ409)-LEN(SUBSTITUTE(AQ409,".",""))=2,LEFT(AQ409,vitri(".",AQ409,2)-1),TRUE,LEFT(AQ409,vitri(".",AQ409,1)-1))</f>
        <v/>
      </c>
    </row>
    <row r="410" spans="13:54" x14ac:dyDescent="0.25">
      <c r="M410" s="377"/>
      <c r="BB410" s="83" t="str">
        <f t="array" ref="BB410">_xlfn.IFS(AQ410="","",LEN(AQ410)-LEN(SUBSTITUTE(AQ410,".",""))=3,LEFT(AQ410,vitri(".",AQ410,3)-1),LEN(AQ410)-LEN(SUBSTITUTE(AQ410,".",""))=2,LEFT(AQ410,vitri(".",AQ410,2)-1),TRUE,LEFT(AQ410,vitri(".",AQ410,1)-1))</f>
        <v/>
      </c>
    </row>
    <row r="411" spans="13:54" x14ac:dyDescent="0.25">
      <c r="M411" s="377"/>
      <c r="BB411" s="83" t="str">
        <f t="array" ref="BB411">_xlfn.IFS(AQ411="","",LEN(AQ411)-LEN(SUBSTITUTE(AQ411,".",""))=3,LEFT(AQ411,vitri(".",AQ411,3)-1),LEN(AQ411)-LEN(SUBSTITUTE(AQ411,".",""))=2,LEFT(AQ411,vitri(".",AQ411,2)-1),TRUE,LEFT(AQ411,vitri(".",AQ411,1)-1))</f>
        <v/>
      </c>
    </row>
    <row r="412" spans="13:54" x14ac:dyDescent="0.25">
      <c r="M412" s="377"/>
      <c r="BB412" s="83" t="str">
        <f t="array" ref="BB412">_xlfn.IFS(AQ412="","",LEN(AQ412)-LEN(SUBSTITUTE(AQ412,".",""))=3,LEFT(AQ412,vitri(".",AQ412,3)-1),LEN(AQ412)-LEN(SUBSTITUTE(AQ412,".",""))=2,LEFT(AQ412,vitri(".",AQ412,2)-1),TRUE,LEFT(AQ412,vitri(".",AQ412,1)-1))</f>
        <v/>
      </c>
    </row>
    <row r="413" spans="13:54" x14ac:dyDescent="0.25">
      <c r="M413" s="377"/>
      <c r="BB413" s="83" t="str">
        <f t="array" ref="BB413">_xlfn.IFS(AQ413="","",LEN(AQ413)-LEN(SUBSTITUTE(AQ413,".",""))=3,LEFT(AQ413,vitri(".",AQ413,3)-1),LEN(AQ413)-LEN(SUBSTITUTE(AQ413,".",""))=2,LEFT(AQ413,vitri(".",AQ413,2)-1),TRUE,LEFT(AQ413,vitri(".",AQ413,1)-1))</f>
        <v/>
      </c>
    </row>
    <row r="414" spans="13:54" x14ac:dyDescent="0.25">
      <c r="M414" s="377"/>
      <c r="BB414" s="83" t="str">
        <f t="array" ref="BB414">_xlfn.IFS(AQ414="","",LEN(AQ414)-LEN(SUBSTITUTE(AQ414,".",""))=3,LEFT(AQ414,vitri(".",AQ414,3)-1),LEN(AQ414)-LEN(SUBSTITUTE(AQ414,".",""))=2,LEFT(AQ414,vitri(".",AQ414,2)-1),TRUE,LEFT(AQ414,vitri(".",AQ414,1)-1))</f>
        <v/>
      </c>
    </row>
    <row r="415" spans="13:54" x14ac:dyDescent="0.25">
      <c r="M415" s="377"/>
      <c r="BB415" s="83" t="str">
        <f t="array" ref="BB415">_xlfn.IFS(AQ415="","",LEN(AQ415)-LEN(SUBSTITUTE(AQ415,".",""))=3,LEFT(AQ415,vitri(".",AQ415,3)-1),LEN(AQ415)-LEN(SUBSTITUTE(AQ415,".",""))=2,LEFT(AQ415,vitri(".",AQ415,2)-1),TRUE,LEFT(AQ415,vitri(".",AQ415,1)-1))</f>
        <v/>
      </c>
    </row>
    <row r="416" spans="13:54" x14ac:dyDescent="0.25">
      <c r="M416" s="377"/>
      <c r="BB416" s="83" t="str">
        <f t="array" ref="BB416">_xlfn.IFS(AQ416="","",LEN(AQ416)-LEN(SUBSTITUTE(AQ416,".",""))=3,LEFT(AQ416,vitri(".",AQ416,3)-1),LEN(AQ416)-LEN(SUBSTITUTE(AQ416,".",""))=2,LEFT(AQ416,vitri(".",AQ416,2)-1),TRUE,LEFT(AQ416,vitri(".",AQ416,1)-1))</f>
        <v/>
      </c>
    </row>
    <row r="417" spans="13:54" x14ac:dyDescent="0.25">
      <c r="M417" s="377"/>
      <c r="BB417" s="83" t="str">
        <f t="array" ref="BB417">_xlfn.IFS(AQ417="","",LEN(AQ417)-LEN(SUBSTITUTE(AQ417,".",""))=3,LEFT(AQ417,vitri(".",AQ417,3)-1),LEN(AQ417)-LEN(SUBSTITUTE(AQ417,".",""))=2,LEFT(AQ417,vitri(".",AQ417,2)-1),TRUE,LEFT(AQ417,vitri(".",AQ417,1)-1))</f>
        <v/>
      </c>
    </row>
    <row r="418" spans="13:54" x14ac:dyDescent="0.25">
      <c r="M418" s="377"/>
      <c r="BB418" s="83" t="str">
        <f t="array" ref="BB418">_xlfn.IFS(AQ418="","",LEN(AQ418)-LEN(SUBSTITUTE(AQ418,".",""))=3,LEFT(AQ418,vitri(".",AQ418,3)-1),LEN(AQ418)-LEN(SUBSTITUTE(AQ418,".",""))=2,LEFT(AQ418,vitri(".",AQ418,2)-1),TRUE,LEFT(AQ418,vitri(".",AQ418,1)-1))</f>
        <v/>
      </c>
    </row>
    <row r="419" spans="13:54" x14ac:dyDescent="0.25">
      <c r="M419" s="377"/>
      <c r="BB419" s="83" t="str">
        <f t="array" ref="BB419">_xlfn.IFS(AQ419="","",LEN(AQ419)-LEN(SUBSTITUTE(AQ419,".",""))=3,LEFT(AQ419,vitri(".",AQ419,3)-1),LEN(AQ419)-LEN(SUBSTITUTE(AQ419,".",""))=2,LEFT(AQ419,vitri(".",AQ419,2)-1),TRUE,LEFT(AQ419,vitri(".",AQ419,1)-1))</f>
        <v/>
      </c>
    </row>
    <row r="420" spans="13:54" x14ac:dyDescent="0.25">
      <c r="M420" s="377"/>
      <c r="BB420" s="83" t="str">
        <f t="array" ref="BB420">_xlfn.IFS(AQ420="","",LEN(AQ420)-LEN(SUBSTITUTE(AQ420,".",""))=3,LEFT(AQ420,vitri(".",AQ420,3)-1),LEN(AQ420)-LEN(SUBSTITUTE(AQ420,".",""))=2,LEFT(AQ420,vitri(".",AQ420,2)-1),TRUE,LEFT(AQ420,vitri(".",AQ420,1)-1))</f>
        <v/>
      </c>
    </row>
    <row r="421" spans="13:54" x14ac:dyDescent="0.25">
      <c r="M421" s="377"/>
      <c r="BB421" s="83" t="str">
        <f t="array" ref="BB421">_xlfn.IFS(AQ421="","",LEN(AQ421)-LEN(SUBSTITUTE(AQ421,".",""))=3,LEFT(AQ421,vitri(".",AQ421,3)-1),LEN(AQ421)-LEN(SUBSTITUTE(AQ421,".",""))=2,LEFT(AQ421,vitri(".",AQ421,2)-1),TRUE,LEFT(AQ421,vitri(".",AQ421,1)-1))</f>
        <v/>
      </c>
    </row>
    <row r="422" spans="13:54" x14ac:dyDescent="0.25">
      <c r="M422" s="377"/>
      <c r="BB422" s="83" t="str">
        <f t="array" ref="BB422">_xlfn.IFS(AQ422="","",LEN(AQ422)-LEN(SUBSTITUTE(AQ422,".",""))=3,LEFT(AQ422,vitri(".",AQ422,3)-1),LEN(AQ422)-LEN(SUBSTITUTE(AQ422,".",""))=2,LEFT(AQ422,vitri(".",AQ422,2)-1),TRUE,LEFT(AQ422,vitri(".",AQ422,1)-1))</f>
        <v/>
      </c>
    </row>
    <row r="423" spans="13:54" x14ac:dyDescent="0.25">
      <c r="M423" s="377"/>
      <c r="BB423" s="83" t="str">
        <f t="array" ref="BB423">_xlfn.IFS(AQ423="","",LEN(AQ423)-LEN(SUBSTITUTE(AQ423,".",""))=3,LEFT(AQ423,vitri(".",AQ423,3)-1),LEN(AQ423)-LEN(SUBSTITUTE(AQ423,".",""))=2,LEFT(AQ423,vitri(".",AQ423,2)-1),TRUE,LEFT(AQ423,vitri(".",AQ423,1)-1))</f>
        <v/>
      </c>
    </row>
    <row r="424" spans="13:54" x14ac:dyDescent="0.25">
      <c r="M424" s="377"/>
      <c r="BB424" s="83" t="str">
        <f t="array" ref="BB424">_xlfn.IFS(AQ424="","",LEN(AQ424)-LEN(SUBSTITUTE(AQ424,".",""))=3,LEFT(AQ424,vitri(".",AQ424,3)-1),LEN(AQ424)-LEN(SUBSTITUTE(AQ424,".",""))=2,LEFT(AQ424,vitri(".",AQ424,2)-1),TRUE,LEFT(AQ424,vitri(".",AQ424,1)-1))</f>
        <v/>
      </c>
    </row>
    <row r="425" spans="13:54" x14ac:dyDescent="0.25">
      <c r="M425" s="377"/>
      <c r="BB425" s="83" t="str">
        <f t="array" ref="BB425">_xlfn.IFS(AQ425="","",LEN(AQ425)-LEN(SUBSTITUTE(AQ425,".",""))=3,LEFT(AQ425,vitri(".",AQ425,3)-1),LEN(AQ425)-LEN(SUBSTITUTE(AQ425,".",""))=2,LEFT(AQ425,vitri(".",AQ425,2)-1),TRUE,LEFT(AQ425,vitri(".",AQ425,1)-1))</f>
        <v/>
      </c>
    </row>
    <row r="426" spans="13:54" x14ac:dyDescent="0.25">
      <c r="M426" s="377"/>
      <c r="BB426" s="83" t="str">
        <f t="array" ref="BB426">_xlfn.IFS(AQ426="","",LEN(AQ426)-LEN(SUBSTITUTE(AQ426,".",""))=3,LEFT(AQ426,vitri(".",AQ426,3)-1),LEN(AQ426)-LEN(SUBSTITUTE(AQ426,".",""))=2,LEFT(AQ426,vitri(".",AQ426,2)-1),TRUE,LEFT(AQ426,vitri(".",AQ426,1)-1))</f>
        <v/>
      </c>
    </row>
    <row r="427" spans="13:54" x14ac:dyDescent="0.25">
      <c r="M427" s="377"/>
      <c r="BB427" s="83" t="str">
        <f t="array" ref="BB427">_xlfn.IFS(AQ427="","",LEN(AQ427)-LEN(SUBSTITUTE(AQ427,".",""))=3,LEFT(AQ427,vitri(".",AQ427,3)-1),LEN(AQ427)-LEN(SUBSTITUTE(AQ427,".",""))=2,LEFT(AQ427,vitri(".",AQ427,2)-1),TRUE,LEFT(AQ427,vitri(".",AQ427,1)-1))</f>
        <v/>
      </c>
    </row>
    <row r="428" spans="13:54" x14ac:dyDescent="0.25">
      <c r="M428" s="377"/>
      <c r="BB428" s="83" t="str">
        <f t="array" ref="BB428">_xlfn.IFS(AQ428="","",LEN(AQ428)-LEN(SUBSTITUTE(AQ428,".",""))=3,LEFT(AQ428,vitri(".",AQ428,3)-1),LEN(AQ428)-LEN(SUBSTITUTE(AQ428,".",""))=2,LEFT(AQ428,vitri(".",AQ428,2)-1),TRUE,LEFT(AQ428,vitri(".",AQ428,1)-1))</f>
        <v/>
      </c>
    </row>
    <row r="429" spans="13:54" x14ac:dyDescent="0.25">
      <c r="M429" s="377"/>
      <c r="BB429" s="83" t="str">
        <f t="array" ref="BB429">_xlfn.IFS(AQ429="","",LEN(AQ429)-LEN(SUBSTITUTE(AQ429,".",""))=3,LEFT(AQ429,vitri(".",AQ429,3)-1),LEN(AQ429)-LEN(SUBSTITUTE(AQ429,".",""))=2,LEFT(AQ429,vitri(".",AQ429,2)-1),TRUE,LEFT(AQ429,vitri(".",AQ429,1)-1))</f>
        <v/>
      </c>
    </row>
    <row r="430" spans="13:54" x14ac:dyDescent="0.25">
      <c r="M430" s="377"/>
      <c r="BB430" s="83" t="str">
        <f t="array" ref="BB430">_xlfn.IFS(AQ430="","",LEN(AQ430)-LEN(SUBSTITUTE(AQ430,".",""))=3,LEFT(AQ430,vitri(".",AQ430,3)-1),LEN(AQ430)-LEN(SUBSTITUTE(AQ430,".",""))=2,LEFT(AQ430,vitri(".",AQ430,2)-1),TRUE,LEFT(AQ430,vitri(".",AQ430,1)-1))</f>
        <v/>
      </c>
    </row>
    <row r="431" spans="13:54" x14ac:dyDescent="0.25">
      <c r="M431" s="377"/>
      <c r="BB431" s="83" t="str">
        <f t="array" ref="BB431">_xlfn.IFS(AQ431="","",LEN(AQ431)-LEN(SUBSTITUTE(AQ431,".",""))=3,LEFT(AQ431,vitri(".",AQ431,3)-1),LEN(AQ431)-LEN(SUBSTITUTE(AQ431,".",""))=2,LEFT(AQ431,vitri(".",AQ431,2)-1),TRUE,LEFT(AQ431,vitri(".",AQ431,1)-1))</f>
        <v/>
      </c>
    </row>
    <row r="432" spans="13:54" x14ac:dyDescent="0.25">
      <c r="M432" s="377"/>
      <c r="BB432" s="83" t="str">
        <f t="array" ref="BB432">_xlfn.IFS(AQ432="","",LEN(AQ432)-LEN(SUBSTITUTE(AQ432,".",""))=3,LEFT(AQ432,vitri(".",AQ432,3)-1),LEN(AQ432)-LEN(SUBSTITUTE(AQ432,".",""))=2,LEFT(AQ432,vitri(".",AQ432,2)-1),TRUE,LEFT(AQ432,vitri(".",AQ432,1)-1))</f>
        <v/>
      </c>
    </row>
    <row r="433" spans="13:54" x14ac:dyDescent="0.25">
      <c r="M433" s="377"/>
      <c r="BB433" s="83" t="str">
        <f t="array" ref="BB433">_xlfn.IFS(AQ433="","",LEN(AQ433)-LEN(SUBSTITUTE(AQ433,".",""))=3,LEFT(AQ433,vitri(".",AQ433,3)-1),LEN(AQ433)-LEN(SUBSTITUTE(AQ433,".",""))=2,LEFT(AQ433,vitri(".",AQ433,2)-1),TRUE,LEFT(AQ433,vitri(".",AQ433,1)-1))</f>
        <v/>
      </c>
    </row>
    <row r="434" spans="13:54" x14ac:dyDescent="0.25">
      <c r="M434" s="377"/>
      <c r="BB434" s="83" t="str">
        <f t="array" ref="BB434">_xlfn.IFS(AQ434="","",LEN(AQ434)-LEN(SUBSTITUTE(AQ434,".",""))=3,LEFT(AQ434,vitri(".",AQ434,3)-1),LEN(AQ434)-LEN(SUBSTITUTE(AQ434,".",""))=2,LEFT(AQ434,vitri(".",AQ434,2)-1),TRUE,LEFT(AQ434,vitri(".",AQ434,1)-1))</f>
        <v/>
      </c>
    </row>
    <row r="435" spans="13:54" x14ac:dyDescent="0.25">
      <c r="M435" s="377"/>
      <c r="BB435" s="83" t="str">
        <f t="array" ref="BB435">_xlfn.IFS(AQ435="","",LEN(AQ435)-LEN(SUBSTITUTE(AQ435,".",""))=3,LEFT(AQ435,vitri(".",AQ435,3)-1),LEN(AQ435)-LEN(SUBSTITUTE(AQ435,".",""))=2,LEFT(AQ435,vitri(".",AQ435,2)-1),TRUE,LEFT(AQ435,vitri(".",AQ435,1)-1))</f>
        <v/>
      </c>
    </row>
    <row r="436" spans="13:54" x14ac:dyDescent="0.25">
      <c r="M436" s="377"/>
      <c r="BB436" s="83" t="str">
        <f t="array" ref="BB436">_xlfn.IFS(AQ436="","",LEN(AQ436)-LEN(SUBSTITUTE(AQ436,".",""))=3,LEFT(AQ436,vitri(".",AQ436,3)-1),LEN(AQ436)-LEN(SUBSTITUTE(AQ436,".",""))=2,LEFT(AQ436,vitri(".",AQ436,2)-1),TRUE,LEFT(AQ436,vitri(".",AQ436,1)-1))</f>
        <v/>
      </c>
    </row>
    <row r="437" spans="13:54" x14ac:dyDescent="0.25">
      <c r="M437" s="377"/>
      <c r="BB437" s="83" t="str">
        <f t="array" ref="BB437">_xlfn.IFS(AQ437="","",LEN(AQ437)-LEN(SUBSTITUTE(AQ437,".",""))=3,LEFT(AQ437,vitri(".",AQ437,3)-1),LEN(AQ437)-LEN(SUBSTITUTE(AQ437,".",""))=2,LEFT(AQ437,vitri(".",AQ437,2)-1),TRUE,LEFT(AQ437,vitri(".",AQ437,1)-1))</f>
        <v/>
      </c>
    </row>
    <row r="438" spans="13:54" x14ac:dyDescent="0.25">
      <c r="M438" s="377"/>
      <c r="BB438" s="83" t="str">
        <f t="array" ref="BB438">_xlfn.IFS(AQ438="","",LEN(AQ438)-LEN(SUBSTITUTE(AQ438,".",""))=3,LEFT(AQ438,vitri(".",AQ438,3)-1),LEN(AQ438)-LEN(SUBSTITUTE(AQ438,".",""))=2,LEFT(AQ438,vitri(".",AQ438,2)-1),TRUE,LEFT(AQ438,vitri(".",AQ438,1)-1))</f>
        <v/>
      </c>
    </row>
    <row r="439" spans="13:54" x14ac:dyDescent="0.25">
      <c r="M439" s="377"/>
      <c r="BB439" s="83" t="str">
        <f t="array" ref="BB439">_xlfn.IFS(AQ439="","",LEN(AQ439)-LEN(SUBSTITUTE(AQ439,".",""))=3,LEFT(AQ439,vitri(".",AQ439,3)-1),LEN(AQ439)-LEN(SUBSTITUTE(AQ439,".",""))=2,LEFT(AQ439,vitri(".",AQ439,2)-1),TRUE,LEFT(AQ439,vitri(".",AQ439,1)-1))</f>
        <v/>
      </c>
    </row>
    <row r="440" spans="13:54" x14ac:dyDescent="0.25">
      <c r="M440" s="377"/>
      <c r="BB440" s="83" t="str">
        <f t="array" ref="BB440">_xlfn.IFS(AQ440="","",LEN(AQ440)-LEN(SUBSTITUTE(AQ440,".",""))=3,LEFT(AQ440,vitri(".",AQ440,3)-1),LEN(AQ440)-LEN(SUBSTITUTE(AQ440,".",""))=2,LEFT(AQ440,vitri(".",AQ440,2)-1),TRUE,LEFT(AQ440,vitri(".",AQ440,1)-1))</f>
        <v/>
      </c>
    </row>
    <row r="441" spans="13:54" x14ac:dyDescent="0.25">
      <c r="M441" s="377"/>
      <c r="BB441" s="83" t="str">
        <f t="array" ref="BB441">_xlfn.IFS(AQ441="","",LEN(AQ441)-LEN(SUBSTITUTE(AQ441,".",""))=3,LEFT(AQ441,vitri(".",AQ441,3)-1),LEN(AQ441)-LEN(SUBSTITUTE(AQ441,".",""))=2,LEFT(AQ441,vitri(".",AQ441,2)-1),TRUE,LEFT(AQ441,vitri(".",AQ441,1)-1))</f>
        <v/>
      </c>
    </row>
    <row r="442" spans="13:54" x14ac:dyDescent="0.25">
      <c r="M442" s="377"/>
      <c r="BB442" s="83" t="str">
        <f t="array" ref="BB442">_xlfn.IFS(AQ442="","",LEN(AQ442)-LEN(SUBSTITUTE(AQ442,".",""))=3,LEFT(AQ442,vitri(".",AQ442,3)-1),LEN(AQ442)-LEN(SUBSTITUTE(AQ442,".",""))=2,LEFT(AQ442,vitri(".",AQ442,2)-1),TRUE,LEFT(AQ442,vitri(".",AQ442,1)-1))</f>
        <v/>
      </c>
    </row>
    <row r="443" spans="13:54" x14ac:dyDescent="0.25">
      <c r="M443" s="377"/>
      <c r="BB443" s="83" t="str">
        <f t="array" ref="BB443">_xlfn.IFS(AQ443="","",LEN(AQ443)-LEN(SUBSTITUTE(AQ443,".",""))=3,LEFT(AQ443,vitri(".",AQ443,3)-1),LEN(AQ443)-LEN(SUBSTITUTE(AQ443,".",""))=2,LEFT(AQ443,vitri(".",AQ443,2)-1),TRUE,LEFT(AQ443,vitri(".",AQ443,1)-1))</f>
        <v/>
      </c>
    </row>
    <row r="444" spans="13:54" x14ac:dyDescent="0.25">
      <c r="M444" s="377"/>
      <c r="BB444" s="83" t="str">
        <f t="array" ref="BB444">_xlfn.IFS(AQ444="","",LEN(AQ444)-LEN(SUBSTITUTE(AQ444,".",""))=3,LEFT(AQ444,vitri(".",AQ444,3)-1),LEN(AQ444)-LEN(SUBSTITUTE(AQ444,".",""))=2,LEFT(AQ444,vitri(".",AQ444,2)-1),TRUE,LEFT(AQ444,vitri(".",AQ444,1)-1))</f>
        <v/>
      </c>
    </row>
    <row r="445" spans="13:54" x14ac:dyDescent="0.25">
      <c r="M445" s="377"/>
      <c r="BB445" s="83" t="str">
        <f t="array" ref="BB445">_xlfn.IFS(AQ445="","",LEN(AQ445)-LEN(SUBSTITUTE(AQ445,".",""))=3,LEFT(AQ445,vitri(".",AQ445,3)-1),LEN(AQ445)-LEN(SUBSTITUTE(AQ445,".",""))=2,LEFT(AQ445,vitri(".",AQ445,2)-1),TRUE,LEFT(AQ445,vitri(".",AQ445,1)-1))</f>
        <v/>
      </c>
    </row>
    <row r="446" spans="13:54" x14ac:dyDescent="0.25">
      <c r="M446" s="377"/>
      <c r="BB446" s="83" t="str">
        <f t="array" ref="BB446">_xlfn.IFS(AQ446="","",LEN(AQ446)-LEN(SUBSTITUTE(AQ446,".",""))=3,LEFT(AQ446,vitri(".",AQ446,3)-1),LEN(AQ446)-LEN(SUBSTITUTE(AQ446,".",""))=2,LEFT(AQ446,vitri(".",AQ446,2)-1),TRUE,LEFT(AQ446,vitri(".",AQ446,1)-1))</f>
        <v/>
      </c>
    </row>
    <row r="447" spans="13:54" x14ac:dyDescent="0.25">
      <c r="M447" s="377"/>
      <c r="BB447" s="83" t="str">
        <f t="array" ref="BB447">_xlfn.IFS(AQ447="","",LEN(AQ447)-LEN(SUBSTITUTE(AQ447,".",""))=3,LEFT(AQ447,vitri(".",AQ447,3)-1),LEN(AQ447)-LEN(SUBSTITUTE(AQ447,".",""))=2,LEFT(AQ447,vitri(".",AQ447,2)-1),TRUE,LEFT(AQ447,vitri(".",AQ447,1)-1))</f>
        <v/>
      </c>
    </row>
    <row r="448" spans="13:54" x14ac:dyDescent="0.25">
      <c r="M448" s="377"/>
      <c r="BB448" s="83" t="str">
        <f t="array" ref="BB448">_xlfn.IFS(AQ448="","",LEN(AQ448)-LEN(SUBSTITUTE(AQ448,".",""))=3,LEFT(AQ448,vitri(".",AQ448,3)-1),LEN(AQ448)-LEN(SUBSTITUTE(AQ448,".",""))=2,LEFT(AQ448,vitri(".",AQ448,2)-1),TRUE,LEFT(AQ448,vitri(".",AQ448,1)-1))</f>
        <v/>
      </c>
    </row>
    <row r="449" spans="13:54" x14ac:dyDescent="0.25">
      <c r="M449" s="377"/>
      <c r="BB449" s="83" t="str">
        <f t="array" ref="BB449">_xlfn.IFS(AQ449="","",LEN(AQ449)-LEN(SUBSTITUTE(AQ449,".",""))=3,LEFT(AQ449,vitri(".",AQ449,3)-1),LEN(AQ449)-LEN(SUBSTITUTE(AQ449,".",""))=2,LEFT(AQ449,vitri(".",AQ449,2)-1),TRUE,LEFT(AQ449,vitri(".",AQ449,1)-1))</f>
        <v/>
      </c>
    </row>
    <row r="450" spans="13:54" x14ac:dyDescent="0.25">
      <c r="M450" s="377"/>
      <c r="BB450" s="83" t="str">
        <f t="array" ref="BB450">_xlfn.IFS(AQ450="","",LEN(AQ450)-LEN(SUBSTITUTE(AQ450,".",""))=3,LEFT(AQ450,vitri(".",AQ450,3)-1),LEN(AQ450)-LEN(SUBSTITUTE(AQ450,".",""))=2,LEFT(AQ450,vitri(".",AQ450,2)-1),TRUE,LEFT(AQ450,vitri(".",AQ450,1)-1))</f>
        <v/>
      </c>
    </row>
    <row r="451" spans="13:54" x14ac:dyDescent="0.25">
      <c r="M451" s="377"/>
      <c r="BB451" s="83" t="str">
        <f t="array" ref="BB451">_xlfn.IFS(AQ451="","",LEN(AQ451)-LEN(SUBSTITUTE(AQ451,".",""))=3,LEFT(AQ451,vitri(".",AQ451,3)-1),LEN(AQ451)-LEN(SUBSTITUTE(AQ451,".",""))=2,LEFT(AQ451,vitri(".",AQ451,2)-1),TRUE,LEFT(AQ451,vitri(".",AQ451,1)-1))</f>
        <v/>
      </c>
    </row>
    <row r="452" spans="13:54" x14ac:dyDescent="0.25">
      <c r="M452" s="377"/>
      <c r="BB452" s="83" t="str">
        <f t="array" ref="BB452">_xlfn.IFS(AQ452="","",LEN(AQ452)-LEN(SUBSTITUTE(AQ452,".",""))=3,LEFT(AQ452,vitri(".",AQ452,3)-1),LEN(AQ452)-LEN(SUBSTITUTE(AQ452,".",""))=2,LEFT(AQ452,vitri(".",AQ452,2)-1),TRUE,LEFT(AQ452,vitri(".",AQ452,1)-1))</f>
        <v/>
      </c>
    </row>
    <row r="453" spans="13:54" x14ac:dyDescent="0.25">
      <c r="M453" s="377"/>
      <c r="BB453" s="83" t="str">
        <f t="array" ref="BB453">_xlfn.IFS(AQ453="","",LEN(AQ453)-LEN(SUBSTITUTE(AQ453,".",""))=3,LEFT(AQ453,vitri(".",AQ453,3)-1),LEN(AQ453)-LEN(SUBSTITUTE(AQ453,".",""))=2,LEFT(AQ453,vitri(".",AQ453,2)-1),TRUE,LEFT(AQ453,vitri(".",AQ453,1)-1))</f>
        <v/>
      </c>
    </row>
    <row r="454" spans="13:54" x14ac:dyDescent="0.25">
      <c r="M454" s="377"/>
      <c r="BB454" s="83" t="str">
        <f t="array" ref="BB454">_xlfn.IFS(AQ454="","",LEN(AQ454)-LEN(SUBSTITUTE(AQ454,".",""))=3,LEFT(AQ454,vitri(".",AQ454,3)-1),LEN(AQ454)-LEN(SUBSTITUTE(AQ454,".",""))=2,LEFT(AQ454,vitri(".",AQ454,2)-1),TRUE,LEFT(AQ454,vitri(".",AQ454,1)-1))</f>
        <v/>
      </c>
    </row>
    <row r="455" spans="13:54" x14ac:dyDescent="0.25">
      <c r="M455" s="377"/>
      <c r="BB455" s="83" t="str">
        <f t="array" ref="BB455">_xlfn.IFS(AQ455="","",LEN(AQ455)-LEN(SUBSTITUTE(AQ455,".",""))=3,LEFT(AQ455,vitri(".",AQ455,3)-1),LEN(AQ455)-LEN(SUBSTITUTE(AQ455,".",""))=2,LEFT(AQ455,vitri(".",AQ455,2)-1),TRUE,LEFT(AQ455,vitri(".",AQ455,1)-1))</f>
        <v/>
      </c>
    </row>
    <row r="456" spans="13:54" x14ac:dyDescent="0.25">
      <c r="M456" s="377"/>
      <c r="BB456" s="83" t="str">
        <f t="array" ref="BB456">_xlfn.IFS(AQ456="","",LEN(AQ456)-LEN(SUBSTITUTE(AQ456,".",""))=3,LEFT(AQ456,vitri(".",AQ456,3)-1),LEN(AQ456)-LEN(SUBSTITUTE(AQ456,".",""))=2,LEFT(AQ456,vitri(".",AQ456,2)-1),TRUE,LEFT(AQ456,vitri(".",AQ456,1)-1))</f>
        <v/>
      </c>
    </row>
    <row r="457" spans="13:54" x14ac:dyDescent="0.25">
      <c r="M457" s="377"/>
      <c r="BB457" s="83" t="str">
        <f t="array" ref="BB457">_xlfn.IFS(AQ457="","",LEN(AQ457)-LEN(SUBSTITUTE(AQ457,".",""))=3,LEFT(AQ457,vitri(".",AQ457,3)-1),LEN(AQ457)-LEN(SUBSTITUTE(AQ457,".",""))=2,LEFT(AQ457,vitri(".",AQ457,2)-1),TRUE,LEFT(AQ457,vitri(".",AQ457,1)-1))</f>
        <v/>
      </c>
    </row>
    <row r="458" spans="13:54" x14ac:dyDescent="0.25">
      <c r="M458" s="377"/>
      <c r="BB458" s="83" t="str">
        <f t="array" ref="BB458">_xlfn.IFS(AQ458="","",LEN(AQ458)-LEN(SUBSTITUTE(AQ458,".",""))=3,LEFT(AQ458,vitri(".",AQ458,3)-1),LEN(AQ458)-LEN(SUBSTITUTE(AQ458,".",""))=2,LEFT(AQ458,vitri(".",AQ458,2)-1),TRUE,LEFT(AQ458,vitri(".",AQ458,1)-1))</f>
        <v/>
      </c>
    </row>
    <row r="459" spans="13:54" x14ac:dyDescent="0.25">
      <c r="M459" s="377"/>
      <c r="BB459" s="83" t="str">
        <f t="array" ref="BB459">_xlfn.IFS(AQ459="","",LEN(AQ459)-LEN(SUBSTITUTE(AQ459,".",""))=3,LEFT(AQ459,vitri(".",AQ459,3)-1),LEN(AQ459)-LEN(SUBSTITUTE(AQ459,".",""))=2,LEFT(AQ459,vitri(".",AQ459,2)-1),TRUE,LEFT(AQ459,vitri(".",AQ459,1)-1))</f>
        <v/>
      </c>
    </row>
    <row r="460" spans="13:54" x14ac:dyDescent="0.25">
      <c r="M460" s="377"/>
      <c r="BB460" s="83" t="str">
        <f t="array" ref="BB460">_xlfn.IFS(AQ460="","",LEN(AQ460)-LEN(SUBSTITUTE(AQ460,".",""))=3,LEFT(AQ460,vitri(".",AQ460,3)-1),LEN(AQ460)-LEN(SUBSTITUTE(AQ460,".",""))=2,LEFT(AQ460,vitri(".",AQ460,2)-1),TRUE,LEFT(AQ460,vitri(".",AQ460,1)-1))</f>
        <v/>
      </c>
    </row>
    <row r="461" spans="13:54" x14ac:dyDescent="0.25">
      <c r="M461" s="377"/>
      <c r="BB461" s="83" t="str">
        <f t="array" ref="BB461">_xlfn.IFS(AQ461="","",LEN(AQ461)-LEN(SUBSTITUTE(AQ461,".",""))=3,LEFT(AQ461,vitri(".",AQ461,3)-1),LEN(AQ461)-LEN(SUBSTITUTE(AQ461,".",""))=2,LEFT(AQ461,vitri(".",AQ461,2)-1),TRUE,LEFT(AQ461,vitri(".",AQ461,1)-1))</f>
        <v/>
      </c>
    </row>
    <row r="462" spans="13:54" x14ac:dyDescent="0.25">
      <c r="M462" s="377"/>
      <c r="BB462" s="83" t="str">
        <f t="array" ref="BB462">_xlfn.IFS(AQ462="","",LEN(AQ462)-LEN(SUBSTITUTE(AQ462,".",""))=3,LEFT(AQ462,vitri(".",AQ462,3)-1),LEN(AQ462)-LEN(SUBSTITUTE(AQ462,".",""))=2,LEFT(AQ462,vitri(".",AQ462,2)-1),TRUE,LEFT(AQ462,vitri(".",AQ462,1)-1))</f>
        <v/>
      </c>
    </row>
    <row r="463" spans="13:54" x14ac:dyDescent="0.25">
      <c r="M463" s="377"/>
      <c r="BB463" s="83" t="str">
        <f t="array" ref="BB463">_xlfn.IFS(AQ463="","",LEN(AQ463)-LEN(SUBSTITUTE(AQ463,".",""))=3,LEFT(AQ463,vitri(".",AQ463,3)-1),LEN(AQ463)-LEN(SUBSTITUTE(AQ463,".",""))=2,LEFT(AQ463,vitri(".",AQ463,2)-1),TRUE,LEFT(AQ463,vitri(".",AQ463,1)-1))</f>
        <v/>
      </c>
    </row>
    <row r="464" spans="13:54" x14ac:dyDescent="0.25">
      <c r="M464" s="377"/>
      <c r="BB464" s="83" t="str">
        <f t="array" ref="BB464">_xlfn.IFS(AQ464="","",LEN(AQ464)-LEN(SUBSTITUTE(AQ464,".",""))=3,LEFT(AQ464,vitri(".",AQ464,3)-1),LEN(AQ464)-LEN(SUBSTITUTE(AQ464,".",""))=2,LEFT(AQ464,vitri(".",AQ464,2)-1),TRUE,LEFT(AQ464,vitri(".",AQ464,1)-1))</f>
        <v/>
      </c>
    </row>
    <row r="465" spans="13:54" x14ac:dyDescent="0.25">
      <c r="M465" s="377"/>
      <c r="BB465" s="83" t="str">
        <f t="array" ref="BB465">_xlfn.IFS(AQ465="","",LEN(AQ465)-LEN(SUBSTITUTE(AQ465,".",""))=3,LEFT(AQ465,vitri(".",AQ465,3)-1),LEN(AQ465)-LEN(SUBSTITUTE(AQ465,".",""))=2,LEFT(AQ465,vitri(".",AQ465,2)-1),TRUE,LEFT(AQ465,vitri(".",AQ465,1)-1))</f>
        <v/>
      </c>
    </row>
    <row r="466" spans="13:54" x14ac:dyDescent="0.25">
      <c r="M466" s="377"/>
      <c r="BB466" s="83" t="str">
        <f t="array" ref="BB466">_xlfn.IFS(AQ466="","",LEN(AQ466)-LEN(SUBSTITUTE(AQ466,".",""))=3,LEFT(AQ466,vitri(".",AQ466,3)-1),LEN(AQ466)-LEN(SUBSTITUTE(AQ466,".",""))=2,LEFT(AQ466,vitri(".",AQ466,2)-1),TRUE,LEFT(AQ466,vitri(".",AQ466,1)-1))</f>
        <v/>
      </c>
    </row>
    <row r="467" spans="13:54" x14ac:dyDescent="0.25">
      <c r="M467" s="377"/>
      <c r="BB467" s="83" t="str">
        <f t="array" ref="BB467">_xlfn.IFS(AQ467="","",LEN(AQ467)-LEN(SUBSTITUTE(AQ467,".",""))=3,LEFT(AQ467,vitri(".",AQ467,3)-1),LEN(AQ467)-LEN(SUBSTITUTE(AQ467,".",""))=2,LEFT(AQ467,vitri(".",AQ467,2)-1),TRUE,LEFT(AQ467,vitri(".",AQ467,1)-1))</f>
        <v/>
      </c>
    </row>
    <row r="468" spans="13:54" x14ac:dyDescent="0.25">
      <c r="M468" s="377"/>
      <c r="BB468" s="83" t="str">
        <f t="array" ref="BB468">_xlfn.IFS(AQ468="","",LEN(AQ468)-LEN(SUBSTITUTE(AQ468,".",""))=3,LEFT(AQ468,vitri(".",AQ468,3)-1),LEN(AQ468)-LEN(SUBSTITUTE(AQ468,".",""))=2,LEFT(AQ468,vitri(".",AQ468,2)-1),TRUE,LEFT(AQ468,vitri(".",AQ468,1)-1))</f>
        <v/>
      </c>
    </row>
    <row r="469" spans="13:54" x14ac:dyDescent="0.25">
      <c r="M469" s="377"/>
      <c r="BB469" s="83" t="str">
        <f t="array" ref="BB469">_xlfn.IFS(AQ469="","",LEN(AQ469)-LEN(SUBSTITUTE(AQ469,".",""))=3,LEFT(AQ469,vitri(".",AQ469,3)-1),LEN(AQ469)-LEN(SUBSTITUTE(AQ469,".",""))=2,LEFT(AQ469,vitri(".",AQ469,2)-1),TRUE,LEFT(AQ469,vitri(".",AQ469,1)-1))</f>
        <v/>
      </c>
    </row>
    <row r="470" spans="13:54" x14ac:dyDescent="0.25">
      <c r="M470" s="377"/>
      <c r="BB470" s="83" t="str">
        <f t="array" ref="BB470">_xlfn.IFS(AQ470="","",LEN(AQ470)-LEN(SUBSTITUTE(AQ470,".",""))=3,LEFT(AQ470,vitri(".",AQ470,3)-1),LEN(AQ470)-LEN(SUBSTITUTE(AQ470,".",""))=2,LEFT(AQ470,vitri(".",AQ470,2)-1),TRUE,LEFT(AQ470,vitri(".",AQ470,1)-1))</f>
        <v/>
      </c>
    </row>
    <row r="471" spans="13:54" x14ac:dyDescent="0.25">
      <c r="M471" s="377"/>
      <c r="BB471" s="83" t="str">
        <f t="array" ref="BB471">_xlfn.IFS(AQ471="","",LEN(AQ471)-LEN(SUBSTITUTE(AQ471,".",""))=3,LEFT(AQ471,vitri(".",AQ471,3)-1),LEN(AQ471)-LEN(SUBSTITUTE(AQ471,".",""))=2,LEFT(AQ471,vitri(".",AQ471,2)-1),TRUE,LEFT(AQ471,vitri(".",AQ471,1)-1))</f>
        <v/>
      </c>
    </row>
    <row r="472" spans="13:54" x14ac:dyDescent="0.25">
      <c r="M472" s="377"/>
      <c r="BB472" s="83" t="str">
        <f t="array" ref="BB472">_xlfn.IFS(AQ472="","",LEN(AQ472)-LEN(SUBSTITUTE(AQ472,".",""))=3,LEFT(AQ472,vitri(".",AQ472,3)-1),LEN(AQ472)-LEN(SUBSTITUTE(AQ472,".",""))=2,LEFT(AQ472,vitri(".",AQ472,2)-1),TRUE,LEFT(AQ472,vitri(".",AQ472,1)-1))</f>
        <v/>
      </c>
    </row>
    <row r="473" spans="13:54" x14ac:dyDescent="0.25">
      <c r="M473" s="377"/>
      <c r="BB473" s="83" t="str">
        <f t="array" ref="BB473">_xlfn.IFS(AQ473="","",LEN(AQ473)-LEN(SUBSTITUTE(AQ473,".",""))=3,LEFT(AQ473,vitri(".",AQ473,3)-1),LEN(AQ473)-LEN(SUBSTITUTE(AQ473,".",""))=2,LEFT(AQ473,vitri(".",AQ473,2)-1),TRUE,LEFT(AQ473,vitri(".",AQ473,1)-1))</f>
        <v/>
      </c>
    </row>
    <row r="474" spans="13:54" x14ac:dyDescent="0.25">
      <c r="M474" s="377"/>
      <c r="BB474" s="83" t="str">
        <f t="array" ref="BB474">_xlfn.IFS(AQ474="","",LEN(AQ474)-LEN(SUBSTITUTE(AQ474,".",""))=3,LEFT(AQ474,vitri(".",AQ474,3)-1),LEN(AQ474)-LEN(SUBSTITUTE(AQ474,".",""))=2,LEFT(AQ474,vitri(".",AQ474,2)-1),TRUE,LEFT(AQ474,vitri(".",AQ474,1)-1))</f>
        <v/>
      </c>
    </row>
    <row r="475" spans="13:54" x14ac:dyDescent="0.25">
      <c r="M475" s="377"/>
      <c r="BB475" s="83" t="str">
        <f t="array" ref="BB475">_xlfn.IFS(AQ475="","",LEN(AQ475)-LEN(SUBSTITUTE(AQ475,".",""))=3,LEFT(AQ475,vitri(".",AQ475,3)-1),LEN(AQ475)-LEN(SUBSTITUTE(AQ475,".",""))=2,LEFT(AQ475,vitri(".",AQ475,2)-1),TRUE,LEFT(AQ475,vitri(".",AQ475,1)-1))</f>
        <v/>
      </c>
    </row>
    <row r="476" spans="13:54" x14ac:dyDescent="0.25">
      <c r="M476" s="377"/>
      <c r="BB476" s="83" t="str">
        <f t="array" ref="BB476">_xlfn.IFS(AQ476="","",LEN(AQ476)-LEN(SUBSTITUTE(AQ476,".",""))=3,LEFT(AQ476,vitri(".",AQ476,3)-1),LEN(AQ476)-LEN(SUBSTITUTE(AQ476,".",""))=2,LEFT(AQ476,vitri(".",AQ476,2)-1),TRUE,LEFT(AQ476,vitri(".",AQ476,1)-1))</f>
        <v/>
      </c>
    </row>
    <row r="477" spans="13:54" x14ac:dyDescent="0.25">
      <c r="M477" s="377"/>
      <c r="BB477" s="83" t="str">
        <f t="array" ref="BB477">_xlfn.IFS(AQ477="","",LEN(AQ477)-LEN(SUBSTITUTE(AQ477,".",""))=3,LEFT(AQ477,vitri(".",AQ477,3)-1),LEN(AQ477)-LEN(SUBSTITUTE(AQ477,".",""))=2,LEFT(AQ477,vitri(".",AQ477,2)-1),TRUE,LEFT(AQ477,vitri(".",AQ477,1)-1))</f>
        <v/>
      </c>
    </row>
    <row r="478" spans="13:54" x14ac:dyDescent="0.25">
      <c r="M478" s="377"/>
      <c r="BB478" s="83" t="str">
        <f t="array" ref="BB478">_xlfn.IFS(AQ478="","",LEN(AQ478)-LEN(SUBSTITUTE(AQ478,".",""))=3,LEFT(AQ478,vitri(".",AQ478,3)-1),LEN(AQ478)-LEN(SUBSTITUTE(AQ478,".",""))=2,LEFT(AQ478,vitri(".",AQ478,2)-1),TRUE,LEFT(AQ478,vitri(".",AQ478,1)-1))</f>
        <v/>
      </c>
    </row>
    <row r="479" spans="13:54" x14ac:dyDescent="0.25">
      <c r="M479" s="377"/>
      <c r="BB479" s="83" t="str">
        <f t="array" ref="BB479">_xlfn.IFS(AQ479="","",LEN(AQ479)-LEN(SUBSTITUTE(AQ479,".",""))=3,LEFT(AQ479,vitri(".",AQ479,3)-1),LEN(AQ479)-LEN(SUBSTITUTE(AQ479,".",""))=2,LEFT(AQ479,vitri(".",AQ479,2)-1),TRUE,LEFT(AQ479,vitri(".",AQ479,1)-1))</f>
        <v/>
      </c>
    </row>
    <row r="480" spans="13:54" x14ac:dyDescent="0.25">
      <c r="M480" s="377"/>
      <c r="BB480" s="83" t="str">
        <f t="array" ref="BB480">_xlfn.IFS(AQ480="","",LEN(AQ480)-LEN(SUBSTITUTE(AQ480,".",""))=3,LEFT(AQ480,vitri(".",AQ480,3)-1),LEN(AQ480)-LEN(SUBSTITUTE(AQ480,".",""))=2,LEFT(AQ480,vitri(".",AQ480,2)-1),TRUE,LEFT(AQ480,vitri(".",AQ480,1)-1))</f>
        <v/>
      </c>
    </row>
    <row r="481" spans="13:54" x14ac:dyDescent="0.25">
      <c r="M481" s="377"/>
      <c r="BB481" s="83" t="str">
        <f t="array" ref="BB481">_xlfn.IFS(AQ481="","",LEN(AQ481)-LEN(SUBSTITUTE(AQ481,".",""))=3,LEFT(AQ481,vitri(".",AQ481,3)-1),LEN(AQ481)-LEN(SUBSTITUTE(AQ481,".",""))=2,LEFT(AQ481,vitri(".",AQ481,2)-1),TRUE,LEFT(AQ481,vitri(".",AQ481,1)-1))</f>
        <v/>
      </c>
    </row>
    <row r="482" spans="13:54" x14ac:dyDescent="0.25">
      <c r="M482" s="377"/>
      <c r="BB482" s="83" t="str">
        <f t="array" ref="BB482">_xlfn.IFS(AQ482="","",LEN(AQ482)-LEN(SUBSTITUTE(AQ482,".",""))=3,LEFT(AQ482,vitri(".",AQ482,3)-1),LEN(AQ482)-LEN(SUBSTITUTE(AQ482,".",""))=2,LEFT(AQ482,vitri(".",AQ482,2)-1),TRUE,LEFT(AQ482,vitri(".",AQ482,1)-1))</f>
        <v/>
      </c>
    </row>
    <row r="483" spans="13:54" x14ac:dyDescent="0.25">
      <c r="M483" s="377"/>
      <c r="BB483" s="83" t="str">
        <f t="array" ref="BB483">_xlfn.IFS(AQ483="","",LEN(AQ483)-LEN(SUBSTITUTE(AQ483,".",""))=3,LEFT(AQ483,vitri(".",AQ483,3)-1),LEN(AQ483)-LEN(SUBSTITUTE(AQ483,".",""))=2,LEFT(AQ483,vitri(".",AQ483,2)-1),TRUE,LEFT(AQ483,vitri(".",AQ483,1)-1))</f>
        <v/>
      </c>
    </row>
    <row r="484" spans="13:54" x14ac:dyDescent="0.25">
      <c r="M484" s="377"/>
      <c r="BB484" s="83" t="str">
        <f t="array" ref="BB484">_xlfn.IFS(AQ484="","",LEN(AQ484)-LEN(SUBSTITUTE(AQ484,".",""))=3,LEFT(AQ484,vitri(".",AQ484,3)-1),LEN(AQ484)-LEN(SUBSTITUTE(AQ484,".",""))=2,LEFT(AQ484,vitri(".",AQ484,2)-1),TRUE,LEFT(AQ484,vitri(".",AQ484,1)-1))</f>
        <v/>
      </c>
    </row>
    <row r="485" spans="13:54" x14ac:dyDescent="0.25">
      <c r="M485" s="377"/>
      <c r="BB485" s="83" t="str">
        <f t="array" ref="BB485">_xlfn.IFS(AQ485="","",LEN(AQ485)-LEN(SUBSTITUTE(AQ485,".",""))=3,LEFT(AQ485,vitri(".",AQ485,3)-1),LEN(AQ485)-LEN(SUBSTITUTE(AQ485,".",""))=2,LEFT(AQ485,vitri(".",AQ485,2)-1),TRUE,LEFT(AQ485,vitri(".",AQ485,1)-1))</f>
        <v/>
      </c>
    </row>
    <row r="486" spans="13:54" x14ac:dyDescent="0.25">
      <c r="M486" s="377"/>
      <c r="BB486" s="83" t="str">
        <f t="array" ref="BB486">_xlfn.IFS(AQ486="","",LEN(AQ486)-LEN(SUBSTITUTE(AQ486,".",""))=3,LEFT(AQ486,vitri(".",AQ486,3)-1),LEN(AQ486)-LEN(SUBSTITUTE(AQ486,".",""))=2,LEFT(AQ486,vitri(".",AQ486,2)-1),TRUE,LEFT(AQ486,vitri(".",AQ486,1)-1))</f>
        <v/>
      </c>
    </row>
    <row r="487" spans="13:54" x14ac:dyDescent="0.25">
      <c r="M487" s="377"/>
      <c r="BB487" s="83" t="str">
        <f t="array" ref="BB487">_xlfn.IFS(AQ487="","",LEN(AQ487)-LEN(SUBSTITUTE(AQ487,".",""))=3,LEFT(AQ487,vitri(".",AQ487,3)-1),LEN(AQ487)-LEN(SUBSTITUTE(AQ487,".",""))=2,LEFT(AQ487,vitri(".",AQ487,2)-1),TRUE,LEFT(AQ487,vitri(".",AQ487,1)-1))</f>
        <v/>
      </c>
    </row>
    <row r="488" spans="13:54" x14ac:dyDescent="0.25">
      <c r="M488" s="377"/>
      <c r="BB488" s="83" t="str">
        <f t="array" ref="BB488">_xlfn.IFS(AQ488="","",LEN(AQ488)-LEN(SUBSTITUTE(AQ488,".",""))=3,LEFT(AQ488,vitri(".",AQ488,3)-1),LEN(AQ488)-LEN(SUBSTITUTE(AQ488,".",""))=2,LEFT(AQ488,vitri(".",AQ488,2)-1),TRUE,LEFT(AQ488,vitri(".",AQ488,1)-1))</f>
        <v/>
      </c>
    </row>
    <row r="489" spans="13:54" x14ac:dyDescent="0.25">
      <c r="M489" s="377"/>
      <c r="BB489" s="83" t="str">
        <f t="array" ref="BB489">_xlfn.IFS(AQ489="","",LEN(AQ489)-LEN(SUBSTITUTE(AQ489,".",""))=3,LEFT(AQ489,vitri(".",AQ489,3)-1),LEN(AQ489)-LEN(SUBSTITUTE(AQ489,".",""))=2,LEFT(AQ489,vitri(".",AQ489,2)-1),TRUE,LEFT(AQ489,vitri(".",AQ489,1)-1))</f>
        <v/>
      </c>
    </row>
    <row r="490" spans="13:54" x14ac:dyDescent="0.25">
      <c r="M490" s="377"/>
      <c r="BB490" s="83" t="str">
        <f t="array" ref="BB490">_xlfn.IFS(AQ490="","",LEN(AQ490)-LEN(SUBSTITUTE(AQ490,".",""))=3,LEFT(AQ490,vitri(".",AQ490,3)-1),LEN(AQ490)-LEN(SUBSTITUTE(AQ490,".",""))=2,LEFT(AQ490,vitri(".",AQ490,2)-1),TRUE,LEFT(AQ490,vitri(".",AQ490,1)-1))</f>
        <v/>
      </c>
    </row>
    <row r="491" spans="13:54" x14ac:dyDescent="0.25">
      <c r="M491" s="377"/>
      <c r="BB491" s="83" t="str">
        <f t="array" ref="BB491">_xlfn.IFS(AQ491="","",LEN(AQ491)-LEN(SUBSTITUTE(AQ491,".",""))=3,LEFT(AQ491,vitri(".",AQ491,3)-1),LEN(AQ491)-LEN(SUBSTITUTE(AQ491,".",""))=2,LEFT(AQ491,vitri(".",AQ491,2)-1),TRUE,LEFT(AQ491,vitri(".",AQ491,1)-1))</f>
        <v/>
      </c>
    </row>
    <row r="492" spans="13:54" x14ac:dyDescent="0.25">
      <c r="M492" s="377"/>
      <c r="BB492" s="83" t="str">
        <f t="array" ref="BB492">_xlfn.IFS(AQ492="","",LEN(AQ492)-LEN(SUBSTITUTE(AQ492,".",""))=3,LEFT(AQ492,vitri(".",AQ492,3)-1),LEN(AQ492)-LEN(SUBSTITUTE(AQ492,".",""))=2,LEFT(AQ492,vitri(".",AQ492,2)-1),TRUE,LEFT(AQ492,vitri(".",AQ492,1)-1))</f>
        <v/>
      </c>
    </row>
    <row r="493" spans="13:54" x14ac:dyDescent="0.25">
      <c r="M493" s="377"/>
      <c r="BB493" s="83" t="str">
        <f t="array" ref="BB493">_xlfn.IFS(AQ493="","",LEN(AQ493)-LEN(SUBSTITUTE(AQ493,".",""))=3,LEFT(AQ493,vitri(".",AQ493,3)-1),LEN(AQ493)-LEN(SUBSTITUTE(AQ493,".",""))=2,LEFT(AQ493,vitri(".",AQ493,2)-1),TRUE,LEFT(AQ493,vitri(".",AQ493,1)-1))</f>
        <v/>
      </c>
    </row>
    <row r="494" spans="13:54" x14ac:dyDescent="0.25">
      <c r="M494" s="377"/>
      <c r="BB494" s="83" t="str">
        <f t="array" ref="BB494">_xlfn.IFS(AQ494="","",LEN(AQ494)-LEN(SUBSTITUTE(AQ494,".",""))=3,LEFT(AQ494,vitri(".",AQ494,3)-1),LEN(AQ494)-LEN(SUBSTITUTE(AQ494,".",""))=2,LEFT(AQ494,vitri(".",AQ494,2)-1),TRUE,LEFT(AQ494,vitri(".",AQ494,1)-1))</f>
        <v/>
      </c>
    </row>
    <row r="495" spans="13:54" x14ac:dyDescent="0.25">
      <c r="M495" s="377"/>
      <c r="BB495" s="83" t="str">
        <f t="array" ref="BB495">_xlfn.IFS(AQ495="","",LEN(AQ495)-LEN(SUBSTITUTE(AQ495,".",""))=3,LEFT(AQ495,vitri(".",AQ495,3)-1),LEN(AQ495)-LEN(SUBSTITUTE(AQ495,".",""))=2,LEFT(AQ495,vitri(".",AQ495,2)-1),TRUE,LEFT(AQ495,vitri(".",AQ495,1)-1))</f>
        <v/>
      </c>
    </row>
    <row r="496" spans="13:54" x14ac:dyDescent="0.25">
      <c r="M496" s="377"/>
      <c r="BB496" s="83" t="str">
        <f t="array" ref="BB496">_xlfn.IFS(AQ496="","",LEN(AQ496)-LEN(SUBSTITUTE(AQ496,".",""))=3,LEFT(AQ496,vitri(".",AQ496,3)-1),LEN(AQ496)-LEN(SUBSTITUTE(AQ496,".",""))=2,LEFT(AQ496,vitri(".",AQ496,2)-1),TRUE,LEFT(AQ496,vitri(".",AQ496,1)-1))</f>
        <v/>
      </c>
    </row>
    <row r="497" spans="13:54" x14ac:dyDescent="0.25">
      <c r="M497" s="377"/>
      <c r="BB497" s="83" t="str">
        <f t="array" ref="BB497">_xlfn.IFS(AQ497="","",LEN(AQ497)-LEN(SUBSTITUTE(AQ497,".",""))=3,LEFT(AQ497,vitri(".",AQ497,3)-1),LEN(AQ497)-LEN(SUBSTITUTE(AQ497,".",""))=2,LEFT(AQ497,vitri(".",AQ497,2)-1),TRUE,LEFT(AQ497,vitri(".",AQ497,1)-1))</f>
        <v/>
      </c>
    </row>
    <row r="498" spans="13:54" x14ac:dyDescent="0.25">
      <c r="M498" s="377"/>
      <c r="BB498" s="83" t="str">
        <f t="array" ref="BB498">_xlfn.IFS(AQ498="","",LEN(AQ498)-LEN(SUBSTITUTE(AQ498,".",""))=3,LEFT(AQ498,vitri(".",AQ498,3)-1),LEN(AQ498)-LEN(SUBSTITUTE(AQ498,".",""))=2,LEFT(AQ498,vitri(".",AQ498,2)-1),TRUE,LEFT(AQ498,vitri(".",AQ498,1)-1))</f>
        <v/>
      </c>
    </row>
    <row r="499" spans="13:54" x14ac:dyDescent="0.25">
      <c r="M499" s="377"/>
      <c r="BB499" s="83" t="str">
        <f t="array" ref="BB499">_xlfn.IFS(AQ499="","",LEN(AQ499)-LEN(SUBSTITUTE(AQ499,".",""))=3,LEFT(AQ499,vitri(".",AQ499,3)-1),LEN(AQ499)-LEN(SUBSTITUTE(AQ499,".",""))=2,LEFT(AQ499,vitri(".",AQ499,2)-1),TRUE,LEFT(AQ499,vitri(".",AQ499,1)-1))</f>
        <v/>
      </c>
    </row>
    <row r="500" spans="13:54" x14ac:dyDescent="0.25">
      <c r="M500" s="377"/>
      <c r="BB500" s="83" t="str">
        <f t="array" ref="BB500">_xlfn.IFS(AQ500="","",LEN(AQ500)-LEN(SUBSTITUTE(AQ500,".",""))=3,LEFT(AQ500,vitri(".",AQ500,3)-1),LEN(AQ500)-LEN(SUBSTITUTE(AQ500,".",""))=2,LEFT(AQ500,vitri(".",AQ500,2)-1),TRUE,LEFT(AQ500,vitri(".",AQ500,1)-1))</f>
        <v/>
      </c>
    </row>
    <row r="501" spans="13:54" x14ac:dyDescent="0.25">
      <c r="M501" s="377"/>
      <c r="BB501" s="83" t="str">
        <f t="array" ref="BB501">_xlfn.IFS(AQ501="","",LEN(AQ501)-LEN(SUBSTITUTE(AQ501,".",""))=3,LEFT(AQ501,vitri(".",AQ501,3)-1),LEN(AQ501)-LEN(SUBSTITUTE(AQ501,".",""))=2,LEFT(AQ501,vitri(".",AQ501,2)-1),TRUE,LEFT(AQ501,vitri(".",AQ501,1)-1))</f>
        <v/>
      </c>
    </row>
    <row r="502" spans="13:54" x14ac:dyDescent="0.25">
      <c r="M502" s="377"/>
      <c r="BB502" s="83" t="str">
        <f t="array" ref="BB502">_xlfn.IFS(AQ502="","",LEN(AQ502)-LEN(SUBSTITUTE(AQ502,".",""))=3,LEFT(AQ502,vitri(".",AQ502,3)-1),LEN(AQ502)-LEN(SUBSTITUTE(AQ502,".",""))=2,LEFT(AQ502,vitri(".",AQ502,2)-1),TRUE,LEFT(AQ502,vitri(".",AQ502,1)-1))</f>
        <v/>
      </c>
    </row>
    <row r="503" spans="13:54" x14ac:dyDescent="0.25">
      <c r="M503" s="377"/>
      <c r="BB503" s="83" t="str">
        <f t="array" ref="BB503">_xlfn.IFS(AQ503="","",LEN(AQ503)-LEN(SUBSTITUTE(AQ503,".",""))=3,LEFT(AQ503,vitri(".",AQ503,3)-1),LEN(AQ503)-LEN(SUBSTITUTE(AQ503,".",""))=2,LEFT(AQ503,vitri(".",AQ503,2)-1),TRUE,LEFT(AQ503,vitri(".",AQ503,1)-1))</f>
        <v/>
      </c>
    </row>
    <row r="504" spans="13:54" x14ac:dyDescent="0.25">
      <c r="M504" s="377"/>
      <c r="BB504" s="83" t="str">
        <f t="array" ref="BB504">_xlfn.IFS(AQ504="","",LEN(AQ504)-LEN(SUBSTITUTE(AQ504,".",""))=3,LEFT(AQ504,vitri(".",AQ504,3)-1),LEN(AQ504)-LEN(SUBSTITUTE(AQ504,".",""))=2,LEFT(AQ504,vitri(".",AQ504,2)-1),TRUE,LEFT(AQ504,vitri(".",AQ504,1)-1))</f>
        <v/>
      </c>
    </row>
    <row r="505" spans="13:54" x14ac:dyDescent="0.25">
      <c r="M505" s="377"/>
      <c r="BB505" s="83" t="str">
        <f t="array" ref="BB505">_xlfn.IFS(AQ505="","",LEN(AQ505)-LEN(SUBSTITUTE(AQ505,".",""))=3,LEFT(AQ505,vitri(".",AQ505,3)-1),LEN(AQ505)-LEN(SUBSTITUTE(AQ505,".",""))=2,LEFT(AQ505,vitri(".",AQ505,2)-1),TRUE,LEFT(AQ505,vitri(".",AQ505,1)-1))</f>
        <v/>
      </c>
    </row>
    <row r="506" spans="13:54" x14ac:dyDescent="0.25">
      <c r="M506" s="377"/>
      <c r="BB506" s="83" t="str">
        <f t="array" ref="BB506">_xlfn.IFS(AQ506="","",LEN(AQ506)-LEN(SUBSTITUTE(AQ506,".",""))=3,LEFT(AQ506,vitri(".",AQ506,3)-1),LEN(AQ506)-LEN(SUBSTITUTE(AQ506,".",""))=2,LEFT(AQ506,vitri(".",AQ506,2)-1),TRUE,LEFT(AQ506,vitri(".",AQ506,1)-1))</f>
        <v/>
      </c>
    </row>
    <row r="507" spans="13:54" x14ac:dyDescent="0.25">
      <c r="M507" s="377"/>
      <c r="BB507" s="83" t="str">
        <f t="array" ref="BB507">_xlfn.IFS(AQ507="","",LEN(AQ507)-LEN(SUBSTITUTE(AQ507,".",""))=3,LEFT(AQ507,vitri(".",AQ507,3)-1),LEN(AQ507)-LEN(SUBSTITUTE(AQ507,".",""))=2,LEFT(AQ507,vitri(".",AQ507,2)-1),TRUE,LEFT(AQ507,vitri(".",AQ507,1)-1))</f>
        <v/>
      </c>
    </row>
    <row r="508" spans="13:54" x14ac:dyDescent="0.25">
      <c r="M508" s="377"/>
      <c r="BB508" s="83" t="str">
        <f t="array" ref="BB508">_xlfn.IFS(AQ508="","",LEN(AQ508)-LEN(SUBSTITUTE(AQ508,".",""))=3,LEFT(AQ508,vitri(".",AQ508,3)-1),LEN(AQ508)-LEN(SUBSTITUTE(AQ508,".",""))=2,LEFT(AQ508,vitri(".",AQ508,2)-1),TRUE,LEFT(AQ508,vitri(".",AQ508,1)-1))</f>
        <v/>
      </c>
    </row>
    <row r="509" spans="13:54" x14ac:dyDescent="0.25">
      <c r="M509" s="377"/>
      <c r="BB509" s="83" t="str">
        <f t="array" ref="BB509">_xlfn.IFS(AQ509="","",LEN(AQ509)-LEN(SUBSTITUTE(AQ509,".",""))=3,LEFT(AQ509,vitri(".",AQ509,3)-1),LEN(AQ509)-LEN(SUBSTITUTE(AQ509,".",""))=2,LEFT(AQ509,vitri(".",AQ509,2)-1),TRUE,LEFT(AQ509,vitri(".",AQ509,1)-1))</f>
        <v/>
      </c>
    </row>
    <row r="510" spans="13:54" x14ac:dyDescent="0.25">
      <c r="M510" s="377"/>
      <c r="BB510" s="83" t="str">
        <f t="array" ref="BB510">_xlfn.IFS(AQ510="","",LEN(AQ510)-LEN(SUBSTITUTE(AQ510,".",""))=3,LEFT(AQ510,vitri(".",AQ510,3)-1),LEN(AQ510)-LEN(SUBSTITUTE(AQ510,".",""))=2,LEFT(AQ510,vitri(".",AQ510,2)-1),TRUE,LEFT(AQ510,vitri(".",AQ510,1)-1))</f>
        <v/>
      </c>
    </row>
    <row r="511" spans="13:54" x14ac:dyDescent="0.25">
      <c r="M511" s="377"/>
      <c r="BB511" s="83" t="str">
        <f t="array" ref="BB511">_xlfn.IFS(AQ511="","",LEN(AQ511)-LEN(SUBSTITUTE(AQ511,".",""))=3,LEFT(AQ511,vitri(".",AQ511,3)-1),LEN(AQ511)-LEN(SUBSTITUTE(AQ511,".",""))=2,LEFT(AQ511,vitri(".",AQ511,2)-1),TRUE,LEFT(AQ511,vitri(".",AQ511,1)-1))</f>
        <v/>
      </c>
    </row>
    <row r="512" spans="13:54" x14ac:dyDescent="0.25">
      <c r="M512" s="377"/>
      <c r="BB512" s="83" t="str">
        <f t="array" ref="BB512">_xlfn.IFS(AQ512="","",LEN(AQ512)-LEN(SUBSTITUTE(AQ512,".",""))=3,LEFT(AQ512,vitri(".",AQ512,3)-1),LEN(AQ512)-LEN(SUBSTITUTE(AQ512,".",""))=2,LEFT(AQ512,vitri(".",AQ512,2)-1),TRUE,LEFT(AQ512,vitri(".",AQ512,1)-1))</f>
        <v/>
      </c>
    </row>
    <row r="513" spans="13:54" x14ac:dyDescent="0.25">
      <c r="M513" s="377"/>
      <c r="BB513" s="83" t="str">
        <f t="array" ref="BB513">_xlfn.IFS(AQ513="","",LEN(AQ513)-LEN(SUBSTITUTE(AQ513,".",""))=3,LEFT(AQ513,vitri(".",AQ513,3)-1),LEN(AQ513)-LEN(SUBSTITUTE(AQ513,".",""))=2,LEFT(AQ513,vitri(".",AQ513,2)-1),TRUE,LEFT(AQ513,vitri(".",AQ513,1)-1))</f>
        <v/>
      </c>
    </row>
    <row r="514" spans="13:54" x14ac:dyDescent="0.25">
      <c r="M514" s="377"/>
      <c r="BB514" s="83" t="str">
        <f t="array" ref="BB514">_xlfn.IFS(AQ514="","",LEN(AQ514)-LEN(SUBSTITUTE(AQ514,".",""))=3,LEFT(AQ514,vitri(".",AQ514,3)-1),LEN(AQ514)-LEN(SUBSTITUTE(AQ514,".",""))=2,LEFT(AQ514,vitri(".",AQ514,2)-1),TRUE,LEFT(AQ514,vitri(".",AQ514,1)-1))</f>
        <v/>
      </c>
    </row>
    <row r="515" spans="13:54" x14ac:dyDescent="0.25">
      <c r="M515" s="377"/>
      <c r="BB515" s="83" t="str">
        <f t="array" ref="BB515">_xlfn.IFS(AQ515="","",LEN(AQ515)-LEN(SUBSTITUTE(AQ515,".",""))=3,LEFT(AQ515,vitri(".",AQ515,3)-1),LEN(AQ515)-LEN(SUBSTITUTE(AQ515,".",""))=2,LEFT(AQ515,vitri(".",AQ515,2)-1),TRUE,LEFT(AQ515,vitri(".",AQ515,1)-1))</f>
        <v/>
      </c>
    </row>
    <row r="516" spans="13:54" x14ac:dyDescent="0.25">
      <c r="M516" s="377"/>
      <c r="BB516" s="83" t="str">
        <f t="array" ref="BB516">_xlfn.IFS(AQ516="","",LEN(AQ516)-LEN(SUBSTITUTE(AQ516,".",""))=3,LEFT(AQ516,vitri(".",AQ516,3)-1),LEN(AQ516)-LEN(SUBSTITUTE(AQ516,".",""))=2,LEFT(AQ516,vitri(".",AQ516,2)-1),TRUE,LEFT(AQ516,vitri(".",AQ516,1)-1))</f>
        <v/>
      </c>
    </row>
    <row r="517" spans="13:54" x14ac:dyDescent="0.25">
      <c r="M517" s="377"/>
      <c r="BB517" s="83" t="str">
        <f t="array" ref="BB517">_xlfn.IFS(AQ517="","",LEN(AQ517)-LEN(SUBSTITUTE(AQ517,".",""))=3,LEFT(AQ517,vitri(".",AQ517,3)-1),LEN(AQ517)-LEN(SUBSTITUTE(AQ517,".",""))=2,LEFT(AQ517,vitri(".",AQ517,2)-1),TRUE,LEFT(AQ517,vitri(".",AQ517,1)-1))</f>
        <v/>
      </c>
    </row>
    <row r="518" spans="13:54" x14ac:dyDescent="0.25">
      <c r="M518" s="377"/>
      <c r="BB518" s="83" t="str">
        <f t="array" ref="BB518">_xlfn.IFS(AQ518="","",LEN(AQ518)-LEN(SUBSTITUTE(AQ518,".",""))=3,LEFT(AQ518,vitri(".",AQ518,3)-1),LEN(AQ518)-LEN(SUBSTITUTE(AQ518,".",""))=2,LEFT(AQ518,vitri(".",AQ518,2)-1),TRUE,LEFT(AQ518,vitri(".",AQ518,1)-1))</f>
        <v/>
      </c>
    </row>
    <row r="519" spans="13:54" x14ac:dyDescent="0.25">
      <c r="M519" s="377"/>
      <c r="BB519" s="83" t="str">
        <f t="array" ref="BB519">_xlfn.IFS(AQ519="","",LEN(AQ519)-LEN(SUBSTITUTE(AQ519,".",""))=3,LEFT(AQ519,vitri(".",AQ519,3)-1),LEN(AQ519)-LEN(SUBSTITUTE(AQ519,".",""))=2,LEFT(AQ519,vitri(".",AQ519,2)-1),TRUE,LEFT(AQ519,vitri(".",AQ519,1)-1))</f>
        <v/>
      </c>
    </row>
    <row r="520" spans="13:54" x14ac:dyDescent="0.25">
      <c r="M520" s="377"/>
      <c r="BB520" s="83" t="str">
        <f t="array" ref="BB520">_xlfn.IFS(AQ520="","",LEN(AQ520)-LEN(SUBSTITUTE(AQ520,".",""))=3,LEFT(AQ520,vitri(".",AQ520,3)-1),LEN(AQ520)-LEN(SUBSTITUTE(AQ520,".",""))=2,LEFT(AQ520,vitri(".",AQ520,2)-1),TRUE,LEFT(AQ520,vitri(".",AQ520,1)-1))</f>
        <v/>
      </c>
    </row>
    <row r="521" spans="13:54" x14ac:dyDescent="0.25">
      <c r="M521" s="377"/>
      <c r="BB521" s="83" t="str">
        <f t="array" ref="BB521">_xlfn.IFS(AQ521="","",LEN(AQ521)-LEN(SUBSTITUTE(AQ521,".",""))=3,LEFT(AQ521,vitri(".",AQ521,3)-1),LEN(AQ521)-LEN(SUBSTITUTE(AQ521,".",""))=2,LEFT(AQ521,vitri(".",AQ521,2)-1),TRUE,LEFT(AQ521,vitri(".",AQ521,1)-1))</f>
        <v/>
      </c>
    </row>
    <row r="522" spans="13:54" x14ac:dyDescent="0.25">
      <c r="M522" s="377"/>
      <c r="BB522" s="83" t="str">
        <f t="array" ref="BB522">_xlfn.IFS(AQ522="","",LEN(AQ522)-LEN(SUBSTITUTE(AQ522,".",""))=3,LEFT(AQ522,vitri(".",AQ522,3)-1),LEN(AQ522)-LEN(SUBSTITUTE(AQ522,".",""))=2,LEFT(AQ522,vitri(".",AQ522,2)-1),TRUE,LEFT(AQ522,vitri(".",AQ522,1)-1))</f>
        <v/>
      </c>
    </row>
    <row r="523" spans="13:54" x14ac:dyDescent="0.25">
      <c r="M523" s="377"/>
      <c r="BB523" s="83" t="str">
        <f t="array" ref="BB523">_xlfn.IFS(AQ523="","",LEN(AQ523)-LEN(SUBSTITUTE(AQ523,".",""))=3,LEFT(AQ523,vitri(".",AQ523,3)-1),LEN(AQ523)-LEN(SUBSTITUTE(AQ523,".",""))=2,LEFT(AQ523,vitri(".",AQ523,2)-1),TRUE,LEFT(AQ523,vitri(".",AQ523,1)-1))</f>
        <v/>
      </c>
    </row>
    <row r="524" spans="13:54" x14ac:dyDescent="0.25">
      <c r="M524" s="377"/>
      <c r="BB524" s="83" t="str">
        <f t="array" ref="BB524">_xlfn.IFS(AQ524="","",LEN(AQ524)-LEN(SUBSTITUTE(AQ524,".",""))=3,LEFT(AQ524,vitri(".",AQ524,3)-1),LEN(AQ524)-LEN(SUBSTITUTE(AQ524,".",""))=2,LEFT(AQ524,vitri(".",AQ524,2)-1),TRUE,LEFT(AQ524,vitri(".",AQ524,1)-1))</f>
        <v/>
      </c>
    </row>
    <row r="525" spans="13:54" x14ac:dyDescent="0.25">
      <c r="M525" s="377"/>
      <c r="BB525" s="83" t="str">
        <f t="array" ref="BB525">_xlfn.IFS(AQ525="","",LEN(AQ525)-LEN(SUBSTITUTE(AQ525,".",""))=3,LEFT(AQ525,vitri(".",AQ525,3)-1),LEN(AQ525)-LEN(SUBSTITUTE(AQ525,".",""))=2,LEFT(AQ525,vitri(".",AQ525,2)-1),TRUE,LEFT(AQ525,vitri(".",AQ525,1)-1))</f>
        <v/>
      </c>
    </row>
    <row r="526" spans="13:54" x14ac:dyDescent="0.25">
      <c r="M526" s="377"/>
      <c r="BB526" s="83" t="str">
        <f t="array" ref="BB526">_xlfn.IFS(AQ526="","",LEN(AQ526)-LEN(SUBSTITUTE(AQ526,".",""))=3,LEFT(AQ526,vitri(".",AQ526,3)-1),LEN(AQ526)-LEN(SUBSTITUTE(AQ526,".",""))=2,LEFT(AQ526,vitri(".",AQ526,2)-1),TRUE,LEFT(AQ526,vitri(".",AQ526,1)-1))</f>
        <v/>
      </c>
    </row>
    <row r="527" spans="13:54" x14ac:dyDescent="0.25">
      <c r="M527" s="377"/>
      <c r="BB527" s="83" t="str">
        <f t="array" ref="BB527">_xlfn.IFS(AQ527="","",LEN(AQ527)-LEN(SUBSTITUTE(AQ527,".",""))=3,LEFT(AQ527,vitri(".",AQ527,3)-1),LEN(AQ527)-LEN(SUBSTITUTE(AQ527,".",""))=2,LEFT(AQ527,vitri(".",AQ527,2)-1),TRUE,LEFT(AQ527,vitri(".",AQ527,1)-1))</f>
        <v/>
      </c>
    </row>
    <row r="528" spans="13:54" x14ac:dyDescent="0.25">
      <c r="M528" s="377"/>
      <c r="BB528" s="83" t="str">
        <f t="array" ref="BB528">_xlfn.IFS(AQ528="","",LEN(AQ528)-LEN(SUBSTITUTE(AQ528,".",""))=3,LEFT(AQ528,vitri(".",AQ528,3)-1),LEN(AQ528)-LEN(SUBSTITUTE(AQ528,".",""))=2,LEFT(AQ528,vitri(".",AQ528,2)-1),TRUE,LEFT(AQ528,vitri(".",AQ528,1)-1))</f>
        <v/>
      </c>
    </row>
    <row r="529" spans="13:54" x14ac:dyDescent="0.25">
      <c r="M529" s="377"/>
      <c r="BB529" s="83" t="str">
        <f t="array" ref="BB529">_xlfn.IFS(AQ529="","",LEN(AQ529)-LEN(SUBSTITUTE(AQ529,".",""))=3,LEFT(AQ529,vitri(".",AQ529,3)-1),LEN(AQ529)-LEN(SUBSTITUTE(AQ529,".",""))=2,LEFT(AQ529,vitri(".",AQ529,2)-1),TRUE,LEFT(AQ529,vitri(".",AQ529,1)-1))</f>
        <v/>
      </c>
    </row>
    <row r="530" spans="13:54" x14ac:dyDescent="0.25">
      <c r="M530" s="377"/>
      <c r="BB530" s="83" t="str">
        <f t="array" ref="BB530">_xlfn.IFS(AQ530="","",LEN(AQ530)-LEN(SUBSTITUTE(AQ530,".",""))=3,LEFT(AQ530,vitri(".",AQ530,3)-1),LEN(AQ530)-LEN(SUBSTITUTE(AQ530,".",""))=2,LEFT(AQ530,vitri(".",AQ530,2)-1),TRUE,LEFT(AQ530,vitri(".",AQ530,1)-1))</f>
        <v/>
      </c>
    </row>
    <row r="531" spans="13:54" x14ac:dyDescent="0.25">
      <c r="M531" s="377"/>
      <c r="BB531" s="83" t="str">
        <f t="array" ref="BB531">_xlfn.IFS(AQ531="","",LEN(AQ531)-LEN(SUBSTITUTE(AQ531,".",""))=3,LEFT(AQ531,vitri(".",AQ531,3)-1),LEN(AQ531)-LEN(SUBSTITUTE(AQ531,".",""))=2,LEFT(AQ531,vitri(".",AQ531,2)-1),TRUE,LEFT(AQ531,vitri(".",AQ531,1)-1))</f>
        <v/>
      </c>
    </row>
    <row r="532" spans="13:54" x14ac:dyDescent="0.25">
      <c r="M532" s="377"/>
      <c r="BB532" s="83" t="str">
        <f t="array" ref="BB532">_xlfn.IFS(AQ532="","",LEN(AQ532)-LEN(SUBSTITUTE(AQ532,".",""))=3,LEFT(AQ532,vitri(".",AQ532,3)-1),LEN(AQ532)-LEN(SUBSTITUTE(AQ532,".",""))=2,LEFT(AQ532,vitri(".",AQ532,2)-1),TRUE,LEFT(AQ532,vitri(".",AQ532,1)-1))</f>
        <v/>
      </c>
    </row>
    <row r="533" spans="13:54" x14ac:dyDescent="0.25">
      <c r="M533" s="377"/>
      <c r="BB533" s="83" t="str">
        <f t="array" ref="BB533">_xlfn.IFS(AQ533="","",LEN(AQ533)-LEN(SUBSTITUTE(AQ533,".",""))=3,LEFT(AQ533,vitri(".",AQ533,3)-1),LEN(AQ533)-LEN(SUBSTITUTE(AQ533,".",""))=2,LEFT(AQ533,vitri(".",AQ533,2)-1),TRUE,LEFT(AQ533,vitri(".",AQ533,1)-1))</f>
        <v/>
      </c>
    </row>
    <row r="534" spans="13:54" x14ac:dyDescent="0.25">
      <c r="M534" s="377"/>
      <c r="BB534" s="83" t="str">
        <f t="array" ref="BB534">_xlfn.IFS(AQ534="","",LEN(AQ534)-LEN(SUBSTITUTE(AQ534,".",""))=3,LEFT(AQ534,vitri(".",AQ534,3)-1),LEN(AQ534)-LEN(SUBSTITUTE(AQ534,".",""))=2,LEFT(AQ534,vitri(".",AQ534,2)-1),TRUE,LEFT(AQ534,vitri(".",AQ534,1)-1))</f>
        <v/>
      </c>
    </row>
    <row r="535" spans="13:54" x14ac:dyDescent="0.25">
      <c r="M535" s="377"/>
      <c r="BB535" s="83" t="str">
        <f t="array" ref="BB535">_xlfn.IFS(AQ535="","",LEN(AQ535)-LEN(SUBSTITUTE(AQ535,".",""))=3,LEFT(AQ535,vitri(".",AQ535,3)-1),LEN(AQ535)-LEN(SUBSTITUTE(AQ535,".",""))=2,LEFT(AQ535,vitri(".",AQ535,2)-1),TRUE,LEFT(AQ535,vitri(".",AQ535,1)-1))</f>
        <v/>
      </c>
    </row>
    <row r="536" spans="13:54" x14ac:dyDescent="0.25">
      <c r="M536" s="377"/>
      <c r="BB536" s="83" t="str">
        <f t="array" ref="BB536">_xlfn.IFS(AQ536="","",LEN(AQ536)-LEN(SUBSTITUTE(AQ536,".",""))=3,LEFT(AQ536,vitri(".",AQ536,3)-1),LEN(AQ536)-LEN(SUBSTITUTE(AQ536,".",""))=2,LEFT(AQ536,vitri(".",AQ536,2)-1),TRUE,LEFT(AQ536,vitri(".",AQ536,1)-1))</f>
        <v/>
      </c>
    </row>
    <row r="537" spans="13:54" x14ac:dyDescent="0.25">
      <c r="M537" s="377"/>
      <c r="BB537" s="83" t="str">
        <f t="array" ref="BB537">_xlfn.IFS(AQ537="","",LEN(AQ537)-LEN(SUBSTITUTE(AQ537,".",""))=3,LEFT(AQ537,vitri(".",AQ537,3)-1),LEN(AQ537)-LEN(SUBSTITUTE(AQ537,".",""))=2,LEFT(AQ537,vitri(".",AQ537,2)-1),TRUE,LEFT(AQ537,vitri(".",AQ537,1)-1))</f>
        <v/>
      </c>
    </row>
    <row r="538" spans="13:54" x14ac:dyDescent="0.25">
      <c r="M538" s="377"/>
      <c r="BB538" s="83" t="str">
        <f t="array" ref="BB538">_xlfn.IFS(AQ538="","",LEN(AQ538)-LEN(SUBSTITUTE(AQ538,".",""))=3,LEFT(AQ538,vitri(".",AQ538,3)-1),LEN(AQ538)-LEN(SUBSTITUTE(AQ538,".",""))=2,LEFT(AQ538,vitri(".",AQ538,2)-1),TRUE,LEFT(AQ538,vitri(".",AQ538,1)-1))</f>
        <v/>
      </c>
    </row>
    <row r="539" spans="13:54" x14ac:dyDescent="0.25">
      <c r="M539" s="377"/>
      <c r="BB539" s="83" t="str">
        <f t="array" ref="BB539">_xlfn.IFS(AQ539="","",LEN(AQ539)-LEN(SUBSTITUTE(AQ539,".",""))=3,LEFT(AQ539,vitri(".",AQ539,3)-1),LEN(AQ539)-LEN(SUBSTITUTE(AQ539,".",""))=2,LEFT(AQ539,vitri(".",AQ539,2)-1),TRUE,LEFT(AQ539,vitri(".",AQ539,1)-1))</f>
        <v/>
      </c>
    </row>
    <row r="540" spans="13:54" x14ac:dyDescent="0.25">
      <c r="M540" s="377"/>
      <c r="BB540" s="83" t="str">
        <f t="array" ref="BB540">_xlfn.IFS(AQ540="","",LEN(AQ540)-LEN(SUBSTITUTE(AQ540,".",""))=3,LEFT(AQ540,vitri(".",AQ540,3)-1),LEN(AQ540)-LEN(SUBSTITUTE(AQ540,".",""))=2,LEFT(AQ540,vitri(".",AQ540,2)-1),TRUE,LEFT(AQ540,vitri(".",AQ540,1)-1))</f>
        <v/>
      </c>
    </row>
    <row r="541" spans="13:54" x14ac:dyDescent="0.25">
      <c r="M541" s="377"/>
      <c r="BB541" s="83" t="str">
        <f t="array" ref="BB541">_xlfn.IFS(AQ541="","",LEN(AQ541)-LEN(SUBSTITUTE(AQ541,".",""))=3,LEFT(AQ541,vitri(".",AQ541,3)-1),LEN(AQ541)-LEN(SUBSTITUTE(AQ541,".",""))=2,LEFT(AQ541,vitri(".",AQ541,2)-1),TRUE,LEFT(AQ541,vitri(".",AQ541,1)-1))</f>
        <v/>
      </c>
    </row>
    <row r="542" spans="13:54" x14ac:dyDescent="0.25">
      <c r="M542" s="377"/>
      <c r="BB542" s="83" t="str">
        <f t="array" ref="BB542">_xlfn.IFS(AQ542="","",LEN(AQ542)-LEN(SUBSTITUTE(AQ542,".",""))=3,LEFT(AQ542,vitri(".",AQ542,3)-1),LEN(AQ542)-LEN(SUBSTITUTE(AQ542,".",""))=2,LEFT(AQ542,vitri(".",AQ542,2)-1),TRUE,LEFT(AQ542,vitri(".",AQ542,1)-1))</f>
        <v/>
      </c>
    </row>
    <row r="543" spans="13:54" x14ac:dyDescent="0.25">
      <c r="M543" s="377"/>
      <c r="BB543" s="83" t="str">
        <f t="array" ref="BB543">_xlfn.IFS(AQ543="","",LEN(AQ543)-LEN(SUBSTITUTE(AQ543,".",""))=3,LEFT(AQ543,vitri(".",AQ543,3)-1),LEN(AQ543)-LEN(SUBSTITUTE(AQ543,".",""))=2,LEFT(AQ543,vitri(".",AQ543,2)-1),TRUE,LEFT(AQ543,vitri(".",AQ543,1)-1))</f>
        <v/>
      </c>
    </row>
    <row r="544" spans="13:54" x14ac:dyDescent="0.25">
      <c r="M544" s="377"/>
      <c r="BB544" s="83" t="str">
        <f t="array" ref="BB544">_xlfn.IFS(AQ544="","",LEN(AQ544)-LEN(SUBSTITUTE(AQ544,".",""))=3,LEFT(AQ544,vitri(".",AQ544,3)-1),LEN(AQ544)-LEN(SUBSTITUTE(AQ544,".",""))=2,LEFT(AQ544,vitri(".",AQ544,2)-1),TRUE,LEFT(AQ544,vitri(".",AQ544,1)-1))</f>
        <v/>
      </c>
    </row>
    <row r="545" spans="13:54" x14ac:dyDescent="0.25">
      <c r="M545" s="377"/>
      <c r="BB545" s="83" t="str">
        <f t="array" ref="BB545">_xlfn.IFS(AQ545="","",LEN(AQ545)-LEN(SUBSTITUTE(AQ545,".",""))=3,LEFT(AQ545,vitri(".",AQ545,3)-1),LEN(AQ545)-LEN(SUBSTITUTE(AQ545,".",""))=2,LEFT(AQ545,vitri(".",AQ545,2)-1),TRUE,LEFT(AQ545,vitri(".",AQ545,1)-1))</f>
        <v/>
      </c>
    </row>
    <row r="546" spans="13:54" x14ac:dyDescent="0.25">
      <c r="M546" s="377"/>
      <c r="BB546" s="83" t="str">
        <f t="array" ref="BB546">_xlfn.IFS(AQ546="","",LEN(AQ546)-LEN(SUBSTITUTE(AQ546,".",""))=3,LEFT(AQ546,vitri(".",AQ546,3)-1),LEN(AQ546)-LEN(SUBSTITUTE(AQ546,".",""))=2,LEFT(AQ546,vitri(".",AQ546,2)-1),TRUE,LEFT(AQ546,vitri(".",AQ546,1)-1))</f>
        <v/>
      </c>
    </row>
    <row r="547" spans="13:54" x14ac:dyDescent="0.25">
      <c r="M547" s="377"/>
      <c r="BB547" s="83" t="str">
        <f t="array" ref="BB547">_xlfn.IFS(AQ547="","",LEN(AQ547)-LEN(SUBSTITUTE(AQ547,".",""))=3,LEFT(AQ547,vitri(".",AQ547,3)-1),LEN(AQ547)-LEN(SUBSTITUTE(AQ547,".",""))=2,LEFT(AQ547,vitri(".",AQ547,2)-1),TRUE,LEFT(AQ547,vitri(".",AQ547,1)-1))</f>
        <v/>
      </c>
    </row>
    <row r="548" spans="13:54" x14ac:dyDescent="0.25">
      <c r="M548" s="377"/>
      <c r="BB548" s="83" t="str">
        <f t="array" ref="BB548">_xlfn.IFS(AQ548="","",LEN(AQ548)-LEN(SUBSTITUTE(AQ548,".",""))=3,LEFT(AQ548,vitri(".",AQ548,3)-1),LEN(AQ548)-LEN(SUBSTITUTE(AQ548,".",""))=2,LEFT(AQ548,vitri(".",AQ548,2)-1),TRUE,LEFT(AQ548,vitri(".",AQ548,1)-1))</f>
        <v/>
      </c>
    </row>
    <row r="549" spans="13:54" x14ac:dyDescent="0.25">
      <c r="M549" s="377"/>
      <c r="BB549" s="83" t="str">
        <f t="array" ref="BB549">_xlfn.IFS(AQ549="","",LEN(AQ549)-LEN(SUBSTITUTE(AQ549,".",""))=3,LEFT(AQ549,vitri(".",AQ549,3)-1),LEN(AQ549)-LEN(SUBSTITUTE(AQ549,".",""))=2,LEFT(AQ549,vitri(".",AQ549,2)-1),TRUE,LEFT(AQ549,vitri(".",AQ549,1)-1))</f>
        <v/>
      </c>
    </row>
    <row r="550" spans="13:54" x14ac:dyDescent="0.25">
      <c r="M550" s="377"/>
      <c r="BB550" s="83" t="str">
        <f t="array" ref="BB550">_xlfn.IFS(AQ550="","",LEN(AQ550)-LEN(SUBSTITUTE(AQ550,".",""))=3,LEFT(AQ550,vitri(".",AQ550,3)-1),LEN(AQ550)-LEN(SUBSTITUTE(AQ550,".",""))=2,LEFT(AQ550,vitri(".",AQ550,2)-1),TRUE,LEFT(AQ550,vitri(".",AQ550,1)-1))</f>
        <v/>
      </c>
    </row>
    <row r="551" spans="13:54" x14ac:dyDescent="0.25">
      <c r="M551" s="377"/>
      <c r="BB551" s="83" t="str">
        <f t="array" ref="BB551">_xlfn.IFS(AQ551="","",LEN(AQ551)-LEN(SUBSTITUTE(AQ551,".",""))=3,LEFT(AQ551,vitri(".",AQ551,3)-1),LEN(AQ551)-LEN(SUBSTITUTE(AQ551,".",""))=2,LEFT(AQ551,vitri(".",AQ551,2)-1),TRUE,LEFT(AQ551,vitri(".",AQ551,1)-1))</f>
        <v/>
      </c>
    </row>
    <row r="552" spans="13:54" x14ac:dyDescent="0.25">
      <c r="M552" s="377"/>
      <c r="BB552" s="83" t="str">
        <f t="array" ref="BB552">_xlfn.IFS(AQ552="","",LEN(AQ552)-LEN(SUBSTITUTE(AQ552,".",""))=3,LEFT(AQ552,vitri(".",AQ552,3)-1),LEN(AQ552)-LEN(SUBSTITUTE(AQ552,".",""))=2,LEFT(AQ552,vitri(".",AQ552,2)-1),TRUE,LEFT(AQ552,vitri(".",AQ552,1)-1))</f>
        <v/>
      </c>
    </row>
    <row r="553" spans="13:54" x14ac:dyDescent="0.25">
      <c r="M553" s="377"/>
      <c r="BB553" s="83" t="str">
        <f t="array" ref="BB553">_xlfn.IFS(AQ553="","",LEN(AQ553)-LEN(SUBSTITUTE(AQ553,".",""))=3,LEFT(AQ553,vitri(".",AQ553,3)-1),LEN(AQ553)-LEN(SUBSTITUTE(AQ553,".",""))=2,LEFT(AQ553,vitri(".",AQ553,2)-1),TRUE,LEFT(AQ553,vitri(".",AQ553,1)-1))</f>
        <v/>
      </c>
    </row>
    <row r="554" spans="13:54" x14ac:dyDescent="0.25">
      <c r="M554" s="377"/>
      <c r="BB554" s="83" t="str">
        <f t="array" ref="BB554">_xlfn.IFS(AQ554="","",LEN(AQ554)-LEN(SUBSTITUTE(AQ554,".",""))=3,LEFT(AQ554,vitri(".",AQ554,3)-1),LEN(AQ554)-LEN(SUBSTITUTE(AQ554,".",""))=2,LEFT(AQ554,vitri(".",AQ554,2)-1),TRUE,LEFT(AQ554,vitri(".",AQ554,1)-1))</f>
        <v/>
      </c>
    </row>
    <row r="555" spans="13:54" x14ac:dyDescent="0.25">
      <c r="M555" s="377"/>
      <c r="BB555" s="83" t="str">
        <f t="array" ref="BB555">_xlfn.IFS(AQ555="","",LEN(AQ555)-LEN(SUBSTITUTE(AQ555,".",""))=3,LEFT(AQ555,vitri(".",AQ555,3)-1),LEN(AQ555)-LEN(SUBSTITUTE(AQ555,".",""))=2,LEFT(AQ555,vitri(".",AQ555,2)-1),TRUE,LEFT(AQ555,vitri(".",AQ555,1)-1))</f>
        <v/>
      </c>
    </row>
    <row r="556" spans="13:54" x14ac:dyDescent="0.25">
      <c r="M556" s="377"/>
      <c r="BB556" s="83" t="str">
        <f t="array" ref="BB556">_xlfn.IFS(AQ556="","",LEN(AQ556)-LEN(SUBSTITUTE(AQ556,".",""))=3,LEFT(AQ556,vitri(".",AQ556,3)-1),LEN(AQ556)-LEN(SUBSTITUTE(AQ556,".",""))=2,LEFT(AQ556,vitri(".",AQ556,2)-1),TRUE,LEFT(AQ556,vitri(".",AQ556,1)-1))</f>
        <v/>
      </c>
    </row>
    <row r="557" spans="13:54" x14ac:dyDescent="0.25">
      <c r="M557" s="377"/>
      <c r="BB557" s="83" t="str">
        <f t="array" ref="BB557">_xlfn.IFS(AQ557="","",LEN(AQ557)-LEN(SUBSTITUTE(AQ557,".",""))=3,LEFT(AQ557,vitri(".",AQ557,3)-1),LEN(AQ557)-LEN(SUBSTITUTE(AQ557,".",""))=2,LEFT(AQ557,vitri(".",AQ557,2)-1),TRUE,LEFT(AQ557,vitri(".",AQ557,1)-1))</f>
        <v/>
      </c>
    </row>
    <row r="558" spans="13:54" x14ac:dyDescent="0.25">
      <c r="M558" s="377"/>
      <c r="BB558" s="83" t="str">
        <f t="array" ref="BB558">_xlfn.IFS(AQ558="","",LEN(AQ558)-LEN(SUBSTITUTE(AQ558,".",""))=3,LEFT(AQ558,vitri(".",AQ558,3)-1),LEN(AQ558)-LEN(SUBSTITUTE(AQ558,".",""))=2,LEFT(AQ558,vitri(".",AQ558,2)-1),TRUE,LEFT(AQ558,vitri(".",AQ558,1)-1))</f>
        <v/>
      </c>
    </row>
    <row r="559" spans="13:54" x14ac:dyDescent="0.25">
      <c r="M559" s="377"/>
      <c r="BB559" s="83" t="str">
        <f t="array" ref="BB559">_xlfn.IFS(AQ559="","",LEN(AQ559)-LEN(SUBSTITUTE(AQ559,".",""))=3,LEFT(AQ559,vitri(".",AQ559,3)-1),LEN(AQ559)-LEN(SUBSTITUTE(AQ559,".",""))=2,LEFT(AQ559,vitri(".",AQ559,2)-1),TRUE,LEFT(AQ559,vitri(".",AQ559,1)-1))</f>
        <v/>
      </c>
    </row>
    <row r="560" spans="13:54" x14ac:dyDescent="0.25">
      <c r="M560" s="377"/>
      <c r="BB560" s="83" t="str">
        <f t="array" ref="BB560">_xlfn.IFS(AQ560="","",LEN(AQ560)-LEN(SUBSTITUTE(AQ560,".",""))=3,LEFT(AQ560,vitri(".",AQ560,3)-1),LEN(AQ560)-LEN(SUBSTITUTE(AQ560,".",""))=2,LEFT(AQ560,vitri(".",AQ560,2)-1),TRUE,LEFT(AQ560,vitri(".",AQ560,1)-1))</f>
        <v/>
      </c>
    </row>
    <row r="561" spans="13:54" x14ac:dyDescent="0.25">
      <c r="M561" s="377"/>
      <c r="BB561" s="83" t="str">
        <f t="array" ref="BB561">_xlfn.IFS(AQ561="","",LEN(AQ561)-LEN(SUBSTITUTE(AQ561,".",""))=3,LEFT(AQ561,vitri(".",AQ561,3)-1),LEN(AQ561)-LEN(SUBSTITUTE(AQ561,".",""))=2,LEFT(AQ561,vitri(".",AQ561,2)-1),TRUE,LEFT(AQ561,vitri(".",AQ561,1)-1))</f>
        <v/>
      </c>
    </row>
    <row r="562" spans="13:54" x14ac:dyDescent="0.25">
      <c r="M562" s="377"/>
      <c r="BB562" s="83" t="str">
        <f t="array" ref="BB562">_xlfn.IFS(AQ562="","",LEN(AQ562)-LEN(SUBSTITUTE(AQ562,".",""))=3,LEFT(AQ562,vitri(".",AQ562,3)-1),LEN(AQ562)-LEN(SUBSTITUTE(AQ562,".",""))=2,LEFT(AQ562,vitri(".",AQ562,2)-1),TRUE,LEFT(AQ562,vitri(".",AQ562,1)-1))</f>
        <v/>
      </c>
    </row>
    <row r="563" spans="13:54" x14ac:dyDescent="0.25">
      <c r="M563" s="377"/>
      <c r="BB563" s="83" t="str">
        <f t="array" ref="BB563">_xlfn.IFS(AQ563="","",LEN(AQ563)-LEN(SUBSTITUTE(AQ563,".",""))=3,LEFT(AQ563,vitri(".",AQ563,3)-1),LEN(AQ563)-LEN(SUBSTITUTE(AQ563,".",""))=2,LEFT(AQ563,vitri(".",AQ563,2)-1),TRUE,LEFT(AQ563,vitri(".",AQ563,1)-1))</f>
        <v/>
      </c>
    </row>
    <row r="564" spans="13:54" x14ac:dyDescent="0.25">
      <c r="M564" s="377"/>
      <c r="BB564" s="83" t="str">
        <f t="array" ref="BB564">_xlfn.IFS(AQ564="","",LEN(AQ564)-LEN(SUBSTITUTE(AQ564,".",""))=3,LEFT(AQ564,vitri(".",AQ564,3)-1),LEN(AQ564)-LEN(SUBSTITUTE(AQ564,".",""))=2,LEFT(AQ564,vitri(".",AQ564,2)-1),TRUE,LEFT(AQ564,vitri(".",AQ564,1)-1))</f>
        <v/>
      </c>
    </row>
    <row r="565" spans="13:54" x14ac:dyDescent="0.25">
      <c r="M565" s="377"/>
      <c r="BB565" s="83" t="str">
        <f t="array" ref="BB565">_xlfn.IFS(AQ565="","",LEN(AQ565)-LEN(SUBSTITUTE(AQ565,".",""))=3,LEFT(AQ565,vitri(".",AQ565,3)-1),LEN(AQ565)-LEN(SUBSTITUTE(AQ565,".",""))=2,LEFT(AQ565,vitri(".",AQ565,2)-1),TRUE,LEFT(AQ565,vitri(".",AQ565,1)-1))</f>
        <v/>
      </c>
    </row>
    <row r="566" spans="13:54" x14ac:dyDescent="0.25">
      <c r="M566" s="377"/>
      <c r="BB566" s="83" t="str">
        <f t="array" ref="BB566">_xlfn.IFS(AQ566="","",LEN(AQ566)-LEN(SUBSTITUTE(AQ566,".",""))=3,LEFT(AQ566,vitri(".",AQ566,3)-1),LEN(AQ566)-LEN(SUBSTITUTE(AQ566,".",""))=2,LEFT(AQ566,vitri(".",AQ566,2)-1),TRUE,LEFT(AQ566,vitri(".",AQ566,1)-1))</f>
        <v/>
      </c>
    </row>
    <row r="567" spans="13:54" x14ac:dyDescent="0.25">
      <c r="M567" s="377"/>
      <c r="BB567" s="83" t="str">
        <f t="array" ref="BB567">_xlfn.IFS(AQ567="","",LEN(AQ567)-LEN(SUBSTITUTE(AQ567,".",""))=3,LEFT(AQ567,vitri(".",AQ567,3)-1),LEN(AQ567)-LEN(SUBSTITUTE(AQ567,".",""))=2,LEFT(AQ567,vitri(".",AQ567,2)-1),TRUE,LEFT(AQ567,vitri(".",AQ567,1)-1))</f>
        <v/>
      </c>
    </row>
    <row r="568" spans="13:54" x14ac:dyDescent="0.25">
      <c r="M568" s="377"/>
      <c r="BB568" s="83" t="str">
        <f t="array" ref="BB568">_xlfn.IFS(AQ568="","",LEN(AQ568)-LEN(SUBSTITUTE(AQ568,".",""))=3,LEFT(AQ568,vitri(".",AQ568,3)-1),LEN(AQ568)-LEN(SUBSTITUTE(AQ568,".",""))=2,LEFT(AQ568,vitri(".",AQ568,2)-1),TRUE,LEFT(AQ568,vitri(".",AQ568,1)-1))</f>
        <v/>
      </c>
    </row>
    <row r="569" spans="13:54" x14ac:dyDescent="0.25">
      <c r="M569" s="377"/>
      <c r="BB569" s="83" t="str">
        <f t="array" ref="BB569">_xlfn.IFS(AQ569="","",LEN(AQ569)-LEN(SUBSTITUTE(AQ569,".",""))=3,LEFT(AQ569,vitri(".",AQ569,3)-1),LEN(AQ569)-LEN(SUBSTITUTE(AQ569,".",""))=2,LEFT(AQ569,vitri(".",AQ569,2)-1),TRUE,LEFT(AQ569,vitri(".",AQ569,1)-1))</f>
        <v/>
      </c>
    </row>
    <row r="570" spans="13:54" x14ac:dyDescent="0.25">
      <c r="M570" s="377"/>
      <c r="BB570" s="83" t="str">
        <f t="array" ref="BB570">_xlfn.IFS(AQ570="","",LEN(AQ570)-LEN(SUBSTITUTE(AQ570,".",""))=3,LEFT(AQ570,vitri(".",AQ570,3)-1),LEN(AQ570)-LEN(SUBSTITUTE(AQ570,".",""))=2,LEFT(AQ570,vitri(".",AQ570,2)-1),TRUE,LEFT(AQ570,vitri(".",AQ570,1)-1))</f>
        <v/>
      </c>
    </row>
    <row r="571" spans="13:54" x14ac:dyDescent="0.25">
      <c r="M571" s="377"/>
      <c r="BB571" s="83" t="str">
        <f t="array" ref="BB571">_xlfn.IFS(AQ571="","",LEN(AQ571)-LEN(SUBSTITUTE(AQ571,".",""))=3,LEFT(AQ571,vitri(".",AQ571,3)-1),LEN(AQ571)-LEN(SUBSTITUTE(AQ571,".",""))=2,LEFT(AQ571,vitri(".",AQ571,2)-1),TRUE,LEFT(AQ571,vitri(".",AQ571,1)-1))</f>
        <v/>
      </c>
    </row>
    <row r="572" spans="13:54" x14ac:dyDescent="0.25">
      <c r="M572" s="377"/>
      <c r="BB572" s="83" t="str">
        <f t="array" ref="BB572">_xlfn.IFS(AQ572="","",LEN(AQ572)-LEN(SUBSTITUTE(AQ572,".",""))=3,LEFT(AQ572,vitri(".",AQ572,3)-1),LEN(AQ572)-LEN(SUBSTITUTE(AQ572,".",""))=2,LEFT(AQ572,vitri(".",AQ572,2)-1),TRUE,LEFT(AQ572,vitri(".",AQ572,1)-1))</f>
        <v/>
      </c>
    </row>
    <row r="573" spans="13:54" x14ac:dyDescent="0.25">
      <c r="M573" s="377"/>
      <c r="BB573" s="83" t="str">
        <f t="array" ref="BB573">_xlfn.IFS(AQ573="","",LEN(AQ573)-LEN(SUBSTITUTE(AQ573,".",""))=3,LEFT(AQ573,vitri(".",AQ573,3)-1),LEN(AQ573)-LEN(SUBSTITUTE(AQ573,".",""))=2,LEFT(AQ573,vitri(".",AQ573,2)-1),TRUE,LEFT(AQ573,vitri(".",AQ573,1)-1))</f>
        <v/>
      </c>
    </row>
    <row r="574" spans="13:54" x14ac:dyDescent="0.25">
      <c r="M574" s="377"/>
      <c r="BB574" s="83" t="str">
        <f t="array" ref="BB574">_xlfn.IFS(AQ574="","",LEN(AQ574)-LEN(SUBSTITUTE(AQ574,".",""))=3,LEFT(AQ574,vitri(".",AQ574,3)-1),LEN(AQ574)-LEN(SUBSTITUTE(AQ574,".",""))=2,LEFT(AQ574,vitri(".",AQ574,2)-1),TRUE,LEFT(AQ574,vitri(".",AQ574,1)-1))</f>
        <v/>
      </c>
    </row>
    <row r="575" spans="13:54" x14ac:dyDescent="0.25">
      <c r="M575" s="377"/>
      <c r="BB575" s="83" t="str">
        <f t="array" ref="BB575">_xlfn.IFS(AQ575="","",LEN(AQ575)-LEN(SUBSTITUTE(AQ575,".",""))=3,LEFT(AQ575,vitri(".",AQ575,3)-1),LEN(AQ575)-LEN(SUBSTITUTE(AQ575,".",""))=2,LEFT(AQ575,vitri(".",AQ575,2)-1),TRUE,LEFT(AQ575,vitri(".",AQ575,1)-1))</f>
        <v/>
      </c>
    </row>
    <row r="576" spans="13:54" x14ac:dyDescent="0.25">
      <c r="M576" s="377"/>
      <c r="BB576" s="83" t="str">
        <f t="array" ref="BB576">_xlfn.IFS(AQ576="","",LEN(AQ576)-LEN(SUBSTITUTE(AQ576,".",""))=3,LEFT(AQ576,vitri(".",AQ576,3)-1),LEN(AQ576)-LEN(SUBSTITUTE(AQ576,".",""))=2,LEFT(AQ576,vitri(".",AQ576,2)-1),TRUE,LEFT(AQ576,vitri(".",AQ576,1)-1))</f>
        <v/>
      </c>
    </row>
    <row r="577" spans="13:54" x14ac:dyDescent="0.25">
      <c r="M577" s="377"/>
      <c r="BB577" s="83" t="str">
        <f t="array" ref="BB577">_xlfn.IFS(AQ577="","",LEN(AQ577)-LEN(SUBSTITUTE(AQ577,".",""))=3,LEFT(AQ577,vitri(".",AQ577,3)-1),LEN(AQ577)-LEN(SUBSTITUTE(AQ577,".",""))=2,LEFT(AQ577,vitri(".",AQ577,2)-1),TRUE,LEFT(AQ577,vitri(".",AQ577,1)-1))</f>
        <v/>
      </c>
    </row>
    <row r="578" spans="13:54" x14ac:dyDescent="0.25">
      <c r="M578" s="377"/>
      <c r="BB578" s="83" t="str">
        <f t="array" ref="BB578">_xlfn.IFS(AQ578="","",LEN(AQ578)-LEN(SUBSTITUTE(AQ578,".",""))=3,LEFT(AQ578,vitri(".",AQ578,3)-1),LEN(AQ578)-LEN(SUBSTITUTE(AQ578,".",""))=2,LEFT(AQ578,vitri(".",AQ578,2)-1),TRUE,LEFT(AQ578,vitri(".",AQ578,1)-1))</f>
        <v/>
      </c>
    </row>
    <row r="579" spans="13:54" x14ac:dyDescent="0.25">
      <c r="M579" s="377"/>
      <c r="BB579" s="83" t="str">
        <f t="array" ref="BB579">_xlfn.IFS(AQ579="","",LEN(AQ579)-LEN(SUBSTITUTE(AQ579,".",""))=3,LEFT(AQ579,vitri(".",AQ579,3)-1),LEN(AQ579)-LEN(SUBSTITUTE(AQ579,".",""))=2,LEFT(AQ579,vitri(".",AQ579,2)-1),TRUE,LEFT(AQ579,vitri(".",AQ579,1)-1))</f>
        <v/>
      </c>
    </row>
    <row r="580" spans="13:54" x14ac:dyDescent="0.25">
      <c r="M580" s="377"/>
      <c r="BB580" s="83" t="str">
        <f t="array" ref="BB580">_xlfn.IFS(AQ580="","",LEN(AQ580)-LEN(SUBSTITUTE(AQ580,".",""))=3,LEFT(AQ580,vitri(".",AQ580,3)-1),LEN(AQ580)-LEN(SUBSTITUTE(AQ580,".",""))=2,LEFT(AQ580,vitri(".",AQ580,2)-1),TRUE,LEFT(AQ580,vitri(".",AQ580,1)-1))</f>
        <v/>
      </c>
    </row>
    <row r="581" spans="13:54" x14ac:dyDescent="0.25">
      <c r="M581" s="377"/>
      <c r="BB581" s="83" t="str">
        <f t="array" ref="BB581">_xlfn.IFS(AQ581="","",LEN(AQ581)-LEN(SUBSTITUTE(AQ581,".",""))=3,LEFT(AQ581,vitri(".",AQ581,3)-1),LEN(AQ581)-LEN(SUBSTITUTE(AQ581,".",""))=2,LEFT(AQ581,vitri(".",AQ581,2)-1),TRUE,LEFT(AQ581,vitri(".",AQ581,1)-1))</f>
        <v/>
      </c>
    </row>
    <row r="582" spans="13:54" x14ac:dyDescent="0.25">
      <c r="M582" s="377"/>
      <c r="BB582" s="83" t="str">
        <f t="array" ref="BB582">_xlfn.IFS(AQ582="","",LEN(AQ582)-LEN(SUBSTITUTE(AQ582,".",""))=3,LEFT(AQ582,vitri(".",AQ582,3)-1),LEN(AQ582)-LEN(SUBSTITUTE(AQ582,".",""))=2,LEFT(AQ582,vitri(".",AQ582,2)-1),TRUE,LEFT(AQ582,vitri(".",AQ582,1)-1))</f>
        <v/>
      </c>
    </row>
    <row r="583" spans="13:54" x14ac:dyDescent="0.25">
      <c r="M583" s="377"/>
      <c r="BB583" s="83" t="str">
        <f t="array" ref="BB583">_xlfn.IFS(AQ583="","",LEN(AQ583)-LEN(SUBSTITUTE(AQ583,".",""))=3,LEFT(AQ583,vitri(".",AQ583,3)-1),LEN(AQ583)-LEN(SUBSTITUTE(AQ583,".",""))=2,LEFT(AQ583,vitri(".",AQ583,2)-1),TRUE,LEFT(AQ583,vitri(".",AQ583,1)-1))</f>
        <v/>
      </c>
    </row>
    <row r="584" spans="13:54" x14ac:dyDescent="0.25">
      <c r="M584" s="377"/>
      <c r="BB584" s="83" t="str">
        <f t="array" ref="BB584">_xlfn.IFS(AQ584="","",LEN(AQ584)-LEN(SUBSTITUTE(AQ584,".",""))=3,LEFT(AQ584,vitri(".",AQ584,3)-1),LEN(AQ584)-LEN(SUBSTITUTE(AQ584,".",""))=2,LEFT(AQ584,vitri(".",AQ584,2)-1),TRUE,LEFT(AQ584,vitri(".",AQ584,1)-1))</f>
        <v/>
      </c>
    </row>
    <row r="585" spans="13:54" x14ac:dyDescent="0.25">
      <c r="M585" s="377"/>
      <c r="BB585" s="83" t="str">
        <f t="array" ref="BB585">_xlfn.IFS(AQ585="","",LEN(AQ585)-LEN(SUBSTITUTE(AQ585,".",""))=3,LEFT(AQ585,vitri(".",AQ585,3)-1),LEN(AQ585)-LEN(SUBSTITUTE(AQ585,".",""))=2,LEFT(AQ585,vitri(".",AQ585,2)-1),TRUE,LEFT(AQ585,vitri(".",AQ585,1)-1))</f>
        <v/>
      </c>
    </row>
    <row r="586" spans="13:54" x14ac:dyDescent="0.25">
      <c r="M586" s="377"/>
      <c r="BB586" s="83" t="str">
        <f t="array" ref="BB586">_xlfn.IFS(AQ586="","",LEN(AQ586)-LEN(SUBSTITUTE(AQ586,".",""))=3,LEFT(AQ586,vitri(".",AQ586,3)-1),LEN(AQ586)-LEN(SUBSTITUTE(AQ586,".",""))=2,LEFT(AQ586,vitri(".",AQ586,2)-1),TRUE,LEFT(AQ586,vitri(".",AQ586,1)-1))</f>
        <v/>
      </c>
    </row>
    <row r="587" spans="13:54" x14ac:dyDescent="0.25">
      <c r="M587" s="377"/>
      <c r="BB587" s="83" t="str">
        <f t="array" ref="BB587">_xlfn.IFS(AQ587="","",LEN(AQ587)-LEN(SUBSTITUTE(AQ587,".",""))=3,LEFT(AQ587,vitri(".",AQ587,3)-1),LEN(AQ587)-LEN(SUBSTITUTE(AQ587,".",""))=2,LEFT(AQ587,vitri(".",AQ587,2)-1),TRUE,LEFT(AQ587,vitri(".",AQ587,1)-1))</f>
        <v/>
      </c>
    </row>
    <row r="588" spans="13:54" x14ac:dyDescent="0.25">
      <c r="M588" s="377"/>
      <c r="BB588" s="83" t="str">
        <f t="array" ref="BB588">_xlfn.IFS(AQ588="","",LEN(AQ588)-LEN(SUBSTITUTE(AQ588,".",""))=3,LEFT(AQ588,vitri(".",AQ588,3)-1),LEN(AQ588)-LEN(SUBSTITUTE(AQ588,".",""))=2,LEFT(AQ588,vitri(".",AQ588,2)-1),TRUE,LEFT(AQ588,vitri(".",AQ588,1)-1))</f>
        <v/>
      </c>
    </row>
    <row r="589" spans="13:54" x14ac:dyDescent="0.25">
      <c r="M589" s="377"/>
      <c r="BB589" s="83" t="str">
        <f t="array" ref="BB589">_xlfn.IFS(AQ589="","",LEN(AQ589)-LEN(SUBSTITUTE(AQ589,".",""))=3,LEFT(AQ589,vitri(".",AQ589,3)-1),LEN(AQ589)-LEN(SUBSTITUTE(AQ589,".",""))=2,LEFT(AQ589,vitri(".",AQ589,2)-1),TRUE,LEFT(AQ589,vitri(".",AQ589,1)-1))</f>
        <v/>
      </c>
    </row>
    <row r="590" spans="13:54" x14ac:dyDescent="0.25">
      <c r="M590" s="377"/>
      <c r="BB590" s="83" t="str">
        <f t="array" ref="BB590">_xlfn.IFS(AQ590="","",LEN(AQ590)-LEN(SUBSTITUTE(AQ590,".",""))=3,LEFT(AQ590,vitri(".",AQ590,3)-1),LEN(AQ590)-LEN(SUBSTITUTE(AQ590,".",""))=2,LEFT(AQ590,vitri(".",AQ590,2)-1),TRUE,LEFT(AQ590,vitri(".",AQ590,1)-1))</f>
        <v/>
      </c>
    </row>
    <row r="591" spans="13:54" x14ac:dyDescent="0.25">
      <c r="M591" s="377"/>
      <c r="BB591" s="83" t="str">
        <f t="array" ref="BB591">_xlfn.IFS(AQ591="","",LEN(AQ591)-LEN(SUBSTITUTE(AQ591,".",""))=3,LEFT(AQ591,vitri(".",AQ591,3)-1),LEN(AQ591)-LEN(SUBSTITUTE(AQ591,".",""))=2,LEFT(AQ591,vitri(".",AQ591,2)-1),TRUE,LEFT(AQ591,vitri(".",AQ591,1)-1))</f>
        <v/>
      </c>
    </row>
    <row r="592" spans="13:54" x14ac:dyDescent="0.25">
      <c r="M592" s="377"/>
      <c r="BB592" s="83" t="str">
        <f t="array" ref="BB592">_xlfn.IFS(AQ592="","",LEN(AQ592)-LEN(SUBSTITUTE(AQ592,".",""))=3,LEFT(AQ592,vitri(".",AQ592,3)-1),LEN(AQ592)-LEN(SUBSTITUTE(AQ592,".",""))=2,LEFT(AQ592,vitri(".",AQ592,2)-1),TRUE,LEFT(AQ592,vitri(".",AQ592,1)-1))</f>
        <v/>
      </c>
    </row>
    <row r="593" spans="13:54" x14ac:dyDescent="0.25">
      <c r="M593" s="377"/>
      <c r="BB593" s="83" t="str">
        <f t="array" ref="BB593">_xlfn.IFS(AQ593="","",LEN(AQ593)-LEN(SUBSTITUTE(AQ593,".",""))=3,LEFT(AQ593,vitri(".",AQ593,3)-1),LEN(AQ593)-LEN(SUBSTITUTE(AQ593,".",""))=2,LEFT(AQ593,vitri(".",AQ593,2)-1),TRUE,LEFT(AQ593,vitri(".",AQ593,1)-1))</f>
        <v/>
      </c>
    </row>
    <row r="594" spans="13:54" x14ac:dyDescent="0.25">
      <c r="M594" s="377"/>
      <c r="BB594" s="83" t="str">
        <f t="array" ref="BB594">_xlfn.IFS(AQ594="","",LEN(AQ594)-LEN(SUBSTITUTE(AQ594,".",""))=3,LEFT(AQ594,vitri(".",AQ594,3)-1),LEN(AQ594)-LEN(SUBSTITUTE(AQ594,".",""))=2,LEFT(AQ594,vitri(".",AQ594,2)-1),TRUE,LEFT(AQ594,vitri(".",AQ594,1)-1))</f>
        <v/>
      </c>
    </row>
    <row r="595" spans="13:54" x14ac:dyDescent="0.25">
      <c r="M595" s="377"/>
      <c r="BB595" s="83" t="str">
        <f t="array" ref="BB595">_xlfn.IFS(AQ595="","",LEN(AQ595)-LEN(SUBSTITUTE(AQ595,".",""))=3,LEFT(AQ595,vitri(".",AQ595,3)-1),LEN(AQ595)-LEN(SUBSTITUTE(AQ595,".",""))=2,LEFT(AQ595,vitri(".",AQ595,2)-1),TRUE,LEFT(AQ595,vitri(".",AQ595,1)-1))</f>
        <v/>
      </c>
    </row>
    <row r="596" spans="13:54" x14ac:dyDescent="0.25">
      <c r="M596" s="377"/>
      <c r="BB596" s="83" t="str">
        <f t="array" ref="BB596">_xlfn.IFS(AQ596="","",LEN(AQ596)-LEN(SUBSTITUTE(AQ596,".",""))=3,LEFT(AQ596,vitri(".",AQ596,3)-1),LEN(AQ596)-LEN(SUBSTITUTE(AQ596,".",""))=2,LEFT(AQ596,vitri(".",AQ596,2)-1),TRUE,LEFT(AQ596,vitri(".",AQ596,1)-1))</f>
        <v/>
      </c>
    </row>
    <row r="597" spans="13:54" x14ac:dyDescent="0.25">
      <c r="M597" s="377"/>
      <c r="BB597" s="83" t="str">
        <f t="array" ref="BB597">_xlfn.IFS(AQ597="","",LEN(AQ597)-LEN(SUBSTITUTE(AQ597,".",""))=3,LEFT(AQ597,vitri(".",AQ597,3)-1),LEN(AQ597)-LEN(SUBSTITUTE(AQ597,".",""))=2,LEFT(AQ597,vitri(".",AQ597,2)-1),TRUE,LEFT(AQ597,vitri(".",AQ597,1)-1))</f>
        <v/>
      </c>
    </row>
    <row r="598" spans="13:54" x14ac:dyDescent="0.25">
      <c r="M598" s="377"/>
      <c r="BB598" s="83" t="str">
        <f t="array" ref="BB598">_xlfn.IFS(AQ598="","",LEN(AQ598)-LEN(SUBSTITUTE(AQ598,".",""))=3,LEFT(AQ598,vitri(".",AQ598,3)-1),LEN(AQ598)-LEN(SUBSTITUTE(AQ598,".",""))=2,LEFT(AQ598,vitri(".",AQ598,2)-1),TRUE,LEFT(AQ598,vitri(".",AQ598,1)-1))</f>
        <v/>
      </c>
    </row>
    <row r="599" spans="13:54" x14ac:dyDescent="0.25">
      <c r="M599" s="377"/>
      <c r="BB599" s="83" t="str">
        <f t="array" ref="BB599">_xlfn.IFS(AQ599="","",LEN(AQ599)-LEN(SUBSTITUTE(AQ599,".",""))=3,LEFT(AQ599,vitri(".",AQ599,3)-1),LEN(AQ599)-LEN(SUBSTITUTE(AQ599,".",""))=2,LEFT(AQ599,vitri(".",AQ599,2)-1),TRUE,LEFT(AQ599,vitri(".",AQ599,1)-1))</f>
        <v/>
      </c>
    </row>
    <row r="600" spans="13:54" x14ac:dyDescent="0.25">
      <c r="M600" s="377"/>
      <c r="BB600" s="83" t="str">
        <f t="array" ref="BB600">_xlfn.IFS(AQ600="","",LEN(AQ600)-LEN(SUBSTITUTE(AQ600,".",""))=3,LEFT(AQ600,vitri(".",AQ600,3)-1),LEN(AQ600)-LEN(SUBSTITUTE(AQ600,".",""))=2,LEFT(AQ600,vitri(".",AQ600,2)-1),TRUE,LEFT(AQ600,vitri(".",AQ600,1)-1))</f>
        <v/>
      </c>
    </row>
    <row r="601" spans="13:54" x14ac:dyDescent="0.25">
      <c r="M601" s="377"/>
      <c r="BB601" s="83" t="str">
        <f t="array" ref="BB601">_xlfn.IFS(AQ601="","",LEN(AQ601)-LEN(SUBSTITUTE(AQ601,".",""))=3,LEFT(AQ601,vitri(".",AQ601,3)-1),LEN(AQ601)-LEN(SUBSTITUTE(AQ601,".",""))=2,LEFT(AQ601,vitri(".",AQ601,2)-1),TRUE,LEFT(AQ601,vitri(".",AQ601,1)-1))</f>
        <v/>
      </c>
    </row>
    <row r="602" spans="13:54" x14ac:dyDescent="0.25">
      <c r="M602" s="377"/>
      <c r="BB602" s="83" t="str">
        <f t="array" ref="BB602">_xlfn.IFS(AQ602="","",LEN(AQ602)-LEN(SUBSTITUTE(AQ602,".",""))=3,LEFT(AQ602,vitri(".",AQ602,3)-1),LEN(AQ602)-LEN(SUBSTITUTE(AQ602,".",""))=2,LEFT(AQ602,vitri(".",AQ602,2)-1),TRUE,LEFT(AQ602,vitri(".",AQ602,1)-1))</f>
        <v/>
      </c>
    </row>
    <row r="603" spans="13:54" x14ac:dyDescent="0.25">
      <c r="M603" s="377"/>
      <c r="BB603" s="83" t="str">
        <f t="array" ref="BB603">_xlfn.IFS(AQ603="","",LEN(AQ603)-LEN(SUBSTITUTE(AQ603,".",""))=3,LEFT(AQ603,vitri(".",AQ603,3)-1),LEN(AQ603)-LEN(SUBSTITUTE(AQ603,".",""))=2,LEFT(AQ603,vitri(".",AQ603,2)-1),TRUE,LEFT(AQ603,vitri(".",AQ603,1)-1))</f>
        <v/>
      </c>
    </row>
    <row r="604" spans="13:54" x14ac:dyDescent="0.25">
      <c r="M604" s="377"/>
      <c r="BB604" s="83" t="str">
        <f t="array" ref="BB604">_xlfn.IFS(AQ604="","",LEN(AQ604)-LEN(SUBSTITUTE(AQ604,".",""))=3,LEFT(AQ604,vitri(".",AQ604,3)-1),LEN(AQ604)-LEN(SUBSTITUTE(AQ604,".",""))=2,LEFT(AQ604,vitri(".",AQ604,2)-1),TRUE,LEFT(AQ604,vitri(".",AQ604,1)-1))</f>
        <v/>
      </c>
    </row>
    <row r="605" spans="13:54" x14ac:dyDescent="0.25">
      <c r="M605" s="377"/>
      <c r="BB605" s="83" t="str">
        <f t="array" ref="BB605">_xlfn.IFS(AQ605="","",LEN(AQ605)-LEN(SUBSTITUTE(AQ605,".",""))=3,LEFT(AQ605,vitri(".",AQ605,3)-1),LEN(AQ605)-LEN(SUBSTITUTE(AQ605,".",""))=2,LEFT(AQ605,vitri(".",AQ605,2)-1),TRUE,LEFT(AQ605,vitri(".",AQ605,1)-1))</f>
        <v/>
      </c>
    </row>
    <row r="606" spans="13:54" x14ac:dyDescent="0.25">
      <c r="M606" s="377"/>
      <c r="BB606" s="83" t="str">
        <f t="array" ref="BB606">_xlfn.IFS(AQ606="","",LEN(AQ606)-LEN(SUBSTITUTE(AQ606,".",""))=3,LEFT(AQ606,vitri(".",AQ606,3)-1),LEN(AQ606)-LEN(SUBSTITUTE(AQ606,".",""))=2,LEFT(AQ606,vitri(".",AQ606,2)-1),TRUE,LEFT(AQ606,vitri(".",AQ606,1)-1))</f>
        <v/>
      </c>
    </row>
    <row r="607" spans="13:54" x14ac:dyDescent="0.25">
      <c r="M607" s="377"/>
      <c r="BB607" s="83" t="str">
        <f t="array" ref="BB607">_xlfn.IFS(AQ607="","",LEN(AQ607)-LEN(SUBSTITUTE(AQ607,".",""))=3,LEFT(AQ607,vitri(".",AQ607,3)-1),LEN(AQ607)-LEN(SUBSTITUTE(AQ607,".",""))=2,LEFT(AQ607,vitri(".",AQ607,2)-1),TRUE,LEFT(AQ607,vitri(".",AQ607,1)-1))</f>
        <v/>
      </c>
    </row>
    <row r="608" spans="13:54" x14ac:dyDescent="0.25">
      <c r="M608" s="377"/>
      <c r="BB608" s="83" t="str">
        <f t="array" ref="BB608">_xlfn.IFS(AQ608="","",LEN(AQ608)-LEN(SUBSTITUTE(AQ608,".",""))=3,LEFT(AQ608,vitri(".",AQ608,3)-1),LEN(AQ608)-LEN(SUBSTITUTE(AQ608,".",""))=2,LEFT(AQ608,vitri(".",AQ608,2)-1),TRUE,LEFT(AQ608,vitri(".",AQ608,1)-1))</f>
        <v/>
      </c>
    </row>
    <row r="609" spans="13:54" x14ac:dyDescent="0.25">
      <c r="M609" s="377"/>
      <c r="BB609" s="83" t="str">
        <f t="array" ref="BB609">_xlfn.IFS(AQ609="","",LEN(AQ609)-LEN(SUBSTITUTE(AQ609,".",""))=3,LEFT(AQ609,vitri(".",AQ609,3)-1),LEN(AQ609)-LEN(SUBSTITUTE(AQ609,".",""))=2,LEFT(AQ609,vitri(".",AQ609,2)-1),TRUE,LEFT(AQ609,vitri(".",AQ609,1)-1))</f>
        <v/>
      </c>
    </row>
    <row r="610" spans="13:54" x14ac:dyDescent="0.25">
      <c r="M610" s="377"/>
      <c r="BB610" s="83" t="str">
        <f t="array" ref="BB610">_xlfn.IFS(AQ610="","",LEN(AQ610)-LEN(SUBSTITUTE(AQ610,".",""))=3,LEFT(AQ610,vitri(".",AQ610,3)-1),LEN(AQ610)-LEN(SUBSTITUTE(AQ610,".",""))=2,LEFT(AQ610,vitri(".",AQ610,2)-1),TRUE,LEFT(AQ610,vitri(".",AQ610,1)-1))</f>
        <v/>
      </c>
    </row>
    <row r="611" spans="13:54" x14ac:dyDescent="0.25">
      <c r="M611" s="377"/>
      <c r="BB611" s="83" t="str">
        <f t="array" ref="BB611">_xlfn.IFS(AQ611="","",LEN(AQ611)-LEN(SUBSTITUTE(AQ611,".",""))=3,LEFT(AQ611,vitri(".",AQ611,3)-1),LEN(AQ611)-LEN(SUBSTITUTE(AQ611,".",""))=2,LEFT(AQ611,vitri(".",AQ611,2)-1),TRUE,LEFT(AQ611,vitri(".",AQ611,1)-1))</f>
        <v/>
      </c>
    </row>
    <row r="612" spans="13:54" x14ac:dyDescent="0.25">
      <c r="M612" s="377"/>
      <c r="BB612" s="83" t="str">
        <f t="array" ref="BB612">_xlfn.IFS(AQ612="","",LEN(AQ612)-LEN(SUBSTITUTE(AQ612,".",""))=3,LEFT(AQ612,vitri(".",AQ612,3)-1),LEN(AQ612)-LEN(SUBSTITUTE(AQ612,".",""))=2,LEFT(AQ612,vitri(".",AQ612,2)-1),TRUE,LEFT(AQ612,vitri(".",AQ612,1)-1))</f>
        <v/>
      </c>
    </row>
    <row r="613" spans="13:54" x14ac:dyDescent="0.25">
      <c r="M613" s="377"/>
      <c r="BB613" s="83" t="str">
        <f t="array" ref="BB613">_xlfn.IFS(AQ613="","",LEN(AQ613)-LEN(SUBSTITUTE(AQ613,".",""))=3,LEFT(AQ613,vitri(".",AQ613,3)-1),LEN(AQ613)-LEN(SUBSTITUTE(AQ613,".",""))=2,LEFT(AQ613,vitri(".",AQ613,2)-1),TRUE,LEFT(AQ613,vitri(".",AQ613,1)-1))</f>
        <v/>
      </c>
    </row>
    <row r="614" spans="13:54" x14ac:dyDescent="0.25">
      <c r="M614" s="377"/>
      <c r="BB614" s="83" t="str">
        <f t="array" ref="BB614">_xlfn.IFS(AQ614="","",LEN(AQ614)-LEN(SUBSTITUTE(AQ614,".",""))=3,LEFT(AQ614,vitri(".",AQ614,3)-1),LEN(AQ614)-LEN(SUBSTITUTE(AQ614,".",""))=2,LEFT(AQ614,vitri(".",AQ614,2)-1),TRUE,LEFT(AQ614,vitri(".",AQ614,1)-1))</f>
        <v/>
      </c>
    </row>
    <row r="615" spans="13:54" x14ac:dyDescent="0.25">
      <c r="M615" s="377"/>
      <c r="BB615" s="83" t="str">
        <f t="array" ref="BB615">_xlfn.IFS(AQ615="","",LEN(AQ615)-LEN(SUBSTITUTE(AQ615,".",""))=3,LEFT(AQ615,vitri(".",AQ615,3)-1),LEN(AQ615)-LEN(SUBSTITUTE(AQ615,".",""))=2,LEFT(AQ615,vitri(".",AQ615,2)-1),TRUE,LEFT(AQ615,vitri(".",AQ615,1)-1))</f>
        <v/>
      </c>
    </row>
    <row r="616" spans="13:54" x14ac:dyDescent="0.25">
      <c r="M616" s="377"/>
      <c r="BB616" s="83" t="str">
        <f t="array" ref="BB616">_xlfn.IFS(AQ616="","",LEN(AQ616)-LEN(SUBSTITUTE(AQ616,".",""))=3,LEFT(AQ616,vitri(".",AQ616,3)-1),LEN(AQ616)-LEN(SUBSTITUTE(AQ616,".",""))=2,LEFT(AQ616,vitri(".",AQ616,2)-1),TRUE,LEFT(AQ616,vitri(".",AQ616,1)-1))</f>
        <v/>
      </c>
    </row>
    <row r="617" spans="13:54" x14ac:dyDescent="0.25">
      <c r="M617" s="377"/>
      <c r="BB617" s="83" t="str">
        <f t="array" ref="BB617">_xlfn.IFS(AQ617="","",LEN(AQ617)-LEN(SUBSTITUTE(AQ617,".",""))=3,LEFT(AQ617,vitri(".",AQ617,3)-1),LEN(AQ617)-LEN(SUBSTITUTE(AQ617,".",""))=2,LEFT(AQ617,vitri(".",AQ617,2)-1),TRUE,LEFT(AQ617,vitri(".",AQ617,1)-1))</f>
        <v/>
      </c>
    </row>
    <row r="618" spans="13:54" x14ac:dyDescent="0.25">
      <c r="M618" s="377"/>
      <c r="BB618" s="83" t="str">
        <f t="array" ref="BB618">_xlfn.IFS(AQ618="","",LEN(AQ618)-LEN(SUBSTITUTE(AQ618,".",""))=3,LEFT(AQ618,vitri(".",AQ618,3)-1),LEN(AQ618)-LEN(SUBSTITUTE(AQ618,".",""))=2,LEFT(AQ618,vitri(".",AQ618,2)-1),TRUE,LEFT(AQ618,vitri(".",AQ618,1)-1))</f>
        <v/>
      </c>
    </row>
    <row r="619" spans="13:54" x14ac:dyDescent="0.25">
      <c r="M619" s="377"/>
      <c r="BB619" s="83" t="str">
        <f t="array" ref="BB619">_xlfn.IFS(AQ619="","",LEN(AQ619)-LEN(SUBSTITUTE(AQ619,".",""))=3,LEFT(AQ619,vitri(".",AQ619,3)-1),LEN(AQ619)-LEN(SUBSTITUTE(AQ619,".",""))=2,LEFT(AQ619,vitri(".",AQ619,2)-1),TRUE,LEFT(AQ619,vitri(".",AQ619,1)-1))</f>
        <v/>
      </c>
    </row>
    <row r="620" spans="13:54" x14ac:dyDescent="0.25">
      <c r="M620" s="377"/>
      <c r="BB620" s="83" t="str">
        <f t="array" ref="BB620">_xlfn.IFS(AQ620="","",LEN(AQ620)-LEN(SUBSTITUTE(AQ620,".",""))=3,LEFT(AQ620,vitri(".",AQ620,3)-1),LEN(AQ620)-LEN(SUBSTITUTE(AQ620,".",""))=2,LEFT(AQ620,vitri(".",AQ620,2)-1),TRUE,LEFT(AQ620,vitri(".",AQ620,1)-1))</f>
        <v/>
      </c>
    </row>
    <row r="621" spans="13:54" x14ac:dyDescent="0.25">
      <c r="M621" s="377"/>
      <c r="BB621" s="83" t="str">
        <f t="array" ref="BB621">_xlfn.IFS(AQ621="","",LEN(AQ621)-LEN(SUBSTITUTE(AQ621,".",""))=3,LEFT(AQ621,vitri(".",AQ621,3)-1),LEN(AQ621)-LEN(SUBSTITUTE(AQ621,".",""))=2,LEFT(AQ621,vitri(".",AQ621,2)-1),TRUE,LEFT(AQ621,vitri(".",AQ621,1)-1))</f>
        <v/>
      </c>
    </row>
    <row r="622" spans="13:54" x14ac:dyDescent="0.25">
      <c r="M622" s="377"/>
      <c r="BB622" s="83" t="str">
        <f t="array" ref="BB622">_xlfn.IFS(AQ622="","",LEN(AQ622)-LEN(SUBSTITUTE(AQ622,".",""))=3,LEFT(AQ622,vitri(".",AQ622,3)-1),LEN(AQ622)-LEN(SUBSTITUTE(AQ622,".",""))=2,LEFT(AQ622,vitri(".",AQ622,2)-1),TRUE,LEFT(AQ622,vitri(".",AQ622,1)-1))</f>
        <v/>
      </c>
    </row>
    <row r="623" spans="13:54" x14ac:dyDescent="0.25">
      <c r="M623" s="377"/>
      <c r="BB623" s="83" t="str">
        <f t="array" ref="BB623">_xlfn.IFS(AQ623="","",LEN(AQ623)-LEN(SUBSTITUTE(AQ623,".",""))=3,LEFT(AQ623,vitri(".",AQ623,3)-1),LEN(AQ623)-LEN(SUBSTITUTE(AQ623,".",""))=2,LEFT(AQ623,vitri(".",AQ623,2)-1),TRUE,LEFT(AQ623,vitri(".",AQ623,1)-1))</f>
        <v/>
      </c>
    </row>
    <row r="624" spans="13:54" x14ac:dyDescent="0.25">
      <c r="M624" s="377"/>
      <c r="BB624" s="83" t="str">
        <f t="array" ref="BB624">_xlfn.IFS(AQ624="","",LEN(AQ624)-LEN(SUBSTITUTE(AQ624,".",""))=3,LEFT(AQ624,vitri(".",AQ624,3)-1),LEN(AQ624)-LEN(SUBSTITUTE(AQ624,".",""))=2,LEFT(AQ624,vitri(".",AQ624,2)-1),TRUE,LEFT(AQ624,vitri(".",AQ624,1)-1))</f>
        <v/>
      </c>
    </row>
    <row r="625" spans="13:54" x14ac:dyDescent="0.25">
      <c r="M625" s="377"/>
      <c r="BB625" s="83" t="str">
        <f t="array" ref="BB625">_xlfn.IFS(AQ625="","",LEN(AQ625)-LEN(SUBSTITUTE(AQ625,".",""))=3,LEFT(AQ625,vitri(".",AQ625,3)-1),LEN(AQ625)-LEN(SUBSTITUTE(AQ625,".",""))=2,LEFT(AQ625,vitri(".",AQ625,2)-1),TRUE,LEFT(AQ625,vitri(".",AQ625,1)-1))</f>
        <v/>
      </c>
    </row>
    <row r="626" spans="13:54" x14ac:dyDescent="0.25">
      <c r="M626" s="377"/>
      <c r="BB626" s="83" t="str">
        <f t="array" ref="BB626">_xlfn.IFS(AQ626="","",LEN(AQ626)-LEN(SUBSTITUTE(AQ626,".",""))=3,LEFT(AQ626,vitri(".",AQ626,3)-1),LEN(AQ626)-LEN(SUBSTITUTE(AQ626,".",""))=2,LEFT(AQ626,vitri(".",AQ626,2)-1),TRUE,LEFT(AQ626,vitri(".",AQ626,1)-1))</f>
        <v/>
      </c>
    </row>
    <row r="627" spans="13:54" x14ac:dyDescent="0.25">
      <c r="M627" s="377"/>
      <c r="BB627" s="83" t="str">
        <f t="array" ref="BB627">_xlfn.IFS(AQ627="","",LEN(AQ627)-LEN(SUBSTITUTE(AQ627,".",""))=3,LEFT(AQ627,vitri(".",AQ627,3)-1),LEN(AQ627)-LEN(SUBSTITUTE(AQ627,".",""))=2,LEFT(AQ627,vitri(".",AQ627,2)-1),TRUE,LEFT(AQ627,vitri(".",AQ627,1)-1))</f>
        <v/>
      </c>
    </row>
    <row r="628" spans="13:54" x14ac:dyDescent="0.25">
      <c r="M628" s="377"/>
      <c r="BB628" s="83" t="str">
        <f t="array" ref="BB628">_xlfn.IFS(AQ628="","",LEN(AQ628)-LEN(SUBSTITUTE(AQ628,".",""))=3,LEFT(AQ628,vitri(".",AQ628,3)-1),LEN(AQ628)-LEN(SUBSTITUTE(AQ628,".",""))=2,LEFT(AQ628,vitri(".",AQ628,2)-1),TRUE,LEFT(AQ628,vitri(".",AQ628,1)-1))</f>
        <v/>
      </c>
    </row>
    <row r="629" spans="13:54" x14ac:dyDescent="0.25">
      <c r="M629" s="377"/>
      <c r="BB629" s="83" t="str">
        <f t="array" ref="BB629">_xlfn.IFS(AQ629="","",LEN(AQ629)-LEN(SUBSTITUTE(AQ629,".",""))=3,LEFT(AQ629,vitri(".",AQ629,3)-1),LEN(AQ629)-LEN(SUBSTITUTE(AQ629,".",""))=2,LEFT(AQ629,vitri(".",AQ629,2)-1),TRUE,LEFT(AQ629,vitri(".",AQ629,1)-1))</f>
        <v/>
      </c>
    </row>
    <row r="630" spans="13:54" x14ac:dyDescent="0.25">
      <c r="M630" s="377"/>
      <c r="BB630" s="83" t="str">
        <f t="array" ref="BB630">_xlfn.IFS(AQ630="","",LEN(AQ630)-LEN(SUBSTITUTE(AQ630,".",""))=3,LEFT(AQ630,vitri(".",AQ630,3)-1),LEN(AQ630)-LEN(SUBSTITUTE(AQ630,".",""))=2,LEFT(AQ630,vitri(".",AQ630,2)-1),TRUE,LEFT(AQ630,vitri(".",AQ630,1)-1))</f>
        <v/>
      </c>
    </row>
    <row r="631" spans="13:54" x14ac:dyDescent="0.25">
      <c r="M631" s="377"/>
      <c r="BB631" s="83" t="str">
        <f t="array" ref="BB631">_xlfn.IFS(AQ631="","",LEN(AQ631)-LEN(SUBSTITUTE(AQ631,".",""))=3,LEFT(AQ631,vitri(".",AQ631,3)-1),LEN(AQ631)-LEN(SUBSTITUTE(AQ631,".",""))=2,LEFT(AQ631,vitri(".",AQ631,2)-1),TRUE,LEFT(AQ631,vitri(".",AQ631,1)-1))</f>
        <v/>
      </c>
    </row>
    <row r="632" spans="13:54" x14ac:dyDescent="0.25">
      <c r="M632" s="377"/>
      <c r="BB632" s="83" t="str">
        <f t="array" ref="BB632">_xlfn.IFS(AQ632="","",LEN(AQ632)-LEN(SUBSTITUTE(AQ632,".",""))=3,LEFT(AQ632,vitri(".",AQ632,3)-1),LEN(AQ632)-LEN(SUBSTITUTE(AQ632,".",""))=2,LEFT(AQ632,vitri(".",AQ632,2)-1),TRUE,LEFT(AQ632,vitri(".",AQ632,1)-1))</f>
        <v/>
      </c>
    </row>
    <row r="633" spans="13:54" x14ac:dyDescent="0.25">
      <c r="M633" s="377"/>
      <c r="BB633" s="83" t="str">
        <f t="array" ref="BB633">_xlfn.IFS(AQ633="","",LEN(AQ633)-LEN(SUBSTITUTE(AQ633,".",""))=3,LEFT(AQ633,vitri(".",AQ633,3)-1),LEN(AQ633)-LEN(SUBSTITUTE(AQ633,".",""))=2,LEFT(AQ633,vitri(".",AQ633,2)-1),TRUE,LEFT(AQ633,vitri(".",AQ633,1)-1))</f>
        <v/>
      </c>
    </row>
    <row r="634" spans="13:54" x14ac:dyDescent="0.25">
      <c r="M634" s="377"/>
      <c r="BB634" s="83" t="str">
        <f t="array" ref="BB634">_xlfn.IFS(AQ634="","",LEN(AQ634)-LEN(SUBSTITUTE(AQ634,".",""))=3,LEFT(AQ634,vitri(".",AQ634,3)-1),LEN(AQ634)-LEN(SUBSTITUTE(AQ634,".",""))=2,LEFT(AQ634,vitri(".",AQ634,2)-1),TRUE,LEFT(AQ634,vitri(".",AQ634,1)-1))</f>
        <v/>
      </c>
    </row>
    <row r="635" spans="13:54" x14ac:dyDescent="0.25">
      <c r="M635" s="377"/>
      <c r="BB635" s="83" t="str">
        <f t="array" ref="BB635">_xlfn.IFS(AQ635="","",LEN(AQ635)-LEN(SUBSTITUTE(AQ635,".",""))=3,LEFT(AQ635,vitri(".",AQ635,3)-1),LEN(AQ635)-LEN(SUBSTITUTE(AQ635,".",""))=2,LEFT(AQ635,vitri(".",AQ635,2)-1),TRUE,LEFT(AQ635,vitri(".",AQ635,1)-1))</f>
        <v/>
      </c>
    </row>
    <row r="636" spans="13:54" x14ac:dyDescent="0.25">
      <c r="M636" s="377"/>
      <c r="BB636" s="83" t="str">
        <f t="array" ref="BB636">_xlfn.IFS(AQ636="","",LEN(AQ636)-LEN(SUBSTITUTE(AQ636,".",""))=3,LEFT(AQ636,vitri(".",AQ636,3)-1),LEN(AQ636)-LEN(SUBSTITUTE(AQ636,".",""))=2,LEFT(AQ636,vitri(".",AQ636,2)-1),TRUE,LEFT(AQ636,vitri(".",AQ636,1)-1))</f>
        <v/>
      </c>
    </row>
    <row r="637" spans="13:54" x14ac:dyDescent="0.25">
      <c r="M637" s="377"/>
      <c r="BB637" s="83" t="str">
        <f t="array" ref="BB637">_xlfn.IFS(AQ637="","",LEN(AQ637)-LEN(SUBSTITUTE(AQ637,".",""))=3,LEFT(AQ637,vitri(".",AQ637,3)-1),LEN(AQ637)-LEN(SUBSTITUTE(AQ637,".",""))=2,LEFT(AQ637,vitri(".",AQ637,2)-1),TRUE,LEFT(AQ637,vitri(".",AQ637,1)-1))</f>
        <v/>
      </c>
    </row>
    <row r="638" spans="13:54" x14ac:dyDescent="0.25">
      <c r="M638" s="377"/>
      <c r="BB638" s="83" t="str">
        <f t="array" ref="BB638">_xlfn.IFS(AQ638="","",LEN(AQ638)-LEN(SUBSTITUTE(AQ638,".",""))=3,LEFT(AQ638,vitri(".",AQ638,3)-1),LEN(AQ638)-LEN(SUBSTITUTE(AQ638,".",""))=2,LEFT(AQ638,vitri(".",AQ638,2)-1),TRUE,LEFT(AQ638,vitri(".",AQ638,1)-1))</f>
        <v/>
      </c>
    </row>
    <row r="639" spans="13:54" x14ac:dyDescent="0.25">
      <c r="M639" s="377"/>
      <c r="BB639" s="83" t="str">
        <f t="array" ref="BB639">_xlfn.IFS(AQ639="","",LEN(AQ639)-LEN(SUBSTITUTE(AQ639,".",""))=3,LEFT(AQ639,vitri(".",AQ639,3)-1),LEN(AQ639)-LEN(SUBSTITUTE(AQ639,".",""))=2,LEFT(AQ639,vitri(".",AQ639,2)-1),TRUE,LEFT(AQ639,vitri(".",AQ639,1)-1))</f>
        <v/>
      </c>
    </row>
    <row r="640" spans="13:54" x14ac:dyDescent="0.25">
      <c r="M640" s="377"/>
      <c r="BB640" s="83" t="str">
        <f t="array" ref="BB640">_xlfn.IFS(AQ640="","",LEN(AQ640)-LEN(SUBSTITUTE(AQ640,".",""))=3,LEFT(AQ640,vitri(".",AQ640,3)-1),LEN(AQ640)-LEN(SUBSTITUTE(AQ640,".",""))=2,LEFT(AQ640,vitri(".",AQ640,2)-1),TRUE,LEFT(AQ640,vitri(".",AQ640,1)-1))</f>
        <v/>
      </c>
    </row>
    <row r="641" spans="13:54" x14ac:dyDescent="0.25">
      <c r="M641" s="377"/>
      <c r="BB641" s="83" t="str">
        <f t="array" ref="BB641">_xlfn.IFS(AQ641="","",LEN(AQ641)-LEN(SUBSTITUTE(AQ641,".",""))=3,LEFT(AQ641,vitri(".",AQ641,3)-1),LEN(AQ641)-LEN(SUBSTITUTE(AQ641,".",""))=2,LEFT(AQ641,vitri(".",AQ641,2)-1),TRUE,LEFT(AQ641,vitri(".",AQ641,1)-1))</f>
        <v/>
      </c>
    </row>
    <row r="642" spans="13:54" x14ac:dyDescent="0.25">
      <c r="M642" s="377"/>
      <c r="BB642" s="83" t="str">
        <f t="array" ref="BB642">_xlfn.IFS(AQ642="","",LEN(AQ642)-LEN(SUBSTITUTE(AQ642,".",""))=3,LEFT(AQ642,vitri(".",AQ642,3)-1),LEN(AQ642)-LEN(SUBSTITUTE(AQ642,".",""))=2,LEFT(AQ642,vitri(".",AQ642,2)-1),TRUE,LEFT(AQ642,vitri(".",AQ642,1)-1))</f>
        <v/>
      </c>
    </row>
    <row r="643" spans="13:54" x14ac:dyDescent="0.25">
      <c r="M643" s="377"/>
      <c r="BB643" s="83" t="str">
        <f t="array" ref="BB643">_xlfn.IFS(AQ643="","",LEN(AQ643)-LEN(SUBSTITUTE(AQ643,".",""))=3,LEFT(AQ643,vitri(".",AQ643,3)-1),LEN(AQ643)-LEN(SUBSTITUTE(AQ643,".",""))=2,LEFT(AQ643,vitri(".",AQ643,2)-1),TRUE,LEFT(AQ643,vitri(".",AQ643,1)-1))</f>
        <v/>
      </c>
    </row>
    <row r="644" spans="13:54" x14ac:dyDescent="0.25">
      <c r="M644" s="377"/>
      <c r="BB644" s="83" t="str">
        <f t="array" ref="BB644">_xlfn.IFS(AQ644="","",LEN(AQ644)-LEN(SUBSTITUTE(AQ644,".",""))=3,LEFT(AQ644,vitri(".",AQ644,3)-1),LEN(AQ644)-LEN(SUBSTITUTE(AQ644,".",""))=2,LEFT(AQ644,vitri(".",AQ644,2)-1),TRUE,LEFT(AQ644,vitri(".",AQ644,1)-1))</f>
        <v/>
      </c>
    </row>
    <row r="645" spans="13:54" x14ac:dyDescent="0.25">
      <c r="M645" s="377"/>
      <c r="BB645" s="83" t="str">
        <f t="array" ref="BB645">_xlfn.IFS(AQ645="","",LEN(AQ645)-LEN(SUBSTITUTE(AQ645,".",""))=3,LEFT(AQ645,vitri(".",AQ645,3)-1),LEN(AQ645)-LEN(SUBSTITUTE(AQ645,".",""))=2,LEFT(AQ645,vitri(".",AQ645,2)-1),TRUE,LEFT(AQ645,vitri(".",AQ645,1)-1))</f>
        <v/>
      </c>
    </row>
    <row r="646" spans="13:54" x14ac:dyDescent="0.25">
      <c r="M646" s="377"/>
      <c r="BB646" s="83" t="str">
        <f t="array" ref="BB646">_xlfn.IFS(AQ646="","",LEN(AQ646)-LEN(SUBSTITUTE(AQ646,".",""))=3,LEFT(AQ646,vitri(".",AQ646,3)-1),LEN(AQ646)-LEN(SUBSTITUTE(AQ646,".",""))=2,LEFT(AQ646,vitri(".",AQ646,2)-1),TRUE,LEFT(AQ646,vitri(".",AQ646,1)-1))</f>
        <v/>
      </c>
    </row>
    <row r="647" spans="13:54" x14ac:dyDescent="0.25">
      <c r="M647" s="377"/>
      <c r="BB647" s="83" t="str">
        <f t="array" ref="BB647">_xlfn.IFS(AQ647="","",LEN(AQ647)-LEN(SUBSTITUTE(AQ647,".",""))=3,LEFT(AQ647,vitri(".",AQ647,3)-1),LEN(AQ647)-LEN(SUBSTITUTE(AQ647,".",""))=2,LEFT(AQ647,vitri(".",AQ647,2)-1),TRUE,LEFT(AQ647,vitri(".",AQ647,1)-1))</f>
        <v/>
      </c>
    </row>
    <row r="648" spans="13:54" x14ac:dyDescent="0.25">
      <c r="M648" s="377"/>
      <c r="BB648" s="83" t="str">
        <f t="array" ref="BB648">_xlfn.IFS(AQ648="","",LEN(AQ648)-LEN(SUBSTITUTE(AQ648,".",""))=3,LEFT(AQ648,vitri(".",AQ648,3)-1),LEN(AQ648)-LEN(SUBSTITUTE(AQ648,".",""))=2,LEFT(AQ648,vitri(".",AQ648,2)-1),TRUE,LEFT(AQ648,vitri(".",AQ648,1)-1))</f>
        <v/>
      </c>
    </row>
    <row r="649" spans="13:54" x14ac:dyDescent="0.25">
      <c r="M649" s="377"/>
      <c r="BB649" s="83" t="str">
        <f t="array" ref="BB649">_xlfn.IFS(AQ649="","",LEN(AQ649)-LEN(SUBSTITUTE(AQ649,".",""))=3,LEFT(AQ649,vitri(".",AQ649,3)-1),LEN(AQ649)-LEN(SUBSTITUTE(AQ649,".",""))=2,LEFT(AQ649,vitri(".",AQ649,2)-1),TRUE,LEFT(AQ649,vitri(".",AQ649,1)-1))</f>
        <v/>
      </c>
    </row>
    <row r="650" spans="13:54" x14ac:dyDescent="0.25">
      <c r="M650" s="377"/>
      <c r="BB650" s="83" t="str">
        <f t="array" ref="BB650">_xlfn.IFS(AQ650="","",LEN(AQ650)-LEN(SUBSTITUTE(AQ650,".",""))=3,LEFT(AQ650,vitri(".",AQ650,3)-1),LEN(AQ650)-LEN(SUBSTITUTE(AQ650,".",""))=2,LEFT(AQ650,vitri(".",AQ650,2)-1),TRUE,LEFT(AQ650,vitri(".",AQ650,1)-1))</f>
        <v/>
      </c>
    </row>
    <row r="651" spans="13:54" x14ac:dyDescent="0.25">
      <c r="M651" s="377"/>
      <c r="BB651" s="83" t="str">
        <f t="array" ref="BB651">_xlfn.IFS(AQ651="","",LEN(AQ651)-LEN(SUBSTITUTE(AQ651,".",""))=3,LEFT(AQ651,vitri(".",AQ651,3)-1),LEN(AQ651)-LEN(SUBSTITUTE(AQ651,".",""))=2,LEFT(AQ651,vitri(".",AQ651,2)-1),TRUE,LEFT(AQ651,vitri(".",AQ651,1)-1))</f>
        <v/>
      </c>
    </row>
    <row r="652" spans="13:54" x14ac:dyDescent="0.25">
      <c r="M652" s="377"/>
      <c r="BB652" s="83" t="str">
        <f t="array" ref="BB652">_xlfn.IFS(AQ652="","",LEN(AQ652)-LEN(SUBSTITUTE(AQ652,".",""))=3,LEFT(AQ652,vitri(".",AQ652,3)-1),LEN(AQ652)-LEN(SUBSTITUTE(AQ652,".",""))=2,LEFT(AQ652,vitri(".",AQ652,2)-1),TRUE,LEFT(AQ652,vitri(".",AQ652,1)-1))</f>
        <v/>
      </c>
    </row>
    <row r="653" spans="13:54" x14ac:dyDescent="0.25">
      <c r="M653" s="377"/>
      <c r="BB653" s="83" t="str">
        <f t="array" ref="BB653">_xlfn.IFS(AQ653="","",LEN(AQ653)-LEN(SUBSTITUTE(AQ653,".",""))=3,LEFT(AQ653,vitri(".",AQ653,3)-1),LEN(AQ653)-LEN(SUBSTITUTE(AQ653,".",""))=2,LEFT(AQ653,vitri(".",AQ653,2)-1),TRUE,LEFT(AQ653,vitri(".",AQ653,1)-1))</f>
        <v/>
      </c>
    </row>
    <row r="654" spans="13:54" x14ac:dyDescent="0.25">
      <c r="M654" s="377"/>
      <c r="BB654" s="83" t="str">
        <f t="array" ref="BB654">_xlfn.IFS(AQ654="","",LEN(AQ654)-LEN(SUBSTITUTE(AQ654,".",""))=3,LEFT(AQ654,vitri(".",AQ654,3)-1),LEN(AQ654)-LEN(SUBSTITUTE(AQ654,".",""))=2,LEFT(AQ654,vitri(".",AQ654,2)-1),TRUE,LEFT(AQ654,vitri(".",AQ654,1)-1))</f>
        <v/>
      </c>
    </row>
    <row r="655" spans="13:54" x14ac:dyDescent="0.25">
      <c r="M655" s="377"/>
      <c r="BB655" s="83" t="str">
        <f t="array" ref="BB655">_xlfn.IFS(AQ655="","",LEN(AQ655)-LEN(SUBSTITUTE(AQ655,".",""))=3,LEFT(AQ655,vitri(".",AQ655,3)-1),LEN(AQ655)-LEN(SUBSTITUTE(AQ655,".",""))=2,LEFT(AQ655,vitri(".",AQ655,2)-1),TRUE,LEFT(AQ655,vitri(".",AQ655,1)-1))</f>
        <v/>
      </c>
    </row>
    <row r="656" spans="13:54" x14ac:dyDescent="0.25">
      <c r="M656" s="377"/>
      <c r="BB656" s="83" t="str">
        <f t="array" ref="BB656">_xlfn.IFS(AQ656="","",LEN(AQ656)-LEN(SUBSTITUTE(AQ656,".",""))=3,LEFT(AQ656,vitri(".",AQ656,3)-1),LEN(AQ656)-LEN(SUBSTITUTE(AQ656,".",""))=2,LEFT(AQ656,vitri(".",AQ656,2)-1),TRUE,LEFT(AQ656,vitri(".",AQ656,1)-1))</f>
        <v/>
      </c>
    </row>
    <row r="657" spans="13:54" x14ac:dyDescent="0.25">
      <c r="M657" s="377"/>
      <c r="BB657" s="83" t="str">
        <f t="array" ref="BB657">_xlfn.IFS(AQ657="","",LEN(AQ657)-LEN(SUBSTITUTE(AQ657,".",""))=3,LEFT(AQ657,vitri(".",AQ657,3)-1),LEN(AQ657)-LEN(SUBSTITUTE(AQ657,".",""))=2,LEFT(AQ657,vitri(".",AQ657,2)-1),TRUE,LEFT(AQ657,vitri(".",AQ657,1)-1))</f>
        <v/>
      </c>
    </row>
    <row r="658" spans="13:54" x14ac:dyDescent="0.25">
      <c r="M658" s="377"/>
      <c r="BB658" s="83" t="str">
        <f t="array" ref="BB658">_xlfn.IFS(AQ658="","",LEN(AQ658)-LEN(SUBSTITUTE(AQ658,".",""))=3,LEFT(AQ658,vitri(".",AQ658,3)-1),LEN(AQ658)-LEN(SUBSTITUTE(AQ658,".",""))=2,LEFT(AQ658,vitri(".",AQ658,2)-1),TRUE,LEFT(AQ658,vitri(".",AQ658,1)-1))</f>
        <v/>
      </c>
    </row>
    <row r="659" spans="13:54" x14ac:dyDescent="0.25">
      <c r="M659" s="377"/>
      <c r="BB659" s="83" t="str">
        <f t="array" ref="BB659">_xlfn.IFS(AQ659="","",LEN(AQ659)-LEN(SUBSTITUTE(AQ659,".",""))=3,LEFT(AQ659,vitri(".",AQ659,3)-1),LEN(AQ659)-LEN(SUBSTITUTE(AQ659,".",""))=2,LEFT(AQ659,vitri(".",AQ659,2)-1),TRUE,LEFT(AQ659,vitri(".",AQ659,1)-1))</f>
        <v/>
      </c>
    </row>
    <row r="660" spans="13:54" x14ac:dyDescent="0.25">
      <c r="M660" s="377"/>
      <c r="BB660" s="83" t="str">
        <f t="array" ref="BB660">_xlfn.IFS(AQ660="","",LEN(AQ660)-LEN(SUBSTITUTE(AQ660,".",""))=3,LEFT(AQ660,vitri(".",AQ660,3)-1),LEN(AQ660)-LEN(SUBSTITUTE(AQ660,".",""))=2,LEFT(AQ660,vitri(".",AQ660,2)-1),TRUE,LEFT(AQ660,vitri(".",AQ660,1)-1))</f>
        <v/>
      </c>
    </row>
    <row r="661" spans="13:54" x14ac:dyDescent="0.25">
      <c r="M661" s="377"/>
      <c r="BB661" s="83" t="str">
        <f t="array" ref="BB661">_xlfn.IFS(AQ661="","",LEN(AQ661)-LEN(SUBSTITUTE(AQ661,".",""))=3,LEFT(AQ661,vitri(".",AQ661,3)-1),LEN(AQ661)-LEN(SUBSTITUTE(AQ661,".",""))=2,LEFT(AQ661,vitri(".",AQ661,2)-1),TRUE,LEFT(AQ661,vitri(".",AQ661,1)-1))</f>
        <v/>
      </c>
    </row>
    <row r="662" spans="13:54" x14ac:dyDescent="0.25">
      <c r="M662" s="377"/>
      <c r="BB662" s="83" t="str">
        <f t="array" ref="BB662">_xlfn.IFS(AQ662="","",LEN(AQ662)-LEN(SUBSTITUTE(AQ662,".",""))=3,LEFT(AQ662,vitri(".",AQ662,3)-1),LEN(AQ662)-LEN(SUBSTITUTE(AQ662,".",""))=2,LEFT(AQ662,vitri(".",AQ662,2)-1),TRUE,LEFT(AQ662,vitri(".",AQ662,1)-1))</f>
        <v/>
      </c>
    </row>
    <row r="663" spans="13:54" x14ac:dyDescent="0.25">
      <c r="M663" s="377"/>
      <c r="BB663" s="83" t="str">
        <f t="array" ref="BB663">_xlfn.IFS(AQ663="","",LEN(AQ663)-LEN(SUBSTITUTE(AQ663,".",""))=3,LEFT(AQ663,vitri(".",AQ663,3)-1),LEN(AQ663)-LEN(SUBSTITUTE(AQ663,".",""))=2,LEFT(AQ663,vitri(".",AQ663,2)-1),TRUE,LEFT(AQ663,vitri(".",AQ663,1)-1))</f>
        <v/>
      </c>
    </row>
    <row r="664" spans="13:54" x14ac:dyDescent="0.25">
      <c r="M664" s="377"/>
      <c r="BB664" s="83" t="str">
        <f t="array" ref="BB664">_xlfn.IFS(AQ664="","",LEN(AQ664)-LEN(SUBSTITUTE(AQ664,".",""))=3,LEFT(AQ664,vitri(".",AQ664,3)-1),LEN(AQ664)-LEN(SUBSTITUTE(AQ664,".",""))=2,LEFT(AQ664,vitri(".",AQ664,2)-1),TRUE,LEFT(AQ664,vitri(".",AQ664,1)-1))</f>
        <v/>
      </c>
    </row>
    <row r="665" spans="13:54" x14ac:dyDescent="0.25">
      <c r="M665" s="377"/>
      <c r="BB665" s="83" t="str">
        <f t="array" ref="BB665">_xlfn.IFS(AQ665="","",LEN(AQ665)-LEN(SUBSTITUTE(AQ665,".",""))=3,LEFT(AQ665,vitri(".",AQ665,3)-1),LEN(AQ665)-LEN(SUBSTITUTE(AQ665,".",""))=2,LEFT(AQ665,vitri(".",AQ665,2)-1),TRUE,LEFT(AQ665,vitri(".",AQ665,1)-1))</f>
        <v/>
      </c>
    </row>
    <row r="666" spans="13:54" x14ac:dyDescent="0.25">
      <c r="M666" s="377"/>
      <c r="BB666" s="83" t="str">
        <f t="array" ref="BB666">_xlfn.IFS(AQ666="","",LEN(AQ666)-LEN(SUBSTITUTE(AQ666,".",""))=3,LEFT(AQ666,vitri(".",AQ666,3)-1),LEN(AQ666)-LEN(SUBSTITUTE(AQ666,".",""))=2,LEFT(AQ666,vitri(".",AQ666,2)-1),TRUE,LEFT(AQ666,vitri(".",AQ666,1)-1))</f>
        <v/>
      </c>
    </row>
    <row r="667" spans="13:54" x14ac:dyDescent="0.25">
      <c r="M667" s="377"/>
      <c r="BB667" s="83" t="str">
        <f t="array" ref="BB667">_xlfn.IFS(AQ667="","",LEN(AQ667)-LEN(SUBSTITUTE(AQ667,".",""))=3,LEFT(AQ667,vitri(".",AQ667,3)-1),LEN(AQ667)-LEN(SUBSTITUTE(AQ667,".",""))=2,LEFT(AQ667,vitri(".",AQ667,2)-1),TRUE,LEFT(AQ667,vitri(".",AQ667,1)-1))</f>
        <v/>
      </c>
    </row>
    <row r="668" spans="13:54" x14ac:dyDescent="0.25">
      <c r="M668" s="377"/>
      <c r="BB668" s="83" t="str">
        <f t="array" ref="BB668">_xlfn.IFS(AQ668="","",LEN(AQ668)-LEN(SUBSTITUTE(AQ668,".",""))=3,LEFT(AQ668,vitri(".",AQ668,3)-1),LEN(AQ668)-LEN(SUBSTITUTE(AQ668,".",""))=2,LEFT(AQ668,vitri(".",AQ668,2)-1),TRUE,LEFT(AQ668,vitri(".",AQ668,1)-1))</f>
        <v/>
      </c>
    </row>
    <row r="669" spans="13:54" x14ac:dyDescent="0.25">
      <c r="M669" s="377"/>
      <c r="BB669" s="83" t="str">
        <f t="array" ref="BB669">_xlfn.IFS(AQ669="","",LEN(AQ669)-LEN(SUBSTITUTE(AQ669,".",""))=3,LEFT(AQ669,vitri(".",AQ669,3)-1),LEN(AQ669)-LEN(SUBSTITUTE(AQ669,".",""))=2,LEFT(AQ669,vitri(".",AQ669,2)-1),TRUE,LEFT(AQ669,vitri(".",AQ669,1)-1))</f>
        <v/>
      </c>
    </row>
    <row r="670" spans="13:54" x14ac:dyDescent="0.25">
      <c r="M670" s="377"/>
      <c r="BB670" s="83" t="str">
        <f t="array" ref="BB670">_xlfn.IFS(AQ670="","",LEN(AQ670)-LEN(SUBSTITUTE(AQ670,".",""))=3,LEFT(AQ670,vitri(".",AQ670,3)-1),LEN(AQ670)-LEN(SUBSTITUTE(AQ670,".",""))=2,LEFT(AQ670,vitri(".",AQ670,2)-1),TRUE,LEFT(AQ670,vitri(".",AQ670,1)-1))</f>
        <v/>
      </c>
    </row>
    <row r="671" spans="13:54" x14ac:dyDescent="0.25">
      <c r="M671" s="377"/>
      <c r="BB671" s="83" t="str">
        <f t="array" ref="BB671">_xlfn.IFS(AQ671="","",LEN(AQ671)-LEN(SUBSTITUTE(AQ671,".",""))=3,LEFT(AQ671,vitri(".",AQ671,3)-1),LEN(AQ671)-LEN(SUBSTITUTE(AQ671,".",""))=2,LEFT(AQ671,vitri(".",AQ671,2)-1),TRUE,LEFT(AQ671,vitri(".",AQ671,1)-1))</f>
        <v/>
      </c>
    </row>
    <row r="672" spans="13:54" x14ac:dyDescent="0.25">
      <c r="M672" s="377"/>
      <c r="BB672" s="83" t="str">
        <f t="array" ref="BB672">_xlfn.IFS(AQ672="","",LEN(AQ672)-LEN(SUBSTITUTE(AQ672,".",""))=3,LEFT(AQ672,vitri(".",AQ672,3)-1),LEN(AQ672)-LEN(SUBSTITUTE(AQ672,".",""))=2,LEFT(AQ672,vitri(".",AQ672,2)-1),TRUE,LEFT(AQ672,vitri(".",AQ672,1)-1))</f>
        <v/>
      </c>
    </row>
    <row r="673" spans="13:54" x14ac:dyDescent="0.25">
      <c r="M673" s="377"/>
      <c r="BB673" s="83" t="str">
        <f t="array" ref="BB673">_xlfn.IFS(AQ673="","",LEN(AQ673)-LEN(SUBSTITUTE(AQ673,".",""))=3,LEFT(AQ673,vitri(".",AQ673,3)-1),LEN(AQ673)-LEN(SUBSTITUTE(AQ673,".",""))=2,LEFT(AQ673,vitri(".",AQ673,2)-1),TRUE,LEFT(AQ673,vitri(".",AQ673,1)-1))</f>
        <v/>
      </c>
    </row>
    <row r="674" spans="13:54" x14ac:dyDescent="0.25">
      <c r="M674" s="377"/>
      <c r="BB674" s="83" t="str">
        <f t="array" ref="BB674">_xlfn.IFS(AQ674="","",LEN(AQ674)-LEN(SUBSTITUTE(AQ674,".",""))=3,LEFT(AQ674,vitri(".",AQ674,3)-1),LEN(AQ674)-LEN(SUBSTITUTE(AQ674,".",""))=2,LEFT(AQ674,vitri(".",AQ674,2)-1),TRUE,LEFT(AQ674,vitri(".",AQ674,1)-1))</f>
        <v/>
      </c>
    </row>
    <row r="675" spans="13:54" x14ac:dyDescent="0.25">
      <c r="M675" s="377"/>
      <c r="BB675" s="83" t="str">
        <f t="array" ref="BB675">_xlfn.IFS(AQ675="","",LEN(AQ675)-LEN(SUBSTITUTE(AQ675,".",""))=3,LEFT(AQ675,vitri(".",AQ675,3)-1),LEN(AQ675)-LEN(SUBSTITUTE(AQ675,".",""))=2,LEFT(AQ675,vitri(".",AQ675,2)-1),TRUE,LEFT(AQ675,vitri(".",AQ675,1)-1))</f>
        <v/>
      </c>
    </row>
    <row r="676" spans="13:54" x14ac:dyDescent="0.25">
      <c r="M676" s="377"/>
      <c r="BB676" s="83" t="str">
        <f t="array" ref="BB676">_xlfn.IFS(AQ676="","",LEN(AQ676)-LEN(SUBSTITUTE(AQ676,".",""))=3,LEFT(AQ676,vitri(".",AQ676,3)-1),LEN(AQ676)-LEN(SUBSTITUTE(AQ676,".",""))=2,LEFT(AQ676,vitri(".",AQ676,2)-1),TRUE,LEFT(AQ676,vitri(".",AQ676,1)-1))</f>
        <v/>
      </c>
    </row>
    <row r="677" spans="13:54" x14ac:dyDescent="0.25">
      <c r="M677" s="377"/>
      <c r="BB677" s="83" t="str">
        <f t="array" ref="BB677">_xlfn.IFS(AQ677="","",LEN(AQ677)-LEN(SUBSTITUTE(AQ677,".",""))=3,LEFT(AQ677,vitri(".",AQ677,3)-1),LEN(AQ677)-LEN(SUBSTITUTE(AQ677,".",""))=2,LEFT(AQ677,vitri(".",AQ677,2)-1),TRUE,LEFT(AQ677,vitri(".",AQ677,1)-1))</f>
        <v/>
      </c>
    </row>
    <row r="678" spans="13:54" x14ac:dyDescent="0.25">
      <c r="M678" s="377"/>
      <c r="BB678" s="83" t="str">
        <f t="array" ref="BB678">_xlfn.IFS(AQ678="","",LEN(AQ678)-LEN(SUBSTITUTE(AQ678,".",""))=3,LEFT(AQ678,vitri(".",AQ678,3)-1),LEN(AQ678)-LEN(SUBSTITUTE(AQ678,".",""))=2,LEFT(AQ678,vitri(".",AQ678,2)-1),TRUE,LEFT(AQ678,vitri(".",AQ678,1)-1))</f>
        <v/>
      </c>
    </row>
    <row r="679" spans="13:54" x14ac:dyDescent="0.25">
      <c r="M679" s="377"/>
      <c r="BB679" s="83" t="str">
        <f t="array" ref="BB679">_xlfn.IFS(AQ679="","",LEN(AQ679)-LEN(SUBSTITUTE(AQ679,".",""))=3,LEFT(AQ679,vitri(".",AQ679,3)-1),LEN(AQ679)-LEN(SUBSTITUTE(AQ679,".",""))=2,LEFT(AQ679,vitri(".",AQ679,2)-1),TRUE,LEFT(AQ679,vitri(".",AQ679,1)-1))</f>
        <v/>
      </c>
    </row>
    <row r="680" spans="13:54" x14ac:dyDescent="0.25">
      <c r="M680" s="377"/>
      <c r="BB680" s="83" t="str">
        <f t="array" ref="BB680">_xlfn.IFS(AQ680="","",LEN(AQ680)-LEN(SUBSTITUTE(AQ680,".",""))=3,LEFT(AQ680,vitri(".",AQ680,3)-1),LEN(AQ680)-LEN(SUBSTITUTE(AQ680,".",""))=2,LEFT(AQ680,vitri(".",AQ680,2)-1),TRUE,LEFT(AQ680,vitri(".",AQ680,1)-1))</f>
        <v/>
      </c>
    </row>
    <row r="681" spans="13:54" x14ac:dyDescent="0.25">
      <c r="M681" s="377"/>
      <c r="BB681" s="83" t="str">
        <f t="array" ref="BB681">_xlfn.IFS(AQ681="","",LEN(AQ681)-LEN(SUBSTITUTE(AQ681,".",""))=3,LEFT(AQ681,vitri(".",AQ681,3)-1),LEN(AQ681)-LEN(SUBSTITUTE(AQ681,".",""))=2,LEFT(AQ681,vitri(".",AQ681,2)-1),TRUE,LEFT(AQ681,vitri(".",AQ681,1)-1))</f>
        <v/>
      </c>
    </row>
    <row r="682" spans="13:54" x14ac:dyDescent="0.25">
      <c r="M682" s="377"/>
      <c r="BB682" s="83" t="str">
        <f t="array" ref="BB682">_xlfn.IFS(AQ682="","",LEN(AQ682)-LEN(SUBSTITUTE(AQ682,".",""))=3,LEFT(AQ682,vitri(".",AQ682,3)-1),LEN(AQ682)-LEN(SUBSTITUTE(AQ682,".",""))=2,LEFT(AQ682,vitri(".",AQ682,2)-1),TRUE,LEFT(AQ682,vitri(".",AQ682,1)-1))</f>
        <v/>
      </c>
    </row>
    <row r="683" spans="13:54" x14ac:dyDescent="0.25">
      <c r="M683" s="377"/>
      <c r="BB683" s="83" t="str">
        <f t="array" ref="BB683">_xlfn.IFS(AQ683="","",LEN(AQ683)-LEN(SUBSTITUTE(AQ683,".",""))=3,LEFT(AQ683,vitri(".",AQ683,3)-1),LEN(AQ683)-LEN(SUBSTITUTE(AQ683,".",""))=2,LEFT(AQ683,vitri(".",AQ683,2)-1),TRUE,LEFT(AQ683,vitri(".",AQ683,1)-1))</f>
        <v/>
      </c>
    </row>
    <row r="684" spans="13:54" x14ac:dyDescent="0.25">
      <c r="M684" s="377"/>
      <c r="BB684" s="83" t="str">
        <f t="array" ref="BB684">_xlfn.IFS(AQ684="","",LEN(AQ684)-LEN(SUBSTITUTE(AQ684,".",""))=3,LEFT(AQ684,vitri(".",AQ684,3)-1),LEN(AQ684)-LEN(SUBSTITUTE(AQ684,".",""))=2,LEFT(AQ684,vitri(".",AQ684,2)-1),TRUE,LEFT(AQ684,vitri(".",AQ684,1)-1))</f>
        <v/>
      </c>
    </row>
    <row r="685" spans="13:54" x14ac:dyDescent="0.25">
      <c r="M685" s="377"/>
      <c r="BB685" s="83" t="str">
        <f t="array" ref="BB685">_xlfn.IFS(AQ685="","",LEN(AQ685)-LEN(SUBSTITUTE(AQ685,".",""))=3,LEFT(AQ685,vitri(".",AQ685,3)-1),LEN(AQ685)-LEN(SUBSTITUTE(AQ685,".",""))=2,LEFT(AQ685,vitri(".",AQ685,2)-1),TRUE,LEFT(AQ685,vitri(".",AQ685,1)-1))</f>
        <v/>
      </c>
    </row>
    <row r="686" spans="13:54" x14ac:dyDescent="0.25">
      <c r="M686" s="377"/>
      <c r="BB686" s="83" t="str">
        <f t="array" ref="BB686">_xlfn.IFS(AQ686="","",LEN(AQ686)-LEN(SUBSTITUTE(AQ686,".",""))=3,LEFT(AQ686,vitri(".",AQ686,3)-1),LEN(AQ686)-LEN(SUBSTITUTE(AQ686,".",""))=2,LEFT(AQ686,vitri(".",AQ686,2)-1),TRUE,LEFT(AQ686,vitri(".",AQ686,1)-1))</f>
        <v/>
      </c>
    </row>
    <row r="687" spans="13:54" x14ac:dyDescent="0.25">
      <c r="M687" s="377"/>
      <c r="BB687" s="83" t="str">
        <f t="array" ref="BB687">_xlfn.IFS(AQ687="","",LEN(AQ687)-LEN(SUBSTITUTE(AQ687,".",""))=3,LEFT(AQ687,vitri(".",AQ687,3)-1),LEN(AQ687)-LEN(SUBSTITUTE(AQ687,".",""))=2,LEFT(AQ687,vitri(".",AQ687,2)-1),TRUE,LEFT(AQ687,vitri(".",AQ687,1)-1))</f>
        <v/>
      </c>
    </row>
    <row r="688" spans="13:54" x14ac:dyDescent="0.25">
      <c r="M688" s="377"/>
      <c r="BB688" s="83" t="str">
        <f t="array" ref="BB688">_xlfn.IFS(AQ688="","",LEN(AQ688)-LEN(SUBSTITUTE(AQ688,".",""))=3,LEFT(AQ688,vitri(".",AQ688,3)-1),LEN(AQ688)-LEN(SUBSTITUTE(AQ688,".",""))=2,LEFT(AQ688,vitri(".",AQ688,2)-1),TRUE,LEFT(AQ688,vitri(".",AQ688,1)-1))</f>
        <v/>
      </c>
    </row>
    <row r="689" spans="13:54" x14ac:dyDescent="0.25">
      <c r="M689" s="377"/>
      <c r="BB689" s="83" t="str">
        <f t="array" ref="BB689">_xlfn.IFS(AQ689="","",LEN(AQ689)-LEN(SUBSTITUTE(AQ689,".",""))=3,LEFT(AQ689,vitri(".",AQ689,3)-1),LEN(AQ689)-LEN(SUBSTITUTE(AQ689,".",""))=2,LEFT(AQ689,vitri(".",AQ689,2)-1),TRUE,LEFT(AQ689,vitri(".",AQ689,1)-1))</f>
        <v/>
      </c>
    </row>
    <row r="690" spans="13:54" x14ac:dyDescent="0.25">
      <c r="M690" s="377"/>
      <c r="BB690" s="83" t="str">
        <f t="array" ref="BB690">_xlfn.IFS(AQ690="","",LEN(AQ690)-LEN(SUBSTITUTE(AQ690,".",""))=3,LEFT(AQ690,vitri(".",AQ690,3)-1),LEN(AQ690)-LEN(SUBSTITUTE(AQ690,".",""))=2,LEFT(AQ690,vitri(".",AQ690,2)-1),TRUE,LEFT(AQ690,vitri(".",AQ690,1)-1))</f>
        <v/>
      </c>
    </row>
    <row r="691" spans="13:54" x14ac:dyDescent="0.25">
      <c r="M691" s="377"/>
      <c r="BB691" s="83" t="str">
        <f t="array" ref="BB691">_xlfn.IFS(AQ691="","",LEN(AQ691)-LEN(SUBSTITUTE(AQ691,".",""))=3,LEFT(AQ691,vitri(".",AQ691,3)-1),LEN(AQ691)-LEN(SUBSTITUTE(AQ691,".",""))=2,LEFT(AQ691,vitri(".",AQ691,2)-1),TRUE,LEFT(AQ691,vitri(".",AQ691,1)-1))</f>
        <v/>
      </c>
    </row>
    <row r="692" spans="13:54" x14ac:dyDescent="0.25">
      <c r="M692" s="377"/>
      <c r="BB692" s="83" t="str">
        <f t="array" ref="BB692">_xlfn.IFS(AQ692="","",LEN(AQ692)-LEN(SUBSTITUTE(AQ692,".",""))=3,LEFT(AQ692,vitri(".",AQ692,3)-1),LEN(AQ692)-LEN(SUBSTITUTE(AQ692,".",""))=2,LEFT(AQ692,vitri(".",AQ692,2)-1),TRUE,LEFT(AQ692,vitri(".",AQ692,1)-1))</f>
        <v/>
      </c>
    </row>
    <row r="693" spans="13:54" x14ac:dyDescent="0.25">
      <c r="M693" s="377"/>
      <c r="BB693" s="83" t="str">
        <f t="array" ref="BB693">_xlfn.IFS(AQ693="","",LEN(AQ693)-LEN(SUBSTITUTE(AQ693,".",""))=3,LEFT(AQ693,vitri(".",AQ693,3)-1),LEN(AQ693)-LEN(SUBSTITUTE(AQ693,".",""))=2,LEFT(AQ693,vitri(".",AQ693,2)-1),TRUE,LEFT(AQ693,vitri(".",AQ693,1)-1))</f>
        <v/>
      </c>
    </row>
    <row r="694" spans="13:54" x14ac:dyDescent="0.25">
      <c r="M694" s="377"/>
      <c r="BB694" s="83" t="str">
        <f t="array" ref="BB694">_xlfn.IFS(AQ694="","",LEN(AQ694)-LEN(SUBSTITUTE(AQ694,".",""))=3,LEFT(AQ694,vitri(".",AQ694,3)-1),LEN(AQ694)-LEN(SUBSTITUTE(AQ694,".",""))=2,LEFT(AQ694,vitri(".",AQ694,2)-1),TRUE,LEFT(AQ694,vitri(".",AQ694,1)-1))</f>
        <v/>
      </c>
    </row>
    <row r="695" spans="13:54" x14ac:dyDescent="0.25">
      <c r="M695" s="377"/>
      <c r="BB695" s="83" t="str">
        <f t="array" ref="BB695">_xlfn.IFS(AQ695="","",LEN(AQ695)-LEN(SUBSTITUTE(AQ695,".",""))=3,LEFT(AQ695,vitri(".",AQ695,3)-1),LEN(AQ695)-LEN(SUBSTITUTE(AQ695,".",""))=2,LEFT(AQ695,vitri(".",AQ695,2)-1),TRUE,LEFT(AQ695,vitri(".",AQ695,1)-1))</f>
        <v/>
      </c>
    </row>
    <row r="696" spans="13:54" x14ac:dyDescent="0.25">
      <c r="M696" s="377"/>
      <c r="BB696" s="83" t="str">
        <f t="array" ref="BB696">_xlfn.IFS(AQ696="","",LEN(AQ696)-LEN(SUBSTITUTE(AQ696,".",""))=3,LEFT(AQ696,vitri(".",AQ696,3)-1),LEN(AQ696)-LEN(SUBSTITUTE(AQ696,".",""))=2,LEFT(AQ696,vitri(".",AQ696,2)-1),TRUE,LEFT(AQ696,vitri(".",AQ696,1)-1))</f>
        <v/>
      </c>
    </row>
    <row r="697" spans="13:54" x14ac:dyDescent="0.25">
      <c r="M697" s="377"/>
      <c r="BB697" s="83" t="str">
        <f t="array" ref="BB697">_xlfn.IFS(AQ697="","",LEN(AQ697)-LEN(SUBSTITUTE(AQ697,".",""))=3,LEFT(AQ697,vitri(".",AQ697,3)-1),LEN(AQ697)-LEN(SUBSTITUTE(AQ697,".",""))=2,LEFT(AQ697,vitri(".",AQ697,2)-1),TRUE,LEFT(AQ697,vitri(".",AQ697,1)-1))</f>
        <v/>
      </c>
    </row>
    <row r="698" spans="13:54" x14ac:dyDescent="0.25">
      <c r="M698" s="377"/>
      <c r="BB698" s="83" t="str">
        <f t="array" ref="BB698">_xlfn.IFS(AQ698="","",LEN(AQ698)-LEN(SUBSTITUTE(AQ698,".",""))=3,LEFT(AQ698,vitri(".",AQ698,3)-1),LEN(AQ698)-LEN(SUBSTITUTE(AQ698,".",""))=2,LEFT(AQ698,vitri(".",AQ698,2)-1),TRUE,LEFT(AQ698,vitri(".",AQ698,1)-1))</f>
        <v/>
      </c>
    </row>
    <row r="699" spans="13:54" x14ac:dyDescent="0.25">
      <c r="M699" s="377"/>
      <c r="BB699" s="83" t="str">
        <f t="array" ref="BB699">_xlfn.IFS(AQ699="","",LEN(AQ699)-LEN(SUBSTITUTE(AQ699,".",""))=3,LEFT(AQ699,vitri(".",AQ699,3)-1),LEN(AQ699)-LEN(SUBSTITUTE(AQ699,".",""))=2,LEFT(AQ699,vitri(".",AQ699,2)-1),TRUE,LEFT(AQ699,vitri(".",AQ699,1)-1))</f>
        <v/>
      </c>
    </row>
    <row r="700" spans="13:54" x14ac:dyDescent="0.25">
      <c r="M700" s="377"/>
      <c r="BB700" s="83" t="str">
        <f t="array" ref="BB700">_xlfn.IFS(AQ700="","",LEN(AQ700)-LEN(SUBSTITUTE(AQ700,".",""))=3,LEFT(AQ700,vitri(".",AQ700,3)-1),LEN(AQ700)-LEN(SUBSTITUTE(AQ700,".",""))=2,LEFT(AQ700,vitri(".",AQ700,2)-1),TRUE,LEFT(AQ700,vitri(".",AQ700,1)-1))</f>
        <v/>
      </c>
    </row>
    <row r="701" spans="13:54" x14ac:dyDescent="0.25">
      <c r="M701" s="377"/>
      <c r="BB701" s="83" t="str">
        <f t="array" ref="BB701">_xlfn.IFS(AQ701="","",LEN(AQ701)-LEN(SUBSTITUTE(AQ701,".",""))=3,LEFT(AQ701,vitri(".",AQ701,3)-1),LEN(AQ701)-LEN(SUBSTITUTE(AQ701,".",""))=2,LEFT(AQ701,vitri(".",AQ701,2)-1),TRUE,LEFT(AQ701,vitri(".",AQ701,1)-1))</f>
        <v/>
      </c>
    </row>
    <row r="702" spans="13:54" x14ac:dyDescent="0.25">
      <c r="M702" s="377"/>
      <c r="BB702" s="83" t="str">
        <f t="array" ref="BB702">_xlfn.IFS(AQ702="","",LEN(AQ702)-LEN(SUBSTITUTE(AQ702,".",""))=3,LEFT(AQ702,vitri(".",AQ702,3)-1),LEN(AQ702)-LEN(SUBSTITUTE(AQ702,".",""))=2,LEFT(AQ702,vitri(".",AQ702,2)-1),TRUE,LEFT(AQ702,vitri(".",AQ702,1)-1))</f>
        <v/>
      </c>
    </row>
    <row r="703" spans="13:54" x14ac:dyDescent="0.25">
      <c r="M703" s="377"/>
      <c r="BB703" s="83" t="str">
        <f t="array" ref="BB703">_xlfn.IFS(AQ703="","",LEN(AQ703)-LEN(SUBSTITUTE(AQ703,".",""))=3,LEFT(AQ703,vitri(".",AQ703,3)-1),LEN(AQ703)-LEN(SUBSTITUTE(AQ703,".",""))=2,LEFT(AQ703,vitri(".",AQ703,2)-1),TRUE,LEFT(AQ703,vitri(".",AQ703,1)-1))</f>
        <v/>
      </c>
    </row>
    <row r="704" spans="13:54" x14ac:dyDescent="0.25">
      <c r="M704" s="377"/>
      <c r="BB704" s="83" t="str">
        <f t="array" ref="BB704">_xlfn.IFS(AQ704="","",LEN(AQ704)-LEN(SUBSTITUTE(AQ704,".",""))=3,LEFT(AQ704,vitri(".",AQ704,3)-1),LEN(AQ704)-LEN(SUBSTITUTE(AQ704,".",""))=2,LEFT(AQ704,vitri(".",AQ704,2)-1),TRUE,LEFT(AQ704,vitri(".",AQ704,1)-1))</f>
        <v/>
      </c>
    </row>
    <row r="705" spans="13:54" x14ac:dyDescent="0.25">
      <c r="M705" s="377"/>
      <c r="BB705" s="83" t="str">
        <f t="array" ref="BB705">_xlfn.IFS(AQ705="","",LEN(AQ705)-LEN(SUBSTITUTE(AQ705,".",""))=3,LEFT(AQ705,vitri(".",AQ705,3)-1),LEN(AQ705)-LEN(SUBSTITUTE(AQ705,".",""))=2,LEFT(AQ705,vitri(".",AQ705,2)-1),TRUE,LEFT(AQ705,vitri(".",AQ705,1)-1))</f>
        <v/>
      </c>
    </row>
    <row r="706" spans="13:54" x14ac:dyDescent="0.25">
      <c r="M706" s="377"/>
      <c r="BB706" s="83" t="str">
        <f t="array" ref="BB706">_xlfn.IFS(AQ706="","",LEN(AQ706)-LEN(SUBSTITUTE(AQ706,".",""))=3,LEFT(AQ706,vitri(".",AQ706,3)-1),LEN(AQ706)-LEN(SUBSTITUTE(AQ706,".",""))=2,LEFT(AQ706,vitri(".",AQ706,2)-1),TRUE,LEFT(AQ706,vitri(".",AQ706,1)-1))</f>
        <v/>
      </c>
    </row>
    <row r="707" spans="13:54" x14ac:dyDescent="0.25">
      <c r="M707" s="377"/>
      <c r="BB707" s="83" t="str">
        <f t="array" ref="BB707">_xlfn.IFS(AQ707="","",LEN(AQ707)-LEN(SUBSTITUTE(AQ707,".",""))=3,LEFT(AQ707,vitri(".",AQ707,3)-1),LEN(AQ707)-LEN(SUBSTITUTE(AQ707,".",""))=2,LEFT(AQ707,vitri(".",AQ707,2)-1),TRUE,LEFT(AQ707,vitri(".",AQ707,1)-1))</f>
        <v/>
      </c>
    </row>
    <row r="708" spans="13:54" x14ac:dyDescent="0.25">
      <c r="M708" s="377"/>
      <c r="BB708" s="83" t="str">
        <f t="array" ref="BB708">_xlfn.IFS(AQ708="","",LEN(AQ708)-LEN(SUBSTITUTE(AQ708,".",""))=3,LEFT(AQ708,vitri(".",AQ708,3)-1),LEN(AQ708)-LEN(SUBSTITUTE(AQ708,".",""))=2,LEFT(AQ708,vitri(".",AQ708,2)-1),TRUE,LEFT(AQ708,vitri(".",AQ708,1)-1))</f>
        <v/>
      </c>
    </row>
    <row r="709" spans="13:54" x14ac:dyDescent="0.25">
      <c r="M709" s="377"/>
      <c r="BB709" s="83" t="str">
        <f t="array" ref="BB709">_xlfn.IFS(AQ709="","",LEN(AQ709)-LEN(SUBSTITUTE(AQ709,".",""))=3,LEFT(AQ709,vitri(".",AQ709,3)-1),LEN(AQ709)-LEN(SUBSTITUTE(AQ709,".",""))=2,LEFT(AQ709,vitri(".",AQ709,2)-1),TRUE,LEFT(AQ709,vitri(".",AQ709,1)-1))</f>
        <v/>
      </c>
    </row>
    <row r="710" spans="13:54" x14ac:dyDescent="0.25">
      <c r="M710" s="377"/>
      <c r="BB710" s="83" t="str">
        <f t="array" ref="BB710">_xlfn.IFS(AQ710="","",LEN(AQ710)-LEN(SUBSTITUTE(AQ710,".",""))=3,LEFT(AQ710,vitri(".",AQ710,3)-1),LEN(AQ710)-LEN(SUBSTITUTE(AQ710,".",""))=2,LEFT(AQ710,vitri(".",AQ710,2)-1),TRUE,LEFT(AQ710,vitri(".",AQ710,1)-1))</f>
        <v/>
      </c>
    </row>
    <row r="711" spans="13:54" x14ac:dyDescent="0.25">
      <c r="M711" s="377"/>
      <c r="BB711" s="83" t="str">
        <f t="array" ref="BB711">_xlfn.IFS(AQ711="","",LEN(AQ711)-LEN(SUBSTITUTE(AQ711,".",""))=3,LEFT(AQ711,vitri(".",AQ711,3)-1),LEN(AQ711)-LEN(SUBSTITUTE(AQ711,".",""))=2,LEFT(AQ711,vitri(".",AQ711,2)-1),TRUE,LEFT(AQ711,vitri(".",AQ711,1)-1))</f>
        <v/>
      </c>
    </row>
    <row r="712" spans="13:54" x14ac:dyDescent="0.25">
      <c r="M712" s="377"/>
      <c r="BB712" s="83" t="str">
        <f t="array" ref="BB712">_xlfn.IFS(AQ712="","",LEN(AQ712)-LEN(SUBSTITUTE(AQ712,".",""))=3,LEFT(AQ712,vitri(".",AQ712,3)-1),LEN(AQ712)-LEN(SUBSTITUTE(AQ712,".",""))=2,LEFT(AQ712,vitri(".",AQ712,2)-1),TRUE,LEFT(AQ712,vitri(".",AQ712,1)-1))</f>
        <v/>
      </c>
    </row>
    <row r="713" spans="13:54" x14ac:dyDescent="0.25">
      <c r="M713" s="377"/>
      <c r="BB713" s="83" t="str">
        <f t="array" ref="BB713">_xlfn.IFS(AQ713="","",LEN(AQ713)-LEN(SUBSTITUTE(AQ713,".",""))=3,LEFT(AQ713,vitri(".",AQ713,3)-1),LEN(AQ713)-LEN(SUBSTITUTE(AQ713,".",""))=2,LEFT(AQ713,vitri(".",AQ713,2)-1),TRUE,LEFT(AQ713,vitri(".",AQ713,1)-1))</f>
        <v/>
      </c>
    </row>
    <row r="714" spans="13:54" x14ac:dyDescent="0.25">
      <c r="M714" s="377"/>
      <c r="BB714" s="83" t="str">
        <f t="array" ref="BB714">_xlfn.IFS(AQ714="","",LEN(AQ714)-LEN(SUBSTITUTE(AQ714,".",""))=3,LEFT(AQ714,vitri(".",AQ714,3)-1),LEN(AQ714)-LEN(SUBSTITUTE(AQ714,".",""))=2,LEFT(AQ714,vitri(".",AQ714,2)-1),TRUE,LEFT(AQ714,vitri(".",AQ714,1)-1))</f>
        <v/>
      </c>
    </row>
    <row r="715" spans="13:54" x14ac:dyDescent="0.25">
      <c r="M715" s="377"/>
      <c r="BB715" s="83" t="str">
        <f t="array" ref="BB715">_xlfn.IFS(AQ715="","",LEN(AQ715)-LEN(SUBSTITUTE(AQ715,".",""))=3,LEFT(AQ715,vitri(".",AQ715,3)-1),LEN(AQ715)-LEN(SUBSTITUTE(AQ715,".",""))=2,LEFT(AQ715,vitri(".",AQ715,2)-1),TRUE,LEFT(AQ715,vitri(".",AQ715,1)-1))</f>
        <v/>
      </c>
    </row>
    <row r="716" spans="13:54" x14ac:dyDescent="0.25">
      <c r="M716" s="377"/>
      <c r="BB716" s="83" t="str">
        <f t="array" ref="BB716">_xlfn.IFS(AQ716="","",LEN(AQ716)-LEN(SUBSTITUTE(AQ716,".",""))=3,LEFT(AQ716,vitri(".",AQ716,3)-1),LEN(AQ716)-LEN(SUBSTITUTE(AQ716,".",""))=2,LEFT(AQ716,vitri(".",AQ716,2)-1),TRUE,LEFT(AQ716,vitri(".",AQ716,1)-1))</f>
        <v/>
      </c>
    </row>
    <row r="717" spans="13:54" x14ac:dyDescent="0.25">
      <c r="M717" s="377"/>
      <c r="BB717" s="83" t="str">
        <f t="array" ref="BB717">_xlfn.IFS(AQ717="","",LEN(AQ717)-LEN(SUBSTITUTE(AQ717,".",""))=3,LEFT(AQ717,vitri(".",AQ717,3)-1),LEN(AQ717)-LEN(SUBSTITUTE(AQ717,".",""))=2,LEFT(AQ717,vitri(".",AQ717,2)-1),TRUE,LEFT(AQ717,vitri(".",AQ717,1)-1))</f>
        <v/>
      </c>
    </row>
    <row r="718" spans="13:54" x14ac:dyDescent="0.25">
      <c r="M718" s="377"/>
      <c r="BB718" s="83" t="str">
        <f t="array" ref="BB718">_xlfn.IFS(AQ718="","",LEN(AQ718)-LEN(SUBSTITUTE(AQ718,".",""))=3,LEFT(AQ718,vitri(".",AQ718,3)-1),LEN(AQ718)-LEN(SUBSTITUTE(AQ718,".",""))=2,LEFT(AQ718,vitri(".",AQ718,2)-1),TRUE,LEFT(AQ718,vitri(".",AQ718,1)-1))</f>
        <v/>
      </c>
    </row>
    <row r="719" spans="13:54" x14ac:dyDescent="0.25">
      <c r="M719" s="377"/>
      <c r="BB719" s="83" t="str">
        <f t="array" ref="BB719">_xlfn.IFS(AQ719="","",LEN(AQ719)-LEN(SUBSTITUTE(AQ719,".",""))=3,LEFT(AQ719,vitri(".",AQ719,3)-1),LEN(AQ719)-LEN(SUBSTITUTE(AQ719,".",""))=2,LEFT(AQ719,vitri(".",AQ719,2)-1),TRUE,LEFT(AQ719,vitri(".",AQ719,1)-1))</f>
        <v/>
      </c>
    </row>
    <row r="720" spans="13:54" x14ac:dyDescent="0.25">
      <c r="M720" s="377"/>
      <c r="BB720" s="83" t="str">
        <f t="array" ref="BB720">_xlfn.IFS(AQ720="","",LEN(AQ720)-LEN(SUBSTITUTE(AQ720,".",""))=3,LEFT(AQ720,vitri(".",AQ720,3)-1),LEN(AQ720)-LEN(SUBSTITUTE(AQ720,".",""))=2,LEFT(AQ720,vitri(".",AQ720,2)-1),TRUE,LEFT(AQ720,vitri(".",AQ720,1)-1))</f>
        <v/>
      </c>
    </row>
    <row r="721" spans="13:54" x14ac:dyDescent="0.25">
      <c r="M721" s="377"/>
      <c r="BB721" s="83" t="str">
        <f t="array" ref="BB721">_xlfn.IFS(AQ721="","",LEN(AQ721)-LEN(SUBSTITUTE(AQ721,".",""))=3,LEFT(AQ721,vitri(".",AQ721,3)-1),LEN(AQ721)-LEN(SUBSTITUTE(AQ721,".",""))=2,LEFT(AQ721,vitri(".",AQ721,2)-1),TRUE,LEFT(AQ721,vitri(".",AQ721,1)-1))</f>
        <v/>
      </c>
    </row>
    <row r="722" spans="13:54" x14ac:dyDescent="0.25">
      <c r="M722" s="377"/>
      <c r="BB722" s="83" t="str">
        <f t="array" ref="BB722">_xlfn.IFS(AQ722="","",LEN(AQ722)-LEN(SUBSTITUTE(AQ722,".",""))=3,LEFT(AQ722,vitri(".",AQ722,3)-1),LEN(AQ722)-LEN(SUBSTITUTE(AQ722,".",""))=2,LEFT(AQ722,vitri(".",AQ722,2)-1),TRUE,LEFT(AQ722,vitri(".",AQ722,1)-1))</f>
        <v/>
      </c>
    </row>
    <row r="723" spans="13:54" x14ac:dyDescent="0.25">
      <c r="M723" s="377"/>
      <c r="BB723" s="83" t="str">
        <f t="array" ref="BB723">_xlfn.IFS(AQ723="","",LEN(AQ723)-LEN(SUBSTITUTE(AQ723,".",""))=3,LEFT(AQ723,vitri(".",AQ723,3)-1),LEN(AQ723)-LEN(SUBSTITUTE(AQ723,".",""))=2,LEFT(AQ723,vitri(".",AQ723,2)-1),TRUE,LEFT(AQ723,vitri(".",AQ723,1)-1))</f>
        <v/>
      </c>
    </row>
    <row r="724" spans="13:54" x14ac:dyDescent="0.25">
      <c r="M724" s="377"/>
      <c r="BB724" s="83" t="str">
        <f t="array" ref="BB724">_xlfn.IFS(AQ724="","",LEN(AQ724)-LEN(SUBSTITUTE(AQ724,".",""))=3,LEFT(AQ724,vitri(".",AQ724,3)-1),LEN(AQ724)-LEN(SUBSTITUTE(AQ724,".",""))=2,LEFT(AQ724,vitri(".",AQ724,2)-1),TRUE,LEFT(AQ724,vitri(".",AQ724,1)-1))</f>
        <v/>
      </c>
    </row>
    <row r="725" spans="13:54" x14ac:dyDescent="0.25">
      <c r="M725" s="377"/>
      <c r="BB725" s="83" t="str">
        <f t="array" ref="BB725">_xlfn.IFS(AQ725="","",LEN(AQ725)-LEN(SUBSTITUTE(AQ725,".",""))=3,LEFT(AQ725,vitri(".",AQ725,3)-1),LEN(AQ725)-LEN(SUBSTITUTE(AQ725,".",""))=2,LEFT(AQ725,vitri(".",AQ725,2)-1),TRUE,LEFT(AQ725,vitri(".",AQ725,1)-1))</f>
        <v/>
      </c>
    </row>
    <row r="726" spans="13:54" x14ac:dyDescent="0.25">
      <c r="M726" s="377"/>
      <c r="BB726" s="83" t="str">
        <f t="array" ref="BB726">_xlfn.IFS(AQ726="","",LEN(AQ726)-LEN(SUBSTITUTE(AQ726,".",""))=3,LEFT(AQ726,vitri(".",AQ726,3)-1),LEN(AQ726)-LEN(SUBSTITUTE(AQ726,".",""))=2,LEFT(AQ726,vitri(".",AQ726,2)-1),TRUE,LEFT(AQ726,vitri(".",AQ726,1)-1))</f>
        <v/>
      </c>
    </row>
    <row r="727" spans="13:54" x14ac:dyDescent="0.25">
      <c r="M727" s="377"/>
      <c r="BB727" s="83" t="str">
        <f t="array" ref="BB727">_xlfn.IFS(AQ727="","",LEN(AQ727)-LEN(SUBSTITUTE(AQ727,".",""))=3,LEFT(AQ727,vitri(".",AQ727,3)-1),LEN(AQ727)-LEN(SUBSTITUTE(AQ727,".",""))=2,LEFT(AQ727,vitri(".",AQ727,2)-1),TRUE,LEFT(AQ727,vitri(".",AQ727,1)-1))</f>
        <v/>
      </c>
    </row>
    <row r="728" spans="13:54" x14ac:dyDescent="0.25">
      <c r="M728" s="377"/>
      <c r="BB728" s="83" t="str">
        <f t="array" ref="BB728">_xlfn.IFS(AQ728="","",LEN(AQ728)-LEN(SUBSTITUTE(AQ728,".",""))=3,LEFT(AQ728,vitri(".",AQ728,3)-1),LEN(AQ728)-LEN(SUBSTITUTE(AQ728,".",""))=2,LEFT(AQ728,vitri(".",AQ728,2)-1),TRUE,LEFT(AQ728,vitri(".",AQ728,1)-1))</f>
        <v/>
      </c>
    </row>
    <row r="729" spans="13:54" x14ac:dyDescent="0.25">
      <c r="M729" s="377"/>
      <c r="BB729" s="83" t="str">
        <f t="array" ref="BB729">_xlfn.IFS(AQ729="","",LEN(AQ729)-LEN(SUBSTITUTE(AQ729,".",""))=3,LEFT(AQ729,vitri(".",AQ729,3)-1),LEN(AQ729)-LEN(SUBSTITUTE(AQ729,".",""))=2,LEFT(AQ729,vitri(".",AQ729,2)-1),TRUE,LEFT(AQ729,vitri(".",AQ729,1)-1))</f>
        <v/>
      </c>
    </row>
    <row r="730" spans="13:54" x14ac:dyDescent="0.25">
      <c r="M730" s="377"/>
      <c r="BB730" s="83" t="str">
        <f t="array" ref="BB730">_xlfn.IFS(AQ730="","",LEN(AQ730)-LEN(SUBSTITUTE(AQ730,".",""))=3,LEFT(AQ730,vitri(".",AQ730,3)-1),LEN(AQ730)-LEN(SUBSTITUTE(AQ730,".",""))=2,LEFT(AQ730,vitri(".",AQ730,2)-1),TRUE,LEFT(AQ730,vitri(".",AQ730,1)-1))</f>
        <v/>
      </c>
    </row>
    <row r="731" spans="13:54" x14ac:dyDescent="0.25">
      <c r="M731" s="377"/>
      <c r="BB731" s="83" t="str">
        <f t="array" ref="BB731">_xlfn.IFS(AQ731="","",LEN(AQ731)-LEN(SUBSTITUTE(AQ731,".",""))=3,LEFT(AQ731,vitri(".",AQ731,3)-1),LEN(AQ731)-LEN(SUBSTITUTE(AQ731,".",""))=2,LEFT(AQ731,vitri(".",AQ731,2)-1),TRUE,LEFT(AQ731,vitri(".",AQ731,1)-1))</f>
        <v/>
      </c>
    </row>
    <row r="732" spans="13:54" x14ac:dyDescent="0.25">
      <c r="M732" s="377"/>
      <c r="BB732" s="83" t="str">
        <f t="array" ref="BB732">_xlfn.IFS(AQ732="","",LEN(AQ732)-LEN(SUBSTITUTE(AQ732,".",""))=3,LEFT(AQ732,vitri(".",AQ732,3)-1),LEN(AQ732)-LEN(SUBSTITUTE(AQ732,".",""))=2,LEFT(AQ732,vitri(".",AQ732,2)-1),TRUE,LEFT(AQ732,vitri(".",AQ732,1)-1))</f>
        <v/>
      </c>
    </row>
    <row r="733" spans="13:54" x14ac:dyDescent="0.25">
      <c r="M733" s="377"/>
      <c r="BB733" s="83" t="str">
        <f t="array" ref="BB733">_xlfn.IFS(AQ733="","",LEN(AQ733)-LEN(SUBSTITUTE(AQ733,".",""))=3,LEFT(AQ733,vitri(".",AQ733,3)-1),LEN(AQ733)-LEN(SUBSTITUTE(AQ733,".",""))=2,LEFT(AQ733,vitri(".",AQ733,2)-1),TRUE,LEFT(AQ733,vitri(".",AQ733,1)-1))</f>
        <v/>
      </c>
    </row>
    <row r="734" spans="13:54" x14ac:dyDescent="0.25">
      <c r="M734" s="377"/>
      <c r="BB734" s="83" t="str">
        <f t="array" ref="BB734">_xlfn.IFS(AQ734="","",LEN(AQ734)-LEN(SUBSTITUTE(AQ734,".",""))=3,LEFT(AQ734,vitri(".",AQ734,3)-1),LEN(AQ734)-LEN(SUBSTITUTE(AQ734,".",""))=2,LEFT(AQ734,vitri(".",AQ734,2)-1),TRUE,LEFT(AQ734,vitri(".",AQ734,1)-1))</f>
        <v/>
      </c>
    </row>
    <row r="735" spans="13:54" x14ac:dyDescent="0.25">
      <c r="M735" s="377"/>
      <c r="BB735" s="83" t="str">
        <f t="array" ref="BB735">_xlfn.IFS(AQ735="","",LEN(AQ735)-LEN(SUBSTITUTE(AQ735,".",""))=3,LEFT(AQ735,vitri(".",AQ735,3)-1),LEN(AQ735)-LEN(SUBSTITUTE(AQ735,".",""))=2,LEFT(AQ735,vitri(".",AQ735,2)-1),TRUE,LEFT(AQ735,vitri(".",AQ735,1)-1))</f>
        <v/>
      </c>
    </row>
    <row r="736" spans="13:54" x14ac:dyDescent="0.25">
      <c r="M736" s="377"/>
      <c r="BB736" s="83" t="str">
        <f t="array" ref="BB736">_xlfn.IFS(AQ736="","",LEN(AQ736)-LEN(SUBSTITUTE(AQ736,".",""))=3,LEFT(AQ736,vitri(".",AQ736,3)-1),LEN(AQ736)-LEN(SUBSTITUTE(AQ736,".",""))=2,LEFT(AQ736,vitri(".",AQ736,2)-1),TRUE,LEFT(AQ736,vitri(".",AQ736,1)-1))</f>
        <v/>
      </c>
    </row>
    <row r="737" spans="13:54" x14ac:dyDescent="0.25">
      <c r="M737" s="377"/>
      <c r="BB737" s="83" t="str">
        <f t="array" ref="BB737">_xlfn.IFS(AQ737="","",LEN(AQ737)-LEN(SUBSTITUTE(AQ737,".",""))=3,LEFT(AQ737,vitri(".",AQ737,3)-1),LEN(AQ737)-LEN(SUBSTITUTE(AQ737,".",""))=2,LEFT(AQ737,vitri(".",AQ737,2)-1),TRUE,LEFT(AQ737,vitri(".",AQ737,1)-1))</f>
        <v/>
      </c>
    </row>
    <row r="738" spans="13:54" x14ac:dyDescent="0.25">
      <c r="M738" s="377"/>
      <c r="BB738" s="83" t="str">
        <f t="array" ref="BB738">_xlfn.IFS(AQ738="","",LEN(AQ738)-LEN(SUBSTITUTE(AQ738,".",""))=3,LEFT(AQ738,vitri(".",AQ738,3)-1),LEN(AQ738)-LEN(SUBSTITUTE(AQ738,".",""))=2,LEFT(AQ738,vitri(".",AQ738,2)-1),TRUE,LEFT(AQ738,vitri(".",AQ738,1)-1))</f>
        <v/>
      </c>
    </row>
    <row r="739" spans="13:54" x14ac:dyDescent="0.25">
      <c r="M739" s="377"/>
      <c r="BB739" s="83" t="str">
        <f t="array" ref="BB739">_xlfn.IFS(AQ739="","",LEN(AQ739)-LEN(SUBSTITUTE(AQ739,".",""))=3,LEFT(AQ739,vitri(".",AQ739,3)-1),LEN(AQ739)-LEN(SUBSTITUTE(AQ739,".",""))=2,LEFT(AQ739,vitri(".",AQ739,2)-1),TRUE,LEFT(AQ739,vitri(".",AQ739,1)-1))</f>
        <v/>
      </c>
    </row>
    <row r="740" spans="13:54" x14ac:dyDescent="0.25">
      <c r="M740" s="377"/>
      <c r="BB740" s="83" t="str">
        <f t="array" ref="BB740">_xlfn.IFS(AQ740="","",LEN(AQ740)-LEN(SUBSTITUTE(AQ740,".",""))=3,LEFT(AQ740,vitri(".",AQ740,3)-1),LEN(AQ740)-LEN(SUBSTITUTE(AQ740,".",""))=2,LEFT(AQ740,vitri(".",AQ740,2)-1),TRUE,LEFT(AQ740,vitri(".",AQ740,1)-1))</f>
        <v/>
      </c>
    </row>
    <row r="741" spans="13:54" x14ac:dyDescent="0.25">
      <c r="M741" s="377"/>
      <c r="BB741" s="83" t="str">
        <f t="array" ref="BB741">_xlfn.IFS(AQ741="","",LEN(AQ741)-LEN(SUBSTITUTE(AQ741,".",""))=3,LEFT(AQ741,vitri(".",AQ741,3)-1),LEN(AQ741)-LEN(SUBSTITUTE(AQ741,".",""))=2,LEFT(AQ741,vitri(".",AQ741,2)-1),TRUE,LEFT(AQ741,vitri(".",AQ741,1)-1))</f>
        <v/>
      </c>
    </row>
    <row r="742" spans="13:54" x14ac:dyDescent="0.25">
      <c r="M742" s="377"/>
      <c r="BB742" s="83" t="str">
        <f t="array" ref="BB742">_xlfn.IFS(AQ742="","",LEN(AQ742)-LEN(SUBSTITUTE(AQ742,".",""))=3,LEFT(AQ742,vitri(".",AQ742,3)-1),LEN(AQ742)-LEN(SUBSTITUTE(AQ742,".",""))=2,LEFT(AQ742,vitri(".",AQ742,2)-1),TRUE,LEFT(AQ742,vitri(".",AQ742,1)-1))</f>
        <v/>
      </c>
    </row>
    <row r="743" spans="13:54" x14ac:dyDescent="0.25">
      <c r="M743" s="377"/>
      <c r="BB743" s="83" t="str">
        <f t="array" ref="BB743">_xlfn.IFS(AQ743="","",LEN(AQ743)-LEN(SUBSTITUTE(AQ743,".",""))=3,LEFT(AQ743,vitri(".",AQ743,3)-1),LEN(AQ743)-LEN(SUBSTITUTE(AQ743,".",""))=2,LEFT(AQ743,vitri(".",AQ743,2)-1),TRUE,LEFT(AQ743,vitri(".",AQ743,1)-1))</f>
        <v/>
      </c>
    </row>
    <row r="744" spans="13:54" x14ac:dyDescent="0.25">
      <c r="M744" s="377"/>
      <c r="BB744" s="83" t="str">
        <f t="array" ref="BB744">_xlfn.IFS(AQ744="","",LEN(AQ744)-LEN(SUBSTITUTE(AQ744,".",""))=3,LEFT(AQ744,vitri(".",AQ744,3)-1),LEN(AQ744)-LEN(SUBSTITUTE(AQ744,".",""))=2,LEFT(AQ744,vitri(".",AQ744,2)-1),TRUE,LEFT(AQ744,vitri(".",AQ744,1)-1))</f>
        <v/>
      </c>
    </row>
    <row r="745" spans="13:54" x14ac:dyDescent="0.25">
      <c r="M745" s="377"/>
      <c r="BB745" s="83" t="str">
        <f t="array" ref="BB745">_xlfn.IFS(AQ745="","",LEN(AQ745)-LEN(SUBSTITUTE(AQ745,".",""))=3,LEFT(AQ745,vitri(".",AQ745,3)-1),LEN(AQ745)-LEN(SUBSTITUTE(AQ745,".",""))=2,LEFT(AQ745,vitri(".",AQ745,2)-1),TRUE,LEFT(AQ745,vitri(".",AQ745,1)-1))</f>
        <v/>
      </c>
    </row>
    <row r="746" spans="13:54" x14ac:dyDescent="0.25">
      <c r="M746" s="377"/>
      <c r="BB746" s="83" t="str">
        <f t="array" ref="BB746">_xlfn.IFS(AQ746="","",LEN(AQ746)-LEN(SUBSTITUTE(AQ746,".",""))=3,LEFT(AQ746,vitri(".",AQ746,3)-1),LEN(AQ746)-LEN(SUBSTITUTE(AQ746,".",""))=2,LEFT(AQ746,vitri(".",AQ746,2)-1),TRUE,LEFT(AQ746,vitri(".",AQ746,1)-1))</f>
        <v/>
      </c>
    </row>
    <row r="747" spans="13:54" x14ac:dyDescent="0.25">
      <c r="M747" s="377"/>
      <c r="BB747" s="83" t="str">
        <f t="array" ref="BB747">_xlfn.IFS(AQ747="","",LEN(AQ747)-LEN(SUBSTITUTE(AQ747,".",""))=3,LEFT(AQ747,vitri(".",AQ747,3)-1),LEN(AQ747)-LEN(SUBSTITUTE(AQ747,".",""))=2,LEFT(AQ747,vitri(".",AQ747,2)-1),TRUE,LEFT(AQ747,vitri(".",AQ747,1)-1))</f>
        <v/>
      </c>
    </row>
    <row r="748" spans="13:54" x14ac:dyDescent="0.25">
      <c r="M748" s="377"/>
      <c r="BB748" s="83" t="str">
        <f t="array" ref="BB748">_xlfn.IFS(AQ748="","",LEN(AQ748)-LEN(SUBSTITUTE(AQ748,".",""))=3,LEFT(AQ748,vitri(".",AQ748,3)-1),LEN(AQ748)-LEN(SUBSTITUTE(AQ748,".",""))=2,LEFT(AQ748,vitri(".",AQ748,2)-1),TRUE,LEFT(AQ748,vitri(".",AQ748,1)-1))</f>
        <v/>
      </c>
    </row>
    <row r="749" spans="13:54" x14ac:dyDescent="0.25">
      <c r="M749" s="377"/>
      <c r="BB749" s="83" t="str">
        <f t="array" ref="BB749">_xlfn.IFS(AQ749="","",LEN(AQ749)-LEN(SUBSTITUTE(AQ749,".",""))=3,LEFT(AQ749,vitri(".",AQ749,3)-1),LEN(AQ749)-LEN(SUBSTITUTE(AQ749,".",""))=2,LEFT(AQ749,vitri(".",AQ749,2)-1),TRUE,LEFT(AQ749,vitri(".",AQ749,1)-1))</f>
        <v/>
      </c>
    </row>
    <row r="750" spans="13:54" x14ac:dyDescent="0.25">
      <c r="M750" s="377"/>
      <c r="BB750" s="83" t="str">
        <f t="array" ref="BB750">_xlfn.IFS(AQ750="","",LEN(AQ750)-LEN(SUBSTITUTE(AQ750,".",""))=3,LEFT(AQ750,vitri(".",AQ750,3)-1),LEN(AQ750)-LEN(SUBSTITUTE(AQ750,".",""))=2,LEFT(AQ750,vitri(".",AQ750,2)-1),TRUE,LEFT(AQ750,vitri(".",AQ750,1)-1))</f>
        <v/>
      </c>
    </row>
    <row r="751" spans="13:54" x14ac:dyDescent="0.25">
      <c r="M751" s="377"/>
      <c r="BB751" s="83" t="str">
        <f t="array" ref="BB751">_xlfn.IFS(AQ751="","",LEN(AQ751)-LEN(SUBSTITUTE(AQ751,".",""))=3,LEFT(AQ751,vitri(".",AQ751,3)-1),LEN(AQ751)-LEN(SUBSTITUTE(AQ751,".",""))=2,LEFT(AQ751,vitri(".",AQ751,2)-1),TRUE,LEFT(AQ751,vitri(".",AQ751,1)-1))</f>
        <v/>
      </c>
    </row>
    <row r="752" spans="13:54" x14ac:dyDescent="0.25">
      <c r="M752" s="377"/>
      <c r="BB752" s="83" t="str">
        <f t="array" ref="BB752">_xlfn.IFS(AQ752="","",LEN(AQ752)-LEN(SUBSTITUTE(AQ752,".",""))=3,LEFT(AQ752,vitri(".",AQ752,3)-1),LEN(AQ752)-LEN(SUBSTITUTE(AQ752,".",""))=2,LEFT(AQ752,vitri(".",AQ752,2)-1),TRUE,LEFT(AQ752,vitri(".",AQ752,1)-1))</f>
        <v/>
      </c>
    </row>
    <row r="753" spans="13:54" x14ac:dyDescent="0.25">
      <c r="M753" s="377"/>
      <c r="BB753" s="83" t="str">
        <f t="array" ref="BB753">_xlfn.IFS(AQ753="","",LEN(AQ753)-LEN(SUBSTITUTE(AQ753,".",""))=3,LEFT(AQ753,vitri(".",AQ753,3)-1),LEN(AQ753)-LEN(SUBSTITUTE(AQ753,".",""))=2,LEFT(AQ753,vitri(".",AQ753,2)-1),TRUE,LEFT(AQ753,vitri(".",AQ753,1)-1))</f>
        <v/>
      </c>
    </row>
    <row r="754" spans="13:54" x14ac:dyDescent="0.25">
      <c r="M754" s="377"/>
      <c r="BB754" s="83" t="str">
        <f t="array" ref="BB754">_xlfn.IFS(AQ754="","",LEN(AQ754)-LEN(SUBSTITUTE(AQ754,".",""))=3,LEFT(AQ754,vitri(".",AQ754,3)-1),LEN(AQ754)-LEN(SUBSTITUTE(AQ754,".",""))=2,LEFT(AQ754,vitri(".",AQ754,2)-1),TRUE,LEFT(AQ754,vitri(".",AQ754,1)-1))</f>
        <v/>
      </c>
    </row>
    <row r="755" spans="13:54" x14ac:dyDescent="0.25">
      <c r="M755" s="377"/>
      <c r="BB755" s="83" t="str">
        <f t="array" ref="BB755">_xlfn.IFS(AQ755="","",LEN(AQ755)-LEN(SUBSTITUTE(AQ755,".",""))=3,LEFT(AQ755,vitri(".",AQ755,3)-1),LEN(AQ755)-LEN(SUBSTITUTE(AQ755,".",""))=2,LEFT(AQ755,vitri(".",AQ755,2)-1),TRUE,LEFT(AQ755,vitri(".",AQ755,1)-1))</f>
        <v/>
      </c>
    </row>
    <row r="756" spans="13:54" x14ac:dyDescent="0.25">
      <c r="M756" s="377"/>
      <c r="BB756" s="83" t="str">
        <f t="array" ref="BB756">_xlfn.IFS(AQ756="","",LEN(AQ756)-LEN(SUBSTITUTE(AQ756,".",""))=3,LEFT(AQ756,vitri(".",AQ756,3)-1),LEN(AQ756)-LEN(SUBSTITUTE(AQ756,".",""))=2,LEFT(AQ756,vitri(".",AQ756,2)-1),TRUE,LEFT(AQ756,vitri(".",AQ756,1)-1))</f>
        <v/>
      </c>
    </row>
    <row r="757" spans="13:54" x14ac:dyDescent="0.25">
      <c r="M757" s="377"/>
      <c r="BB757" s="83" t="str">
        <f t="array" ref="BB757">_xlfn.IFS(AQ757="","",LEN(AQ757)-LEN(SUBSTITUTE(AQ757,".",""))=3,LEFT(AQ757,vitri(".",AQ757,3)-1),LEN(AQ757)-LEN(SUBSTITUTE(AQ757,".",""))=2,LEFT(AQ757,vitri(".",AQ757,2)-1),TRUE,LEFT(AQ757,vitri(".",AQ757,1)-1))</f>
        <v/>
      </c>
    </row>
    <row r="758" spans="13:54" x14ac:dyDescent="0.25">
      <c r="M758" s="377"/>
      <c r="BB758" s="83" t="str">
        <f t="array" ref="BB758">_xlfn.IFS(AQ758="","",LEN(AQ758)-LEN(SUBSTITUTE(AQ758,".",""))=3,LEFT(AQ758,vitri(".",AQ758,3)-1),LEN(AQ758)-LEN(SUBSTITUTE(AQ758,".",""))=2,LEFT(AQ758,vitri(".",AQ758,2)-1),TRUE,LEFT(AQ758,vitri(".",AQ758,1)-1))</f>
        <v/>
      </c>
    </row>
    <row r="759" spans="13:54" x14ac:dyDescent="0.25">
      <c r="M759" s="377"/>
      <c r="BB759" s="83" t="str">
        <f t="array" ref="BB759">_xlfn.IFS(AQ759="","",LEN(AQ759)-LEN(SUBSTITUTE(AQ759,".",""))=3,LEFT(AQ759,vitri(".",AQ759,3)-1),LEN(AQ759)-LEN(SUBSTITUTE(AQ759,".",""))=2,LEFT(AQ759,vitri(".",AQ759,2)-1),TRUE,LEFT(AQ759,vitri(".",AQ759,1)-1))</f>
        <v/>
      </c>
    </row>
    <row r="760" spans="13:54" x14ac:dyDescent="0.25">
      <c r="M760" s="377"/>
      <c r="BB760" s="83" t="str">
        <f t="array" ref="BB760">_xlfn.IFS(AQ760="","",LEN(AQ760)-LEN(SUBSTITUTE(AQ760,".",""))=3,LEFT(AQ760,vitri(".",AQ760,3)-1),LEN(AQ760)-LEN(SUBSTITUTE(AQ760,".",""))=2,LEFT(AQ760,vitri(".",AQ760,2)-1),TRUE,LEFT(AQ760,vitri(".",AQ760,1)-1))</f>
        <v/>
      </c>
    </row>
    <row r="761" spans="13:54" x14ac:dyDescent="0.25">
      <c r="M761" s="377"/>
      <c r="BB761" s="83" t="str">
        <f t="array" ref="BB761">_xlfn.IFS(AQ761="","",LEN(AQ761)-LEN(SUBSTITUTE(AQ761,".",""))=3,LEFT(AQ761,vitri(".",AQ761,3)-1),LEN(AQ761)-LEN(SUBSTITUTE(AQ761,".",""))=2,LEFT(AQ761,vitri(".",AQ761,2)-1),TRUE,LEFT(AQ761,vitri(".",AQ761,1)-1))</f>
        <v/>
      </c>
    </row>
    <row r="762" spans="13:54" x14ac:dyDescent="0.25">
      <c r="M762" s="377"/>
      <c r="BB762" s="83" t="str">
        <f t="array" ref="BB762">_xlfn.IFS(AQ762="","",LEN(AQ762)-LEN(SUBSTITUTE(AQ762,".",""))=3,LEFT(AQ762,vitri(".",AQ762,3)-1),LEN(AQ762)-LEN(SUBSTITUTE(AQ762,".",""))=2,LEFT(AQ762,vitri(".",AQ762,2)-1),TRUE,LEFT(AQ762,vitri(".",AQ762,1)-1))</f>
        <v/>
      </c>
    </row>
    <row r="763" spans="13:54" x14ac:dyDescent="0.25">
      <c r="M763" s="377"/>
      <c r="BB763" s="83" t="str">
        <f t="array" ref="BB763">_xlfn.IFS(AQ763="","",LEN(AQ763)-LEN(SUBSTITUTE(AQ763,".",""))=3,LEFT(AQ763,vitri(".",AQ763,3)-1),LEN(AQ763)-LEN(SUBSTITUTE(AQ763,".",""))=2,LEFT(AQ763,vitri(".",AQ763,2)-1),TRUE,LEFT(AQ763,vitri(".",AQ763,1)-1))</f>
        <v/>
      </c>
    </row>
    <row r="764" spans="13:54" x14ac:dyDescent="0.25">
      <c r="M764" s="377"/>
      <c r="BB764" s="83" t="str">
        <f t="array" ref="BB764">_xlfn.IFS(AQ764="","",LEN(AQ764)-LEN(SUBSTITUTE(AQ764,".",""))=3,LEFT(AQ764,vitri(".",AQ764,3)-1),LEN(AQ764)-LEN(SUBSTITUTE(AQ764,".",""))=2,LEFT(AQ764,vitri(".",AQ764,2)-1),TRUE,LEFT(AQ764,vitri(".",AQ764,1)-1))</f>
        <v/>
      </c>
    </row>
    <row r="765" spans="13:54" x14ac:dyDescent="0.25">
      <c r="M765" s="377"/>
      <c r="BB765" s="83" t="str">
        <f t="array" ref="BB765">_xlfn.IFS(AQ765="","",LEN(AQ765)-LEN(SUBSTITUTE(AQ765,".",""))=3,LEFT(AQ765,vitri(".",AQ765,3)-1),LEN(AQ765)-LEN(SUBSTITUTE(AQ765,".",""))=2,LEFT(AQ765,vitri(".",AQ765,2)-1),TRUE,LEFT(AQ765,vitri(".",AQ765,1)-1))</f>
        <v/>
      </c>
    </row>
    <row r="766" spans="13:54" x14ac:dyDescent="0.25">
      <c r="M766" s="377"/>
      <c r="BB766" s="83" t="str">
        <f t="array" ref="BB766">_xlfn.IFS(AQ766="","",LEN(AQ766)-LEN(SUBSTITUTE(AQ766,".",""))=3,LEFT(AQ766,vitri(".",AQ766,3)-1),LEN(AQ766)-LEN(SUBSTITUTE(AQ766,".",""))=2,LEFT(AQ766,vitri(".",AQ766,2)-1),TRUE,LEFT(AQ766,vitri(".",AQ766,1)-1))</f>
        <v/>
      </c>
    </row>
    <row r="767" spans="13:54" x14ac:dyDescent="0.25">
      <c r="M767" s="377"/>
      <c r="BB767" s="83" t="str">
        <f t="array" ref="BB767">_xlfn.IFS(AQ767="","",LEN(AQ767)-LEN(SUBSTITUTE(AQ767,".",""))=3,LEFT(AQ767,vitri(".",AQ767,3)-1),LEN(AQ767)-LEN(SUBSTITUTE(AQ767,".",""))=2,LEFT(AQ767,vitri(".",AQ767,2)-1),TRUE,LEFT(AQ767,vitri(".",AQ767,1)-1))</f>
        <v/>
      </c>
    </row>
    <row r="768" spans="13:54" x14ac:dyDescent="0.25">
      <c r="M768" s="377"/>
      <c r="BB768" s="83" t="str">
        <f t="array" ref="BB768">_xlfn.IFS(AQ768="","",LEN(AQ768)-LEN(SUBSTITUTE(AQ768,".",""))=3,LEFT(AQ768,vitri(".",AQ768,3)-1),LEN(AQ768)-LEN(SUBSTITUTE(AQ768,".",""))=2,LEFT(AQ768,vitri(".",AQ768,2)-1),TRUE,LEFT(AQ768,vitri(".",AQ768,1)-1))</f>
        <v/>
      </c>
    </row>
    <row r="769" spans="13:54" x14ac:dyDescent="0.25">
      <c r="M769" s="377"/>
      <c r="BB769" s="83" t="str">
        <f t="array" ref="BB769">_xlfn.IFS(AQ769="","",LEN(AQ769)-LEN(SUBSTITUTE(AQ769,".",""))=3,LEFT(AQ769,vitri(".",AQ769,3)-1),LEN(AQ769)-LEN(SUBSTITUTE(AQ769,".",""))=2,LEFT(AQ769,vitri(".",AQ769,2)-1),TRUE,LEFT(AQ769,vitri(".",AQ769,1)-1))</f>
        <v/>
      </c>
    </row>
    <row r="770" spans="13:54" x14ac:dyDescent="0.25">
      <c r="M770" s="377"/>
      <c r="BB770" s="83" t="str">
        <f t="array" ref="BB770">_xlfn.IFS(AQ770="","",LEN(AQ770)-LEN(SUBSTITUTE(AQ770,".",""))=3,LEFT(AQ770,vitri(".",AQ770,3)-1),LEN(AQ770)-LEN(SUBSTITUTE(AQ770,".",""))=2,LEFT(AQ770,vitri(".",AQ770,2)-1),TRUE,LEFT(AQ770,vitri(".",AQ770,1)-1))</f>
        <v/>
      </c>
    </row>
    <row r="771" spans="13:54" x14ac:dyDescent="0.25">
      <c r="M771" s="377"/>
      <c r="BB771" s="83" t="str">
        <f t="array" ref="BB771">_xlfn.IFS(AQ771="","",LEN(AQ771)-LEN(SUBSTITUTE(AQ771,".",""))=3,LEFT(AQ771,vitri(".",AQ771,3)-1),LEN(AQ771)-LEN(SUBSTITUTE(AQ771,".",""))=2,LEFT(AQ771,vitri(".",AQ771,2)-1),TRUE,LEFT(AQ771,vitri(".",AQ771,1)-1))</f>
        <v/>
      </c>
    </row>
    <row r="772" spans="13:54" x14ac:dyDescent="0.25">
      <c r="M772" s="377"/>
      <c r="BB772" s="83" t="str">
        <f t="array" ref="BB772">_xlfn.IFS(AQ772="","",LEN(AQ772)-LEN(SUBSTITUTE(AQ772,".",""))=3,LEFT(AQ772,vitri(".",AQ772,3)-1),LEN(AQ772)-LEN(SUBSTITUTE(AQ772,".",""))=2,LEFT(AQ772,vitri(".",AQ772,2)-1),TRUE,LEFT(AQ772,vitri(".",AQ772,1)-1))</f>
        <v/>
      </c>
    </row>
    <row r="773" spans="13:54" x14ac:dyDescent="0.25">
      <c r="M773" s="377"/>
      <c r="BB773" s="83" t="str">
        <f t="array" ref="BB773">_xlfn.IFS(AQ773="","",LEN(AQ773)-LEN(SUBSTITUTE(AQ773,".",""))=3,LEFT(AQ773,vitri(".",AQ773,3)-1),LEN(AQ773)-LEN(SUBSTITUTE(AQ773,".",""))=2,LEFT(AQ773,vitri(".",AQ773,2)-1),TRUE,LEFT(AQ773,vitri(".",AQ773,1)-1))</f>
        <v/>
      </c>
    </row>
    <row r="774" spans="13:54" x14ac:dyDescent="0.25">
      <c r="M774" s="377"/>
      <c r="BB774" s="83" t="str">
        <f t="array" ref="BB774">_xlfn.IFS(AQ774="","",LEN(AQ774)-LEN(SUBSTITUTE(AQ774,".",""))=3,LEFT(AQ774,vitri(".",AQ774,3)-1),LEN(AQ774)-LEN(SUBSTITUTE(AQ774,".",""))=2,LEFT(AQ774,vitri(".",AQ774,2)-1),TRUE,LEFT(AQ774,vitri(".",AQ774,1)-1))</f>
        <v/>
      </c>
    </row>
    <row r="775" spans="13:54" x14ac:dyDescent="0.25">
      <c r="M775" s="377"/>
      <c r="BB775" s="83" t="str">
        <f t="array" ref="BB775">_xlfn.IFS(AQ775="","",LEN(AQ775)-LEN(SUBSTITUTE(AQ775,".",""))=3,LEFT(AQ775,vitri(".",AQ775,3)-1),LEN(AQ775)-LEN(SUBSTITUTE(AQ775,".",""))=2,LEFT(AQ775,vitri(".",AQ775,2)-1),TRUE,LEFT(AQ775,vitri(".",AQ775,1)-1))</f>
        <v/>
      </c>
    </row>
    <row r="776" spans="13:54" x14ac:dyDescent="0.25">
      <c r="M776" s="377"/>
      <c r="BB776" s="83" t="str">
        <f t="array" ref="BB776">_xlfn.IFS(AQ776="","",LEN(AQ776)-LEN(SUBSTITUTE(AQ776,".",""))=3,LEFT(AQ776,vitri(".",AQ776,3)-1),LEN(AQ776)-LEN(SUBSTITUTE(AQ776,".",""))=2,LEFT(AQ776,vitri(".",AQ776,2)-1),TRUE,LEFT(AQ776,vitri(".",AQ776,1)-1))</f>
        <v/>
      </c>
    </row>
    <row r="777" spans="13:54" x14ac:dyDescent="0.25">
      <c r="M777" s="377"/>
      <c r="BB777" s="83" t="str">
        <f t="array" ref="BB777">_xlfn.IFS(AQ777="","",LEN(AQ777)-LEN(SUBSTITUTE(AQ777,".",""))=3,LEFT(AQ777,vitri(".",AQ777,3)-1),LEN(AQ777)-LEN(SUBSTITUTE(AQ777,".",""))=2,LEFT(AQ777,vitri(".",AQ777,2)-1),TRUE,LEFT(AQ777,vitri(".",AQ777,1)-1))</f>
        <v/>
      </c>
    </row>
    <row r="778" spans="13:54" x14ac:dyDescent="0.25">
      <c r="M778" s="377"/>
      <c r="BB778" s="83" t="str">
        <f t="array" ref="BB778">_xlfn.IFS(AQ778="","",LEN(AQ778)-LEN(SUBSTITUTE(AQ778,".",""))=3,LEFT(AQ778,vitri(".",AQ778,3)-1),LEN(AQ778)-LEN(SUBSTITUTE(AQ778,".",""))=2,LEFT(AQ778,vitri(".",AQ778,2)-1),TRUE,LEFT(AQ778,vitri(".",AQ778,1)-1))</f>
        <v/>
      </c>
    </row>
    <row r="779" spans="13:54" x14ac:dyDescent="0.25">
      <c r="M779" s="377"/>
      <c r="BB779" s="83" t="str">
        <f t="array" ref="BB779">_xlfn.IFS(AQ779="","",LEN(AQ779)-LEN(SUBSTITUTE(AQ779,".",""))=3,LEFT(AQ779,vitri(".",AQ779,3)-1),LEN(AQ779)-LEN(SUBSTITUTE(AQ779,".",""))=2,LEFT(AQ779,vitri(".",AQ779,2)-1),TRUE,LEFT(AQ779,vitri(".",AQ779,1)-1))</f>
        <v/>
      </c>
    </row>
    <row r="780" spans="13:54" x14ac:dyDescent="0.25">
      <c r="M780" s="377"/>
      <c r="BB780" s="83" t="str">
        <f t="array" ref="BB780">_xlfn.IFS(AQ780="","",LEN(AQ780)-LEN(SUBSTITUTE(AQ780,".",""))=3,LEFT(AQ780,vitri(".",AQ780,3)-1),LEN(AQ780)-LEN(SUBSTITUTE(AQ780,".",""))=2,LEFT(AQ780,vitri(".",AQ780,2)-1),TRUE,LEFT(AQ780,vitri(".",AQ780,1)-1))</f>
        <v/>
      </c>
    </row>
    <row r="781" spans="13:54" x14ac:dyDescent="0.25">
      <c r="M781" s="377"/>
      <c r="BB781" s="83" t="str">
        <f t="array" ref="BB781">_xlfn.IFS(AQ781="","",LEN(AQ781)-LEN(SUBSTITUTE(AQ781,".",""))=3,LEFT(AQ781,vitri(".",AQ781,3)-1),LEN(AQ781)-LEN(SUBSTITUTE(AQ781,".",""))=2,LEFT(AQ781,vitri(".",AQ781,2)-1),TRUE,LEFT(AQ781,vitri(".",AQ781,1)-1))</f>
        <v/>
      </c>
    </row>
    <row r="782" spans="13:54" x14ac:dyDescent="0.25">
      <c r="M782" s="377"/>
      <c r="BB782" s="83" t="str">
        <f t="array" ref="BB782">_xlfn.IFS(AQ782="","",LEN(AQ782)-LEN(SUBSTITUTE(AQ782,".",""))=3,LEFT(AQ782,vitri(".",AQ782,3)-1),LEN(AQ782)-LEN(SUBSTITUTE(AQ782,".",""))=2,LEFT(AQ782,vitri(".",AQ782,2)-1),TRUE,LEFT(AQ782,vitri(".",AQ782,1)-1))</f>
        <v/>
      </c>
    </row>
    <row r="783" spans="13:54" x14ac:dyDescent="0.25">
      <c r="M783" s="377"/>
      <c r="BB783" s="83" t="str">
        <f t="array" ref="BB783">_xlfn.IFS(AQ783="","",LEN(AQ783)-LEN(SUBSTITUTE(AQ783,".",""))=3,LEFT(AQ783,vitri(".",AQ783,3)-1),LEN(AQ783)-LEN(SUBSTITUTE(AQ783,".",""))=2,LEFT(AQ783,vitri(".",AQ783,2)-1),TRUE,LEFT(AQ783,vitri(".",AQ783,1)-1))</f>
        <v/>
      </c>
    </row>
    <row r="784" spans="13:54" x14ac:dyDescent="0.25">
      <c r="M784" s="377"/>
      <c r="BB784" s="83" t="str">
        <f t="array" ref="BB784">_xlfn.IFS(AQ784="","",LEN(AQ784)-LEN(SUBSTITUTE(AQ784,".",""))=3,LEFT(AQ784,vitri(".",AQ784,3)-1),LEN(AQ784)-LEN(SUBSTITUTE(AQ784,".",""))=2,LEFT(AQ784,vitri(".",AQ784,2)-1),TRUE,LEFT(AQ784,vitri(".",AQ784,1)-1))</f>
        <v/>
      </c>
    </row>
    <row r="785" spans="13:54" x14ac:dyDescent="0.25">
      <c r="M785" s="377"/>
      <c r="BB785" s="83" t="str">
        <f t="array" ref="BB785">_xlfn.IFS(AQ785="","",LEN(AQ785)-LEN(SUBSTITUTE(AQ785,".",""))=3,LEFT(AQ785,vitri(".",AQ785,3)-1),LEN(AQ785)-LEN(SUBSTITUTE(AQ785,".",""))=2,LEFT(AQ785,vitri(".",AQ785,2)-1),TRUE,LEFT(AQ785,vitri(".",AQ785,1)-1))</f>
        <v/>
      </c>
    </row>
    <row r="786" spans="13:54" x14ac:dyDescent="0.25">
      <c r="M786" s="377"/>
      <c r="BB786" s="83" t="str">
        <f t="array" ref="BB786">_xlfn.IFS(AQ786="","",LEN(AQ786)-LEN(SUBSTITUTE(AQ786,".",""))=3,LEFT(AQ786,vitri(".",AQ786,3)-1),LEN(AQ786)-LEN(SUBSTITUTE(AQ786,".",""))=2,LEFT(AQ786,vitri(".",AQ786,2)-1),TRUE,LEFT(AQ786,vitri(".",AQ786,1)-1))</f>
        <v/>
      </c>
    </row>
    <row r="787" spans="13:54" x14ac:dyDescent="0.25">
      <c r="M787" s="377"/>
      <c r="BB787" s="83" t="str">
        <f t="array" ref="BB787">_xlfn.IFS(AQ787="","",LEN(AQ787)-LEN(SUBSTITUTE(AQ787,".",""))=3,LEFT(AQ787,vitri(".",AQ787,3)-1),LEN(AQ787)-LEN(SUBSTITUTE(AQ787,".",""))=2,LEFT(AQ787,vitri(".",AQ787,2)-1),TRUE,LEFT(AQ787,vitri(".",AQ787,1)-1))</f>
        <v/>
      </c>
    </row>
    <row r="788" spans="13:54" x14ac:dyDescent="0.25">
      <c r="M788" s="377"/>
      <c r="BB788" s="83" t="str">
        <f t="array" ref="BB788">_xlfn.IFS(AQ788="","",LEN(AQ788)-LEN(SUBSTITUTE(AQ788,".",""))=3,LEFT(AQ788,vitri(".",AQ788,3)-1),LEN(AQ788)-LEN(SUBSTITUTE(AQ788,".",""))=2,LEFT(AQ788,vitri(".",AQ788,2)-1),TRUE,LEFT(AQ788,vitri(".",AQ788,1)-1))</f>
        <v/>
      </c>
    </row>
    <row r="789" spans="13:54" x14ac:dyDescent="0.25">
      <c r="M789" s="377"/>
      <c r="BB789" s="83" t="str">
        <f t="array" ref="BB789">_xlfn.IFS(AQ789="","",LEN(AQ789)-LEN(SUBSTITUTE(AQ789,".",""))=3,LEFT(AQ789,vitri(".",AQ789,3)-1),LEN(AQ789)-LEN(SUBSTITUTE(AQ789,".",""))=2,LEFT(AQ789,vitri(".",AQ789,2)-1),TRUE,LEFT(AQ789,vitri(".",AQ789,1)-1))</f>
        <v/>
      </c>
    </row>
    <row r="790" spans="13:54" x14ac:dyDescent="0.25">
      <c r="M790" s="377"/>
      <c r="BB790" s="83" t="str">
        <f t="array" ref="BB790">_xlfn.IFS(AQ790="","",LEN(AQ790)-LEN(SUBSTITUTE(AQ790,".",""))=3,LEFT(AQ790,vitri(".",AQ790,3)-1),LEN(AQ790)-LEN(SUBSTITUTE(AQ790,".",""))=2,LEFT(AQ790,vitri(".",AQ790,2)-1),TRUE,LEFT(AQ790,vitri(".",AQ790,1)-1))</f>
        <v/>
      </c>
    </row>
    <row r="791" spans="13:54" x14ac:dyDescent="0.25">
      <c r="M791" s="377"/>
      <c r="BB791" s="83" t="str">
        <f t="array" ref="BB791">_xlfn.IFS(AQ791="","",LEN(AQ791)-LEN(SUBSTITUTE(AQ791,".",""))=3,LEFT(AQ791,vitri(".",AQ791,3)-1),LEN(AQ791)-LEN(SUBSTITUTE(AQ791,".",""))=2,LEFT(AQ791,vitri(".",AQ791,2)-1),TRUE,LEFT(AQ791,vitri(".",AQ791,1)-1))</f>
        <v/>
      </c>
    </row>
    <row r="792" spans="13:54" x14ac:dyDescent="0.25">
      <c r="M792" s="377"/>
      <c r="BB792" s="83" t="str">
        <f t="array" ref="BB792">_xlfn.IFS(AQ792="","",LEN(AQ792)-LEN(SUBSTITUTE(AQ792,".",""))=3,LEFT(AQ792,vitri(".",AQ792,3)-1),LEN(AQ792)-LEN(SUBSTITUTE(AQ792,".",""))=2,LEFT(AQ792,vitri(".",AQ792,2)-1),TRUE,LEFT(AQ792,vitri(".",AQ792,1)-1))</f>
        <v/>
      </c>
    </row>
    <row r="793" spans="13:54" x14ac:dyDescent="0.25">
      <c r="M793" s="377"/>
      <c r="BB793" s="83" t="str">
        <f t="array" ref="BB793">_xlfn.IFS(AQ793="","",LEN(AQ793)-LEN(SUBSTITUTE(AQ793,".",""))=3,LEFT(AQ793,vitri(".",AQ793,3)-1),LEN(AQ793)-LEN(SUBSTITUTE(AQ793,".",""))=2,LEFT(AQ793,vitri(".",AQ793,2)-1),TRUE,LEFT(AQ793,vitri(".",AQ793,1)-1))</f>
        <v/>
      </c>
    </row>
    <row r="794" spans="13:54" x14ac:dyDescent="0.25">
      <c r="M794" s="377"/>
      <c r="BB794" s="83" t="str">
        <f t="array" ref="BB794">_xlfn.IFS(AQ794="","",LEN(AQ794)-LEN(SUBSTITUTE(AQ794,".",""))=3,LEFT(AQ794,vitri(".",AQ794,3)-1),LEN(AQ794)-LEN(SUBSTITUTE(AQ794,".",""))=2,LEFT(AQ794,vitri(".",AQ794,2)-1),TRUE,LEFT(AQ794,vitri(".",AQ794,1)-1))</f>
        <v/>
      </c>
    </row>
    <row r="795" spans="13:54" x14ac:dyDescent="0.25">
      <c r="M795" s="377"/>
      <c r="BB795" s="83" t="str">
        <f t="array" ref="BB795">_xlfn.IFS(AQ795="","",LEN(AQ795)-LEN(SUBSTITUTE(AQ795,".",""))=3,LEFT(AQ795,vitri(".",AQ795,3)-1),LEN(AQ795)-LEN(SUBSTITUTE(AQ795,".",""))=2,LEFT(AQ795,vitri(".",AQ795,2)-1),TRUE,LEFT(AQ795,vitri(".",AQ795,1)-1))</f>
        <v/>
      </c>
    </row>
    <row r="796" spans="13:54" x14ac:dyDescent="0.25">
      <c r="M796" s="377"/>
      <c r="BB796" s="83" t="str">
        <f t="array" ref="BB796">_xlfn.IFS(AQ796="","",LEN(AQ796)-LEN(SUBSTITUTE(AQ796,".",""))=3,LEFT(AQ796,vitri(".",AQ796,3)-1),LEN(AQ796)-LEN(SUBSTITUTE(AQ796,".",""))=2,LEFT(AQ796,vitri(".",AQ796,2)-1),TRUE,LEFT(AQ796,vitri(".",AQ796,1)-1))</f>
        <v/>
      </c>
    </row>
    <row r="797" spans="13:54" x14ac:dyDescent="0.25">
      <c r="M797" s="377"/>
      <c r="BB797" s="83" t="str">
        <f t="array" ref="BB797">_xlfn.IFS(AQ797="","",LEN(AQ797)-LEN(SUBSTITUTE(AQ797,".",""))=3,LEFT(AQ797,vitri(".",AQ797,3)-1),LEN(AQ797)-LEN(SUBSTITUTE(AQ797,".",""))=2,LEFT(AQ797,vitri(".",AQ797,2)-1),TRUE,LEFT(AQ797,vitri(".",AQ797,1)-1))</f>
        <v/>
      </c>
    </row>
    <row r="798" spans="13:54" x14ac:dyDescent="0.25">
      <c r="M798" s="377"/>
      <c r="BB798" s="83" t="str">
        <f t="array" ref="BB798">_xlfn.IFS(AQ798="","",LEN(AQ798)-LEN(SUBSTITUTE(AQ798,".",""))=3,LEFT(AQ798,vitri(".",AQ798,3)-1),LEN(AQ798)-LEN(SUBSTITUTE(AQ798,".",""))=2,LEFT(AQ798,vitri(".",AQ798,2)-1),TRUE,LEFT(AQ798,vitri(".",AQ798,1)-1))</f>
        <v/>
      </c>
    </row>
    <row r="799" spans="13:54" x14ac:dyDescent="0.25">
      <c r="M799" s="377"/>
      <c r="BB799" s="83" t="str">
        <f t="array" ref="BB799">_xlfn.IFS(AQ799="","",LEN(AQ799)-LEN(SUBSTITUTE(AQ799,".",""))=3,LEFT(AQ799,vitri(".",AQ799,3)-1),LEN(AQ799)-LEN(SUBSTITUTE(AQ799,".",""))=2,LEFT(AQ799,vitri(".",AQ799,2)-1),TRUE,LEFT(AQ799,vitri(".",AQ799,1)-1))</f>
        <v/>
      </c>
    </row>
    <row r="800" spans="13:54" x14ac:dyDescent="0.25">
      <c r="M800" s="377"/>
      <c r="BB800" s="83" t="str">
        <f t="array" ref="BB800">_xlfn.IFS(AQ800="","",LEN(AQ800)-LEN(SUBSTITUTE(AQ800,".",""))=3,LEFT(AQ800,vitri(".",AQ800,3)-1),LEN(AQ800)-LEN(SUBSTITUTE(AQ800,".",""))=2,LEFT(AQ800,vitri(".",AQ800,2)-1),TRUE,LEFT(AQ800,vitri(".",AQ800,1)-1))</f>
        <v/>
      </c>
    </row>
    <row r="801" spans="13:54" x14ac:dyDescent="0.25">
      <c r="M801" s="377"/>
      <c r="BB801" s="83" t="str">
        <f t="array" ref="BB801">_xlfn.IFS(AQ801="","",LEN(AQ801)-LEN(SUBSTITUTE(AQ801,".",""))=3,LEFT(AQ801,vitri(".",AQ801,3)-1),LEN(AQ801)-LEN(SUBSTITUTE(AQ801,".",""))=2,LEFT(AQ801,vitri(".",AQ801,2)-1),TRUE,LEFT(AQ801,vitri(".",AQ801,1)-1))</f>
        <v/>
      </c>
    </row>
    <row r="802" spans="13:54" x14ac:dyDescent="0.25">
      <c r="M802" s="377"/>
      <c r="BB802" s="83" t="str">
        <f t="array" ref="BB802">_xlfn.IFS(AQ802="","",LEN(AQ802)-LEN(SUBSTITUTE(AQ802,".",""))=3,LEFT(AQ802,vitri(".",AQ802,3)-1),LEN(AQ802)-LEN(SUBSTITUTE(AQ802,".",""))=2,LEFT(AQ802,vitri(".",AQ802,2)-1),TRUE,LEFT(AQ802,vitri(".",AQ802,1)-1))</f>
        <v/>
      </c>
    </row>
    <row r="803" spans="13:54" x14ac:dyDescent="0.25">
      <c r="M803" s="377"/>
      <c r="BB803" s="83" t="str">
        <f t="array" ref="BB803">_xlfn.IFS(AQ803="","",LEN(AQ803)-LEN(SUBSTITUTE(AQ803,".",""))=3,LEFT(AQ803,vitri(".",AQ803,3)-1),LEN(AQ803)-LEN(SUBSTITUTE(AQ803,".",""))=2,LEFT(AQ803,vitri(".",AQ803,2)-1),TRUE,LEFT(AQ803,vitri(".",AQ803,1)-1))</f>
        <v/>
      </c>
    </row>
    <row r="804" spans="13:54" x14ac:dyDescent="0.25">
      <c r="M804" s="377"/>
      <c r="BB804" s="83" t="str">
        <f t="array" ref="BB804">_xlfn.IFS(AQ804="","",LEN(AQ804)-LEN(SUBSTITUTE(AQ804,".",""))=3,LEFT(AQ804,vitri(".",AQ804,3)-1),LEN(AQ804)-LEN(SUBSTITUTE(AQ804,".",""))=2,LEFT(AQ804,vitri(".",AQ804,2)-1),TRUE,LEFT(AQ804,vitri(".",AQ804,1)-1))</f>
        <v/>
      </c>
    </row>
    <row r="805" spans="13:54" x14ac:dyDescent="0.25">
      <c r="M805" s="377"/>
      <c r="BB805" s="83" t="str">
        <f t="array" ref="BB805">_xlfn.IFS(AQ805="","",LEN(AQ805)-LEN(SUBSTITUTE(AQ805,".",""))=3,LEFT(AQ805,vitri(".",AQ805,3)-1),LEN(AQ805)-LEN(SUBSTITUTE(AQ805,".",""))=2,LEFT(AQ805,vitri(".",AQ805,2)-1),TRUE,LEFT(AQ805,vitri(".",AQ805,1)-1))</f>
        <v/>
      </c>
    </row>
    <row r="806" spans="13:54" x14ac:dyDescent="0.25">
      <c r="M806" s="377"/>
      <c r="BB806" s="83" t="str">
        <f t="array" ref="BB806">_xlfn.IFS(AQ806="","",LEN(AQ806)-LEN(SUBSTITUTE(AQ806,".",""))=3,LEFT(AQ806,vitri(".",AQ806,3)-1),LEN(AQ806)-LEN(SUBSTITUTE(AQ806,".",""))=2,LEFT(AQ806,vitri(".",AQ806,2)-1),TRUE,LEFT(AQ806,vitri(".",AQ806,1)-1))</f>
        <v/>
      </c>
    </row>
    <row r="807" spans="13:54" x14ac:dyDescent="0.25">
      <c r="M807" s="377"/>
      <c r="BB807" s="83" t="str">
        <f t="array" ref="BB807">_xlfn.IFS(AQ807="","",LEN(AQ807)-LEN(SUBSTITUTE(AQ807,".",""))=3,LEFT(AQ807,vitri(".",AQ807,3)-1),LEN(AQ807)-LEN(SUBSTITUTE(AQ807,".",""))=2,LEFT(AQ807,vitri(".",AQ807,2)-1),TRUE,LEFT(AQ807,vitri(".",AQ807,1)-1))</f>
        <v/>
      </c>
    </row>
    <row r="808" spans="13:54" x14ac:dyDescent="0.25">
      <c r="M808" s="377"/>
      <c r="BB808" s="83" t="str">
        <f t="array" ref="BB808">_xlfn.IFS(AQ808="","",LEN(AQ808)-LEN(SUBSTITUTE(AQ808,".",""))=3,LEFT(AQ808,vitri(".",AQ808,3)-1),LEN(AQ808)-LEN(SUBSTITUTE(AQ808,".",""))=2,LEFT(AQ808,vitri(".",AQ808,2)-1),TRUE,LEFT(AQ808,vitri(".",AQ808,1)-1))</f>
        <v/>
      </c>
    </row>
    <row r="809" spans="13:54" x14ac:dyDescent="0.25">
      <c r="M809" s="377"/>
      <c r="BB809" s="83" t="str">
        <f t="array" ref="BB809">_xlfn.IFS(AQ809="","",LEN(AQ809)-LEN(SUBSTITUTE(AQ809,".",""))=3,LEFT(AQ809,vitri(".",AQ809,3)-1),LEN(AQ809)-LEN(SUBSTITUTE(AQ809,".",""))=2,LEFT(AQ809,vitri(".",AQ809,2)-1),TRUE,LEFT(AQ809,vitri(".",AQ809,1)-1))</f>
        <v/>
      </c>
    </row>
    <row r="810" spans="13:54" x14ac:dyDescent="0.25">
      <c r="M810" s="377"/>
      <c r="BB810" s="83" t="str">
        <f t="array" ref="BB810">_xlfn.IFS(AQ810="","",LEN(AQ810)-LEN(SUBSTITUTE(AQ810,".",""))=3,LEFT(AQ810,vitri(".",AQ810,3)-1),LEN(AQ810)-LEN(SUBSTITUTE(AQ810,".",""))=2,LEFT(AQ810,vitri(".",AQ810,2)-1),TRUE,LEFT(AQ810,vitri(".",AQ810,1)-1))</f>
        <v/>
      </c>
    </row>
    <row r="811" spans="13:54" x14ac:dyDescent="0.25">
      <c r="M811" s="377"/>
      <c r="BB811" s="83" t="str">
        <f t="array" ref="BB811">_xlfn.IFS(AQ811="","",LEN(AQ811)-LEN(SUBSTITUTE(AQ811,".",""))=3,LEFT(AQ811,vitri(".",AQ811,3)-1),LEN(AQ811)-LEN(SUBSTITUTE(AQ811,".",""))=2,LEFT(AQ811,vitri(".",AQ811,2)-1),TRUE,LEFT(AQ811,vitri(".",AQ811,1)-1))</f>
        <v/>
      </c>
    </row>
    <row r="812" spans="13:54" x14ac:dyDescent="0.25">
      <c r="M812" s="377"/>
      <c r="BB812" s="83" t="str">
        <f t="array" ref="BB812">_xlfn.IFS(AQ812="","",LEN(AQ812)-LEN(SUBSTITUTE(AQ812,".",""))=3,LEFT(AQ812,vitri(".",AQ812,3)-1),LEN(AQ812)-LEN(SUBSTITUTE(AQ812,".",""))=2,LEFT(AQ812,vitri(".",AQ812,2)-1),TRUE,LEFT(AQ812,vitri(".",AQ812,1)-1))</f>
        <v/>
      </c>
    </row>
    <row r="813" spans="13:54" x14ac:dyDescent="0.25">
      <c r="M813" s="377"/>
      <c r="BB813" s="83" t="str">
        <f t="array" ref="BB813">_xlfn.IFS(AQ813="","",LEN(AQ813)-LEN(SUBSTITUTE(AQ813,".",""))=3,LEFT(AQ813,vitri(".",AQ813,3)-1),LEN(AQ813)-LEN(SUBSTITUTE(AQ813,".",""))=2,LEFT(AQ813,vitri(".",AQ813,2)-1),TRUE,LEFT(AQ813,vitri(".",AQ813,1)-1))</f>
        <v/>
      </c>
    </row>
    <row r="814" spans="13:54" x14ac:dyDescent="0.25">
      <c r="M814" s="377"/>
      <c r="BB814" s="83" t="str">
        <f t="array" ref="BB814">_xlfn.IFS(AQ814="","",LEN(AQ814)-LEN(SUBSTITUTE(AQ814,".",""))=3,LEFT(AQ814,vitri(".",AQ814,3)-1),LEN(AQ814)-LEN(SUBSTITUTE(AQ814,".",""))=2,LEFT(AQ814,vitri(".",AQ814,2)-1),TRUE,LEFT(AQ814,vitri(".",AQ814,1)-1))</f>
        <v/>
      </c>
    </row>
    <row r="815" spans="13:54" x14ac:dyDescent="0.25">
      <c r="M815" s="377"/>
      <c r="BB815" s="83" t="str">
        <f t="array" ref="BB815">_xlfn.IFS(AQ815="","",LEN(AQ815)-LEN(SUBSTITUTE(AQ815,".",""))=3,LEFT(AQ815,vitri(".",AQ815,3)-1),LEN(AQ815)-LEN(SUBSTITUTE(AQ815,".",""))=2,LEFT(AQ815,vitri(".",AQ815,2)-1),TRUE,LEFT(AQ815,vitri(".",AQ815,1)-1))</f>
        <v/>
      </c>
    </row>
    <row r="816" spans="13:54" x14ac:dyDescent="0.25">
      <c r="M816" s="377"/>
      <c r="BB816" s="83" t="str">
        <f t="array" ref="BB816">_xlfn.IFS(AQ816="","",LEN(AQ816)-LEN(SUBSTITUTE(AQ816,".",""))=3,LEFT(AQ816,vitri(".",AQ816,3)-1),LEN(AQ816)-LEN(SUBSTITUTE(AQ816,".",""))=2,LEFT(AQ816,vitri(".",AQ816,2)-1),TRUE,LEFT(AQ816,vitri(".",AQ816,1)-1))</f>
        <v/>
      </c>
    </row>
    <row r="817" spans="13:54" x14ac:dyDescent="0.25">
      <c r="M817" s="377"/>
      <c r="BB817" s="83" t="str">
        <f t="array" ref="BB817">_xlfn.IFS(AQ817="","",LEN(AQ817)-LEN(SUBSTITUTE(AQ817,".",""))=3,LEFT(AQ817,vitri(".",AQ817,3)-1),LEN(AQ817)-LEN(SUBSTITUTE(AQ817,".",""))=2,LEFT(AQ817,vitri(".",AQ817,2)-1),TRUE,LEFT(AQ817,vitri(".",AQ817,1)-1))</f>
        <v/>
      </c>
    </row>
    <row r="818" spans="13:54" x14ac:dyDescent="0.25">
      <c r="M818" s="377"/>
      <c r="BB818" s="83" t="str">
        <f t="array" ref="BB818">_xlfn.IFS(AQ818="","",LEN(AQ818)-LEN(SUBSTITUTE(AQ818,".",""))=3,LEFT(AQ818,vitri(".",AQ818,3)-1),LEN(AQ818)-LEN(SUBSTITUTE(AQ818,".",""))=2,LEFT(AQ818,vitri(".",AQ818,2)-1),TRUE,LEFT(AQ818,vitri(".",AQ818,1)-1))</f>
        <v/>
      </c>
    </row>
    <row r="819" spans="13:54" x14ac:dyDescent="0.25">
      <c r="M819" s="377"/>
      <c r="BB819" s="83" t="str">
        <f t="array" ref="BB819">_xlfn.IFS(AQ819="","",LEN(AQ819)-LEN(SUBSTITUTE(AQ819,".",""))=3,LEFT(AQ819,vitri(".",AQ819,3)-1),LEN(AQ819)-LEN(SUBSTITUTE(AQ819,".",""))=2,LEFT(AQ819,vitri(".",AQ819,2)-1),TRUE,LEFT(AQ819,vitri(".",AQ819,1)-1))</f>
        <v/>
      </c>
    </row>
    <row r="820" spans="13:54" x14ac:dyDescent="0.25">
      <c r="M820" s="377"/>
      <c r="BB820" s="83" t="str">
        <f t="array" ref="BB820">_xlfn.IFS(AQ820="","",LEN(AQ820)-LEN(SUBSTITUTE(AQ820,".",""))=3,LEFT(AQ820,vitri(".",AQ820,3)-1),LEN(AQ820)-LEN(SUBSTITUTE(AQ820,".",""))=2,LEFT(AQ820,vitri(".",AQ820,2)-1),TRUE,LEFT(AQ820,vitri(".",AQ820,1)-1))</f>
        <v/>
      </c>
    </row>
    <row r="821" spans="13:54" x14ac:dyDescent="0.25">
      <c r="M821" s="377"/>
      <c r="BB821" s="83" t="str">
        <f t="array" ref="BB821">_xlfn.IFS(AQ821="","",LEN(AQ821)-LEN(SUBSTITUTE(AQ821,".",""))=3,LEFT(AQ821,vitri(".",AQ821,3)-1),LEN(AQ821)-LEN(SUBSTITUTE(AQ821,".",""))=2,LEFT(AQ821,vitri(".",AQ821,2)-1),TRUE,LEFT(AQ821,vitri(".",AQ821,1)-1))</f>
        <v/>
      </c>
    </row>
    <row r="822" spans="13:54" x14ac:dyDescent="0.25">
      <c r="M822" s="377"/>
      <c r="BB822" s="83" t="str">
        <f t="array" ref="BB822">_xlfn.IFS(AQ822="","",LEN(AQ822)-LEN(SUBSTITUTE(AQ822,".",""))=3,LEFT(AQ822,vitri(".",AQ822,3)-1),LEN(AQ822)-LEN(SUBSTITUTE(AQ822,".",""))=2,LEFT(AQ822,vitri(".",AQ822,2)-1),TRUE,LEFT(AQ822,vitri(".",AQ822,1)-1))</f>
        <v/>
      </c>
    </row>
    <row r="823" spans="13:54" x14ac:dyDescent="0.25">
      <c r="M823" s="377"/>
      <c r="BB823" s="83" t="str">
        <f t="array" ref="BB823">_xlfn.IFS(AQ823="","",LEN(AQ823)-LEN(SUBSTITUTE(AQ823,".",""))=3,LEFT(AQ823,vitri(".",AQ823,3)-1),LEN(AQ823)-LEN(SUBSTITUTE(AQ823,".",""))=2,LEFT(AQ823,vitri(".",AQ823,2)-1),TRUE,LEFT(AQ823,vitri(".",AQ823,1)-1))</f>
        <v/>
      </c>
    </row>
    <row r="824" spans="13:54" x14ac:dyDescent="0.25">
      <c r="M824" s="377"/>
      <c r="BB824" s="83" t="str">
        <f t="array" ref="BB824">_xlfn.IFS(AQ824="","",LEN(AQ824)-LEN(SUBSTITUTE(AQ824,".",""))=3,LEFT(AQ824,vitri(".",AQ824,3)-1),LEN(AQ824)-LEN(SUBSTITUTE(AQ824,".",""))=2,LEFT(AQ824,vitri(".",AQ824,2)-1),TRUE,LEFT(AQ824,vitri(".",AQ824,1)-1))</f>
        <v/>
      </c>
    </row>
    <row r="825" spans="13:54" x14ac:dyDescent="0.25">
      <c r="M825" s="377"/>
      <c r="BB825" s="83" t="str">
        <f t="array" ref="BB825">_xlfn.IFS(AQ825="","",LEN(AQ825)-LEN(SUBSTITUTE(AQ825,".",""))=3,LEFT(AQ825,vitri(".",AQ825,3)-1),LEN(AQ825)-LEN(SUBSTITUTE(AQ825,".",""))=2,LEFT(AQ825,vitri(".",AQ825,2)-1),TRUE,LEFT(AQ825,vitri(".",AQ825,1)-1))</f>
        <v/>
      </c>
    </row>
    <row r="826" spans="13:54" x14ac:dyDescent="0.25">
      <c r="M826" s="377"/>
      <c r="BB826" s="83" t="str">
        <f t="array" ref="BB826">_xlfn.IFS(AQ826="","",LEN(AQ826)-LEN(SUBSTITUTE(AQ826,".",""))=3,LEFT(AQ826,vitri(".",AQ826,3)-1),LEN(AQ826)-LEN(SUBSTITUTE(AQ826,".",""))=2,LEFT(AQ826,vitri(".",AQ826,2)-1),TRUE,LEFT(AQ826,vitri(".",AQ826,1)-1))</f>
        <v/>
      </c>
    </row>
    <row r="827" spans="13:54" x14ac:dyDescent="0.25">
      <c r="M827" s="377"/>
      <c r="BB827" s="83" t="str">
        <f t="array" ref="BB827">_xlfn.IFS(AQ827="","",LEN(AQ827)-LEN(SUBSTITUTE(AQ827,".",""))=3,LEFT(AQ827,vitri(".",AQ827,3)-1),LEN(AQ827)-LEN(SUBSTITUTE(AQ827,".",""))=2,LEFT(AQ827,vitri(".",AQ827,2)-1),TRUE,LEFT(AQ827,vitri(".",AQ827,1)-1))</f>
        <v/>
      </c>
    </row>
    <row r="828" spans="13:54" x14ac:dyDescent="0.25">
      <c r="M828" s="377"/>
      <c r="BB828" s="83" t="str">
        <f t="array" ref="BB828">_xlfn.IFS(AQ828="","",LEN(AQ828)-LEN(SUBSTITUTE(AQ828,".",""))=3,LEFT(AQ828,vitri(".",AQ828,3)-1),LEN(AQ828)-LEN(SUBSTITUTE(AQ828,".",""))=2,LEFT(AQ828,vitri(".",AQ828,2)-1),TRUE,LEFT(AQ828,vitri(".",AQ828,1)-1))</f>
        <v/>
      </c>
    </row>
    <row r="829" spans="13:54" x14ac:dyDescent="0.25">
      <c r="M829" s="377"/>
      <c r="BB829" s="83" t="str">
        <f t="array" ref="BB829">_xlfn.IFS(AQ829="","",LEN(AQ829)-LEN(SUBSTITUTE(AQ829,".",""))=3,LEFT(AQ829,vitri(".",AQ829,3)-1),LEN(AQ829)-LEN(SUBSTITUTE(AQ829,".",""))=2,LEFT(AQ829,vitri(".",AQ829,2)-1),TRUE,LEFT(AQ829,vitri(".",AQ829,1)-1))</f>
        <v/>
      </c>
    </row>
    <row r="830" spans="13:54" x14ac:dyDescent="0.25">
      <c r="M830" s="377"/>
      <c r="BB830" s="83" t="str">
        <f t="array" ref="BB830">_xlfn.IFS(AQ830="","",LEN(AQ830)-LEN(SUBSTITUTE(AQ830,".",""))=3,LEFT(AQ830,vitri(".",AQ830,3)-1),LEN(AQ830)-LEN(SUBSTITUTE(AQ830,".",""))=2,LEFT(AQ830,vitri(".",AQ830,2)-1),TRUE,LEFT(AQ830,vitri(".",AQ830,1)-1))</f>
        <v/>
      </c>
    </row>
    <row r="831" spans="13:54" x14ac:dyDescent="0.25">
      <c r="M831" s="377"/>
      <c r="BB831" s="83" t="str">
        <f t="array" ref="BB831">_xlfn.IFS(AQ831="","",LEN(AQ831)-LEN(SUBSTITUTE(AQ831,".",""))=3,LEFT(AQ831,vitri(".",AQ831,3)-1),LEN(AQ831)-LEN(SUBSTITUTE(AQ831,".",""))=2,LEFT(AQ831,vitri(".",AQ831,2)-1),TRUE,LEFT(AQ831,vitri(".",AQ831,1)-1))</f>
        <v/>
      </c>
    </row>
    <row r="832" spans="13:54" x14ac:dyDescent="0.25">
      <c r="M832" s="377"/>
      <c r="BB832" s="83" t="str">
        <f t="array" ref="BB832">_xlfn.IFS(AQ832="","",LEN(AQ832)-LEN(SUBSTITUTE(AQ832,".",""))=3,LEFT(AQ832,vitri(".",AQ832,3)-1),LEN(AQ832)-LEN(SUBSTITUTE(AQ832,".",""))=2,LEFT(AQ832,vitri(".",AQ832,2)-1),TRUE,LEFT(AQ832,vitri(".",AQ832,1)-1))</f>
        <v/>
      </c>
    </row>
    <row r="833" spans="13:54" x14ac:dyDescent="0.25">
      <c r="M833" s="377"/>
      <c r="BB833" s="83" t="str">
        <f t="array" ref="BB833">_xlfn.IFS(AQ833="","",LEN(AQ833)-LEN(SUBSTITUTE(AQ833,".",""))=3,LEFT(AQ833,vitri(".",AQ833,3)-1),LEN(AQ833)-LEN(SUBSTITUTE(AQ833,".",""))=2,LEFT(AQ833,vitri(".",AQ833,2)-1),TRUE,LEFT(AQ833,vitri(".",AQ833,1)-1))</f>
        <v/>
      </c>
    </row>
    <row r="834" spans="13:54" x14ac:dyDescent="0.25">
      <c r="M834" s="377"/>
      <c r="BB834" s="83" t="str">
        <f t="array" ref="BB834">_xlfn.IFS(AQ834="","",LEN(AQ834)-LEN(SUBSTITUTE(AQ834,".",""))=3,LEFT(AQ834,vitri(".",AQ834,3)-1),LEN(AQ834)-LEN(SUBSTITUTE(AQ834,".",""))=2,LEFT(AQ834,vitri(".",AQ834,2)-1),TRUE,LEFT(AQ834,vitri(".",AQ834,1)-1))</f>
        <v/>
      </c>
    </row>
    <row r="835" spans="13:54" x14ac:dyDescent="0.25">
      <c r="M835" s="377"/>
      <c r="BB835" s="83" t="str">
        <f t="array" ref="BB835">_xlfn.IFS(AQ835="","",LEN(AQ835)-LEN(SUBSTITUTE(AQ835,".",""))=3,LEFT(AQ835,vitri(".",AQ835,3)-1),LEN(AQ835)-LEN(SUBSTITUTE(AQ835,".",""))=2,LEFT(AQ835,vitri(".",AQ835,2)-1),TRUE,LEFT(AQ835,vitri(".",AQ835,1)-1))</f>
        <v/>
      </c>
    </row>
    <row r="836" spans="13:54" x14ac:dyDescent="0.25">
      <c r="M836" s="377"/>
      <c r="BB836" s="83" t="str">
        <f t="array" ref="BB836">_xlfn.IFS(AQ836="","",LEN(AQ836)-LEN(SUBSTITUTE(AQ836,".",""))=3,LEFT(AQ836,vitri(".",AQ836,3)-1),LEN(AQ836)-LEN(SUBSTITUTE(AQ836,".",""))=2,LEFT(AQ836,vitri(".",AQ836,2)-1),TRUE,LEFT(AQ836,vitri(".",AQ836,1)-1))</f>
        <v/>
      </c>
    </row>
    <row r="837" spans="13:54" x14ac:dyDescent="0.25">
      <c r="M837" s="377"/>
      <c r="BB837" s="83" t="str">
        <f t="array" ref="BB837">_xlfn.IFS(AQ837="","",LEN(AQ837)-LEN(SUBSTITUTE(AQ837,".",""))=3,LEFT(AQ837,vitri(".",AQ837,3)-1),LEN(AQ837)-LEN(SUBSTITUTE(AQ837,".",""))=2,LEFT(AQ837,vitri(".",AQ837,2)-1),TRUE,LEFT(AQ837,vitri(".",AQ837,1)-1))</f>
        <v/>
      </c>
    </row>
    <row r="838" spans="13:54" x14ac:dyDescent="0.25">
      <c r="M838" s="377"/>
      <c r="BB838" s="83" t="str">
        <f t="array" ref="BB838">_xlfn.IFS(AQ838="","",LEN(AQ838)-LEN(SUBSTITUTE(AQ838,".",""))=3,LEFT(AQ838,vitri(".",AQ838,3)-1),LEN(AQ838)-LEN(SUBSTITUTE(AQ838,".",""))=2,LEFT(AQ838,vitri(".",AQ838,2)-1),TRUE,LEFT(AQ838,vitri(".",AQ838,1)-1))</f>
        <v/>
      </c>
    </row>
    <row r="839" spans="13:54" x14ac:dyDescent="0.25">
      <c r="M839" s="377"/>
      <c r="BB839" s="83" t="str">
        <f t="array" ref="BB839">_xlfn.IFS(AQ839="","",LEN(AQ839)-LEN(SUBSTITUTE(AQ839,".",""))=3,LEFT(AQ839,vitri(".",AQ839,3)-1),LEN(AQ839)-LEN(SUBSTITUTE(AQ839,".",""))=2,LEFT(AQ839,vitri(".",AQ839,2)-1),TRUE,LEFT(AQ839,vitri(".",AQ839,1)-1))</f>
        <v/>
      </c>
    </row>
    <row r="840" spans="13:54" x14ac:dyDescent="0.25">
      <c r="M840" s="377"/>
      <c r="BB840" s="83" t="str">
        <f t="array" ref="BB840">_xlfn.IFS(AQ840="","",LEN(AQ840)-LEN(SUBSTITUTE(AQ840,".",""))=3,LEFT(AQ840,vitri(".",AQ840,3)-1),LEN(AQ840)-LEN(SUBSTITUTE(AQ840,".",""))=2,LEFT(AQ840,vitri(".",AQ840,2)-1),TRUE,LEFT(AQ840,vitri(".",AQ840,1)-1))</f>
        <v/>
      </c>
    </row>
    <row r="841" spans="13:54" x14ac:dyDescent="0.25">
      <c r="M841" s="377"/>
      <c r="BB841" s="83" t="str">
        <f t="array" ref="BB841">_xlfn.IFS(AQ841="","",LEN(AQ841)-LEN(SUBSTITUTE(AQ841,".",""))=3,LEFT(AQ841,vitri(".",AQ841,3)-1),LEN(AQ841)-LEN(SUBSTITUTE(AQ841,".",""))=2,LEFT(AQ841,vitri(".",AQ841,2)-1),TRUE,LEFT(AQ841,vitri(".",AQ841,1)-1))</f>
        <v/>
      </c>
    </row>
    <row r="842" spans="13:54" x14ac:dyDescent="0.25">
      <c r="M842" s="377"/>
      <c r="BB842" s="83" t="str">
        <f t="array" ref="BB842">_xlfn.IFS(AQ842="","",LEN(AQ842)-LEN(SUBSTITUTE(AQ842,".",""))=3,LEFT(AQ842,vitri(".",AQ842,3)-1),LEN(AQ842)-LEN(SUBSTITUTE(AQ842,".",""))=2,LEFT(AQ842,vitri(".",AQ842,2)-1),TRUE,LEFT(AQ842,vitri(".",AQ842,1)-1))</f>
        <v/>
      </c>
    </row>
    <row r="843" spans="13:54" x14ac:dyDescent="0.25">
      <c r="M843" s="377"/>
      <c r="BB843" s="83" t="str">
        <f t="array" ref="BB843">_xlfn.IFS(AQ843="","",LEN(AQ843)-LEN(SUBSTITUTE(AQ843,".",""))=3,LEFT(AQ843,vitri(".",AQ843,3)-1),LEN(AQ843)-LEN(SUBSTITUTE(AQ843,".",""))=2,LEFT(AQ843,vitri(".",AQ843,2)-1),TRUE,LEFT(AQ843,vitri(".",AQ843,1)-1))</f>
        <v/>
      </c>
    </row>
    <row r="844" spans="13:54" x14ac:dyDescent="0.25">
      <c r="M844" s="377"/>
      <c r="BB844" s="83" t="str">
        <f t="array" ref="BB844">_xlfn.IFS(AQ844="","",LEN(AQ844)-LEN(SUBSTITUTE(AQ844,".",""))=3,LEFT(AQ844,vitri(".",AQ844,3)-1),LEN(AQ844)-LEN(SUBSTITUTE(AQ844,".",""))=2,LEFT(AQ844,vitri(".",AQ844,2)-1),TRUE,LEFT(AQ844,vitri(".",AQ844,1)-1))</f>
        <v/>
      </c>
    </row>
    <row r="845" spans="13:54" x14ac:dyDescent="0.25">
      <c r="M845" s="377"/>
      <c r="BB845" s="83" t="str">
        <f t="array" ref="BB845">_xlfn.IFS(AQ845="","",LEN(AQ845)-LEN(SUBSTITUTE(AQ845,".",""))=3,LEFT(AQ845,vitri(".",AQ845,3)-1),LEN(AQ845)-LEN(SUBSTITUTE(AQ845,".",""))=2,LEFT(AQ845,vitri(".",AQ845,2)-1),TRUE,LEFT(AQ845,vitri(".",AQ845,1)-1))</f>
        <v/>
      </c>
    </row>
    <row r="846" spans="13:54" x14ac:dyDescent="0.25">
      <c r="M846" s="377"/>
      <c r="BB846" s="83" t="str">
        <f t="array" ref="BB846">_xlfn.IFS(AQ846="","",LEN(AQ846)-LEN(SUBSTITUTE(AQ846,".",""))=3,LEFT(AQ846,vitri(".",AQ846,3)-1),LEN(AQ846)-LEN(SUBSTITUTE(AQ846,".",""))=2,LEFT(AQ846,vitri(".",AQ846,2)-1),TRUE,LEFT(AQ846,vitri(".",AQ846,1)-1))</f>
        <v/>
      </c>
    </row>
    <row r="847" spans="13:54" x14ac:dyDescent="0.25">
      <c r="M847" s="377"/>
      <c r="BB847" s="83" t="str">
        <f t="array" ref="BB847">_xlfn.IFS(AQ847="","",LEN(AQ847)-LEN(SUBSTITUTE(AQ847,".",""))=3,LEFT(AQ847,vitri(".",AQ847,3)-1),LEN(AQ847)-LEN(SUBSTITUTE(AQ847,".",""))=2,LEFT(AQ847,vitri(".",AQ847,2)-1),TRUE,LEFT(AQ847,vitri(".",AQ847,1)-1))</f>
        <v/>
      </c>
    </row>
    <row r="848" spans="13:54" x14ac:dyDescent="0.25">
      <c r="M848" s="377"/>
      <c r="BB848" s="83" t="str">
        <f t="array" ref="BB848">_xlfn.IFS(AQ848="","",LEN(AQ848)-LEN(SUBSTITUTE(AQ848,".",""))=3,LEFT(AQ848,vitri(".",AQ848,3)-1),LEN(AQ848)-LEN(SUBSTITUTE(AQ848,".",""))=2,LEFT(AQ848,vitri(".",AQ848,2)-1),TRUE,LEFT(AQ848,vitri(".",AQ848,1)-1))</f>
        <v/>
      </c>
    </row>
    <row r="849" spans="13:54" x14ac:dyDescent="0.25">
      <c r="M849" s="377"/>
      <c r="BB849" s="83" t="str">
        <f t="array" ref="BB849">_xlfn.IFS(AQ849="","",LEN(AQ849)-LEN(SUBSTITUTE(AQ849,".",""))=3,LEFT(AQ849,vitri(".",AQ849,3)-1),LEN(AQ849)-LEN(SUBSTITUTE(AQ849,".",""))=2,LEFT(AQ849,vitri(".",AQ849,2)-1),TRUE,LEFT(AQ849,vitri(".",AQ849,1)-1))</f>
        <v/>
      </c>
    </row>
    <row r="850" spans="13:54" x14ac:dyDescent="0.25">
      <c r="M850" s="377"/>
      <c r="BB850" s="83" t="str">
        <f t="array" ref="BB850">_xlfn.IFS(AQ850="","",LEN(AQ850)-LEN(SUBSTITUTE(AQ850,".",""))=3,LEFT(AQ850,vitri(".",AQ850,3)-1),LEN(AQ850)-LEN(SUBSTITUTE(AQ850,".",""))=2,LEFT(AQ850,vitri(".",AQ850,2)-1),TRUE,LEFT(AQ850,vitri(".",AQ850,1)-1))</f>
        <v/>
      </c>
    </row>
    <row r="851" spans="13:54" x14ac:dyDescent="0.25">
      <c r="M851" s="377"/>
      <c r="BB851" s="83" t="str">
        <f t="array" ref="BB851">_xlfn.IFS(AQ851="","",LEN(AQ851)-LEN(SUBSTITUTE(AQ851,".",""))=3,LEFT(AQ851,vitri(".",AQ851,3)-1),LEN(AQ851)-LEN(SUBSTITUTE(AQ851,".",""))=2,LEFT(AQ851,vitri(".",AQ851,2)-1),TRUE,LEFT(AQ851,vitri(".",AQ851,1)-1))</f>
        <v/>
      </c>
    </row>
    <row r="852" spans="13:54" x14ac:dyDescent="0.25">
      <c r="M852" s="377"/>
      <c r="BB852" s="83" t="str">
        <f t="array" ref="BB852">_xlfn.IFS(AQ852="","",LEN(AQ852)-LEN(SUBSTITUTE(AQ852,".",""))=3,LEFT(AQ852,vitri(".",AQ852,3)-1),LEN(AQ852)-LEN(SUBSTITUTE(AQ852,".",""))=2,LEFT(AQ852,vitri(".",AQ852,2)-1),TRUE,LEFT(AQ852,vitri(".",AQ852,1)-1))</f>
        <v/>
      </c>
    </row>
    <row r="853" spans="13:54" x14ac:dyDescent="0.25">
      <c r="M853" s="377"/>
      <c r="BB853" s="83" t="str">
        <f t="array" ref="BB853">_xlfn.IFS(AQ853="","",LEN(AQ853)-LEN(SUBSTITUTE(AQ853,".",""))=3,LEFT(AQ853,vitri(".",AQ853,3)-1),LEN(AQ853)-LEN(SUBSTITUTE(AQ853,".",""))=2,LEFT(AQ853,vitri(".",AQ853,2)-1),TRUE,LEFT(AQ853,vitri(".",AQ853,1)-1))</f>
        <v/>
      </c>
    </row>
    <row r="854" spans="13:54" x14ac:dyDescent="0.25">
      <c r="M854" s="377"/>
      <c r="BB854" s="83" t="str">
        <f t="array" ref="BB854">_xlfn.IFS(AQ854="","",LEN(AQ854)-LEN(SUBSTITUTE(AQ854,".",""))=3,LEFT(AQ854,vitri(".",AQ854,3)-1),LEN(AQ854)-LEN(SUBSTITUTE(AQ854,".",""))=2,LEFT(AQ854,vitri(".",AQ854,2)-1),TRUE,LEFT(AQ854,vitri(".",AQ854,1)-1))</f>
        <v/>
      </c>
    </row>
    <row r="855" spans="13:54" x14ac:dyDescent="0.25">
      <c r="M855" s="377"/>
      <c r="BB855" s="83" t="str">
        <f t="array" ref="BB855">_xlfn.IFS(AQ855="","",LEN(AQ855)-LEN(SUBSTITUTE(AQ855,".",""))=3,LEFT(AQ855,vitri(".",AQ855,3)-1),LEN(AQ855)-LEN(SUBSTITUTE(AQ855,".",""))=2,LEFT(AQ855,vitri(".",AQ855,2)-1),TRUE,LEFT(AQ855,vitri(".",AQ855,1)-1))</f>
        <v/>
      </c>
    </row>
    <row r="856" spans="13:54" x14ac:dyDescent="0.25">
      <c r="M856" s="377"/>
      <c r="BB856" s="83" t="str">
        <f t="array" ref="BB856">_xlfn.IFS(AQ856="","",LEN(AQ856)-LEN(SUBSTITUTE(AQ856,".",""))=3,LEFT(AQ856,vitri(".",AQ856,3)-1),LEN(AQ856)-LEN(SUBSTITUTE(AQ856,".",""))=2,LEFT(AQ856,vitri(".",AQ856,2)-1),TRUE,LEFT(AQ856,vitri(".",AQ856,1)-1))</f>
        <v/>
      </c>
    </row>
    <row r="857" spans="13:54" x14ac:dyDescent="0.25">
      <c r="M857" s="377"/>
      <c r="BB857" s="83" t="str">
        <f t="array" ref="BB857">_xlfn.IFS(AQ857="","",LEN(AQ857)-LEN(SUBSTITUTE(AQ857,".",""))=3,LEFT(AQ857,vitri(".",AQ857,3)-1),LEN(AQ857)-LEN(SUBSTITUTE(AQ857,".",""))=2,LEFT(AQ857,vitri(".",AQ857,2)-1),TRUE,LEFT(AQ857,vitri(".",AQ857,1)-1))</f>
        <v/>
      </c>
    </row>
    <row r="858" spans="13:54" x14ac:dyDescent="0.25">
      <c r="M858" s="377"/>
      <c r="BB858" s="83" t="str">
        <f t="array" ref="BB858">_xlfn.IFS(AQ858="","",LEN(AQ858)-LEN(SUBSTITUTE(AQ858,".",""))=3,LEFT(AQ858,vitri(".",AQ858,3)-1),LEN(AQ858)-LEN(SUBSTITUTE(AQ858,".",""))=2,LEFT(AQ858,vitri(".",AQ858,2)-1),TRUE,LEFT(AQ858,vitri(".",AQ858,1)-1))</f>
        <v/>
      </c>
    </row>
    <row r="859" spans="13:54" x14ac:dyDescent="0.25">
      <c r="M859" s="377"/>
      <c r="BB859" s="83" t="str">
        <f t="array" ref="BB859">_xlfn.IFS(AQ859="","",LEN(AQ859)-LEN(SUBSTITUTE(AQ859,".",""))=3,LEFT(AQ859,vitri(".",AQ859,3)-1),LEN(AQ859)-LEN(SUBSTITUTE(AQ859,".",""))=2,LEFT(AQ859,vitri(".",AQ859,2)-1),TRUE,LEFT(AQ859,vitri(".",AQ859,1)-1))</f>
        <v/>
      </c>
    </row>
    <row r="860" spans="13:54" x14ac:dyDescent="0.25">
      <c r="M860" s="377"/>
      <c r="BB860" s="83" t="str">
        <f t="array" ref="BB860">_xlfn.IFS(AQ860="","",LEN(AQ860)-LEN(SUBSTITUTE(AQ860,".",""))=3,LEFT(AQ860,vitri(".",AQ860,3)-1),LEN(AQ860)-LEN(SUBSTITUTE(AQ860,".",""))=2,LEFT(AQ860,vitri(".",AQ860,2)-1),TRUE,LEFT(AQ860,vitri(".",AQ860,1)-1))</f>
        <v/>
      </c>
    </row>
    <row r="861" spans="13:54" x14ac:dyDescent="0.25">
      <c r="M861" s="377"/>
      <c r="BB861" s="83" t="str">
        <f t="array" ref="BB861">_xlfn.IFS(AQ861="","",LEN(AQ861)-LEN(SUBSTITUTE(AQ861,".",""))=3,LEFT(AQ861,vitri(".",AQ861,3)-1),LEN(AQ861)-LEN(SUBSTITUTE(AQ861,".",""))=2,LEFT(AQ861,vitri(".",AQ861,2)-1),TRUE,LEFT(AQ861,vitri(".",AQ861,1)-1))</f>
        <v/>
      </c>
    </row>
    <row r="862" spans="13:54" x14ac:dyDescent="0.25">
      <c r="M862" s="377"/>
      <c r="BB862" s="83" t="str">
        <f t="array" ref="BB862">_xlfn.IFS(AQ862="","",LEN(AQ862)-LEN(SUBSTITUTE(AQ862,".",""))=3,LEFT(AQ862,vitri(".",AQ862,3)-1),LEN(AQ862)-LEN(SUBSTITUTE(AQ862,".",""))=2,LEFT(AQ862,vitri(".",AQ862,2)-1),TRUE,LEFT(AQ862,vitri(".",AQ862,1)-1))</f>
        <v/>
      </c>
    </row>
    <row r="863" spans="13:54" x14ac:dyDescent="0.25">
      <c r="M863" s="377"/>
      <c r="BB863" s="83" t="str">
        <f t="array" ref="BB863">_xlfn.IFS(AQ863="","",LEN(AQ863)-LEN(SUBSTITUTE(AQ863,".",""))=3,LEFT(AQ863,vitri(".",AQ863,3)-1),LEN(AQ863)-LEN(SUBSTITUTE(AQ863,".",""))=2,LEFT(AQ863,vitri(".",AQ863,2)-1),TRUE,LEFT(AQ863,vitri(".",AQ863,1)-1))</f>
        <v/>
      </c>
    </row>
    <row r="864" spans="13:54" x14ac:dyDescent="0.25">
      <c r="M864" s="377"/>
      <c r="BB864" s="83" t="str">
        <f t="array" ref="BB864">_xlfn.IFS(AQ864="","",LEN(AQ864)-LEN(SUBSTITUTE(AQ864,".",""))=3,LEFT(AQ864,vitri(".",AQ864,3)-1),LEN(AQ864)-LEN(SUBSTITUTE(AQ864,".",""))=2,LEFT(AQ864,vitri(".",AQ864,2)-1),TRUE,LEFT(AQ864,vitri(".",AQ864,1)-1))</f>
        <v/>
      </c>
    </row>
    <row r="865" spans="13:54" x14ac:dyDescent="0.25">
      <c r="M865" s="377"/>
      <c r="BB865" s="83" t="str">
        <f t="array" ref="BB865">_xlfn.IFS(AQ865="","",LEN(AQ865)-LEN(SUBSTITUTE(AQ865,".",""))=3,LEFT(AQ865,vitri(".",AQ865,3)-1),LEN(AQ865)-LEN(SUBSTITUTE(AQ865,".",""))=2,LEFT(AQ865,vitri(".",AQ865,2)-1),TRUE,LEFT(AQ865,vitri(".",AQ865,1)-1))</f>
        <v/>
      </c>
    </row>
    <row r="866" spans="13:54" x14ac:dyDescent="0.25">
      <c r="M866" s="377"/>
      <c r="BB866" s="83" t="str">
        <f t="array" ref="BB866">_xlfn.IFS(AQ866="","",LEN(AQ866)-LEN(SUBSTITUTE(AQ866,".",""))=3,LEFT(AQ866,vitri(".",AQ866,3)-1),LEN(AQ866)-LEN(SUBSTITUTE(AQ866,".",""))=2,LEFT(AQ866,vitri(".",AQ866,2)-1),TRUE,LEFT(AQ866,vitri(".",AQ866,1)-1))</f>
        <v/>
      </c>
    </row>
    <row r="867" spans="13:54" x14ac:dyDescent="0.25">
      <c r="M867" s="377"/>
      <c r="BB867" s="83" t="str">
        <f t="array" ref="BB867">_xlfn.IFS(AQ867="","",LEN(AQ867)-LEN(SUBSTITUTE(AQ867,".",""))=3,LEFT(AQ867,vitri(".",AQ867,3)-1),LEN(AQ867)-LEN(SUBSTITUTE(AQ867,".",""))=2,LEFT(AQ867,vitri(".",AQ867,2)-1),TRUE,LEFT(AQ867,vitri(".",AQ867,1)-1))</f>
        <v/>
      </c>
    </row>
    <row r="868" spans="13:54" x14ac:dyDescent="0.25">
      <c r="M868" s="377"/>
      <c r="BB868" s="83" t="str">
        <f t="array" ref="BB868">_xlfn.IFS(AQ868="","",LEN(AQ868)-LEN(SUBSTITUTE(AQ868,".",""))=3,LEFT(AQ868,vitri(".",AQ868,3)-1),LEN(AQ868)-LEN(SUBSTITUTE(AQ868,".",""))=2,LEFT(AQ868,vitri(".",AQ868,2)-1),TRUE,LEFT(AQ868,vitri(".",AQ868,1)-1))</f>
        <v/>
      </c>
    </row>
    <row r="869" spans="13:54" x14ac:dyDescent="0.25">
      <c r="M869" s="377"/>
      <c r="BB869" s="83" t="str">
        <f t="array" ref="BB869">_xlfn.IFS(AQ869="","",LEN(AQ869)-LEN(SUBSTITUTE(AQ869,".",""))=3,LEFT(AQ869,vitri(".",AQ869,3)-1),LEN(AQ869)-LEN(SUBSTITUTE(AQ869,".",""))=2,LEFT(AQ869,vitri(".",AQ869,2)-1),TRUE,LEFT(AQ869,vitri(".",AQ869,1)-1))</f>
        <v/>
      </c>
    </row>
    <row r="870" spans="13:54" x14ac:dyDescent="0.25">
      <c r="M870" s="377"/>
      <c r="BB870" s="83" t="str">
        <f t="array" ref="BB870">_xlfn.IFS(AQ870="","",LEN(AQ870)-LEN(SUBSTITUTE(AQ870,".",""))=3,LEFT(AQ870,vitri(".",AQ870,3)-1),LEN(AQ870)-LEN(SUBSTITUTE(AQ870,".",""))=2,LEFT(AQ870,vitri(".",AQ870,2)-1),TRUE,LEFT(AQ870,vitri(".",AQ870,1)-1))</f>
        <v/>
      </c>
    </row>
    <row r="871" spans="13:54" x14ac:dyDescent="0.25">
      <c r="M871" s="377"/>
      <c r="BB871" s="83" t="str">
        <f t="array" ref="BB871">_xlfn.IFS(AQ871="","",LEN(AQ871)-LEN(SUBSTITUTE(AQ871,".",""))=3,LEFT(AQ871,vitri(".",AQ871,3)-1),LEN(AQ871)-LEN(SUBSTITUTE(AQ871,".",""))=2,LEFT(AQ871,vitri(".",AQ871,2)-1),TRUE,LEFT(AQ871,vitri(".",AQ871,1)-1))</f>
        <v/>
      </c>
    </row>
    <row r="872" spans="13:54" x14ac:dyDescent="0.25">
      <c r="M872" s="377"/>
      <c r="BB872" s="83" t="str">
        <f t="array" ref="BB872">_xlfn.IFS(AQ872="","",LEN(AQ872)-LEN(SUBSTITUTE(AQ872,".",""))=3,LEFT(AQ872,vitri(".",AQ872,3)-1),LEN(AQ872)-LEN(SUBSTITUTE(AQ872,".",""))=2,LEFT(AQ872,vitri(".",AQ872,2)-1),TRUE,LEFT(AQ872,vitri(".",AQ872,1)-1))</f>
        <v/>
      </c>
    </row>
    <row r="873" spans="13:54" x14ac:dyDescent="0.25">
      <c r="M873" s="377"/>
      <c r="BB873" s="83" t="str">
        <f t="array" ref="BB873">_xlfn.IFS(AQ873="","",LEN(AQ873)-LEN(SUBSTITUTE(AQ873,".",""))=3,LEFT(AQ873,vitri(".",AQ873,3)-1),LEN(AQ873)-LEN(SUBSTITUTE(AQ873,".",""))=2,LEFT(AQ873,vitri(".",AQ873,2)-1),TRUE,LEFT(AQ873,vitri(".",AQ873,1)-1))</f>
        <v/>
      </c>
    </row>
    <row r="874" spans="13:54" x14ac:dyDescent="0.25">
      <c r="M874" s="377"/>
      <c r="BB874" s="83" t="str">
        <f t="array" ref="BB874">_xlfn.IFS(AQ874="","",LEN(AQ874)-LEN(SUBSTITUTE(AQ874,".",""))=3,LEFT(AQ874,vitri(".",AQ874,3)-1),LEN(AQ874)-LEN(SUBSTITUTE(AQ874,".",""))=2,LEFT(AQ874,vitri(".",AQ874,2)-1),TRUE,LEFT(AQ874,vitri(".",AQ874,1)-1))</f>
        <v/>
      </c>
    </row>
    <row r="875" spans="13:54" x14ac:dyDescent="0.25">
      <c r="M875" s="377"/>
      <c r="BB875" s="83" t="str">
        <f t="array" ref="BB875">_xlfn.IFS(AQ875="","",LEN(AQ875)-LEN(SUBSTITUTE(AQ875,".",""))=3,LEFT(AQ875,vitri(".",AQ875,3)-1),LEN(AQ875)-LEN(SUBSTITUTE(AQ875,".",""))=2,LEFT(AQ875,vitri(".",AQ875,2)-1),TRUE,LEFT(AQ875,vitri(".",AQ875,1)-1))</f>
        <v/>
      </c>
    </row>
    <row r="876" spans="13:54" x14ac:dyDescent="0.25">
      <c r="M876" s="377"/>
      <c r="BB876" s="83" t="str">
        <f t="array" ref="BB876">_xlfn.IFS(AQ876="","",LEN(AQ876)-LEN(SUBSTITUTE(AQ876,".",""))=3,LEFT(AQ876,vitri(".",AQ876,3)-1),LEN(AQ876)-LEN(SUBSTITUTE(AQ876,".",""))=2,LEFT(AQ876,vitri(".",AQ876,2)-1),TRUE,LEFT(AQ876,vitri(".",AQ876,1)-1))</f>
        <v/>
      </c>
    </row>
    <row r="877" spans="13:54" x14ac:dyDescent="0.25">
      <c r="M877" s="377"/>
      <c r="BB877" s="83" t="str">
        <f t="array" ref="BB877">_xlfn.IFS(AQ877="","",LEN(AQ877)-LEN(SUBSTITUTE(AQ877,".",""))=3,LEFT(AQ877,vitri(".",AQ877,3)-1),LEN(AQ877)-LEN(SUBSTITUTE(AQ877,".",""))=2,LEFT(AQ877,vitri(".",AQ877,2)-1),TRUE,LEFT(AQ877,vitri(".",AQ877,1)-1))</f>
        <v/>
      </c>
    </row>
    <row r="878" spans="13:54" x14ac:dyDescent="0.25">
      <c r="M878" s="377"/>
      <c r="BB878" s="83" t="str">
        <f t="array" ref="BB878">_xlfn.IFS(AQ878="","",LEN(AQ878)-LEN(SUBSTITUTE(AQ878,".",""))=3,LEFT(AQ878,vitri(".",AQ878,3)-1),LEN(AQ878)-LEN(SUBSTITUTE(AQ878,".",""))=2,LEFT(AQ878,vitri(".",AQ878,2)-1),TRUE,LEFT(AQ878,vitri(".",AQ878,1)-1))</f>
        <v/>
      </c>
    </row>
    <row r="879" spans="13:54" x14ac:dyDescent="0.25">
      <c r="M879" s="377"/>
      <c r="BB879" s="83" t="str">
        <f t="array" ref="BB879">_xlfn.IFS(AQ879="","",LEN(AQ879)-LEN(SUBSTITUTE(AQ879,".",""))=3,LEFT(AQ879,vitri(".",AQ879,3)-1),LEN(AQ879)-LEN(SUBSTITUTE(AQ879,".",""))=2,LEFT(AQ879,vitri(".",AQ879,2)-1),TRUE,LEFT(AQ879,vitri(".",AQ879,1)-1))</f>
        <v/>
      </c>
    </row>
    <row r="880" spans="13:54" x14ac:dyDescent="0.25">
      <c r="M880" s="377"/>
      <c r="BB880" s="83" t="str">
        <f t="array" ref="BB880">_xlfn.IFS(AQ880="","",LEN(AQ880)-LEN(SUBSTITUTE(AQ880,".",""))=3,LEFT(AQ880,vitri(".",AQ880,3)-1),LEN(AQ880)-LEN(SUBSTITUTE(AQ880,".",""))=2,LEFT(AQ880,vitri(".",AQ880,2)-1),TRUE,LEFT(AQ880,vitri(".",AQ880,1)-1))</f>
        <v/>
      </c>
    </row>
    <row r="881" spans="13:54" x14ac:dyDescent="0.25">
      <c r="M881" s="377"/>
      <c r="BB881" s="83" t="str">
        <f t="array" ref="BB881">_xlfn.IFS(AQ881="","",LEN(AQ881)-LEN(SUBSTITUTE(AQ881,".",""))=3,LEFT(AQ881,vitri(".",AQ881,3)-1),LEN(AQ881)-LEN(SUBSTITUTE(AQ881,".",""))=2,LEFT(AQ881,vitri(".",AQ881,2)-1),TRUE,LEFT(AQ881,vitri(".",AQ881,1)-1))</f>
        <v/>
      </c>
    </row>
    <row r="882" spans="13:54" x14ac:dyDescent="0.25">
      <c r="M882" s="377"/>
      <c r="BB882" s="83" t="str">
        <f t="array" ref="BB882">_xlfn.IFS(AQ882="","",LEN(AQ882)-LEN(SUBSTITUTE(AQ882,".",""))=3,LEFT(AQ882,vitri(".",AQ882,3)-1),LEN(AQ882)-LEN(SUBSTITUTE(AQ882,".",""))=2,LEFT(AQ882,vitri(".",AQ882,2)-1),TRUE,LEFT(AQ882,vitri(".",AQ882,1)-1))</f>
        <v/>
      </c>
    </row>
    <row r="883" spans="13:54" x14ac:dyDescent="0.25">
      <c r="M883" s="377"/>
      <c r="BB883" s="83" t="str">
        <f t="array" ref="BB883">_xlfn.IFS(AQ883="","",LEN(AQ883)-LEN(SUBSTITUTE(AQ883,".",""))=3,LEFT(AQ883,vitri(".",AQ883,3)-1),LEN(AQ883)-LEN(SUBSTITUTE(AQ883,".",""))=2,LEFT(AQ883,vitri(".",AQ883,2)-1),TRUE,LEFT(AQ883,vitri(".",AQ883,1)-1))</f>
        <v/>
      </c>
    </row>
    <row r="884" spans="13:54" x14ac:dyDescent="0.25">
      <c r="M884" s="377"/>
      <c r="BB884" s="83" t="str">
        <f t="array" ref="BB884">_xlfn.IFS(AQ884="","",LEN(AQ884)-LEN(SUBSTITUTE(AQ884,".",""))=3,LEFT(AQ884,vitri(".",AQ884,3)-1),LEN(AQ884)-LEN(SUBSTITUTE(AQ884,".",""))=2,LEFT(AQ884,vitri(".",AQ884,2)-1),TRUE,LEFT(AQ884,vitri(".",AQ884,1)-1))</f>
        <v/>
      </c>
    </row>
    <row r="885" spans="13:54" x14ac:dyDescent="0.25">
      <c r="M885" s="377"/>
      <c r="BB885" s="83" t="str">
        <f t="array" ref="BB885">_xlfn.IFS(AQ885="","",LEN(AQ885)-LEN(SUBSTITUTE(AQ885,".",""))=3,LEFT(AQ885,vitri(".",AQ885,3)-1),LEN(AQ885)-LEN(SUBSTITUTE(AQ885,".",""))=2,LEFT(AQ885,vitri(".",AQ885,2)-1),TRUE,LEFT(AQ885,vitri(".",AQ885,1)-1))</f>
        <v/>
      </c>
    </row>
    <row r="886" spans="13:54" x14ac:dyDescent="0.25">
      <c r="M886" s="377"/>
      <c r="BB886" s="83" t="str">
        <f t="array" ref="BB886">_xlfn.IFS(AQ886="","",LEN(AQ886)-LEN(SUBSTITUTE(AQ886,".",""))=3,LEFT(AQ886,vitri(".",AQ886,3)-1),LEN(AQ886)-LEN(SUBSTITUTE(AQ886,".",""))=2,LEFT(AQ886,vitri(".",AQ886,2)-1),TRUE,LEFT(AQ886,vitri(".",AQ886,1)-1))</f>
        <v/>
      </c>
    </row>
    <row r="887" spans="13:54" x14ac:dyDescent="0.25">
      <c r="M887" s="377"/>
      <c r="BB887" s="83" t="str">
        <f t="array" ref="BB887">_xlfn.IFS(AQ887="","",LEN(AQ887)-LEN(SUBSTITUTE(AQ887,".",""))=3,LEFT(AQ887,vitri(".",AQ887,3)-1),LEN(AQ887)-LEN(SUBSTITUTE(AQ887,".",""))=2,LEFT(AQ887,vitri(".",AQ887,2)-1),TRUE,LEFT(AQ887,vitri(".",AQ887,1)-1))</f>
        <v/>
      </c>
    </row>
    <row r="888" spans="13:54" x14ac:dyDescent="0.25">
      <c r="M888" s="377"/>
      <c r="BB888" s="83" t="str">
        <f t="array" ref="BB888">_xlfn.IFS(AQ888="","",LEN(AQ888)-LEN(SUBSTITUTE(AQ888,".",""))=3,LEFT(AQ888,vitri(".",AQ888,3)-1),LEN(AQ888)-LEN(SUBSTITUTE(AQ888,".",""))=2,LEFT(AQ888,vitri(".",AQ888,2)-1),TRUE,LEFT(AQ888,vitri(".",AQ888,1)-1))</f>
        <v/>
      </c>
    </row>
    <row r="889" spans="13:54" x14ac:dyDescent="0.25">
      <c r="M889" s="377"/>
      <c r="BB889" s="83" t="str">
        <f t="array" ref="BB889">_xlfn.IFS(AQ889="","",LEN(AQ889)-LEN(SUBSTITUTE(AQ889,".",""))=3,LEFT(AQ889,vitri(".",AQ889,3)-1),LEN(AQ889)-LEN(SUBSTITUTE(AQ889,".",""))=2,LEFT(AQ889,vitri(".",AQ889,2)-1),TRUE,LEFT(AQ889,vitri(".",AQ889,1)-1))</f>
        <v/>
      </c>
    </row>
    <row r="890" spans="13:54" x14ac:dyDescent="0.25">
      <c r="M890" s="377"/>
      <c r="BB890" s="83" t="str">
        <f t="array" ref="BB890">_xlfn.IFS(AQ890="","",LEN(AQ890)-LEN(SUBSTITUTE(AQ890,".",""))=3,LEFT(AQ890,vitri(".",AQ890,3)-1),LEN(AQ890)-LEN(SUBSTITUTE(AQ890,".",""))=2,LEFT(AQ890,vitri(".",AQ890,2)-1),TRUE,LEFT(AQ890,vitri(".",AQ890,1)-1))</f>
        <v/>
      </c>
    </row>
    <row r="891" spans="13:54" x14ac:dyDescent="0.25">
      <c r="M891" s="377"/>
      <c r="BB891" s="83" t="str">
        <f t="array" ref="BB891">_xlfn.IFS(AQ891="","",LEN(AQ891)-LEN(SUBSTITUTE(AQ891,".",""))=3,LEFT(AQ891,vitri(".",AQ891,3)-1),LEN(AQ891)-LEN(SUBSTITUTE(AQ891,".",""))=2,LEFT(AQ891,vitri(".",AQ891,2)-1),TRUE,LEFT(AQ891,vitri(".",AQ891,1)-1))</f>
        <v/>
      </c>
    </row>
    <row r="892" spans="13:54" x14ac:dyDescent="0.25">
      <c r="M892" s="377"/>
      <c r="BB892" s="83" t="str">
        <f t="array" ref="BB892">_xlfn.IFS(AQ892="","",LEN(AQ892)-LEN(SUBSTITUTE(AQ892,".",""))=3,LEFT(AQ892,vitri(".",AQ892,3)-1),LEN(AQ892)-LEN(SUBSTITUTE(AQ892,".",""))=2,LEFT(AQ892,vitri(".",AQ892,2)-1),TRUE,LEFT(AQ892,vitri(".",AQ892,1)-1))</f>
        <v/>
      </c>
    </row>
    <row r="893" spans="13:54" x14ac:dyDescent="0.25">
      <c r="M893" s="377"/>
      <c r="BB893" s="83" t="str">
        <f t="array" ref="BB893">_xlfn.IFS(AQ893="","",LEN(AQ893)-LEN(SUBSTITUTE(AQ893,".",""))=3,LEFT(AQ893,vitri(".",AQ893,3)-1),LEN(AQ893)-LEN(SUBSTITUTE(AQ893,".",""))=2,LEFT(AQ893,vitri(".",AQ893,2)-1),TRUE,LEFT(AQ893,vitri(".",AQ893,1)-1))</f>
        <v/>
      </c>
    </row>
    <row r="894" spans="13:54" x14ac:dyDescent="0.25">
      <c r="M894" s="377"/>
      <c r="BB894" s="83" t="str">
        <f t="array" ref="BB894">_xlfn.IFS(AQ894="","",LEN(AQ894)-LEN(SUBSTITUTE(AQ894,".",""))=3,LEFT(AQ894,vitri(".",AQ894,3)-1),LEN(AQ894)-LEN(SUBSTITUTE(AQ894,".",""))=2,LEFT(AQ894,vitri(".",AQ894,2)-1),TRUE,LEFT(AQ894,vitri(".",AQ894,1)-1))</f>
        <v/>
      </c>
    </row>
    <row r="895" spans="13:54" x14ac:dyDescent="0.25">
      <c r="M895" s="377"/>
      <c r="BB895" s="83" t="str">
        <f t="array" ref="BB895">_xlfn.IFS(AQ895="","",LEN(AQ895)-LEN(SUBSTITUTE(AQ895,".",""))=3,LEFT(AQ895,vitri(".",AQ895,3)-1),LEN(AQ895)-LEN(SUBSTITUTE(AQ895,".",""))=2,LEFT(AQ895,vitri(".",AQ895,2)-1),TRUE,LEFT(AQ895,vitri(".",AQ895,1)-1))</f>
        <v/>
      </c>
    </row>
    <row r="896" spans="13:54" x14ac:dyDescent="0.25">
      <c r="M896" s="377"/>
      <c r="BB896" s="83" t="str">
        <f t="array" ref="BB896">_xlfn.IFS(AQ896="","",LEN(AQ896)-LEN(SUBSTITUTE(AQ896,".",""))=3,LEFT(AQ896,vitri(".",AQ896,3)-1),LEN(AQ896)-LEN(SUBSTITUTE(AQ896,".",""))=2,LEFT(AQ896,vitri(".",AQ896,2)-1),TRUE,LEFT(AQ896,vitri(".",AQ896,1)-1))</f>
        <v/>
      </c>
    </row>
    <row r="897" spans="13:54" x14ac:dyDescent="0.25">
      <c r="M897" s="377"/>
      <c r="BB897" s="83" t="str">
        <f t="array" ref="BB897">_xlfn.IFS(AQ897="","",LEN(AQ897)-LEN(SUBSTITUTE(AQ897,".",""))=3,LEFT(AQ897,vitri(".",AQ897,3)-1),LEN(AQ897)-LEN(SUBSTITUTE(AQ897,".",""))=2,LEFT(AQ897,vitri(".",AQ897,2)-1),TRUE,LEFT(AQ897,vitri(".",AQ897,1)-1))</f>
        <v/>
      </c>
    </row>
    <row r="898" spans="13:54" x14ac:dyDescent="0.25">
      <c r="M898" s="377"/>
      <c r="BB898" s="83" t="str">
        <f t="array" ref="BB898">_xlfn.IFS(AQ898="","",LEN(AQ898)-LEN(SUBSTITUTE(AQ898,".",""))=3,LEFT(AQ898,vitri(".",AQ898,3)-1),LEN(AQ898)-LEN(SUBSTITUTE(AQ898,".",""))=2,LEFT(AQ898,vitri(".",AQ898,2)-1),TRUE,LEFT(AQ898,vitri(".",AQ898,1)-1))</f>
        <v/>
      </c>
    </row>
    <row r="899" spans="13:54" x14ac:dyDescent="0.25">
      <c r="M899" s="377"/>
      <c r="BB899" s="83" t="str">
        <f t="array" ref="BB899">_xlfn.IFS(AQ899="","",LEN(AQ899)-LEN(SUBSTITUTE(AQ899,".",""))=3,LEFT(AQ899,vitri(".",AQ899,3)-1),LEN(AQ899)-LEN(SUBSTITUTE(AQ899,".",""))=2,LEFT(AQ899,vitri(".",AQ899,2)-1),TRUE,LEFT(AQ899,vitri(".",AQ899,1)-1))</f>
        <v/>
      </c>
    </row>
    <row r="900" spans="13:54" x14ac:dyDescent="0.25">
      <c r="M900" s="377"/>
      <c r="BB900" s="83" t="str">
        <f t="array" ref="BB900">_xlfn.IFS(AQ900="","",LEN(AQ900)-LEN(SUBSTITUTE(AQ900,".",""))=3,LEFT(AQ900,vitri(".",AQ900,3)-1),LEN(AQ900)-LEN(SUBSTITUTE(AQ900,".",""))=2,LEFT(AQ900,vitri(".",AQ900,2)-1),TRUE,LEFT(AQ900,vitri(".",AQ900,1)-1))</f>
        <v/>
      </c>
    </row>
    <row r="901" spans="13:54" x14ac:dyDescent="0.25">
      <c r="M901" s="377"/>
      <c r="BB901" s="83" t="str">
        <f t="array" ref="BB901">_xlfn.IFS(AQ901="","",LEN(AQ901)-LEN(SUBSTITUTE(AQ901,".",""))=3,LEFT(AQ901,vitri(".",AQ901,3)-1),LEN(AQ901)-LEN(SUBSTITUTE(AQ901,".",""))=2,LEFT(AQ901,vitri(".",AQ901,2)-1),TRUE,LEFT(AQ901,vitri(".",AQ901,1)-1))</f>
        <v/>
      </c>
    </row>
    <row r="902" spans="13:54" x14ac:dyDescent="0.25">
      <c r="M902" s="377"/>
      <c r="BB902" s="83" t="str">
        <f t="array" ref="BB902">_xlfn.IFS(AQ902="","",LEN(AQ902)-LEN(SUBSTITUTE(AQ902,".",""))=3,LEFT(AQ902,vitri(".",AQ902,3)-1),LEN(AQ902)-LEN(SUBSTITUTE(AQ902,".",""))=2,LEFT(AQ902,vitri(".",AQ902,2)-1),TRUE,LEFT(AQ902,vitri(".",AQ902,1)-1))</f>
        <v/>
      </c>
    </row>
    <row r="903" spans="13:54" x14ac:dyDescent="0.25">
      <c r="M903" s="377"/>
      <c r="BB903" s="83" t="str">
        <f t="array" ref="BB903">_xlfn.IFS(AQ903="","",LEN(AQ903)-LEN(SUBSTITUTE(AQ903,".",""))=3,LEFT(AQ903,vitri(".",AQ903,3)-1),LEN(AQ903)-LEN(SUBSTITUTE(AQ903,".",""))=2,LEFT(AQ903,vitri(".",AQ903,2)-1),TRUE,LEFT(AQ903,vitri(".",AQ903,1)-1))</f>
        <v/>
      </c>
    </row>
    <row r="904" spans="13:54" x14ac:dyDescent="0.25">
      <c r="M904" s="377"/>
      <c r="BB904" s="83" t="str">
        <f t="array" ref="BB904">_xlfn.IFS(AQ904="","",LEN(AQ904)-LEN(SUBSTITUTE(AQ904,".",""))=3,LEFT(AQ904,vitri(".",AQ904,3)-1),LEN(AQ904)-LEN(SUBSTITUTE(AQ904,".",""))=2,LEFT(AQ904,vitri(".",AQ904,2)-1),TRUE,LEFT(AQ904,vitri(".",AQ904,1)-1))</f>
        <v/>
      </c>
    </row>
    <row r="905" spans="13:54" x14ac:dyDescent="0.25">
      <c r="M905" s="377"/>
      <c r="BB905" s="83" t="str">
        <f t="array" ref="BB905">_xlfn.IFS(AQ905="","",LEN(AQ905)-LEN(SUBSTITUTE(AQ905,".",""))=3,LEFT(AQ905,vitri(".",AQ905,3)-1),LEN(AQ905)-LEN(SUBSTITUTE(AQ905,".",""))=2,LEFT(AQ905,vitri(".",AQ905,2)-1),TRUE,LEFT(AQ905,vitri(".",AQ905,1)-1))</f>
        <v/>
      </c>
    </row>
    <row r="906" spans="13:54" x14ac:dyDescent="0.25">
      <c r="M906" s="377"/>
      <c r="BB906" s="83" t="str">
        <f t="array" ref="BB906">_xlfn.IFS(AQ906="","",LEN(AQ906)-LEN(SUBSTITUTE(AQ906,".",""))=3,LEFT(AQ906,vitri(".",AQ906,3)-1),LEN(AQ906)-LEN(SUBSTITUTE(AQ906,".",""))=2,LEFT(AQ906,vitri(".",AQ906,2)-1),TRUE,LEFT(AQ906,vitri(".",AQ906,1)-1))</f>
        <v/>
      </c>
    </row>
    <row r="907" spans="13:54" x14ac:dyDescent="0.25">
      <c r="M907" s="377"/>
      <c r="BB907" s="83" t="str">
        <f t="array" ref="BB907">_xlfn.IFS(AQ907="","",LEN(AQ907)-LEN(SUBSTITUTE(AQ907,".",""))=3,LEFT(AQ907,vitri(".",AQ907,3)-1),LEN(AQ907)-LEN(SUBSTITUTE(AQ907,".",""))=2,LEFT(AQ907,vitri(".",AQ907,2)-1),TRUE,LEFT(AQ907,vitri(".",AQ907,1)-1))</f>
        <v/>
      </c>
    </row>
    <row r="908" spans="13:54" x14ac:dyDescent="0.25">
      <c r="M908" s="377"/>
      <c r="BB908" s="83" t="str">
        <f t="array" ref="BB908">_xlfn.IFS(AQ908="","",LEN(AQ908)-LEN(SUBSTITUTE(AQ908,".",""))=3,LEFT(AQ908,vitri(".",AQ908,3)-1),LEN(AQ908)-LEN(SUBSTITUTE(AQ908,".",""))=2,LEFT(AQ908,vitri(".",AQ908,2)-1),TRUE,LEFT(AQ908,vitri(".",AQ908,1)-1))</f>
        <v/>
      </c>
    </row>
    <row r="909" spans="13:54" x14ac:dyDescent="0.25">
      <c r="M909" s="377"/>
      <c r="BB909" s="83" t="str">
        <f t="array" ref="BB909">_xlfn.IFS(AQ909="","",LEN(AQ909)-LEN(SUBSTITUTE(AQ909,".",""))=3,LEFT(AQ909,vitri(".",AQ909,3)-1),LEN(AQ909)-LEN(SUBSTITUTE(AQ909,".",""))=2,LEFT(AQ909,vitri(".",AQ909,2)-1),TRUE,LEFT(AQ909,vitri(".",AQ909,1)-1))</f>
        <v/>
      </c>
    </row>
    <row r="910" spans="13:54" x14ac:dyDescent="0.25">
      <c r="M910" s="377"/>
      <c r="BB910" s="83" t="str">
        <f t="array" ref="BB910">_xlfn.IFS(AQ910="","",LEN(AQ910)-LEN(SUBSTITUTE(AQ910,".",""))=3,LEFT(AQ910,vitri(".",AQ910,3)-1),LEN(AQ910)-LEN(SUBSTITUTE(AQ910,".",""))=2,LEFT(AQ910,vitri(".",AQ910,2)-1),TRUE,LEFT(AQ910,vitri(".",AQ910,1)-1))</f>
        <v/>
      </c>
    </row>
    <row r="911" spans="13:54" x14ac:dyDescent="0.25">
      <c r="M911" s="377"/>
      <c r="BB911" s="83" t="str">
        <f t="array" ref="BB911">_xlfn.IFS(AQ911="","",LEN(AQ911)-LEN(SUBSTITUTE(AQ911,".",""))=3,LEFT(AQ911,vitri(".",AQ911,3)-1),LEN(AQ911)-LEN(SUBSTITUTE(AQ911,".",""))=2,LEFT(AQ911,vitri(".",AQ911,2)-1),TRUE,LEFT(AQ911,vitri(".",AQ911,1)-1))</f>
        <v/>
      </c>
    </row>
    <row r="912" spans="13:54" x14ac:dyDescent="0.25">
      <c r="M912" s="377"/>
      <c r="BB912" s="83" t="str">
        <f t="array" ref="BB912">_xlfn.IFS(AQ912="","",LEN(AQ912)-LEN(SUBSTITUTE(AQ912,".",""))=3,LEFT(AQ912,vitri(".",AQ912,3)-1),LEN(AQ912)-LEN(SUBSTITUTE(AQ912,".",""))=2,LEFT(AQ912,vitri(".",AQ912,2)-1),TRUE,LEFT(AQ912,vitri(".",AQ912,1)-1))</f>
        <v/>
      </c>
    </row>
    <row r="913" spans="13:54" x14ac:dyDescent="0.25">
      <c r="M913" s="377"/>
      <c r="BB913" s="83" t="str">
        <f t="array" ref="BB913">_xlfn.IFS(AQ913="","",LEN(AQ913)-LEN(SUBSTITUTE(AQ913,".",""))=3,LEFT(AQ913,vitri(".",AQ913,3)-1),LEN(AQ913)-LEN(SUBSTITUTE(AQ913,".",""))=2,LEFT(AQ913,vitri(".",AQ913,2)-1),TRUE,LEFT(AQ913,vitri(".",AQ913,1)-1))</f>
        <v/>
      </c>
    </row>
    <row r="914" spans="13:54" x14ac:dyDescent="0.25">
      <c r="M914" s="377"/>
      <c r="BB914" s="83" t="str">
        <f t="array" ref="BB914">_xlfn.IFS(AQ914="","",LEN(AQ914)-LEN(SUBSTITUTE(AQ914,".",""))=3,LEFT(AQ914,vitri(".",AQ914,3)-1),LEN(AQ914)-LEN(SUBSTITUTE(AQ914,".",""))=2,LEFT(AQ914,vitri(".",AQ914,2)-1),TRUE,LEFT(AQ914,vitri(".",AQ914,1)-1))</f>
        <v/>
      </c>
    </row>
    <row r="915" spans="13:54" x14ac:dyDescent="0.25">
      <c r="M915" s="377"/>
      <c r="BB915" s="83" t="str">
        <f t="array" ref="BB915">_xlfn.IFS(AQ915="","",LEN(AQ915)-LEN(SUBSTITUTE(AQ915,".",""))=3,LEFT(AQ915,vitri(".",AQ915,3)-1),LEN(AQ915)-LEN(SUBSTITUTE(AQ915,".",""))=2,LEFT(AQ915,vitri(".",AQ915,2)-1),TRUE,LEFT(AQ915,vitri(".",AQ915,1)-1))</f>
        <v/>
      </c>
    </row>
    <row r="916" spans="13:54" x14ac:dyDescent="0.25">
      <c r="M916" s="377"/>
      <c r="BB916" s="83" t="str">
        <f t="array" ref="BB916">_xlfn.IFS(AQ916="","",LEN(AQ916)-LEN(SUBSTITUTE(AQ916,".",""))=3,LEFT(AQ916,vitri(".",AQ916,3)-1),LEN(AQ916)-LEN(SUBSTITUTE(AQ916,".",""))=2,LEFT(AQ916,vitri(".",AQ916,2)-1),TRUE,LEFT(AQ916,vitri(".",AQ916,1)-1))</f>
        <v/>
      </c>
    </row>
    <row r="917" spans="13:54" x14ac:dyDescent="0.25">
      <c r="M917" s="377"/>
      <c r="BB917" s="83" t="str">
        <f t="array" ref="BB917">_xlfn.IFS(AQ917="","",LEN(AQ917)-LEN(SUBSTITUTE(AQ917,".",""))=3,LEFT(AQ917,vitri(".",AQ917,3)-1),LEN(AQ917)-LEN(SUBSTITUTE(AQ917,".",""))=2,LEFT(AQ917,vitri(".",AQ917,2)-1),TRUE,LEFT(AQ917,vitri(".",AQ917,1)-1))</f>
        <v/>
      </c>
    </row>
    <row r="918" spans="13:54" x14ac:dyDescent="0.25">
      <c r="M918" s="377"/>
      <c r="BB918" s="83" t="str">
        <f t="array" ref="BB918">_xlfn.IFS(AQ918="","",LEN(AQ918)-LEN(SUBSTITUTE(AQ918,".",""))=3,LEFT(AQ918,vitri(".",AQ918,3)-1),LEN(AQ918)-LEN(SUBSTITUTE(AQ918,".",""))=2,LEFT(AQ918,vitri(".",AQ918,2)-1),TRUE,LEFT(AQ918,vitri(".",AQ918,1)-1))</f>
        <v/>
      </c>
    </row>
    <row r="919" spans="13:54" x14ac:dyDescent="0.25">
      <c r="M919" s="377"/>
      <c r="BB919" s="83" t="str">
        <f t="array" ref="BB919">_xlfn.IFS(AQ919="","",LEN(AQ919)-LEN(SUBSTITUTE(AQ919,".",""))=3,LEFT(AQ919,vitri(".",AQ919,3)-1),LEN(AQ919)-LEN(SUBSTITUTE(AQ919,".",""))=2,LEFT(AQ919,vitri(".",AQ919,2)-1),TRUE,LEFT(AQ919,vitri(".",AQ919,1)-1))</f>
        <v/>
      </c>
    </row>
    <row r="920" spans="13:54" x14ac:dyDescent="0.25">
      <c r="M920" s="377"/>
      <c r="BB920" s="83" t="str">
        <f t="array" ref="BB920">_xlfn.IFS(AQ920="","",LEN(AQ920)-LEN(SUBSTITUTE(AQ920,".",""))=3,LEFT(AQ920,vitri(".",AQ920,3)-1),LEN(AQ920)-LEN(SUBSTITUTE(AQ920,".",""))=2,LEFT(AQ920,vitri(".",AQ920,2)-1),TRUE,LEFT(AQ920,vitri(".",AQ920,1)-1))</f>
        <v/>
      </c>
    </row>
    <row r="921" spans="13:54" x14ac:dyDescent="0.25">
      <c r="M921" s="377"/>
      <c r="BB921" s="83" t="str">
        <f t="array" ref="BB921">_xlfn.IFS(AQ921="","",LEN(AQ921)-LEN(SUBSTITUTE(AQ921,".",""))=3,LEFT(AQ921,vitri(".",AQ921,3)-1),LEN(AQ921)-LEN(SUBSTITUTE(AQ921,".",""))=2,LEFT(AQ921,vitri(".",AQ921,2)-1),TRUE,LEFT(AQ921,vitri(".",AQ921,1)-1))</f>
        <v/>
      </c>
    </row>
    <row r="922" spans="13:54" x14ac:dyDescent="0.25">
      <c r="M922" s="377"/>
      <c r="BB922" s="83" t="str">
        <f t="array" ref="BB922">_xlfn.IFS(AQ922="","",LEN(AQ922)-LEN(SUBSTITUTE(AQ922,".",""))=3,LEFT(AQ922,vitri(".",AQ922,3)-1),LEN(AQ922)-LEN(SUBSTITUTE(AQ922,".",""))=2,LEFT(AQ922,vitri(".",AQ922,2)-1),TRUE,LEFT(AQ922,vitri(".",AQ922,1)-1))</f>
        <v/>
      </c>
    </row>
    <row r="923" spans="13:54" x14ac:dyDescent="0.25">
      <c r="M923" s="377"/>
      <c r="BB923" s="83" t="str">
        <f t="array" ref="BB923">_xlfn.IFS(AQ923="","",LEN(AQ923)-LEN(SUBSTITUTE(AQ923,".",""))=3,LEFT(AQ923,vitri(".",AQ923,3)-1),LEN(AQ923)-LEN(SUBSTITUTE(AQ923,".",""))=2,LEFT(AQ923,vitri(".",AQ923,2)-1),TRUE,LEFT(AQ923,vitri(".",AQ923,1)-1))</f>
        <v/>
      </c>
    </row>
    <row r="924" spans="13:54" x14ac:dyDescent="0.25">
      <c r="M924" s="377"/>
      <c r="BB924" s="83" t="str">
        <f t="array" ref="BB924">_xlfn.IFS(AQ924="","",LEN(AQ924)-LEN(SUBSTITUTE(AQ924,".",""))=3,LEFT(AQ924,vitri(".",AQ924,3)-1),LEN(AQ924)-LEN(SUBSTITUTE(AQ924,".",""))=2,LEFT(AQ924,vitri(".",AQ924,2)-1),TRUE,LEFT(AQ924,vitri(".",AQ924,1)-1))</f>
        <v/>
      </c>
    </row>
    <row r="925" spans="13:54" x14ac:dyDescent="0.25">
      <c r="M925" s="377"/>
      <c r="BB925" s="83" t="str">
        <f t="array" ref="BB925">_xlfn.IFS(AQ925="","",LEN(AQ925)-LEN(SUBSTITUTE(AQ925,".",""))=3,LEFT(AQ925,vitri(".",AQ925,3)-1),LEN(AQ925)-LEN(SUBSTITUTE(AQ925,".",""))=2,LEFT(AQ925,vitri(".",AQ925,2)-1),TRUE,LEFT(AQ925,vitri(".",AQ925,1)-1))</f>
        <v/>
      </c>
    </row>
    <row r="926" spans="13:54" x14ac:dyDescent="0.25">
      <c r="M926" s="377"/>
      <c r="BB926" s="83" t="str">
        <f t="array" ref="BB926">_xlfn.IFS(AQ926="","",LEN(AQ926)-LEN(SUBSTITUTE(AQ926,".",""))=3,LEFT(AQ926,vitri(".",AQ926,3)-1),LEN(AQ926)-LEN(SUBSTITUTE(AQ926,".",""))=2,LEFT(AQ926,vitri(".",AQ926,2)-1),TRUE,LEFT(AQ926,vitri(".",AQ926,1)-1))</f>
        <v/>
      </c>
    </row>
    <row r="927" spans="13:54" x14ac:dyDescent="0.25">
      <c r="M927" s="377"/>
      <c r="BB927" s="83" t="str">
        <f t="array" ref="BB927">_xlfn.IFS(AQ927="","",LEN(AQ927)-LEN(SUBSTITUTE(AQ927,".",""))=3,LEFT(AQ927,vitri(".",AQ927,3)-1),LEN(AQ927)-LEN(SUBSTITUTE(AQ927,".",""))=2,LEFT(AQ927,vitri(".",AQ927,2)-1),TRUE,LEFT(AQ927,vitri(".",AQ927,1)-1))</f>
        <v/>
      </c>
    </row>
    <row r="928" spans="13:54" x14ac:dyDescent="0.25">
      <c r="M928" s="377"/>
      <c r="BB928" s="83" t="str">
        <f t="array" ref="BB928">_xlfn.IFS(AQ928="","",LEN(AQ928)-LEN(SUBSTITUTE(AQ928,".",""))=3,LEFT(AQ928,vitri(".",AQ928,3)-1),LEN(AQ928)-LEN(SUBSTITUTE(AQ928,".",""))=2,LEFT(AQ928,vitri(".",AQ928,2)-1),TRUE,LEFT(AQ928,vitri(".",AQ928,1)-1))</f>
        <v/>
      </c>
    </row>
    <row r="929" spans="13:54" x14ac:dyDescent="0.25">
      <c r="M929" s="377"/>
      <c r="BB929" s="83" t="str">
        <f t="array" ref="BB929">_xlfn.IFS(AQ929="","",LEN(AQ929)-LEN(SUBSTITUTE(AQ929,".",""))=3,LEFT(AQ929,vitri(".",AQ929,3)-1),LEN(AQ929)-LEN(SUBSTITUTE(AQ929,".",""))=2,LEFT(AQ929,vitri(".",AQ929,2)-1),TRUE,LEFT(AQ929,vitri(".",AQ929,1)-1))</f>
        <v/>
      </c>
    </row>
    <row r="930" spans="13:54" x14ac:dyDescent="0.25">
      <c r="M930" s="377"/>
      <c r="BB930" s="83" t="str">
        <f t="array" ref="BB930">_xlfn.IFS(AQ930="","",LEN(AQ930)-LEN(SUBSTITUTE(AQ930,".",""))=3,LEFT(AQ930,vitri(".",AQ930,3)-1),LEN(AQ930)-LEN(SUBSTITUTE(AQ930,".",""))=2,LEFT(AQ930,vitri(".",AQ930,2)-1),TRUE,LEFT(AQ930,vitri(".",AQ930,1)-1))</f>
        <v/>
      </c>
    </row>
    <row r="931" spans="13:54" x14ac:dyDescent="0.25">
      <c r="M931" s="377"/>
      <c r="BB931" s="83" t="str">
        <f t="array" ref="BB931">_xlfn.IFS(AQ931="","",LEN(AQ931)-LEN(SUBSTITUTE(AQ931,".",""))=3,LEFT(AQ931,vitri(".",AQ931,3)-1),LEN(AQ931)-LEN(SUBSTITUTE(AQ931,".",""))=2,LEFT(AQ931,vitri(".",AQ931,2)-1),TRUE,LEFT(AQ931,vitri(".",AQ931,1)-1))</f>
        <v/>
      </c>
    </row>
    <row r="932" spans="13:54" x14ac:dyDescent="0.25">
      <c r="M932" s="377"/>
      <c r="BB932" s="83" t="str">
        <f t="array" ref="BB932">_xlfn.IFS(AQ932="","",LEN(AQ932)-LEN(SUBSTITUTE(AQ932,".",""))=3,LEFT(AQ932,vitri(".",AQ932,3)-1),LEN(AQ932)-LEN(SUBSTITUTE(AQ932,".",""))=2,LEFT(AQ932,vitri(".",AQ932,2)-1),TRUE,LEFT(AQ932,vitri(".",AQ932,1)-1))</f>
        <v/>
      </c>
    </row>
    <row r="933" spans="13:54" x14ac:dyDescent="0.25">
      <c r="M933" s="377"/>
      <c r="BB933" s="83" t="str">
        <f t="array" ref="BB933">_xlfn.IFS(AQ933="","",LEN(AQ933)-LEN(SUBSTITUTE(AQ933,".",""))=3,LEFT(AQ933,vitri(".",AQ933,3)-1),LEN(AQ933)-LEN(SUBSTITUTE(AQ933,".",""))=2,LEFT(AQ933,vitri(".",AQ933,2)-1),TRUE,LEFT(AQ933,vitri(".",AQ933,1)-1))</f>
        <v/>
      </c>
    </row>
    <row r="934" spans="13:54" x14ac:dyDescent="0.25">
      <c r="M934" s="377"/>
      <c r="BB934" s="83" t="str">
        <f t="array" ref="BB934">_xlfn.IFS(AQ934="","",LEN(AQ934)-LEN(SUBSTITUTE(AQ934,".",""))=3,LEFT(AQ934,vitri(".",AQ934,3)-1),LEN(AQ934)-LEN(SUBSTITUTE(AQ934,".",""))=2,LEFT(AQ934,vitri(".",AQ934,2)-1),TRUE,LEFT(AQ934,vitri(".",AQ934,1)-1))</f>
        <v/>
      </c>
    </row>
    <row r="935" spans="13:54" x14ac:dyDescent="0.25">
      <c r="M935" s="377"/>
      <c r="BB935" s="83" t="str">
        <f t="array" ref="BB935">_xlfn.IFS(AQ935="","",LEN(AQ935)-LEN(SUBSTITUTE(AQ935,".",""))=3,LEFT(AQ935,vitri(".",AQ935,3)-1),LEN(AQ935)-LEN(SUBSTITUTE(AQ935,".",""))=2,LEFT(AQ935,vitri(".",AQ935,2)-1),TRUE,LEFT(AQ935,vitri(".",AQ935,1)-1))</f>
        <v/>
      </c>
    </row>
    <row r="936" spans="13:54" x14ac:dyDescent="0.25">
      <c r="M936" s="377"/>
      <c r="BB936" s="83" t="str">
        <f t="array" ref="BB936">_xlfn.IFS(AQ936="","",LEN(AQ936)-LEN(SUBSTITUTE(AQ936,".",""))=3,LEFT(AQ936,vitri(".",AQ936,3)-1),LEN(AQ936)-LEN(SUBSTITUTE(AQ936,".",""))=2,LEFT(AQ936,vitri(".",AQ936,2)-1),TRUE,LEFT(AQ936,vitri(".",AQ936,1)-1))</f>
        <v/>
      </c>
    </row>
    <row r="937" spans="13:54" x14ac:dyDescent="0.25">
      <c r="M937" s="377"/>
      <c r="BB937" s="83" t="str">
        <f t="array" ref="BB937">_xlfn.IFS(AQ937="","",LEN(AQ937)-LEN(SUBSTITUTE(AQ937,".",""))=3,LEFT(AQ937,vitri(".",AQ937,3)-1),LEN(AQ937)-LEN(SUBSTITUTE(AQ937,".",""))=2,LEFT(AQ937,vitri(".",AQ937,2)-1),TRUE,LEFT(AQ937,vitri(".",AQ937,1)-1))</f>
        <v/>
      </c>
    </row>
    <row r="938" spans="13:54" x14ac:dyDescent="0.25">
      <c r="M938" s="377"/>
      <c r="BB938" s="83" t="str">
        <f t="array" ref="BB938">_xlfn.IFS(AQ938="","",LEN(AQ938)-LEN(SUBSTITUTE(AQ938,".",""))=3,LEFT(AQ938,vitri(".",AQ938,3)-1),LEN(AQ938)-LEN(SUBSTITUTE(AQ938,".",""))=2,LEFT(AQ938,vitri(".",AQ938,2)-1),TRUE,LEFT(AQ938,vitri(".",AQ938,1)-1))</f>
        <v/>
      </c>
    </row>
    <row r="939" spans="13:54" x14ac:dyDescent="0.25">
      <c r="M939" s="377"/>
      <c r="BB939" s="83" t="str">
        <f t="array" ref="BB939">_xlfn.IFS(AQ939="","",LEN(AQ939)-LEN(SUBSTITUTE(AQ939,".",""))=3,LEFT(AQ939,vitri(".",AQ939,3)-1),LEN(AQ939)-LEN(SUBSTITUTE(AQ939,".",""))=2,LEFT(AQ939,vitri(".",AQ939,2)-1),TRUE,LEFT(AQ939,vitri(".",AQ939,1)-1))</f>
        <v/>
      </c>
    </row>
    <row r="940" spans="13:54" x14ac:dyDescent="0.25">
      <c r="M940" s="377"/>
      <c r="BB940" s="83" t="str">
        <f t="array" ref="BB940">_xlfn.IFS(AQ940="","",LEN(AQ940)-LEN(SUBSTITUTE(AQ940,".",""))=3,LEFT(AQ940,vitri(".",AQ940,3)-1),LEN(AQ940)-LEN(SUBSTITUTE(AQ940,".",""))=2,LEFT(AQ940,vitri(".",AQ940,2)-1),TRUE,LEFT(AQ940,vitri(".",AQ940,1)-1))</f>
        <v/>
      </c>
    </row>
    <row r="941" spans="13:54" x14ac:dyDescent="0.25">
      <c r="M941" s="377"/>
      <c r="BB941" s="83" t="str">
        <f t="array" ref="BB941">_xlfn.IFS(AQ941="","",LEN(AQ941)-LEN(SUBSTITUTE(AQ941,".",""))=3,LEFT(AQ941,vitri(".",AQ941,3)-1),LEN(AQ941)-LEN(SUBSTITUTE(AQ941,".",""))=2,LEFT(AQ941,vitri(".",AQ941,2)-1),TRUE,LEFT(AQ941,vitri(".",AQ941,1)-1))</f>
        <v/>
      </c>
    </row>
    <row r="942" spans="13:54" x14ac:dyDescent="0.25">
      <c r="M942" s="377"/>
      <c r="BB942" s="83" t="str">
        <f t="array" ref="BB942">_xlfn.IFS(AQ942="","",LEN(AQ942)-LEN(SUBSTITUTE(AQ942,".",""))=3,LEFT(AQ942,vitri(".",AQ942,3)-1),LEN(AQ942)-LEN(SUBSTITUTE(AQ942,".",""))=2,LEFT(AQ942,vitri(".",AQ942,2)-1),TRUE,LEFT(AQ942,vitri(".",AQ942,1)-1))</f>
        <v/>
      </c>
    </row>
    <row r="943" spans="13:54" x14ac:dyDescent="0.25">
      <c r="M943" s="377"/>
      <c r="BB943" s="83" t="str">
        <f t="array" ref="BB943">_xlfn.IFS(AQ943="","",LEN(AQ943)-LEN(SUBSTITUTE(AQ943,".",""))=3,LEFT(AQ943,vitri(".",AQ943,3)-1),LEN(AQ943)-LEN(SUBSTITUTE(AQ943,".",""))=2,LEFT(AQ943,vitri(".",AQ943,2)-1),TRUE,LEFT(AQ943,vitri(".",AQ943,1)-1))</f>
        <v/>
      </c>
    </row>
    <row r="944" spans="13:54" x14ac:dyDescent="0.25">
      <c r="M944" s="377"/>
      <c r="BB944" s="83" t="str">
        <f t="array" ref="BB944">_xlfn.IFS(AQ944="","",LEN(AQ944)-LEN(SUBSTITUTE(AQ944,".",""))=3,LEFT(AQ944,vitri(".",AQ944,3)-1),LEN(AQ944)-LEN(SUBSTITUTE(AQ944,".",""))=2,LEFT(AQ944,vitri(".",AQ944,2)-1),TRUE,LEFT(AQ944,vitri(".",AQ944,1)-1))</f>
        <v/>
      </c>
    </row>
    <row r="945" spans="13:54" x14ac:dyDescent="0.25">
      <c r="M945" s="377"/>
      <c r="BB945" s="83" t="str">
        <f t="array" ref="BB945">_xlfn.IFS(AQ945="","",LEN(AQ945)-LEN(SUBSTITUTE(AQ945,".",""))=3,LEFT(AQ945,vitri(".",AQ945,3)-1),LEN(AQ945)-LEN(SUBSTITUTE(AQ945,".",""))=2,LEFT(AQ945,vitri(".",AQ945,2)-1),TRUE,LEFT(AQ945,vitri(".",AQ945,1)-1))</f>
        <v/>
      </c>
    </row>
    <row r="946" spans="13:54" x14ac:dyDescent="0.25">
      <c r="M946" s="377"/>
      <c r="BB946" s="83" t="str">
        <f t="array" ref="BB946">_xlfn.IFS(AQ946="","",LEN(AQ946)-LEN(SUBSTITUTE(AQ946,".",""))=3,LEFT(AQ946,vitri(".",AQ946,3)-1),LEN(AQ946)-LEN(SUBSTITUTE(AQ946,".",""))=2,LEFT(AQ946,vitri(".",AQ946,2)-1),TRUE,LEFT(AQ946,vitri(".",AQ946,1)-1))</f>
        <v/>
      </c>
    </row>
    <row r="947" spans="13:54" x14ac:dyDescent="0.25">
      <c r="M947" s="377"/>
      <c r="BB947" s="83" t="str">
        <f t="array" ref="BB947">_xlfn.IFS(AQ947="","",LEN(AQ947)-LEN(SUBSTITUTE(AQ947,".",""))=3,LEFT(AQ947,vitri(".",AQ947,3)-1),LEN(AQ947)-LEN(SUBSTITUTE(AQ947,".",""))=2,LEFT(AQ947,vitri(".",AQ947,2)-1),TRUE,LEFT(AQ947,vitri(".",AQ947,1)-1))</f>
        <v/>
      </c>
    </row>
    <row r="948" spans="13:54" x14ac:dyDescent="0.25">
      <c r="M948" s="377"/>
      <c r="BB948" s="83" t="str">
        <f t="array" ref="BB948">_xlfn.IFS(AQ948="","",LEN(AQ948)-LEN(SUBSTITUTE(AQ948,".",""))=3,LEFT(AQ948,vitri(".",AQ948,3)-1),LEN(AQ948)-LEN(SUBSTITUTE(AQ948,".",""))=2,LEFT(AQ948,vitri(".",AQ948,2)-1),TRUE,LEFT(AQ948,vitri(".",AQ948,1)-1))</f>
        <v/>
      </c>
    </row>
    <row r="949" spans="13:54" x14ac:dyDescent="0.25">
      <c r="M949" s="377"/>
      <c r="BB949" s="83" t="str">
        <f t="array" ref="BB949">_xlfn.IFS(AQ949="","",LEN(AQ949)-LEN(SUBSTITUTE(AQ949,".",""))=3,LEFT(AQ949,vitri(".",AQ949,3)-1),LEN(AQ949)-LEN(SUBSTITUTE(AQ949,".",""))=2,LEFT(AQ949,vitri(".",AQ949,2)-1),TRUE,LEFT(AQ949,vitri(".",AQ949,1)-1))</f>
        <v/>
      </c>
    </row>
    <row r="950" spans="13:54" x14ac:dyDescent="0.25">
      <c r="M950" s="377"/>
      <c r="BB950" s="83" t="str">
        <f t="array" ref="BB950">_xlfn.IFS(AQ950="","",LEN(AQ950)-LEN(SUBSTITUTE(AQ950,".",""))=3,LEFT(AQ950,vitri(".",AQ950,3)-1),LEN(AQ950)-LEN(SUBSTITUTE(AQ950,".",""))=2,LEFT(AQ950,vitri(".",AQ950,2)-1),TRUE,LEFT(AQ950,vitri(".",AQ950,1)-1))</f>
        <v/>
      </c>
    </row>
    <row r="951" spans="13:54" x14ac:dyDescent="0.25">
      <c r="M951" s="377"/>
      <c r="BB951" s="83" t="str">
        <f t="array" ref="BB951">_xlfn.IFS(AQ951="","",LEN(AQ951)-LEN(SUBSTITUTE(AQ951,".",""))=3,LEFT(AQ951,vitri(".",AQ951,3)-1),LEN(AQ951)-LEN(SUBSTITUTE(AQ951,".",""))=2,LEFT(AQ951,vitri(".",AQ951,2)-1),TRUE,LEFT(AQ951,vitri(".",AQ951,1)-1))</f>
        <v/>
      </c>
    </row>
    <row r="952" spans="13:54" x14ac:dyDescent="0.25">
      <c r="M952" s="377"/>
      <c r="BB952" s="83" t="str">
        <f t="array" ref="BB952">_xlfn.IFS(AQ952="","",LEN(AQ952)-LEN(SUBSTITUTE(AQ952,".",""))=3,LEFT(AQ952,vitri(".",AQ952,3)-1),LEN(AQ952)-LEN(SUBSTITUTE(AQ952,".",""))=2,LEFT(AQ952,vitri(".",AQ952,2)-1),TRUE,LEFT(AQ952,vitri(".",AQ952,1)-1))</f>
        <v/>
      </c>
    </row>
    <row r="953" spans="13:54" x14ac:dyDescent="0.25">
      <c r="M953" s="377"/>
      <c r="BB953" s="83" t="str">
        <f t="array" ref="BB953">_xlfn.IFS(AQ953="","",LEN(AQ953)-LEN(SUBSTITUTE(AQ953,".",""))=3,LEFT(AQ953,vitri(".",AQ953,3)-1),LEN(AQ953)-LEN(SUBSTITUTE(AQ953,".",""))=2,LEFT(AQ953,vitri(".",AQ953,2)-1),TRUE,LEFT(AQ953,vitri(".",AQ953,1)-1))</f>
        <v/>
      </c>
    </row>
    <row r="954" spans="13:54" x14ac:dyDescent="0.25">
      <c r="M954" s="377"/>
      <c r="BB954" s="83" t="str">
        <f t="array" ref="BB954">_xlfn.IFS(AQ954="","",LEN(AQ954)-LEN(SUBSTITUTE(AQ954,".",""))=3,LEFT(AQ954,vitri(".",AQ954,3)-1),LEN(AQ954)-LEN(SUBSTITUTE(AQ954,".",""))=2,LEFT(AQ954,vitri(".",AQ954,2)-1),TRUE,LEFT(AQ954,vitri(".",AQ954,1)-1))</f>
        <v/>
      </c>
    </row>
    <row r="955" spans="13:54" x14ac:dyDescent="0.25">
      <c r="M955" s="377"/>
      <c r="BB955" s="83" t="str">
        <f t="array" ref="BB955">_xlfn.IFS(AQ955="","",LEN(AQ955)-LEN(SUBSTITUTE(AQ955,".",""))=3,LEFT(AQ955,vitri(".",AQ955,3)-1),LEN(AQ955)-LEN(SUBSTITUTE(AQ955,".",""))=2,LEFT(AQ955,vitri(".",AQ955,2)-1),TRUE,LEFT(AQ955,vitri(".",AQ955,1)-1))</f>
        <v/>
      </c>
    </row>
    <row r="956" spans="13:54" x14ac:dyDescent="0.25">
      <c r="M956" s="377"/>
      <c r="BB956" s="83" t="str">
        <f t="array" ref="BB956">_xlfn.IFS(AQ956="","",LEN(AQ956)-LEN(SUBSTITUTE(AQ956,".",""))=3,LEFT(AQ956,vitri(".",AQ956,3)-1),LEN(AQ956)-LEN(SUBSTITUTE(AQ956,".",""))=2,LEFT(AQ956,vitri(".",AQ956,2)-1),TRUE,LEFT(AQ956,vitri(".",AQ956,1)-1))</f>
        <v/>
      </c>
    </row>
    <row r="957" spans="13:54" x14ac:dyDescent="0.25">
      <c r="M957" s="377"/>
      <c r="BB957" s="83" t="str">
        <f t="array" ref="BB957">_xlfn.IFS(AQ957="","",LEN(AQ957)-LEN(SUBSTITUTE(AQ957,".",""))=3,LEFT(AQ957,vitri(".",AQ957,3)-1),LEN(AQ957)-LEN(SUBSTITUTE(AQ957,".",""))=2,LEFT(AQ957,vitri(".",AQ957,2)-1),TRUE,LEFT(AQ957,vitri(".",AQ957,1)-1))</f>
        <v/>
      </c>
    </row>
    <row r="958" spans="13:54" x14ac:dyDescent="0.25">
      <c r="M958" s="377"/>
      <c r="BB958" s="83" t="str">
        <f t="array" ref="BB958">_xlfn.IFS(AQ958="","",LEN(AQ958)-LEN(SUBSTITUTE(AQ958,".",""))=3,LEFT(AQ958,vitri(".",AQ958,3)-1),LEN(AQ958)-LEN(SUBSTITUTE(AQ958,".",""))=2,LEFT(AQ958,vitri(".",AQ958,2)-1),TRUE,LEFT(AQ958,vitri(".",AQ958,1)-1))</f>
        <v/>
      </c>
    </row>
    <row r="959" spans="13:54" x14ac:dyDescent="0.25">
      <c r="M959" s="377"/>
      <c r="BB959" s="83" t="str">
        <f t="array" ref="BB959">_xlfn.IFS(AQ959="","",LEN(AQ959)-LEN(SUBSTITUTE(AQ959,".",""))=3,LEFT(AQ959,vitri(".",AQ959,3)-1),LEN(AQ959)-LEN(SUBSTITUTE(AQ959,".",""))=2,LEFT(AQ959,vitri(".",AQ959,2)-1),TRUE,LEFT(AQ959,vitri(".",AQ959,1)-1))</f>
        <v/>
      </c>
    </row>
    <row r="960" spans="13:54" x14ac:dyDescent="0.25">
      <c r="M960" s="377"/>
      <c r="BB960" s="83" t="str">
        <f t="array" ref="BB960">_xlfn.IFS(AQ960="","",LEN(AQ960)-LEN(SUBSTITUTE(AQ960,".",""))=3,LEFT(AQ960,vitri(".",AQ960,3)-1),LEN(AQ960)-LEN(SUBSTITUTE(AQ960,".",""))=2,LEFT(AQ960,vitri(".",AQ960,2)-1),TRUE,LEFT(AQ960,vitri(".",AQ960,1)-1))</f>
        <v/>
      </c>
    </row>
    <row r="961" spans="13:54" x14ac:dyDescent="0.25">
      <c r="M961" s="377"/>
      <c r="BB961" s="83" t="str">
        <f t="array" ref="BB961">_xlfn.IFS(AQ961="","",LEN(AQ961)-LEN(SUBSTITUTE(AQ961,".",""))=3,LEFT(AQ961,vitri(".",AQ961,3)-1),LEN(AQ961)-LEN(SUBSTITUTE(AQ961,".",""))=2,LEFT(AQ961,vitri(".",AQ961,2)-1),TRUE,LEFT(AQ961,vitri(".",AQ961,1)-1))</f>
        <v/>
      </c>
    </row>
    <row r="962" spans="13:54" x14ac:dyDescent="0.25">
      <c r="M962" s="377"/>
      <c r="BB962" s="83" t="str">
        <f t="array" ref="BB962">_xlfn.IFS(AQ962="","",LEN(AQ962)-LEN(SUBSTITUTE(AQ962,".",""))=3,LEFT(AQ962,vitri(".",AQ962,3)-1),LEN(AQ962)-LEN(SUBSTITUTE(AQ962,".",""))=2,LEFT(AQ962,vitri(".",AQ962,2)-1),TRUE,LEFT(AQ962,vitri(".",AQ962,1)-1))</f>
        <v/>
      </c>
    </row>
    <row r="963" spans="13:54" x14ac:dyDescent="0.25">
      <c r="M963" s="377"/>
      <c r="BB963" s="83" t="str">
        <f t="array" ref="BB963">_xlfn.IFS(AQ963="","",LEN(AQ963)-LEN(SUBSTITUTE(AQ963,".",""))=3,LEFT(AQ963,vitri(".",AQ963,3)-1),LEN(AQ963)-LEN(SUBSTITUTE(AQ963,".",""))=2,LEFT(AQ963,vitri(".",AQ963,2)-1),TRUE,LEFT(AQ963,vitri(".",AQ963,1)-1))</f>
        <v/>
      </c>
    </row>
    <row r="964" spans="13:54" x14ac:dyDescent="0.25">
      <c r="M964" s="377"/>
      <c r="BB964" s="83" t="str">
        <f t="array" ref="BB964">_xlfn.IFS(AQ964="","",LEN(AQ964)-LEN(SUBSTITUTE(AQ964,".",""))=3,LEFT(AQ964,vitri(".",AQ964,3)-1),LEN(AQ964)-LEN(SUBSTITUTE(AQ964,".",""))=2,LEFT(AQ964,vitri(".",AQ964,2)-1),TRUE,LEFT(AQ964,vitri(".",AQ964,1)-1))</f>
        <v/>
      </c>
    </row>
    <row r="965" spans="13:54" x14ac:dyDescent="0.25">
      <c r="M965" s="377"/>
      <c r="BB965" s="83" t="str">
        <f t="array" ref="BB965">_xlfn.IFS(AQ965="","",LEN(AQ965)-LEN(SUBSTITUTE(AQ965,".",""))=3,LEFT(AQ965,vitri(".",AQ965,3)-1),LEN(AQ965)-LEN(SUBSTITUTE(AQ965,".",""))=2,LEFT(AQ965,vitri(".",AQ965,2)-1),TRUE,LEFT(AQ965,vitri(".",AQ965,1)-1))</f>
        <v/>
      </c>
    </row>
    <row r="966" spans="13:54" x14ac:dyDescent="0.25">
      <c r="M966" s="377"/>
      <c r="BB966" s="83" t="str">
        <f t="array" ref="BB966">_xlfn.IFS(AQ966="","",LEN(AQ966)-LEN(SUBSTITUTE(AQ966,".",""))=3,LEFT(AQ966,vitri(".",AQ966,3)-1),LEN(AQ966)-LEN(SUBSTITUTE(AQ966,".",""))=2,LEFT(AQ966,vitri(".",AQ966,2)-1),TRUE,LEFT(AQ966,vitri(".",AQ966,1)-1))</f>
        <v/>
      </c>
    </row>
    <row r="967" spans="13:54" x14ac:dyDescent="0.25">
      <c r="M967" s="377"/>
      <c r="BB967" s="83" t="str">
        <f t="array" ref="BB967">_xlfn.IFS(AQ967="","",LEN(AQ967)-LEN(SUBSTITUTE(AQ967,".",""))=3,LEFT(AQ967,vitri(".",AQ967,3)-1),LEN(AQ967)-LEN(SUBSTITUTE(AQ967,".",""))=2,LEFT(AQ967,vitri(".",AQ967,2)-1),TRUE,LEFT(AQ967,vitri(".",AQ967,1)-1))</f>
        <v/>
      </c>
    </row>
    <row r="968" spans="13:54" x14ac:dyDescent="0.25">
      <c r="M968" s="377"/>
      <c r="BB968" s="83" t="str">
        <f t="array" ref="BB968">_xlfn.IFS(AQ968="","",LEN(AQ968)-LEN(SUBSTITUTE(AQ968,".",""))=3,LEFT(AQ968,vitri(".",AQ968,3)-1),LEN(AQ968)-LEN(SUBSTITUTE(AQ968,".",""))=2,LEFT(AQ968,vitri(".",AQ968,2)-1),TRUE,LEFT(AQ968,vitri(".",AQ968,1)-1))</f>
        <v/>
      </c>
    </row>
    <row r="969" spans="13:54" x14ac:dyDescent="0.25">
      <c r="M969" s="377"/>
      <c r="BB969" s="83" t="str">
        <f t="array" ref="BB969">_xlfn.IFS(AQ969="","",LEN(AQ969)-LEN(SUBSTITUTE(AQ969,".",""))=3,LEFT(AQ969,vitri(".",AQ969,3)-1),LEN(AQ969)-LEN(SUBSTITUTE(AQ969,".",""))=2,LEFT(AQ969,vitri(".",AQ969,2)-1),TRUE,LEFT(AQ969,vitri(".",AQ969,1)-1))</f>
        <v/>
      </c>
    </row>
    <row r="970" spans="13:54" x14ac:dyDescent="0.25">
      <c r="M970" s="377"/>
      <c r="BB970" s="83" t="str">
        <f t="array" ref="BB970">_xlfn.IFS(AQ970="","",LEN(AQ970)-LEN(SUBSTITUTE(AQ970,".",""))=3,LEFT(AQ970,vitri(".",AQ970,3)-1),LEN(AQ970)-LEN(SUBSTITUTE(AQ970,".",""))=2,LEFT(AQ970,vitri(".",AQ970,2)-1),TRUE,LEFT(AQ970,vitri(".",AQ970,1)-1))</f>
        <v/>
      </c>
    </row>
    <row r="971" spans="13:54" x14ac:dyDescent="0.25">
      <c r="M971" s="377"/>
      <c r="BB971" s="83" t="str">
        <f t="array" ref="BB971">_xlfn.IFS(AQ971="","",LEN(AQ971)-LEN(SUBSTITUTE(AQ971,".",""))=3,LEFT(AQ971,vitri(".",AQ971,3)-1),LEN(AQ971)-LEN(SUBSTITUTE(AQ971,".",""))=2,LEFT(AQ971,vitri(".",AQ971,2)-1),TRUE,LEFT(AQ971,vitri(".",AQ971,1)-1))</f>
        <v/>
      </c>
    </row>
    <row r="972" spans="13:54" x14ac:dyDescent="0.25">
      <c r="M972" s="377"/>
      <c r="BB972" s="83" t="str">
        <f t="array" ref="BB972">_xlfn.IFS(AQ972="","",LEN(AQ972)-LEN(SUBSTITUTE(AQ972,".",""))=3,LEFT(AQ972,vitri(".",AQ972,3)-1),LEN(AQ972)-LEN(SUBSTITUTE(AQ972,".",""))=2,LEFT(AQ972,vitri(".",AQ972,2)-1),TRUE,LEFT(AQ972,vitri(".",AQ972,1)-1))</f>
        <v/>
      </c>
    </row>
    <row r="973" spans="13:54" x14ac:dyDescent="0.25">
      <c r="M973" s="377"/>
      <c r="BB973" s="83" t="str">
        <f t="array" ref="BB973">_xlfn.IFS(AQ973="","",LEN(AQ973)-LEN(SUBSTITUTE(AQ973,".",""))=3,LEFT(AQ973,vitri(".",AQ973,3)-1),LEN(AQ973)-LEN(SUBSTITUTE(AQ973,".",""))=2,LEFT(AQ973,vitri(".",AQ973,2)-1),TRUE,LEFT(AQ973,vitri(".",AQ973,1)-1))</f>
        <v/>
      </c>
    </row>
    <row r="974" spans="13:54" x14ac:dyDescent="0.25">
      <c r="M974" s="377"/>
      <c r="BB974" s="83" t="str">
        <f t="array" ref="BB974">_xlfn.IFS(AQ974="","",LEN(AQ974)-LEN(SUBSTITUTE(AQ974,".",""))=3,LEFT(AQ974,vitri(".",AQ974,3)-1),LEN(AQ974)-LEN(SUBSTITUTE(AQ974,".",""))=2,LEFT(AQ974,vitri(".",AQ974,2)-1),TRUE,LEFT(AQ974,vitri(".",AQ974,1)-1))</f>
        <v/>
      </c>
    </row>
    <row r="975" spans="13:54" x14ac:dyDescent="0.25">
      <c r="M975" s="377"/>
      <c r="BB975" s="83" t="str">
        <f t="array" ref="BB975">_xlfn.IFS(AQ975="","",LEN(AQ975)-LEN(SUBSTITUTE(AQ975,".",""))=3,LEFT(AQ975,vitri(".",AQ975,3)-1),LEN(AQ975)-LEN(SUBSTITUTE(AQ975,".",""))=2,LEFT(AQ975,vitri(".",AQ975,2)-1),TRUE,LEFT(AQ975,vitri(".",AQ975,1)-1))</f>
        <v/>
      </c>
    </row>
    <row r="976" spans="13:54" x14ac:dyDescent="0.25">
      <c r="M976" s="377"/>
      <c r="BB976" s="83" t="str">
        <f t="array" ref="BB976">_xlfn.IFS(AQ976="","",LEN(AQ976)-LEN(SUBSTITUTE(AQ976,".",""))=3,LEFT(AQ976,vitri(".",AQ976,3)-1),LEN(AQ976)-LEN(SUBSTITUTE(AQ976,".",""))=2,LEFT(AQ976,vitri(".",AQ976,2)-1),TRUE,LEFT(AQ976,vitri(".",AQ976,1)-1))</f>
        <v/>
      </c>
    </row>
    <row r="977" spans="13:54" x14ac:dyDescent="0.25">
      <c r="M977" s="377"/>
      <c r="BB977" s="83" t="str">
        <f t="array" ref="BB977">_xlfn.IFS(AQ977="","",LEN(AQ977)-LEN(SUBSTITUTE(AQ977,".",""))=3,LEFT(AQ977,vitri(".",AQ977,3)-1),LEN(AQ977)-LEN(SUBSTITUTE(AQ977,".",""))=2,LEFT(AQ977,vitri(".",AQ977,2)-1),TRUE,LEFT(AQ977,vitri(".",AQ977,1)-1))</f>
        <v/>
      </c>
    </row>
    <row r="978" spans="13:54" x14ac:dyDescent="0.25">
      <c r="M978" s="377"/>
      <c r="BB978" s="83" t="str">
        <f t="array" ref="BB978">_xlfn.IFS(AQ978="","",LEN(AQ978)-LEN(SUBSTITUTE(AQ978,".",""))=3,LEFT(AQ978,vitri(".",AQ978,3)-1),LEN(AQ978)-LEN(SUBSTITUTE(AQ978,".",""))=2,LEFT(AQ978,vitri(".",AQ978,2)-1),TRUE,LEFT(AQ978,vitri(".",AQ978,1)-1))</f>
        <v/>
      </c>
    </row>
    <row r="979" spans="13:54" x14ac:dyDescent="0.25">
      <c r="M979" s="377"/>
      <c r="BB979" s="83" t="str">
        <f t="array" ref="BB979">_xlfn.IFS(AQ979="","",LEN(AQ979)-LEN(SUBSTITUTE(AQ979,".",""))=3,LEFT(AQ979,vitri(".",AQ979,3)-1),LEN(AQ979)-LEN(SUBSTITUTE(AQ979,".",""))=2,LEFT(AQ979,vitri(".",AQ979,2)-1),TRUE,LEFT(AQ979,vitri(".",AQ979,1)-1))</f>
        <v/>
      </c>
    </row>
    <row r="980" spans="13:54" x14ac:dyDescent="0.25">
      <c r="M980" s="377"/>
      <c r="BB980" s="83" t="str">
        <f t="array" ref="BB980">_xlfn.IFS(AQ980="","",LEN(AQ980)-LEN(SUBSTITUTE(AQ980,".",""))=3,LEFT(AQ980,vitri(".",AQ980,3)-1),LEN(AQ980)-LEN(SUBSTITUTE(AQ980,".",""))=2,LEFT(AQ980,vitri(".",AQ980,2)-1),TRUE,LEFT(AQ980,vitri(".",AQ980,1)-1))</f>
        <v/>
      </c>
    </row>
    <row r="981" spans="13:54" x14ac:dyDescent="0.25">
      <c r="M981" s="377"/>
      <c r="BB981" s="83" t="str">
        <f t="array" ref="BB981">_xlfn.IFS(AQ981="","",LEN(AQ981)-LEN(SUBSTITUTE(AQ981,".",""))=3,LEFT(AQ981,vitri(".",AQ981,3)-1),LEN(AQ981)-LEN(SUBSTITUTE(AQ981,".",""))=2,LEFT(AQ981,vitri(".",AQ981,2)-1),TRUE,LEFT(AQ981,vitri(".",AQ981,1)-1))</f>
        <v/>
      </c>
    </row>
    <row r="982" spans="13:54" x14ac:dyDescent="0.25">
      <c r="M982" s="377"/>
      <c r="BB982" s="83" t="str">
        <f t="array" ref="BB982">_xlfn.IFS(AQ982="","",LEN(AQ982)-LEN(SUBSTITUTE(AQ982,".",""))=3,LEFT(AQ982,vitri(".",AQ982,3)-1),LEN(AQ982)-LEN(SUBSTITUTE(AQ982,".",""))=2,LEFT(AQ982,vitri(".",AQ982,2)-1),TRUE,LEFT(AQ982,vitri(".",AQ982,1)-1))</f>
        <v/>
      </c>
    </row>
    <row r="983" spans="13:54" x14ac:dyDescent="0.25">
      <c r="M983" s="377"/>
      <c r="BB983" s="83" t="str">
        <f t="array" ref="BB983">_xlfn.IFS(AQ983="","",LEN(AQ983)-LEN(SUBSTITUTE(AQ983,".",""))=3,LEFT(AQ983,vitri(".",AQ983,3)-1),LEN(AQ983)-LEN(SUBSTITUTE(AQ983,".",""))=2,LEFT(AQ983,vitri(".",AQ983,2)-1),TRUE,LEFT(AQ983,vitri(".",AQ983,1)-1))</f>
        <v/>
      </c>
    </row>
    <row r="984" spans="13:54" x14ac:dyDescent="0.25">
      <c r="M984" s="377"/>
      <c r="BB984" s="83" t="str">
        <f t="array" ref="BB984">_xlfn.IFS(AQ984="","",LEN(AQ984)-LEN(SUBSTITUTE(AQ984,".",""))=3,LEFT(AQ984,vitri(".",AQ984,3)-1),LEN(AQ984)-LEN(SUBSTITUTE(AQ984,".",""))=2,LEFT(AQ984,vitri(".",AQ984,2)-1),TRUE,LEFT(AQ984,vitri(".",AQ984,1)-1))</f>
        <v/>
      </c>
    </row>
    <row r="985" spans="13:54" x14ac:dyDescent="0.25">
      <c r="M985" s="377"/>
      <c r="BB985" s="83" t="str">
        <f t="array" ref="BB985">_xlfn.IFS(AQ985="","",LEN(AQ985)-LEN(SUBSTITUTE(AQ985,".",""))=3,LEFT(AQ985,vitri(".",AQ985,3)-1),LEN(AQ985)-LEN(SUBSTITUTE(AQ985,".",""))=2,LEFT(AQ985,vitri(".",AQ985,2)-1),TRUE,LEFT(AQ985,vitri(".",AQ985,1)-1))</f>
        <v/>
      </c>
    </row>
    <row r="986" spans="13:54" x14ac:dyDescent="0.25">
      <c r="M986" s="377"/>
      <c r="BB986" s="83" t="str">
        <f t="array" ref="BB986">_xlfn.IFS(AQ986="","",LEN(AQ986)-LEN(SUBSTITUTE(AQ986,".",""))=3,LEFT(AQ986,vitri(".",AQ986,3)-1),LEN(AQ986)-LEN(SUBSTITUTE(AQ986,".",""))=2,LEFT(AQ986,vitri(".",AQ986,2)-1),TRUE,LEFT(AQ986,vitri(".",AQ986,1)-1))</f>
        <v/>
      </c>
    </row>
    <row r="987" spans="13:54" x14ac:dyDescent="0.25">
      <c r="M987" s="377"/>
      <c r="BB987" s="83" t="str">
        <f t="array" ref="BB987">_xlfn.IFS(AQ987="","",LEN(AQ987)-LEN(SUBSTITUTE(AQ987,".",""))=3,LEFT(AQ987,vitri(".",AQ987,3)-1),LEN(AQ987)-LEN(SUBSTITUTE(AQ987,".",""))=2,LEFT(AQ987,vitri(".",AQ987,2)-1),TRUE,LEFT(AQ987,vitri(".",AQ987,1)-1))</f>
        <v/>
      </c>
    </row>
    <row r="988" spans="13:54" x14ac:dyDescent="0.25">
      <c r="M988" s="377"/>
      <c r="BB988" s="83" t="str">
        <f t="array" ref="BB988">_xlfn.IFS(AQ988="","",LEN(AQ988)-LEN(SUBSTITUTE(AQ988,".",""))=3,LEFT(AQ988,vitri(".",AQ988,3)-1),LEN(AQ988)-LEN(SUBSTITUTE(AQ988,".",""))=2,LEFT(AQ988,vitri(".",AQ988,2)-1),TRUE,LEFT(AQ988,vitri(".",AQ988,1)-1))</f>
        <v/>
      </c>
    </row>
    <row r="989" spans="13:54" x14ac:dyDescent="0.25">
      <c r="M989" s="377"/>
      <c r="BB989" s="83" t="str">
        <f t="array" ref="BB989">_xlfn.IFS(AQ989="","",LEN(AQ989)-LEN(SUBSTITUTE(AQ989,".",""))=3,LEFT(AQ989,vitri(".",AQ989,3)-1),LEN(AQ989)-LEN(SUBSTITUTE(AQ989,".",""))=2,LEFT(AQ989,vitri(".",AQ989,2)-1),TRUE,LEFT(AQ989,vitri(".",AQ989,1)-1))</f>
        <v/>
      </c>
    </row>
    <row r="990" spans="13:54" x14ac:dyDescent="0.25">
      <c r="M990" s="377"/>
      <c r="BB990" s="83" t="str">
        <f t="array" ref="BB990">_xlfn.IFS(AQ990="","",LEN(AQ990)-LEN(SUBSTITUTE(AQ990,".",""))=3,LEFT(AQ990,vitri(".",AQ990,3)-1),LEN(AQ990)-LEN(SUBSTITUTE(AQ990,".",""))=2,LEFT(AQ990,vitri(".",AQ990,2)-1),TRUE,LEFT(AQ990,vitri(".",AQ990,1)-1))</f>
        <v/>
      </c>
    </row>
    <row r="991" spans="13:54" x14ac:dyDescent="0.25">
      <c r="M991" s="377"/>
      <c r="BB991" s="83" t="str">
        <f t="array" ref="BB991">_xlfn.IFS(AQ991="","",LEN(AQ991)-LEN(SUBSTITUTE(AQ991,".",""))=3,LEFT(AQ991,vitri(".",AQ991,3)-1),LEN(AQ991)-LEN(SUBSTITUTE(AQ991,".",""))=2,LEFT(AQ991,vitri(".",AQ991,2)-1),TRUE,LEFT(AQ991,vitri(".",AQ991,1)-1))</f>
        <v/>
      </c>
    </row>
    <row r="992" spans="13:54" x14ac:dyDescent="0.25">
      <c r="M992" s="377"/>
      <c r="BB992" s="83" t="str">
        <f t="array" ref="BB992">_xlfn.IFS(AQ992="","",LEN(AQ992)-LEN(SUBSTITUTE(AQ992,".",""))=3,LEFT(AQ992,vitri(".",AQ992,3)-1),LEN(AQ992)-LEN(SUBSTITUTE(AQ992,".",""))=2,LEFT(AQ992,vitri(".",AQ992,2)-1),TRUE,LEFT(AQ992,vitri(".",AQ992,1)-1))</f>
        <v/>
      </c>
    </row>
    <row r="993" spans="13:54" x14ac:dyDescent="0.25">
      <c r="M993" s="377"/>
      <c r="BB993" s="83" t="str">
        <f t="array" ref="BB993">_xlfn.IFS(AQ993="","",LEN(AQ993)-LEN(SUBSTITUTE(AQ993,".",""))=3,LEFT(AQ993,vitri(".",AQ993,3)-1),LEN(AQ993)-LEN(SUBSTITUTE(AQ993,".",""))=2,LEFT(AQ993,vitri(".",AQ993,2)-1),TRUE,LEFT(AQ993,vitri(".",AQ993,1)-1))</f>
        <v/>
      </c>
    </row>
    <row r="994" spans="13:54" x14ac:dyDescent="0.25">
      <c r="M994" s="377"/>
      <c r="BB994" s="83" t="str">
        <f t="array" ref="BB994">_xlfn.IFS(AQ994="","",LEN(AQ994)-LEN(SUBSTITUTE(AQ994,".",""))=3,LEFT(AQ994,vitri(".",AQ994,3)-1),LEN(AQ994)-LEN(SUBSTITUTE(AQ994,".",""))=2,LEFT(AQ994,vitri(".",AQ994,2)-1),TRUE,LEFT(AQ994,vitri(".",AQ994,1)-1))</f>
        <v/>
      </c>
    </row>
    <row r="995" spans="13:54" x14ac:dyDescent="0.25">
      <c r="M995" s="377"/>
      <c r="BB995" s="83" t="str">
        <f t="array" ref="BB995">_xlfn.IFS(AQ995="","",LEN(AQ995)-LEN(SUBSTITUTE(AQ995,".",""))=3,LEFT(AQ995,vitri(".",AQ995,3)-1),LEN(AQ995)-LEN(SUBSTITUTE(AQ995,".",""))=2,LEFT(AQ995,vitri(".",AQ995,2)-1),TRUE,LEFT(AQ995,vitri(".",AQ995,1)-1))</f>
        <v/>
      </c>
    </row>
    <row r="996" spans="13:54" x14ac:dyDescent="0.25">
      <c r="M996" s="377"/>
      <c r="BB996" s="83" t="str">
        <f t="array" ref="BB996">_xlfn.IFS(AQ996="","",LEN(AQ996)-LEN(SUBSTITUTE(AQ996,".",""))=3,LEFT(AQ996,vitri(".",AQ996,3)-1),LEN(AQ996)-LEN(SUBSTITUTE(AQ996,".",""))=2,LEFT(AQ996,vitri(".",AQ996,2)-1),TRUE,LEFT(AQ996,vitri(".",AQ996,1)-1))</f>
        <v/>
      </c>
    </row>
    <row r="997" spans="13:54" x14ac:dyDescent="0.25">
      <c r="M997" s="377"/>
      <c r="BB997" s="83" t="str">
        <f t="array" ref="BB997">_xlfn.IFS(AQ997="","",LEN(AQ997)-LEN(SUBSTITUTE(AQ997,".",""))=3,LEFT(AQ997,vitri(".",AQ997,3)-1),LEN(AQ997)-LEN(SUBSTITUTE(AQ997,".",""))=2,LEFT(AQ997,vitri(".",AQ997,2)-1),TRUE,LEFT(AQ997,vitri(".",AQ997,1)-1))</f>
        <v/>
      </c>
    </row>
    <row r="998" spans="13:54" x14ac:dyDescent="0.25">
      <c r="M998" s="377"/>
      <c r="BB998" s="83" t="str">
        <f t="array" ref="BB998">_xlfn.IFS(AQ998="","",LEN(AQ998)-LEN(SUBSTITUTE(AQ998,".",""))=3,LEFT(AQ998,vitri(".",AQ998,3)-1),LEN(AQ998)-LEN(SUBSTITUTE(AQ998,".",""))=2,LEFT(AQ998,vitri(".",AQ998,2)-1),TRUE,LEFT(AQ998,vitri(".",AQ998,1)-1))</f>
        <v/>
      </c>
    </row>
    <row r="999" spans="13:54" x14ac:dyDescent="0.25">
      <c r="M999" s="377"/>
      <c r="BB999" s="83" t="str">
        <f t="array" ref="BB999">_xlfn.IFS(AQ999="","",LEN(AQ999)-LEN(SUBSTITUTE(AQ999,".",""))=3,LEFT(AQ999,vitri(".",AQ999,3)-1),LEN(AQ999)-LEN(SUBSTITUTE(AQ999,".",""))=2,LEFT(AQ999,vitri(".",AQ999,2)-1),TRUE,LEFT(AQ999,vitri(".",AQ999,1)-1))</f>
        <v/>
      </c>
    </row>
    <row r="1000" spans="13:54" x14ac:dyDescent="0.25">
      <c r="M1000" s="377"/>
      <c r="BB1000" s="83" t="str">
        <f t="array" ref="BB1000">_xlfn.IFS(AQ1000="","",LEN(AQ1000)-LEN(SUBSTITUTE(AQ1000,".",""))=3,LEFT(AQ1000,vitri(".",AQ1000,3)-1),LEN(AQ1000)-LEN(SUBSTITUTE(AQ1000,".",""))=2,LEFT(AQ1000,vitri(".",AQ1000,2)-1),TRUE,LEFT(AQ1000,vitri(".",AQ1000,1)-1))</f>
        <v/>
      </c>
    </row>
    <row r="1001" spans="13:54" x14ac:dyDescent="0.25">
      <c r="M1001" s="377"/>
      <c r="BB1001" s="83" t="str">
        <f t="array" ref="BB1001">_xlfn.IFS(AQ1001="","",LEN(AQ1001)-LEN(SUBSTITUTE(AQ1001,".",""))=3,LEFT(AQ1001,vitri(".",AQ1001,3)-1),LEN(AQ1001)-LEN(SUBSTITUTE(AQ1001,".",""))=2,LEFT(AQ1001,vitri(".",AQ1001,2)-1),TRUE,LEFT(AQ1001,vitri(".",AQ1001,1)-1))</f>
        <v/>
      </c>
    </row>
    <row r="1002" spans="13:54" x14ac:dyDescent="0.25">
      <c r="M1002" s="377"/>
      <c r="BB1002" s="83" t="str">
        <f t="array" ref="BB1002">_xlfn.IFS(AQ1002="","",LEN(AQ1002)-LEN(SUBSTITUTE(AQ1002,".",""))=3,LEFT(AQ1002,vitri(".",AQ1002,3)-1),LEN(AQ1002)-LEN(SUBSTITUTE(AQ1002,".",""))=2,LEFT(AQ1002,vitri(".",AQ1002,2)-1),TRUE,LEFT(AQ1002,vitri(".",AQ1002,1)-1))</f>
        <v/>
      </c>
    </row>
    <row r="1003" spans="13:54" x14ac:dyDescent="0.25">
      <c r="M1003" s="377"/>
      <c r="BB1003" s="83" t="str">
        <f t="array" ref="BB1003">_xlfn.IFS(AQ1003="","",LEN(AQ1003)-LEN(SUBSTITUTE(AQ1003,".",""))=3,LEFT(AQ1003,vitri(".",AQ1003,3)-1),LEN(AQ1003)-LEN(SUBSTITUTE(AQ1003,".",""))=2,LEFT(AQ1003,vitri(".",AQ1003,2)-1),TRUE,LEFT(AQ1003,vitri(".",AQ1003,1)-1))</f>
        <v/>
      </c>
    </row>
    <row r="1004" spans="13:54" x14ac:dyDescent="0.25">
      <c r="M1004" s="377"/>
      <c r="BB1004" s="83" t="str">
        <f t="array" ref="BB1004">_xlfn.IFS(AQ1004="","",LEN(AQ1004)-LEN(SUBSTITUTE(AQ1004,".",""))=3,LEFT(AQ1004,vitri(".",AQ1004,3)-1),LEN(AQ1004)-LEN(SUBSTITUTE(AQ1004,".",""))=2,LEFT(AQ1004,vitri(".",AQ1004,2)-1),TRUE,LEFT(AQ1004,vitri(".",AQ1004,1)-1))</f>
        <v/>
      </c>
    </row>
    <row r="1005" spans="13:54" x14ac:dyDescent="0.25">
      <c r="M1005" s="377"/>
      <c r="BB1005" s="83" t="str">
        <f t="array" ref="BB1005">_xlfn.IFS(AQ1005="","",LEN(AQ1005)-LEN(SUBSTITUTE(AQ1005,".",""))=3,LEFT(AQ1005,vitri(".",AQ1005,3)-1),LEN(AQ1005)-LEN(SUBSTITUTE(AQ1005,".",""))=2,LEFT(AQ1005,vitri(".",AQ1005,2)-1),TRUE,LEFT(AQ1005,vitri(".",AQ1005,1)-1))</f>
        <v/>
      </c>
    </row>
    <row r="1006" spans="13:54" x14ac:dyDescent="0.25">
      <c r="M1006" s="377"/>
      <c r="BB1006" s="83" t="str">
        <f t="array" ref="BB1006">_xlfn.IFS(AQ1006="","",LEN(AQ1006)-LEN(SUBSTITUTE(AQ1006,".",""))=3,LEFT(AQ1006,vitri(".",AQ1006,3)-1),LEN(AQ1006)-LEN(SUBSTITUTE(AQ1006,".",""))=2,LEFT(AQ1006,vitri(".",AQ1006,2)-1),TRUE,LEFT(AQ1006,vitri(".",AQ1006,1)-1))</f>
        <v/>
      </c>
    </row>
    <row r="1007" spans="13:54" x14ac:dyDescent="0.25">
      <c r="M1007" s="377"/>
      <c r="BB1007" s="83" t="str">
        <f t="array" ref="BB1007">_xlfn.IFS(AQ1007="","",LEN(AQ1007)-LEN(SUBSTITUTE(AQ1007,".",""))=3,LEFT(AQ1007,vitri(".",AQ1007,3)-1),LEN(AQ1007)-LEN(SUBSTITUTE(AQ1007,".",""))=2,LEFT(AQ1007,vitri(".",AQ1007,2)-1),TRUE,LEFT(AQ1007,vitri(".",AQ1007,1)-1))</f>
        <v/>
      </c>
    </row>
    <row r="1008" spans="13:54" x14ac:dyDescent="0.25">
      <c r="M1008" s="377"/>
      <c r="BB1008" s="83" t="str">
        <f t="array" ref="BB1008">_xlfn.IFS(AQ1008="","",LEN(AQ1008)-LEN(SUBSTITUTE(AQ1008,".",""))=3,LEFT(AQ1008,vitri(".",AQ1008,3)-1),LEN(AQ1008)-LEN(SUBSTITUTE(AQ1008,".",""))=2,LEFT(AQ1008,vitri(".",AQ1008,2)-1),TRUE,LEFT(AQ1008,vitri(".",AQ1008,1)-1))</f>
        <v/>
      </c>
    </row>
    <row r="1009" spans="13:54" x14ac:dyDescent="0.25">
      <c r="M1009" s="377"/>
      <c r="BB1009" s="83" t="str">
        <f t="array" ref="BB1009">_xlfn.IFS(AQ1009="","",LEN(AQ1009)-LEN(SUBSTITUTE(AQ1009,".",""))=3,LEFT(AQ1009,vitri(".",AQ1009,3)-1),LEN(AQ1009)-LEN(SUBSTITUTE(AQ1009,".",""))=2,LEFT(AQ1009,vitri(".",AQ1009,2)-1),TRUE,LEFT(AQ1009,vitri(".",AQ1009,1)-1))</f>
        <v/>
      </c>
    </row>
    <row r="1010" spans="13:54" x14ac:dyDescent="0.25">
      <c r="M1010" s="377"/>
      <c r="BB1010" s="83" t="str">
        <f t="array" ref="BB1010">_xlfn.IFS(AQ1010="","",LEN(AQ1010)-LEN(SUBSTITUTE(AQ1010,".",""))=3,LEFT(AQ1010,vitri(".",AQ1010,3)-1),LEN(AQ1010)-LEN(SUBSTITUTE(AQ1010,".",""))=2,LEFT(AQ1010,vitri(".",AQ1010,2)-1),TRUE,LEFT(AQ1010,vitri(".",AQ1010,1)-1))</f>
        <v/>
      </c>
    </row>
    <row r="1011" spans="13:54" x14ac:dyDescent="0.25">
      <c r="M1011" s="377"/>
      <c r="BB1011" s="83" t="str">
        <f t="array" ref="BB1011">_xlfn.IFS(AQ1011="","",LEN(AQ1011)-LEN(SUBSTITUTE(AQ1011,".",""))=3,LEFT(AQ1011,vitri(".",AQ1011,3)-1),LEN(AQ1011)-LEN(SUBSTITUTE(AQ1011,".",""))=2,LEFT(AQ1011,vitri(".",AQ1011,2)-1),TRUE,LEFT(AQ1011,vitri(".",AQ1011,1)-1))</f>
        <v/>
      </c>
    </row>
    <row r="1012" spans="13:54" x14ac:dyDescent="0.25">
      <c r="M1012" s="377"/>
      <c r="BB1012" s="83" t="str">
        <f t="array" ref="BB1012">_xlfn.IFS(AQ1012="","",LEN(AQ1012)-LEN(SUBSTITUTE(AQ1012,".",""))=3,LEFT(AQ1012,vitri(".",AQ1012,3)-1),LEN(AQ1012)-LEN(SUBSTITUTE(AQ1012,".",""))=2,LEFT(AQ1012,vitri(".",AQ1012,2)-1),TRUE,LEFT(AQ1012,vitri(".",AQ1012,1)-1))</f>
        <v/>
      </c>
    </row>
    <row r="1013" spans="13:54" x14ac:dyDescent="0.25">
      <c r="M1013" s="377"/>
      <c r="BB1013" s="83" t="str">
        <f t="array" ref="BB1013">_xlfn.IFS(AQ1013="","",LEN(AQ1013)-LEN(SUBSTITUTE(AQ1013,".",""))=3,LEFT(AQ1013,vitri(".",AQ1013,3)-1),LEN(AQ1013)-LEN(SUBSTITUTE(AQ1013,".",""))=2,LEFT(AQ1013,vitri(".",AQ1013,2)-1),TRUE,LEFT(AQ1013,vitri(".",AQ1013,1)-1))</f>
        <v/>
      </c>
    </row>
    <row r="1014" spans="13:54" x14ac:dyDescent="0.25">
      <c r="M1014" s="377"/>
      <c r="BB1014" s="83" t="str">
        <f t="array" ref="BB1014">_xlfn.IFS(AQ1014="","",LEN(AQ1014)-LEN(SUBSTITUTE(AQ1014,".",""))=3,LEFT(AQ1014,vitri(".",AQ1014,3)-1),LEN(AQ1014)-LEN(SUBSTITUTE(AQ1014,".",""))=2,LEFT(AQ1014,vitri(".",AQ1014,2)-1),TRUE,LEFT(AQ1014,vitri(".",AQ1014,1)-1))</f>
        <v/>
      </c>
    </row>
    <row r="1015" spans="13:54" x14ac:dyDescent="0.25">
      <c r="M1015" s="377"/>
      <c r="BB1015" s="83" t="str">
        <f t="array" ref="BB1015">_xlfn.IFS(AQ1015="","",LEN(AQ1015)-LEN(SUBSTITUTE(AQ1015,".",""))=3,LEFT(AQ1015,vitri(".",AQ1015,3)-1),LEN(AQ1015)-LEN(SUBSTITUTE(AQ1015,".",""))=2,LEFT(AQ1015,vitri(".",AQ1015,2)-1),TRUE,LEFT(AQ1015,vitri(".",AQ1015,1)-1))</f>
        <v/>
      </c>
    </row>
    <row r="1016" spans="13:54" x14ac:dyDescent="0.25">
      <c r="M1016" s="377"/>
      <c r="BB1016" s="83" t="str">
        <f t="array" ref="BB1016">_xlfn.IFS(AQ1016="","",LEN(AQ1016)-LEN(SUBSTITUTE(AQ1016,".",""))=3,LEFT(AQ1016,vitri(".",AQ1016,3)-1),LEN(AQ1016)-LEN(SUBSTITUTE(AQ1016,".",""))=2,LEFT(AQ1016,vitri(".",AQ1016,2)-1),TRUE,LEFT(AQ1016,vitri(".",AQ1016,1)-1))</f>
        <v/>
      </c>
    </row>
    <row r="1017" spans="13:54" x14ac:dyDescent="0.25">
      <c r="M1017" s="377"/>
      <c r="BB1017" s="83" t="str">
        <f t="array" ref="BB1017">_xlfn.IFS(AQ1017="","",LEN(AQ1017)-LEN(SUBSTITUTE(AQ1017,".",""))=3,LEFT(AQ1017,vitri(".",AQ1017,3)-1),LEN(AQ1017)-LEN(SUBSTITUTE(AQ1017,".",""))=2,LEFT(AQ1017,vitri(".",AQ1017,2)-1),TRUE,LEFT(AQ1017,vitri(".",AQ1017,1)-1))</f>
        <v/>
      </c>
    </row>
    <row r="1018" spans="13:54" x14ac:dyDescent="0.25">
      <c r="M1018" s="377"/>
      <c r="BB1018" s="83" t="str">
        <f t="array" ref="BB1018">_xlfn.IFS(AQ1018="","",LEN(AQ1018)-LEN(SUBSTITUTE(AQ1018,".",""))=3,LEFT(AQ1018,vitri(".",AQ1018,3)-1),LEN(AQ1018)-LEN(SUBSTITUTE(AQ1018,".",""))=2,LEFT(AQ1018,vitri(".",AQ1018,2)-1),TRUE,LEFT(AQ1018,vitri(".",AQ1018,1)-1))</f>
        <v/>
      </c>
    </row>
    <row r="1019" spans="13:54" x14ac:dyDescent="0.25">
      <c r="M1019" s="377"/>
      <c r="BB1019" s="83" t="str">
        <f t="array" ref="BB1019">_xlfn.IFS(AQ1019="","",LEN(AQ1019)-LEN(SUBSTITUTE(AQ1019,".",""))=3,LEFT(AQ1019,vitri(".",AQ1019,3)-1),LEN(AQ1019)-LEN(SUBSTITUTE(AQ1019,".",""))=2,LEFT(AQ1019,vitri(".",AQ1019,2)-1),TRUE,LEFT(AQ1019,vitri(".",AQ1019,1)-1))</f>
        <v/>
      </c>
    </row>
    <row r="1020" spans="13:54" x14ac:dyDescent="0.25">
      <c r="M1020" s="377"/>
      <c r="BB1020" s="83" t="str">
        <f t="array" ref="BB1020">_xlfn.IFS(AQ1020="","",LEN(AQ1020)-LEN(SUBSTITUTE(AQ1020,".",""))=3,LEFT(AQ1020,vitri(".",AQ1020,3)-1),LEN(AQ1020)-LEN(SUBSTITUTE(AQ1020,".",""))=2,LEFT(AQ1020,vitri(".",AQ1020,2)-1),TRUE,LEFT(AQ1020,vitri(".",AQ1020,1)-1))</f>
        <v/>
      </c>
    </row>
    <row r="1021" spans="13:54" x14ac:dyDescent="0.25">
      <c r="M1021" s="377"/>
      <c r="BB1021" s="83" t="str">
        <f t="array" ref="BB1021">_xlfn.IFS(AQ1021="","",LEN(AQ1021)-LEN(SUBSTITUTE(AQ1021,".",""))=3,LEFT(AQ1021,vitri(".",AQ1021,3)-1),LEN(AQ1021)-LEN(SUBSTITUTE(AQ1021,".",""))=2,LEFT(AQ1021,vitri(".",AQ1021,2)-1),TRUE,LEFT(AQ1021,vitri(".",AQ1021,1)-1))</f>
        <v/>
      </c>
    </row>
    <row r="1022" spans="13:54" x14ac:dyDescent="0.25">
      <c r="M1022" s="377"/>
      <c r="BB1022" s="83" t="str">
        <f t="array" ref="BB1022">_xlfn.IFS(AQ1022="","",LEN(AQ1022)-LEN(SUBSTITUTE(AQ1022,".",""))=3,LEFT(AQ1022,vitri(".",AQ1022,3)-1),LEN(AQ1022)-LEN(SUBSTITUTE(AQ1022,".",""))=2,LEFT(AQ1022,vitri(".",AQ1022,2)-1),TRUE,LEFT(AQ1022,vitri(".",AQ1022,1)-1))</f>
        <v/>
      </c>
    </row>
    <row r="1023" spans="13:54" x14ac:dyDescent="0.25">
      <c r="M1023" s="377"/>
      <c r="BB1023" s="83" t="str">
        <f t="array" ref="BB1023">_xlfn.IFS(AQ1023="","",LEN(AQ1023)-LEN(SUBSTITUTE(AQ1023,".",""))=3,LEFT(AQ1023,vitri(".",AQ1023,3)-1),LEN(AQ1023)-LEN(SUBSTITUTE(AQ1023,".",""))=2,LEFT(AQ1023,vitri(".",AQ1023,2)-1),TRUE,LEFT(AQ1023,vitri(".",AQ1023,1)-1))</f>
        <v/>
      </c>
    </row>
    <row r="1024" spans="13:54" x14ac:dyDescent="0.25">
      <c r="M1024" s="377"/>
      <c r="BB1024" s="83" t="str">
        <f t="array" ref="BB1024">_xlfn.IFS(AQ1024="","",LEN(AQ1024)-LEN(SUBSTITUTE(AQ1024,".",""))=3,LEFT(AQ1024,vitri(".",AQ1024,3)-1),LEN(AQ1024)-LEN(SUBSTITUTE(AQ1024,".",""))=2,LEFT(AQ1024,vitri(".",AQ1024,2)-1),TRUE,LEFT(AQ1024,vitri(".",AQ1024,1)-1))</f>
        <v/>
      </c>
    </row>
    <row r="1025" spans="13:54" x14ac:dyDescent="0.25">
      <c r="M1025" s="377"/>
      <c r="BB1025" s="83" t="str">
        <f t="array" ref="BB1025">_xlfn.IFS(AQ1025="","",LEN(AQ1025)-LEN(SUBSTITUTE(AQ1025,".",""))=3,LEFT(AQ1025,vitri(".",AQ1025,3)-1),LEN(AQ1025)-LEN(SUBSTITUTE(AQ1025,".",""))=2,LEFT(AQ1025,vitri(".",AQ1025,2)-1),TRUE,LEFT(AQ1025,vitri(".",AQ1025,1)-1))</f>
        <v/>
      </c>
    </row>
    <row r="1026" spans="13:54" x14ac:dyDescent="0.25">
      <c r="M1026" s="377"/>
      <c r="BB1026" s="83" t="str">
        <f t="array" ref="BB1026">_xlfn.IFS(AQ1026="","",LEN(AQ1026)-LEN(SUBSTITUTE(AQ1026,".",""))=3,LEFT(AQ1026,vitri(".",AQ1026,3)-1),LEN(AQ1026)-LEN(SUBSTITUTE(AQ1026,".",""))=2,LEFT(AQ1026,vitri(".",AQ1026,2)-1),TRUE,LEFT(AQ1026,vitri(".",AQ1026,1)-1))</f>
        <v/>
      </c>
    </row>
    <row r="1027" spans="13:54" x14ac:dyDescent="0.25">
      <c r="M1027" s="377"/>
      <c r="BB1027" s="83" t="str">
        <f t="array" ref="BB1027">_xlfn.IFS(AQ1027="","",LEN(AQ1027)-LEN(SUBSTITUTE(AQ1027,".",""))=3,LEFT(AQ1027,vitri(".",AQ1027,3)-1),LEN(AQ1027)-LEN(SUBSTITUTE(AQ1027,".",""))=2,LEFT(AQ1027,vitri(".",AQ1027,2)-1),TRUE,LEFT(AQ1027,vitri(".",AQ1027,1)-1))</f>
        <v/>
      </c>
    </row>
    <row r="1028" spans="13:54" x14ac:dyDescent="0.25">
      <c r="M1028" s="377"/>
      <c r="BB1028" s="83" t="str">
        <f t="array" ref="BB1028">_xlfn.IFS(AQ1028="","",LEN(AQ1028)-LEN(SUBSTITUTE(AQ1028,".",""))=3,LEFT(AQ1028,vitri(".",AQ1028,3)-1),LEN(AQ1028)-LEN(SUBSTITUTE(AQ1028,".",""))=2,LEFT(AQ1028,vitri(".",AQ1028,2)-1),TRUE,LEFT(AQ1028,vitri(".",AQ1028,1)-1))</f>
        <v/>
      </c>
    </row>
    <row r="1029" spans="13:54" x14ac:dyDescent="0.25">
      <c r="M1029" s="377"/>
      <c r="BB1029" s="83" t="str">
        <f t="array" ref="BB1029">_xlfn.IFS(AQ1029="","",LEN(AQ1029)-LEN(SUBSTITUTE(AQ1029,".",""))=3,LEFT(AQ1029,vitri(".",AQ1029,3)-1),LEN(AQ1029)-LEN(SUBSTITUTE(AQ1029,".",""))=2,LEFT(AQ1029,vitri(".",AQ1029,2)-1),TRUE,LEFT(AQ1029,vitri(".",AQ1029,1)-1))</f>
        <v/>
      </c>
    </row>
    <row r="1030" spans="13:54" x14ac:dyDescent="0.25">
      <c r="M1030" s="377"/>
      <c r="BB1030" s="83" t="str">
        <f t="array" ref="BB1030">_xlfn.IFS(AQ1030="","",LEN(AQ1030)-LEN(SUBSTITUTE(AQ1030,".",""))=3,LEFT(AQ1030,vitri(".",AQ1030,3)-1),LEN(AQ1030)-LEN(SUBSTITUTE(AQ1030,".",""))=2,LEFT(AQ1030,vitri(".",AQ1030,2)-1),TRUE,LEFT(AQ1030,vitri(".",AQ1030,1)-1))</f>
        <v/>
      </c>
    </row>
    <row r="1031" spans="13:54" x14ac:dyDescent="0.25">
      <c r="M1031" s="377"/>
      <c r="BB1031" s="83" t="str">
        <f t="array" ref="BB1031">_xlfn.IFS(AQ1031="","",LEN(AQ1031)-LEN(SUBSTITUTE(AQ1031,".",""))=3,LEFT(AQ1031,vitri(".",AQ1031,3)-1),LEN(AQ1031)-LEN(SUBSTITUTE(AQ1031,".",""))=2,LEFT(AQ1031,vitri(".",AQ1031,2)-1),TRUE,LEFT(AQ1031,vitri(".",AQ1031,1)-1))</f>
        <v/>
      </c>
    </row>
    <row r="1032" spans="13:54" x14ac:dyDescent="0.25">
      <c r="M1032" s="377"/>
      <c r="BB1032" s="83" t="str">
        <f t="array" ref="BB1032">_xlfn.IFS(AQ1032="","",LEN(AQ1032)-LEN(SUBSTITUTE(AQ1032,".",""))=3,LEFT(AQ1032,vitri(".",AQ1032,3)-1),LEN(AQ1032)-LEN(SUBSTITUTE(AQ1032,".",""))=2,LEFT(AQ1032,vitri(".",AQ1032,2)-1),TRUE,LEFT(AQ1032,vitri(".",AQ1032,1)-1))</f>
        <v/>
      </c>
    </row>
    <row r="1033" spans="13:54" x14ac:dyDescent="0.25">
      <c r="M1033" s="377"/>
      <c r="BB1033" s="83" t="str">
        <f t="array" ref="BB1033">_xlfn.IFS(AQ1033="","",LEN(AQ1033)-LEN(SUBSTITUTE(AQ1033,".",""))=3,LEFT(AQ1033,vitri(".",AQ1033,3)-1),LEN(AQ1033)-LEN(SUBSTITUTE(AQ1033,".",""))=2,LEFT(AQ1033,vitri(".",AQ1033,2)-1),TRUE,LEFT(AQ1033,vitri(".",AQ1033,1)-1))</f>
        <v/>
      </c>
    </row>
    <row r="1034" spans="13:54" x14ac:dyDescent="0.25">
      <c r="M1034" s="377"/>
      <c r="BB1034" s="83" t="str">
        <f t="array" ref="BB1034">_xlfn.IFS(AQ1034="","",LEN(AQ1034)-LEN(SUBSTITUTE(AQ1034,".",""))=3,LEFT(AQ1034,vitri(".",AQ1034,3)-1),LEN(AQ1034)-LEN(SUBSTITUTE(AQ1034,".",""))=2,LEFT(AQ1034,vitri(".",AQ1034,2)-1),TRUE,LEFT(AQ1034,vitri(".",AQ1034,1)-1))</f>
        <v/>
      </c>
    </row>
    <row r="1035" spans="13:54" x14ac:dyDescent="0.25">
      <c r="M1035" s="377"/>
      <c r="BB1035" s="83" t="str">
        <f t="array" ref="BB1035">_xlfn.IFS(AQ1035="","",LEN(AQ1035)-LEN(SUBSTITUTE(AQ1035,".",""))=3,LEFT(AQ1035,vitri(".",AQ1035,3)-1),LEN(AQ1035)-LEN(SUBSTITUTE(AQ1035,".",""))=2,LEFT(AQ1035,vitri(".",AQ1035,2)-1),TRUE,LEFT(AQ1035,vitri(".",AQ1035,1)-1))</f>
        <v/>
      </c>
    </row>
    <row r="1036" spans="13:54" x14ac:dyDescent="0.25">
      <c r="M1036" s="377"/>
      <c r="BB1036" s="83" t="str">
        <f t="array" ref="BB1036">_xlfn.IFS(AQ1036="","",LEN(AQ1036)-LEN(SUBSTITUTE(AQ1036,".",""))=3,LEFT(AQ1036,vitri(".",AQ1036,3)-1),LEN(AQ1036)-LEN(SUBSTITUTE(AQ1036,".",""))=2,LEFT(AQ1036,vitri(".",AQ1036,2)-1),TRUE,LEFT(AQ1036,vitri(".",AQ1036,1)-1))</f>
        <v/>
      </c>
    </row>
    <row r="1037" spans="13:54" x14ac:dyDescent="0.25">
      <c r="M1037" s="377"/>
      <c r="BB1037" s="83" t="str">
        <f t="array" ref="BB1037">_xlfn.IFS(AQ1037="","",LEN(AQ1037)-LEN(SUBSTITUTE(AQ1037,".",""))=3,LEFT(AQ1037,vitri(".",AQ1037,3)-1),LEN(AQ1037)-LEN(SUBSTITUTE(AQ1037,".",""))=2,LEFT(AQ1037,vitri(".",AQ1037,2)-1),TRUE,LEFT(AQ1037,vitri(".",AQ1037,1)-1))</f>
        <v/>
      </c>
    </row>
    <row r="1038" spans="13:54" x14ac:dyDescent="0.25">
      <c r="M1038" s="377"/>
      <c r="BB1038" s="83" t="str">
        <f t="array" ref="BB1038">_xlfn.IFS(AQ1038="","",LEN(AQ1038)-LEN(SUBSTITUTE(AQ1038,".",""))=3,LEFT(AQ1038,vitri(".",AQ1038,3)-1),LEN(AQ1038)-LEN(SUBSTITUTE(AQ1038,".",""))=2,LEFT(AQ1038,vitri(".",AQ1038,2)-1),TRUE,LEFT(AQ1038,vitri(".",AQ1038,1)-1))</f>
        <v/>
      </c>
    </row>
    <row r="1039" spans="13:54" x14ac:dyDescent="0.25">
      <c r="M1039" s="377"/>
      <c r="BB1039" s="83" t="str">
        <f t="array" ref="BB1039">_xlfn.IFS(AQ1039="","",LEN(AQ1039)-LEN(SUBSTITUTE(AQ1039,".",""))=3,LEFT(AQ1039,vitri(".",AQ1039,3)-1),LEN(AQ1039)-LEN(SUBSTITUTE(AQ1039,".",""))=2,LEFT(AQ1039,vitri(".",AQ1039,2)-1),TRUE,LEFT(AQ1039,vitri(".",AQ1039,1)-1))</f>
        <v/>
      </c>
    </row>
    <row r="1040" spans="13:54" x14ac:dyDescent="0.25">
      <c r="M1040" s="377"/>
      <c r="BB1040" s="83" t="str">
        <f t="array" ref="BB1040">_xlfn.IFS(AQ1040="","",LEN(AQ1040)-LEN(SUBSTITUTE(AQ1040,".",""))=3,LEFT(AQ1040,vitri(".",AQ1040,3)-1),LEN(AQ1040)-LEN(SUBSTITUTE(AQ1040,".",""))=2,LEFT(AQ1040,vitri(".",AQ1040,2)-1),TRUE,LEFT(AQ1040,vitri(".",AQ1040,1)-1))</f>
        <v/>
      </c>
    </row>
    <row r="1041" spans="13:54" x14ac:dyDescent="0.25">
      <c r="M1041" s="377"/>
      <c r="BB1041" s="83" t="str">
        <f t="array" ref="BB1041">_xlfn.IFS(AQ1041="","",LEN(AQ1041)-LEN(SUBSTITUTE(AQ1041,".",""))=3,LEFT(AQ1041,vitri(".",AQ1041,3)-1),LEN(AQ1041)-LEN(SUBSTITUTE(AQ1041,".",""))=2,LEFT(AQ1041,vitri(".",AQ1041,2)-1),TRUE,LEFT(AQ1041,vitri(".",AQ1041,1)-1))</f>
        <v/>
      </c>
    </row>
    <row r="1042" spans="13:54" x14ac:dyDescent="0.25">
      <c r="M1042" s="377"/>
      <c r="BB1042" s="83" t="str">
        <f t="array" ref="BB1042">_xlfn.IFS(AQ1042="","",LEN(AQ1042)-LEN(SUBSTITUTE(AQ1042,".",""))=3,LEFT(AQ1042,vitri(".",AQ1042,3)-1),LEN(AQ1042)-LEN(SUBSTITUTE(AQ1042,".",""))=2,LEFT(AQ1042,vitri(".",AQ1042,2)-1),TRUE,LEFT(AQ1042,vitri(".",AQ1042,1)-1))</f>
        <v/>
      </c>
    </row>
    <row r="1043" spans="13:54" x14ac:dyDescent="0.25">
      <c r="M1043" s="377"/>
      <c r="BB1043" s="83" t="str">
        <f t="array" ref="BB1043">_xlfn.IFS(AQ1043="","",LEN(AQ1043)-LEN(SUBSTITUTE(AQ1043,".",""))=3,LEFT(AQ1043,vitri(".",AQ1043,3)-1),LEN(AQ1043)-LEN(SUBSTITUTE(AQ1043,".",""))=2,LEFT(AQ1043,vitri(".",AQ1043,2)-1),TRUE,LEFT(AQ1043,vitri(".",AQ1043,1)-1))</f>
        <v/>
      </c>
    </row>
    <row r="1044" spans="13:54" x14ac:dyDescent="0.25">
      <c r="M1044" s="377"/>
      <c r="BB1044" s="83" t="str">
        <f t="array" ref="BB1044">_xlfn.IFS(AQ1044="","",LEN(AQ1044)-LEN(SUBSTITUTE(AQ1044,".",""))=3,LEFT(AQ1044,vitri(".",AQ1044,3)-1),LEN(AQ1044)-LEN(SUBSTITUTE(AQ1044,".",""))=2,LEFT(AQ1044,vitri(".",AQ1044,2)-1),TRUE,LEFT(AQ1044,vitri(".",AQ1044,1)-1))</f>
        <v/>
      </c>
    </row>
    <row r="1045" spans="13:54" x14ac:dyDescent="0.25">
      <c r="M1045" s="377"/>
      <c r="BB1045" s="83" t="str">
        <f t="array" ref="BB1045">_xlfn.IFS(AQ1045="","",LEN(AQ1045)-LEN(SUBSTITUTE(AQ1045,".",""))=3,LEFT(AQ1045,vitri(".",AQ1045,3)-1),LEN(AQ1045)-LEN(SUBSTITUTE(AQ1045,".",""))=2,LEFT(AQ1045,vitri(".",AQ1045,2)-1),TRUE,LEFT(AQ1045,vitri(".",AQ1045,1)-1))</f>
        <v/>
      </c>
    </row>
    <row r="1046" spans="13:54" x14ac:dyDescent="0.25">
      <c r="M1046" s="377"/>
      <c r="BB1046" s="83" t="str">
        <f t="array" ref="BB1046">_xlfn.IFS(AQ1046="","",LEN(AQ1046)-LEN(SUBSTITUTE(AQ1046,".",""))=3,LEFT(AQ1046,vitri(".",AQ1046,3)-1),LEN(AQ1046)-LEN(SUBSTITUTE(AQ1046,".",""))=2,LEFT(AQ1046,vitri(".",AQ1046,2)-1),TRUE,LEFT(AQ1046,vitri(".",AQ1046,1)-1))</f>
        <v/>
      </c>
    </row>
    <row r="1047" spans="13:54" x14ac:dyDescent="0.25">
      <c r="M1047" s="377"/>
      <c r="BB1047" s="83" t="str">
        <f t="array" ref="BB1047">_xlfn.IFS(AQ1047="","",LEN(AQ1047)-LEN(SUBSTITUTE(AQ1047,".",""))=3,LEFT(AQ1047,vitri(".",AQ1047,3)-1),LEN(AQ1047)-LEN(SUBSTITUTE(AQ1047,".",""))=2,LEFT(AQ1047,vitri(".",AQ1047,2)-1),TRUE,LEFT(AQ1047,vitri(".",AQ1047,1)-1))</f>
        <v/>
      </c>
    </row>
    <row r="1048" spans="13:54" x14ac:dyDescent="0.25">
      <c r="M1048" s="377"/>
      <c r="BB1048" s="83" t="str">
        <f t="array" ref="BB1048">_xlfn.IFS(AQ1048="","",LEN(AQ1048)-LEN(SUBSTITUTE(AQ1048,".",""))=3,LEFT(AQ1048,vitri(".",AQ1048,3)-1),LEN(AQ1048)-LEN(SUBSTITUTE(AQ1048,".",""))=2,LEFT(AQ1048,vitri(".",AQ1048,2)-1),TRUE,LEFT(AQ1048,vitri(".",AQ1048,1)-1))</f>
        <v/>
      </c>
    </row>
    <row r="1049" spans="13:54" x14ac:dyDescent="0.25">
      <c r="M1049" s="377"/>
      <c r="BB1049" s="83" t="str">
        <f t="array" ref="BB1049">_xlfn.IFS(AQ1049="","",LEN(AQ1049)-LEN(SUBSTITUTE(AQ1049,".",""))=3,LEFT(AQ1049,vitri(".",AQ1049,3)-1),LEN(AQ1049)-LEN(SUBSTITUTE(AQ1049,".",""))=2,LEFT(AQ1049,vitri(".",AQ1049,2)-1),TRUE,LEFT(AQ1049,vitri(".",AQ1049,1)-1))</f>
        <v/>
      </c>
    </row>
    <row r="1050" spans="13:54" x14ac:dyDescent="0.25">
      <c r="M1050" s="377"/>
      <c r="BB1050" s="83" t="str">
        <f t="array" ref="BB1050">_xlfn.IFS(AQ1050="","",LEN(AQ1050)-LEN(SUBSTITUTE(AQ1050,".",""))=3,LEFT(AQ1050,vitri(".",AQ1050,3)-1),LEN(AQ1050)-LEN(SUBSTITUTE(AQ1050,".",""))=2,LEFT(AQ1050,vitri(".",AQ1050,2)-1),TRUE,LEFT(AQ1050,vitri(".",AQ1050,1)-1))</f>
        <v/>
      </c>
    </row>
    <row r="1051" spans="13:54" x14ac:dyDescent="0.25">
      <c r="M1051" s="377"/>
      <c r="BB1051" s="83" t="str">
        <f t="array" ref="BB1051">_xlfn.IFS(AQ1051="","",LEN(AQ1051)-LEN(SUBSTITUTE(AQ1051,".",""))=3,LEFT(AQ1051,vitri(".",AQ1051,3)-1),LEN(AQ1051)-LEN(SUBSTITUTE(AQ1051,".",""))=2,LEFT(AQ1051,vitri(".",AQ1051,2)-1),TRUE,LEFT(AQ1051,vitri(".",AQ1051,1)-1))</f>
        <v/>
      </c>
    </row>
    <row r="1052" spans="13:54" x14ac:dyDescent="0.25">
      <c r="M1052" s="377"/>
      <c r="BB1052" s="83" t="str">
        <f t="array" ref="BB1052">_xlfn.IFS(AQ1052="","",LEN(AQ1052)-LEN(SUBSTITUTE(AQ1052,".",""))=3,LEFT(AQ1052,vitri(".",AQ1052,3)-1),LEN(AQ1052)-LEN(SUBSTITUTE(AQ1052,".",""))=2,LEFT(AQ1052,vitri(".",AQ1052,2)-1),TRUE,LEFT(AQ1052,vitri(".",AQ1052,1)-1))</f>
        <v/>
      </c>
    </row>
    <row r="1053" spans="13:54" x14ac:dyDescent="0.25">
      <c r="M1053" s="377"/>
      <c r="BB1053" s="83" t="str">
        <f t="array" ref="BB1053">_xlfn.IFS(AQ1053="","",LEN(AQ1053)-LEN(SUBSTITUTE(AQ1053,".",""))=3,LEFT(AQ1053,vitri(".",AQ1053,3)-1),LEN(AQ1053)-LEN(SUBSTITUTE(AQ1053,".",""))=2,LEFT(AQ1053,vitri(".",AQ1053,2)-1),TRUE,LEFT(AQ1053,vitri(".",AQ1053,1)-1))</f>
        <v/>
      </c>
    </row>
    <row r="1054" spans="13:54" x14ac:dyDescent="0.25">
      <c r="M1054" s="377"/>
      <c r="BB1054" s="83" t="str">
        <f t="array" ref="BB1054">_xlfn.IFS(AQ1054="","",LEN(AQ1054)-LEN(SUBSTITUTE(AQ1054,".",""))=3,LEFT(AQ1054,vitri(".",AQ1054,3)-1),LEN(AQ1054)-LEN(SUBSTITUTE(AQ1054,".",""))=2,LEFT(AQ1054,vitri(".",AQ1054,2)-1),TRUE,LEFT(AQ1054,vitri(".",AQ1054,1)-1))</f>
        <v/>
      </c>
    </row>
    <row r="1055" spans="13:54" x14ac:dyDescent="0.25">
      <c r="M1055" s="377"/>
      <c r="BB1055" s="83" t="str">
        <f t="array" ref="BB1055">_xlfn.IFS(AQ1055="","",LEN(AQ1055)-LEN(SUBSTITUTE(AQ1055,".",""))=3,LEFT(AQ1055,vitri(".",AQ1055,3)-1),LEN(AQ1055)-LEN(SUBSTITUTE(AQ1055,".",""))=2,LEFT(AQ1055,vitri(".",AQ1055,2)-1),TRUE,LEFT(AQ1055,vitri(".",AQ1055,1)-1))</f>
        <v/>
      </c>
    </row>
    <row r="1056" spans="13:54" x14ac:dyDescent="0.25">
      <c r="M1056" s="377"/>
      <c r="BB1056" s="83" t="str">
        <f t="array" ref="BB1056">_xlfn.IFS(AQ1056="","",LEN(AQ1056)-LEN(SUBSTITUTE(AQ1056,".",""))=3,LEFT(AQ1056,vitri(".",AQ1056,3)-1),LEN(AQ1056)-LEN(SUBSTITUTE(AQ1056,".",""))=2,LEFT(AQ1056,vitri(".",AQ1056,2)-1),TRUE,LEFT(AQ1056,vitri(".",AQ1056,1)-1))</f>
        <v/>
      </c>
    </row>
    <row r="1057" spans="13:54" x14ac:dyDescent="0.25">
      <c r="M1057" s="377"/>
      <c r="BB1057" s="83" t="str">
        <f t="array" ref="BB1057">_xlfn.IFS(AQ1057="","",LEN(AQ1057)-LEN(SUBSTITUTE(AQ1057,".",""))=3,LEFT(AQ1057,vitri(".",AQ1057,3)-1),LEN(AQ1057)-LEN(SUBSTITUTE(AQ1057,".",""))=2,LEFT(AQ1057,vitri(".",AQ1057,2)-1),TRUE,LEFT(AQ1057,vitri(".",AQ1057,1)-1))</f>
        <v/>
      </c>
    </row>
    <row r="1058" spans="13:54" x14ac:dyDescent="0.25">
      <c r="M1058" s="377"/>
      <c r="BB1058" s="83" t="str">
        <f t="array" ref="BB1058">_xlfn.IFS(AQ1058="","",LEN(AQ1058)-LEN(SUBSTITUTE(AQ1058,".",""))=3,LEFT(AQ1058,vitri(".",AQ1058,3)-1),LEN(AQ1058)-LEN(SUBSTITUTE(AQ1058,".",""))=2,LEFT(AQ1058,vitri(".",AQ1058,2)-1),TRUE,LEFT(AQ1058,vitri(".",AQ1058,1)-1))</f>
        <v/>
      </c>
    </row>
    <row r="1059" spans="13:54" x14ac:dyDescent="0.25">
      <c r="M1059" s="377"/>
      <c r="BB1059" s="83" t="str">
        <f t="array" ref="BB1059">_xlfn.IFS(AQ1059="","",LEN(AQ1059)-LEN(SUBSTITUTE(AQ1059,".",""))=3,LEFT(AQ1059,vitri(".",AQ1059,3)-1),LEN(AQ1059)-LEN(SUBSTITUTE(AQ1059,".",""))=2,LEFT(AQ1059,vitri(".",AQ1059,2)-1),TRUE,LEFT(AQ1059,vitri(".",AQ1059,1)-1))</f>
        <v/>
      </c>
    </row>
    <row r="1060" spans="13:54" x14ac:dyDescent="0.25">
      <c r="M1060" s="377"/>
      <c r="BB1060" s="83" t="str">
        <f t="array" ref="BB1060">_xlfn.IFS(AQ1060="","",LEN(AQ1060)-LEN(SUBSTITUTE(AQ1060,".",""))=3,LEFT(AQ1060,vitri(".",AQ1060,3)-1),LEN(AQ1060)-LEN(SUBSTITUTE(AQ1060,".",""))=2,LEFT(AQ1060,vitri(".",AQ1060,2)-1),TRUE,LEFT(AQ1060,vitri(".",AQ1060,1)-1))</f>
        <v/>
      </c>
    </row>
    <row r="1061" spans="13:54" x14ac:dyDescent="0.25">
      <c r="M1061" s="377"/>
      <c r="BB1061" s="83" t="str">
        <f t="array" ref="BB1061">_xlfn.IFS(AQ1061="","",LEN(AQ1061)-LEN(SUBSTITUTE(AQ1061,".",""))=3,LEFT(AQ1061,vitri(".",AQ1061,3)-1),LEN(AQ1061)-LEN(SUBSTITUTE(AQ1061,".",""))=2,LEFT(AQ1061,vitri(".",AQ1061,2)-1),TRUE,LEFT(AQ1061,vitri(".",AQ1061,1)-1))</f>
        <v/>
      </c>
    </row>
    <row r="1062" spans="13:54" x14ac:dyDescent="0.25">
      <c r="M1062" s="377"/>
      <c r="BB1062" s="83" t="str">
        <f t="array" ref="BB1062">_xlfn.IFS(AQ1062="","",LEN(AQ1062)-LEN(SUBSTITUTE(AQ1062,".",""))=3,LEFT(AQ1062,vitri(".",AQ1062,3)-1),LEN(AQ1062)-LEN(SUBSTITUTE(AQ1062,".",""))=2,LEFT(AQ1062,vitri(".",AQ1062,2)-1),TRUE,LEFT(AQ1062,vitri(".",AQ1062,1)-1))</f>
        <v/>
      </c>
    </row>
    <row r="1063" spans="13:54" x14ac:dyDescent="0.25">
      <c r="M1063" s="377"/>
      <c r="BB1063" s="83" t="str">
        <f t="array" ref="BB1063">_xlfn.IFS(AQ1063="","",LEN(AQ1063)-LEN(SUBSTITUTE(AQ1063,".",""))=3,LEFT(AQ1063,vitri(".",AQ1063,3)-1),LEN(AQ1063)-LEN(SUBSTITUTE(AQ1063,".",""))=2,LEFT(AQ1063,vitri(".",AQ1063,2)-1),TRUE,LEFT(AQ1063,vitri(".",AQ1063,1)-1))</f>
        <v/>
      </c>
    </row>
    <row r="1064" spans="13:54" x14ac:dyDescent="0.25">
      <c r="M1064" s="377"/>
      <c r="BB1064" s="83" t="str">
        <f t="array" ref="BB1064">_xlfn.IFS(AQ1064="","",LEN(AQ1064)-LEN(SUBSTITUTE(AQ1064,".",""))=3,LEFT(AQ1064,vitri(".",AQ1064,3)-1),LEN(AQ1064)-LEN(SUBSTITUTE(AQ1064,".",""))=2,LEFT(AQ1064,vitri(".",AQ1064,2)-1),TRUE,LEFT(AQ1064,vitri(".",AQ1064,1)-1))</f>
        <v/>
      </c>
    </row>
    <row r="1065" spans="13:54" x14ac:dyDescent="0.25">
      <c r="M1065" s="377"/>
      <c r="BB1065" s="83" t="str">
        <f t="array" ref="BB1065">_xlfn.IFS(AQ1065="","",LEN(AQ1065)-LEN(SUBSTITUTE(AQ1065,".",""))=3,LEFT(AQ1065,vitri(".",AQ1065,3)-1),LEN(AQ1065)-LEN(SUBSTITUTE(AQ1065,".",""))=2,LEFT(AQ1065,vitri(".",AQ1065,2)-1),TRUE,LEFT(AQ1065,vitri(".",AQ1065,1)-1))</f>
        <v/>
      </c>
    </row>
    <row r="1066" spans="13:54" x14ac:dyDescent="0.25">
      <c r="M1066" s="377"/>
      <c r="BB1066" s="83" t="str">
        <f t="array" ref="BB1066">_xlfn.IFS(AQ1066="","",LEN(AQ1066)-LEN(SUBSTITUTE(AQ1066,".",""))=3,LEFT(AQ1066,vitri(".",AQ1066,3)-1),LEN(AQ1066)-LEN(SUBSTITUTE(AQ1066,".",""))=2,LEFT(AQ1066,vitri(".",AQ1066,2)-1),TRUE,LEFT(AQ1066,vitri(".",AQ1066,1)-1))</f>
        <v/>
      </c>
    </row>
    <row r="1067" spans="13:54" x14ac:dyDescent="0.25">
      <c r="M1067" s="377"/>
      <c r="BB1067" s="83" t="str">
        <f t="array" ref="BB1067">_xlfn.IFS(AQ1067="","",LEN(AQ1067)-LEN(SUBSTITUTE(AQ1067,".",""))=3,LEFT(AQ1067,vitri(".",AQ1067,3)-1),LEN(AQ1067)-LEN(SUBSTITUTE(AQ1067,".",""))=2,LEFT(AQ1067,vitri(".",AQ1067,2)-1),TRUE,LEFT(AQ1067,vitri(".",AQ1067,1)-1))</f>
        <v/>
      </c>
    </row>
    <row r="1068" spans="13:54" x14ac:dyDescent="0.25">
      <c r="M1068" s="377"/>
      <c r="BB1068" s="83" t="str">
        <f t="array" ref="BB1068">_xlfn.IFS(AQ1068="","",LEN(AQ1068)-LEN(SUBSTITUTE(AQ1068,".",""))=3,LEFT(AQ1068,vitri(".",AQ1068,3)-1),LEN(AQ1068)-LEN(SUBSTITUTE(AQ1068,".",""))=2,LEFT(AQ1068,vitri(".",AQ1068,2)-1),TRUE,LEFT(AQ1068,vitri(".",AQ1068,1)-1))</f>
        <v/>
      </c>
    </row>
    <row r="1069" spans="13:54" x14ac:dyDescent="0.25">
      <c r="M1069" s="377"/>
      <c r="BB1069" s="83" t="str">
        <f t="array" ref="BB1069">_xlfn.IFS(AQ1069="","",LEN(AQ1069)-LEN(SUBSTITUTE(AQ1069,".",""))=3,LEFT(AQ1069,vitri(".",AQ1069,3)-1),LEN(AQ1069)-LEN(SUBSTITUTE(AQ1069,".",""))=2,LEFT(AQ1069,vitri(".",AQ1069,2)-1),TRUE,LEFT(AQ1069,vitri(".",AQ1069,1)-1))</f>
        <v/>
      </c>
    </row>
    <row r="1070" spans="13:54" x14ac:dyDescent="0.25">
      <c r="M1070" s="377"/>
      <c r="BB1070" s="83" t="str">
        <f t="array" ref="BB1070">_xlfn.IFS(AQ1070="","",LEN(AQ1070)-LEN(SUBSTITUTE(AQ1070,".",""))=3,LEFT(AQ1070,vitri(".",AQ1070,3)-1),LEN(AQ1070)-LEN(SUBSTITUTE(AQ1070,".",""))=2,LEFT(AQ1070,vitri(".",AQ1070,2)-1),TRUE,LEFT(AQ1070,vitri(".",AQ1070,1)-1))</f>
        <v/>
      </c>
    </row>
    <row r="1071" spans="13:54" x14ac:dyDescent="0.25">
      <c r="M1071" s="377"/>
      <c r="BB1071" s="83" t="str">
        <f t="array" ref="BB1071">_xlfn.IFS(AQ1071="","",LEN(AQ1071)-LEN(SUBSTITUTE(AQ1071,".",""))=3,LEFT(AQ1071,vitri(".",AQ1071,3)-1),LEN(AQ1071)-LEN(SUBSTITUTE(AQ1071,".",""))=2,LEFT(AQ1071,vitri(".",AQ1071,2)-1),TRUE,LEFT(AQ1071,vitri(".",AQ1071,1)-1))</f>
        <v/>
      </c>
    </row>
    <row r="1072" spans="13:54" x14ac:dyDescent="0.25">
      <c r="M1072" s="377"/>
      <c r="BB1072" s="83" t="str">
        <f t="array" ref="BB1072">_xlfn.IFS(AQ1072="","",LEN(AQ1072)-LEN(SUBSTITUTE(AQ1072,".",""))=3,LEFT(AQ1072,vitri(".",AQ1072,3)-1),LEN(AQ1072)-LEN(SUBSTITUTE(AQ1072,".",""))=2,LEFT(AQ1072,vitri(".",AQ1072,2)-1),TRUE,LEFT(AQ1072,vitri(".",AQ1072,1)-1))</f>
        <v/>
      </c>
    </row>
    <row r="1073" spans="13:54" x14ac:dyDescent="0.25">
      <c r="M1073" s="377"/>
      <c r="BB1073" s="83" t="str">
        <f t="array" ref="BB1073">_xlfn.IFS(AQ1073="","",LEN(AQ1073)-LEN(SUBSTITUTE(AQ1073,".",""))=3,LEFT(AQ1073,vitri(".",AQ1073,3)-1),LEN(AQ1073)-LEN(SUBSTITUTE(AQ1073,".",""))=2,LEFT(AQ1073,vitri(".",AQ1073,2)-1),TRUE,LEFT(AQ1073,vitri(".",AQ1073,1)-1))</f>
        <v/>
      </c>
    </row>
    <row r="1074" spans="13:54" x14ac:dyDescent="0.25">
      <c r="M1074" s="377"/>
      <c r="BB1074" s="83" t="str">
        <f t="array" ref="BB1074">_xlfn.IFS(AQ1074="","",LEN(AQ1074)-LEN(SUBSTITUTE(AQ1074,".",""))=3,LEFT(AQ1074,vitri(".",AQ1074,3)-1),LEN(AQ1074)-LEN(SUBSTITUTE(AQ1074,".",""))=2,LEFT(AQ1074,vitri(".",AQ1074,2)-1),TRUE,LEFT(AQ1074,vitri(".",AQ1074,1)-1))</f>
        <v/>
      </c>
    </row>
    <row r="1075" spans="13:54" x14ac:dyDescent="0.25">
      <c r="M1075" s="377"/>
      <c r="BB1075" s="83" t="str">
        <f t="array" ref="BB1075">_xlfn.IFS(AQ1075="","",LEN(AQ1075)-LEN(SUBSTITUTE(AQ1075,".",""))=3,LEFT(AQ1075,vitri(".",AQ1075,3)-1),LEN(AQ1075)-LEN(SUBSTITUTE(AQ1075,".",""))=2,LEFT(AQ1075,vitri(".",AQ1075,2)-1),TRUE,LEFT(AQ1075,vitri(".",AQ1075,1)-1))</f>
        <v/>
      </c>
    </row>
    <row r="1076" spans="13:54" x14ac:dyDescent="0.25">
      <c r="M1076" s="377"/>
      <c r="BB1076" s="83" t="str">
        <f t="array" ref="BB1076">_xlfn.IFS(AQ1076="","",LEN(AQ1076)-LEN(SUBSTITUTE(AQ1076,".",""))=3,LEFT(AQ1076,vitri(".",AQ1076,3)-1),LEN(AQ1076)-LEN(SUBSTITUTE(AQ1076,".",""))=2,LEFT(AQ1076,vitri(".",AQ1076,2)-1),TRUE,LEFT(AQ1076,vitri(".",AQ1076,1)-1))</f>
        <v/>
      </c>
    </row>
    <row r="1077" spans="13:54" x14ac:dyDescent="0.25">
      <c r="M1077" s="377"/>
      <c r="BB1077" s="83" t="str">
        <f t="array" ref="BB1077">_xlfn.IFS(AQ1077="","",LEN(AQ1077)-LEN(SUBSTITUTE(AQ1077,".",""))=3,LEFT(AQ1077,vitri(".",AQ1077,3)-1),LEN(AQ1077)-LEN(SUBSTITUTE(AQ1077,".",""))=2,LEFT(AQ1077,vitri(".",AQ1077,2)-1),TRUE,LEFT(AQ1077,vitri(".",AQ1077,1)-1))</f>
        <v/>
      </c>
    </row>
    <row r="1078" spans="13:54" x14ac:dyDescent="0.25">
      <c r="M1078" s="377"/>
      <c r="BB1078" s="83" t="str">
        <f t="array" ref="BB1078">_xlfn.IFS(AQ1078="","",LEN(AQ1078)-LEN(SUBSTITUTE(AQ1078,".",""))=3,LEFT(AQ1078,vitri(".",AQ1078,3)-1),LEN(AQ1078)-LEN(SUBSTITUTE(AQ1078,".",""))=2,LEFT(AQ1078,vitri(".",AQ1078,2)-1),TRUE,LEFT(AQ1078,vitri(".",AQ1078,1)-1))</f>
        <v/>
      </c>
    </row>
    <row r="1079" spans="13:54" x14ac:dyDescent="0.25">
      <c r="M1079" s="377"/>
      <c r="BB1079" s="83" t="str">
        <f t="array" ref="BB1079">_xlfn.IFS(AQ1079="","",LEN(AQ1079)-LEN(SUBSTITUTE(AQ1079,".",""))=3,LEFT(AQ1079,vitri(".",AQ1079,3)-1),LEN(AQ1079)-LEN(SUBSTITUTE(AQ1079,".",""))=2,LEFT(AQ1079,vitri(".",AQ1079,2)-1),TRUE,LEFT(AQ1079,vitri(".",AQ1079,1)-1))</f>
        <v/>
      </c>
    </row>
    <row r="1080" spans="13:54" x14ac:dyDescent="0.25">
      <c r="M1080" s="377"/>
      <c r="BB1080" s="83" t="str">
        <f t="array" ref="BB1080">_xlfn.IFS(AQ1080="","",LEN(AQ1080)-LEN(SUBSTITUTE(AQ1080,".",""))=3,LEFT(AQ1080,vitri(".",AQ1080,3)-1),LEN(AQ1080)-LEN(SUBSTITUTE(AQ1080,".",""))=2,LEFT(AQ1080,vitri(".",AQ1080,2)-1),TRUE,LEFT(AQ1080,vitri(".",AQ1080,1)-1))</f>
        <v/>
      </c>
    </row>
    <row r="1081" spans="13:54" x14ac:dyDescent="0.25">
      <c r="M1081" s="377"/>
      <c r="BB1081" s="83" t="str">
        <f t="array" ref="BB1081">_xlfn.IFS(AQ1081="","",LEN(AQ1081)-LEN(SUBSTITUTE(AQ1081,".",""))=3,LEFT(AQ1081,vitri(".",AQ1081,3)-1),LEN(AQ1081)-LEN(SUBSTITUTE(AQ1081,".",""))=2,LEFT(AQ1081,vitri(".",AQ1081,2)-1),TRUE,LEFT(AQ1081,vitri(".",AQ1081,1)-1))</f>
        <v/>
      </c>
    </row>
    <row r="1082" spans="13:54" x14ac:dyDescent="0.25">
      <c r="M1082" s="377"/>
      <c r="BB1082" s="83" t="str">
        <f t="array" ref="BB1082">_xlfn.IFS(AQ1082="","",LEN(AQ1082)-LEN(SUBSTITUTE(AQ1082,".",""))=3,LEFT(AQ1082,vitri(".",AQ1082,3)-1),LEN(AQ1082)-LEN(SUBSTITUTE(AQ1082,".",""))=2,LEFT(AQ1082,vitri(".",AQ1082,2)-1),TRUE,LEFT(AQ1082,vitri(".",AQ1082,1)-1))</f>
        <v/>
      </c>
    </row>
    <row r="1083" spans="13:54" x14ac:dyDescent="0.25">
      <c r="M1083" s="377"/>
      <c r="BB1083" s="83" t="str">
        <f t="array" ref="BB1083">_xlfn.IFS(AQ1083="","",LEN(AQ1083)-LEN(SUBSTITUTE(AQ1083,".",""))=3,LEFT(AQ1083,vitri(".",AQ1083,3)-1),LEN(AQ1083)-LEN(SUBSTITUTE(AQ1083,".",""))=2,LEFT(AQ1083,vitri(".",AQ1083,2)-1),TRUE,LEFT(AQ1083,vitri(".",AQ1083,1)-1))</f>
        <v/>
      </c>
    </row>
    <row r="1084" spans="13:54" x14ac:dyDescent="0.25">
      <c r="M1084" s="377"/>
      <c r="BB1084" s="83" t="str">
        <f t="array" ref="BB1084">_xlfn.IFS(AQ1084="","",LEN(AQ1084)-LEN(SUBSTITUTE(AQ1084,".",""))=3,LEFT(AQ1084,vitri(".",AQ1084,3)-1),LEN(AQ1084)-LEN(SUBSTITUTE(AQ1084,".",""))=2,LEFT(AQ1084,vitri(".",AQ1084,2)-1),TRUE,LEFT(AQ1084,vitri(".",AQ1084,1)-1))</f>
        <v/>
      </c>
    </row>
    <row r="1085" spans="13:54" x14ac:dyDescent="0.25">
      <c r="M1085" s="377"/>
      <c r="BB1085" s="83" t="str">
        <f t="array" ref="BB1085">_xlfn.IFS(AQ1085="","",LEN(AQ1085)-LEN(SUBSTITUTE(AQ1085,".",""))=3,LEFT(AQ1085,vitri(".",AQ1085,3)-1),LEN(AQ1085)-LEN(SUBSTITUTE(AQ1085,".",""))=2,LEFT(AQ1085,vitri(".",AQ1085,2)-1),TRUE,LEFT(AQ1085,vitri(".",AQ1085,1)-1))</f>
        <v/>
      </c>
    </row>
    <row r="1086" spans="13:54" x14ac:dyDescent="0.25">
      <c r="M1086" s="377"/>
      <c r="BB1086" s="83" t="str">
        <f t="array" ref="BB1086">_xlfn.IFS(AQ1086="","",LEN(AQ1086)-LEN(SUBSTITUTE(AQ1086,".",""))=3,LEFT(AQ1086,vitri(".",AQ1086,3)-1),LEN(AQ1086)-LEN(SUBSTITUTE(AQ1086,".",""))=2,LEFT(AQ1086,vitri(".",AQ1086,2)-1),TRUE,LEFT(AQ1086,vitri(".",AQ1086,1)-1))</f>
        <v/>
      </c>
    </row>
    <row r="1087" spans="13:54" x14ac:dyDescent="0.25">
      <c r="M1087" s="377"/>
      <c r="BB1087" s="83" t="str">
        <f t="array" ref="BB1087">_xlfn.IFS(AQ1087="","",LEN(AQ1087)-LEN(SUBSTITUTE(AQ1087,".",""))=3,LEFT(AQ1087,vitri(".",AQ1087,3)-1),LEN(AQ1087)-LEN(SUBSTITUTE(AQ1087,".",""))=2,LEFT(AQ1087,vitri(".",AQ1087,2)-1),TRUE,LEFT(AQ1087,vitri(".",AQ1087,1)-1))</f>
        <v/>
      </c>
    </row>
    <row r="1088" spans="13:54" x14ac:dyDescent="0.25">
      <c r="M1088" s="377"/>
      <c r="BB1088" s="83" t="str">
        <f t="array" ref="BB1088">_xlfn.IFS(AQ1088="","",LEN(AQ1088)-LEN(SUBSTITUTE(AQ1088,".",""))=3,LEFT(AQ1088,vitri(".",AQ1088,3)-1),LEN(AQ1088)-LEN(SUBSTITUTE(AQ1088,".",""))=2,LEFT(AQ1088,vitri(".",AQ1088,2)-1),TRUE,LEFT(AQ1088,vitri(".",AQ1088,1)-1))</f>
        <v/>
      </c>
    </row>
    <row r="1089" spans="13:54" x14ac:dyDescent="0.25">
      <c r="M1089" s="377"/>
      <c r="BB1089" s="83" t="str">
        <f t="array" ref="BB1089">_xlfn.IFS(AQ1089="","",LEN(AQ1089)-LEN(SUBSTITUTE(AQ1089,".",""))=3,LEFT(AQ1089,vitri(".",AQ1089,3)-1),LEN(AQ1089)-LEN(SUBSTITUTE(AQ1089,".",""))=2,LEFT(AQ1089,vitri(".",AQ1089,2)-1),TRUE,LEFT(AQ1089,vitri(".",AQ1089,1)-1))</f>
        <v/>
      </c>
    </row>
    <row r="1090" spans="13:54" x14ac:dyDescent="0.25">
      <c r="M1090" s="377"/>
      <c r="BB1090" s="83" t="str">
        <f t="array" ref="BB1090">_xlfn.IFS(AQ1090="","",LEN(AQ1090)-LEN(SUBSTITUTE(AQ1090,".",""))=3,LEFT(AQ1090,vitri(".",AQ1090,3)-1),LEN(AQ1090)-LEN(SUBSTITUTE(AQ1090,".",""))=2,LEFT(AQ1090,vitri(".",AQ1090,2)-1),TRUE,LEFT(AQ1090,vitri(".",AQ1090,1)-1))</f>
        <v/>
      </c>
    </row>
    <row r="1091" spans="13:54" x14ac:dyDescent="0.25">
      <c r="M1091" s="377"/>
      <c r="BB1091" s="83" t="str">
        <f t="array" ref="BB1091">_xlfn.IFS(AQ1091="","",LEN(AQ1091)-LEN(SUBSTITUTE(AQ1091,".",""))=3,LEFT(AQ1091,vitri(".",AQ1091,3)-1),LEN(AQ1091)-LEN(SUBSTITUTE(AQ1091,".",""))=2,LEFT(AQ1091,vitri(".",AQ1091,2)-1),TRUE,LEFT(AQ1091,vitri(".",AQ1091,1)-1))</f>
        <v/>
      </c>
    </row>
    <row r="1092" spans="13:54" x14ac:dyDescent="0.25">
      <c r="M1092" s="377"/>
      <c r="BB1092" s="83" t="str">
        <f t="array" ref="BB1092">_xlfn.IFS(AQ1092="","",LEN(AQ1092)-LEN(SUBSTITUTE(AQ1092,".",""))=3,LEFT(AQ1092,vitri(".",AQ1092,3)-1),LEN(AQ1092)-LEN(SUBSTITUTE(AQ1092,".",""))=2,LEFT(AQ1092,vitri(".",AQ1092,2)-1),TRUE,LEFT(AQ1092,vitri(".",AQ1092,1)-1))</f>
        <v/>
      </c>
    </row>
    <row r="1093" spans="13:54" x14ac:dyDescent="0.25">
      <c r="M1093" s="377"/>
      <c r="BB1093" s="83" t="str">
        <f t="array" ref="BB1093">_xlfn.IFS(AQ1093="","",LEN(AQ1093)-LEN(SUBSTITUTE(AQ1093,".",""))=3,LEFT(AQ1093,vitri(".",AQ1093,3)-1),LEN(AQ1093)-LEN(SUBSTITUTE(AQ1093,".",""))=2,LEFT(AQ1093,vitri(".",AQ1093,2)-1),TRUE,LEFT(AQ1093,vitri(".",AQ1093,1)-1))</f>
        <v/>
      </c>
    </row>
    <row r="1094" spans="13:54" x14ac:dyDescent="0.25">
      <c r="M1094" s="377"/>
      <c r="BB1094" s="83" t="str">
        <f t="array" ref="BB1094">_xlfn.IFS(AQ1094="","",LEN(AQ1094)-LEN(SUBSTITUTE(AQ1094,".",""))=3,LEFT(AQ1094,vitri(".",AQ1094,3)-1),LEN(AQ1094)-LEN(SUBSTITUTE(AQ1094,".",""))=2,LEFT(AQ1094,vitri(".",AQ1094,2)-1),TRUE,LEFT(AQ1094,vitri(".",AQ1094,1)-1))</f>
        <v/>
      </c>
    </row>
    <row r="1095" spans="13:54" x14ac:dyDescent="0.25">
      <c r="M1095" s="377"/>
      <c r="BB1095" s="83" t="str">
        <f t="array" ref="BB1095">_xlfn.IFS(AQ1095="","",LEN(AQ1095)-LEN(SUBSTITUTE(AQ1095,".",""))=3,LEFT(AQ1095,vitri(".",AQ1095,3)-1),LEN(AQ1095)-LEN(SUBSTITUTE(AQ1095,".",""))=2,LEFT(AQ1095,vitri(".",AQ1095,2)-1),TRUE,LEFT(AQ1095,vitri(".",AQ1095,1)-1))</f>
        <v/>
      </c>
    </row>
    <row r="1096" spans="13:54" x14ac:dyDescent="0.25">
      <c r="M1096" s="377"/>
      <c r="BB1096" s="83" t="str">
        <f t="array" ref="BB1096">_xlfn.IFS(AQ1096="","",LEN(AQ1096)-LEN(SUBSTITUTE(AQ1096,".",""))=3,LEFT(AQ1096,vitri(".",AQ1096,3)-1),LEN(AQ1096)-LEN(SUBSTITUTE(AQ1096,".",""))=2,LEFT(AQ1096,vitri(".",AQ1096,2)-1),TRUE,LEFT(AQ1096,vitri(".",AQ1096,1)-1))</f>
        <v/>
      </c>
    </row>
    <row r="1097" spans="13:54" x14ac:dyDescent="0.25">
      <c r="M1097" s="377"/>
      <c r="BB1097" s="83" t="str">
        <f t="array" ref="BB1097">_xlfn.IFS(AQ1097="","",LEN(AQ1097)-LEN(SUBSTITUTE(AQ1097,".",""))=3,LEFT(AQ1097,vitri(".",AQ1097,3)-1),LEN(AQ1097)-LEN(SUBSTITUTE(AQ1097,".",""))=2,LEFT(AQ1097,vitri(".",AQ1097,2)-1),TRUE,LEFT(AQ1097,vitri(".",AQ1097,1)-1))</f>
        <v/>
      </c>
    </row>
    <row r="1098" spans="13:54" x14ac:dyDescent="0.25">
      <c r="M1098" s="377"/>
      <c r="BB1098" s="83" t="str">
        <f t="array" ref="BB1098">_xlfn.IFS(AQ1098="","",LEN(AQ1098)-LEN(SUBSTITUTE(AQ1098,".",""))=3,LEFT(AQ1098,vitri(".",AQ1098,3)-1),LEN(AQ1098)-LEN(SUBSTITUTE(AQ1098,".",""))=2,LEFT(AQ1098,vitri(".",AQ1098,2)-1),TRUE,LEFT(AQ1098,vitri(".",AQ1098,1)-1))</f>
        <v/>
      </c>
    </row>
    <row r="1099" spans="13:54" x14ac:dyDescent="0.25">
      <c r="M1099" s="377"/>
      <c r="BB1099" s="83" t="str">
        <f t="array" ref="BB1099">_xlfn.IFS(AQ1099="","",LEN(AQ1099)-LEN(SUBSTITUTE(AQ1099,".",""))=3,LEFT(AQ1099,vitri(".",AQ1099,3)-1),LEN(AQ1099)-LEN(SUBSTITUTE(AQ1099,".",""))=2,LEFT(AQ1099,vitri(".",AQ1099,2)-1),TRUE,LEFT(AQ1099,vitri(".",AQ1099,1)-1))</f>
        <v/>
      </c>
    </row>
    <row r="1100" spans="13:54" x14ac:dyDescent="0.25">
      <c r="M1100" s="377"/>
      <c r="BB1100" s="83" t="str">
        <f t="array" ref="BB1100">_xlfn.IFS(AQ1100="","",LEN(AQ1100)-LEN(SUBSTITUTE(AQ1100,".",""))=3,LEFT(AQ1100,vitri(".",AQ1100,3)-1),LEN(AQ1100)-LEN(SUBSTITUTE(AQ1100,".",""))=2,LEFT(AQ1100,vitri(".",AQ1100,2)-1),TRUE,LEFT(AQ1100,vitri(".",AQ1100,1)-1))</f>
        <v/>
      </c>
    </row>
    <row r="1101" spans="13:54" x14ac:dyDescent="0.25">
      <c r="M1101" s="377"/>
      <c r="BB1101" s="83" t="str">
        <f t="array" ref="BB1101">_xlfn.IFS(AQ1101="","",LEN(AQ1101)-LEN(SUBSTITUTE(AQ1101,".",""))=3,LEFT(AQ1101,vitri(".",AQ1101,3)-1),LEN(AQ1101)-LEN(SUBSTITUTE(AQ1101,".",""))=2,LEFT(AQ1101,vitri(".",AQ1101,2)-1),TRUE,LEFT(AQ1101,vitri(".",AQ1101,1)-1))</f>
        <v/>
      </c>
    </row>
    <row r="1102" spans="13:54" x14ac:dyDescent="0.25">
      <c r="M1102" s="377"/>
      <c r="BB1102" s="83" t="str">
        <f t="array" ref="BB1102">_xlfn.IFS(AQ1102="","",LEN(AQ1102)-LEN(SUBSTITUTE(AQ1102,".",""))=3,LEFT(AQ1102,vitri(".",AQ1102,3)-1),LEN(AQ1102)-LEN(SUBSTITUTE(AQ1102,".",""))=2,LEFT(AQ1102,vitri(".",AQ1102,2)-1),TRUE,LEFT(AQ1102,vitri(".",AQ1102,1)-1))</f>
        <v/>
      </c>
    </row>
    <row r="1103" spans="13:54" x14ac:dyDescent="0.25">
      <c r="M1103" s="377"/>
      <c r="BB1103" s="83" t="str">
        <f t="array" ref="BB1103">_xlfn.IFS(AQ1103="","",LEN(AQ1103)-LEN(SUBSTITUTE(AQ1103,".",""))=3,LEFT(AQ1103,vitri(".",AQ1103,3)-1),LEN(AQ1103)-LEN(SUBSTITUTE(AQ1103,".",""))=2,LEFT(AQ1103,vitri(".",AQ1103,2)-1),TRUE,LEFT(AQ1103,vitri(".",AQ1103,1)-1))</f>
        <v/>
      </c>
    </row>
    <row r="1104" spans="13:54" x14ac:dyDescent="0.25">
      <c r="M1104" s="377"/>
      <c r="BB1104" s="83" t="str">
        <f t="array" ref="BB1104">_xlfn.IFS(AQ1104="","",LEN(AQ1104)-LEN(SUBSTITUTE(AQ1104,".",""))=3,LEFT(AQ1104,vitri(".",AQ1104,3)-1),LEN(AQ1104)-LEN(SUBSTITUTE(AQ1104,".",""))=2,LEFT(AQ1104,vitri(".",AQ1104,2)-1),TRUE,LEFT(AQ1104,vitri(".",AQ1104,1)-1))</f>
        <v/>
      </c>
    </row>
    <row r="1105" spans="13:54" x14ac:dyDescent="0.25">
      <c r="M1105" s="377"/>
      <c r="BB1105" s="83" t="str">
        <f t="array" ref="BB1105">_xlfn.IFS(AQ1105="","",LEN(AQ1105)-LEN(SUBSTITUTE(AQ1105,".",""))=3,LEFT(AQ1105,vitri(".",AQ1105,3)-1),LEN(AQ1105)-LEN(SUBSTITUTE(AQ1105,".",""))=2,LEFT(AQ1105,vitri(".",AQ1105,2)-1),TRUE,LEFT(AQ1105,vitri(".",AQ1105,1)-1))</f>
        <v/>
      </c>
    </row>
    <row r="1106" spans="13:54" x14ac:dyDescent="0.25">
      <c r="M1106" s="377"/>
      <c r="BB1106" s="83" t="str">
        <f t="array" ref="BB1106">_xlfn.IFS(AQ1106="","",LEN(AQ1106)-LEN(SUBSTITUTE(AQ1106,".",""))=3,LEFT(AQ1106,vitri(".",AQ1106,3)-1),LEN(AQ1106)-LEN(SUBSTITUTE(AQ1106,".",""))=2,LEFT(AQ1106,vitri(".",AQ1106,2)-1),TRUE,LEFT(AQ1106,vitri(".",AQ1106,1)-1))</f>
        <v/>
      </c>
    </row>
    <row r="1107" spans="13:54" x14ac:dyDescent="0.25">
      <c r="M1107" s="377"/>
      <c r="BB1107" s="83" t="str">
        <f t="array" ref="BB1107">_xlfn.IFS(AQ1107="","",LEN(AQ1107)-LEN(SUBSTITUTE(AQ1107,".",""))=3,LEFT(AQ1107,vitri(".",AQ1107,3)-1),LEN(AQ1107)-LEN(SUBSTITUTE(AQ1107,".",""))=2,LEFT(AQ1107,vitri(".",AQ1107,2)-1),TRUE,LEFT(AQ1107,vitri(".",AQ1107,1)-1))</f>
        <v/>
      </c>
    </row>
    <row r="1108" spans="13:54" x14ac:dyDescent="0.25">
      <c r="M1108" s="377"/>
      <c r="BB1108" s="83" t="str">
        <f t="array" ref="BB1108">_xlfn.IFS(AQ1108="","",LEN(AQ1108)-LEN(SUBSTITUTE(AQ1108,".",""))=3,LEFT(AQ1108,vitri(".",AQ1108,3)-1),LEN(AQ1108)-LEN(SUBSTITUTE(AQ1108,".",""))=2,LEFT(AQ1108,vitri(".",AQ1108,2)-1),TRUE,LEFT(AQ1108,vitri(".",AQ1108,1)-1))</f>
        <v/>
      </c>
    </row>
    <row r="1109" spans="13:54" x14ac:dyDescent="0.25">
      <c r="M1109" s="377"/>
      <c r="BB1109" s="83" t="str">
        <f t="array" ref="BB1109">_xlfn.IFS(AQ1109="","",LEN(AQ1109)-LEN(SUBSTITUTE(AQ1109,".",""))=3,LEFT(AQ1109,vitri(".",AQ1109,3)-1),LEN(AQ1109)-LEN(SUBSTITUTE(AQ1109,".",""))=2,LEFT(AQ1109,vitri(".",AQ1109,2)-1),TRUE,LEFT(AQ1109,vitri(".",AQ1109,1)-1))</f>
        <v/>
      </c>
    </row>
    <row r="1110" spans="13:54" x14ac:dyDescent="0.25">
      <c r="M1110" s="377"/>
      <c r="BB1110" s="83" t="str">
        <f t="array" ref="BB1110">_xlfn.IFS(AQ1110="","",LEN(AQ1110)-LEN(SUBSTITUTE(AQ1110,".",""))=3,LEFT(AQ1110,vitri(".",AQ1110,3)-1),LEN(AQ1110)-LEN(SUBSTITUTE(AQ1110,".",""))=2,LEFT(AQ1110,vitri(".",AQ1110,2)-1),TRUE,LEFT(AQ1110,vitri(".",AQ1110,1)-1))</f>
        <v/>
      </c>
    </row>
    <row r="1111" spans="13:54" x14ac:dyDescent="0.25">
      <c r="M1111" s="377"/>
      <c r="BB1111" s="83" t="str">
        <f t="array" ref="BB1111">_xlfn.IFS(AQ1111="","",LEN(AQ1111)-LEN(SUBSTITUTE(AQ1111,".",""))=3,LEFT(AQ1111,vitri(".",AQ1111,3)-1),LEN(AQ1111)-LEN(SUBSTITUTE(AQ1111,".",""))=2,LEFT(AQ1111,vitri(".",AQ1111,2)-1),TRUE,LEFT(AQ1111,vitri(".",AQ1111,1)-1))</f>
        <v/>
      </c>
    </row>
    <row r="1112" spans="13:54" x14ac:dyDescent="0.25">
      <c r="M1112" s="377"/>
      <c r="BB1112" s="83" t="str">
        <f t="array" ref="BB1112">_xlfn.IFS(AQ1112="","",LEN(AQ1112)-LEN(SUBSTITUTE(AQ1112,".",""))=3,LEFT(AQ1112,vitri(".",AQ1112,3)-1),LEN(AQ1112)-LEN(SUBSTITUTE(AQ1112,".",""))=2,LEFT(AQ1112,vitri(".",AQ1112,2)-1),TRUE,LEFT(AQ1112,vitri(".",AQ1112,1)-1))</f>
        <v/>
      </c>
    </row>
    <row r="1113" spans="13:54" x14ac:dyDescent="0.25">
      <c r="M1113" s="377"/>
      <c r="BB1113" s="83" t="str">
        <f t="array" ref="BB1113">_xlfn.IFS(AQ1113="","",LEN(AQ1113)-LEN(SUBSTITUTE(AQ1113,".",""))=3,LEFT(AQ1113,vitri(".",AQ1113,3)-1),LEN(AQ1113)-LEN(SUBSTITUTE(AQ1113,".",""))=2,LEFT(AQ1113,vitri(".",AQ1113,2)-1),TRUE,LEFT(AQ1113,vitri(".",AQ1113,1)-1))</f>
        <v/>
      </c>
    </row>
    <row r="1114" spans="13:54" x14ac:dyDescent="0.25">
      <c r="M1114" s="377"/>
      <c r="BB1114" s="83" t="str">
        <f t="array" ref="BB1114">_xlfn.IFS(AQ1114="","",LEN(AQ1114)-LEN(SUBSTITUTE(AQ1114,".",""))=3,LEFT(AQ1114,vitri(".",AQ1114,3)-1),LEN(AQ1114)-LEN(SUBSTITUTE(AQ1114,".",""))=2,LEFT(AQ1114,vitri(".",AQ1114,2)-1),TRUE,LEFT(AQ1114,vitri(".",AQ1114,1)-1))</f>
        <v/>
      </c>
    </row>
    <row r="1115" spans="13:54" x14ac:dyDescent="0.25">
      <c r="M1115" s="377"/>
      <c r="BB1115" s="83" t="str">
        <f t="array" ref="BB1115">_xlfn.IFS(AQ1115="","",LEN(AQ1115)-LEN(SUBSTITUTE(AQ1115,".",""))=3,LEFT(AQ1115,vitri(".",AQ1115,3)-1),LEN(AQ1115)-LEN(SUBSTITUTE(AQ1115,".",""))=2,LEFT(AQ1115,vitri(".",AQ1115,2)-1),TRUE,LEFT(AQ1115,vitri(".",AQ1115,1)-1))</f>
        <v/>
      </c>
    </row>
    <row r="1116" spans="13:54" x14ac:dyDescent="0.25">
      <c r="M1116" s="377"/>
      <c r="BB1116" s="83" t="str">
        <f t="array" ref="BB1116">_xlfn.IFS(AQ1116="","",LEN(AQ1116)-LEN(SUBSTITUTE(AQ1116,".",""))=3,LEFT(AQ1116,vitri(".",AQ1116,3)-1),LEN(AQ1116)-LEN(SUBSTITUTE(AQ1116,".",""))=2,LEFT(AQ1116,vitri(".",AQ1116,2)-1),TRUE,LEFT(AQ1116,vitri(".",AQ1116,1)-1))</f>
        <v/>
      </c>
    </row>
    <row r="1117" spans="13:54" x14ac:dyDescent="0.25">
      <c r="M1117" s="377"/>
      <c r="BB1117" s="83" t="str">
        <f t="array" ref="BB1117">_xlfn.IFS(AQ1117="","",LEN(AQ1117)-LEN(SUBSTITUTE(AQ1117,".",""))=3,LEFT(AQ1117,vitri(".",AQ1117,3)-1),LEN(AQ1117)-LEN(SUBSTITUTE(AQ1117,".",""))=2,LEFT(AQ1117,vitri(".",AQ1117,2)-1),TRUE,LEFT(AQ1117,vitri(".",AQ1117,1)-1))</f>
        <v/>
      </c>
    </row>
    <row r="1118" spans="13:54" x14ac:dyDescent="0.25">
      <c r="M1118" s="377"/>
      <c r="BB1118" s="83" t="str">
        <f t="array" ref="BB1118">_xlfn.IFS(AQ1118="","",LEN(AQ1118)-LEN(SUBSTITUTE(AQ1118,".",""))=3,LEFT(AQ1118,vitri(".",AQ1118,3)-1),LEN(AQ1118)-LEN(SUBSTITUTE(AQ1118,".",""))=2,LEFT(AQ1118,vitri(".",AQ1118,2)-1),TRUE,LEFT(AQ1118,vitri(".",AQ1118,1)-1))</f>
        <v/>
      </c>
    </row>
    <row r="1119" spans="13:54" x14ac:dyDescent="0.25">
      <c r="M1119" s="377"/>
      <c r="BB1119" s="83" t="str">
        <f t="array" ref="BB1119">_xlfn.IFS(AQ1119="","",LEN(AQ1119)-LEN(SUBSTITUTE(AQ1119,".",""))=3,LEFT(AQ1119,vitri(".",AQ1119,3)-1),LEN(AQ1119)-LEN(SUBSTITUTE(AQ1119,".",""))=2,LEFT(AQ1119,vitri(".",AQ1119,2)-1),TRUE,LEFT(AQ1119,vitri(".",AQ1119,1)-1))</f>
        <v/>
      </c>
    </row>
    <row r="1120" spans="13:54" x14ac:dyDescent="0.25">
      <c r="M1120" s="377"/>
      <c r="BB1120" s="83" t="str">
        <f t="array" ref="BB1120">_xlfn.IFS(AQ1120="","",LEN(AQ1120)-LEN(SUBSTITUTE(AQ1120,".",""))=3,LEFT(AQ1120,vitri(".",AQ1120,3)-1),LEN(AQ1120)-LEN(SUBSTITUTE(AQ1120,".",""))=2,LEFT(AQ1120,vitri(".",AQ1120,2)-1),TRUE,LEFT(AQ1120,vitri(".",AQ1120,1)-1))</f>
        <v/>
      </c>
    </row>
    <row r="1121" spans="13:54" x14ac:dyDescent="0.25">
      <c r="M1121" s="377"/>
      <c r="BB1121" s="83" t="str">
        <f t="array" ref="BB1121">_xlfn.IFS(AQ1121="","",LEN(AQ1121)-LEN(SUBSTITUTE(AQ1121,".",""))=3,LEFT(AQ1121,vitri(".",AQ1121,3)-1),LEN(AQ1121)-LEN(SUBSTITUTE(AQ1121,".",""))=2,LEFT(AQ1121,vitri(".",AQ1121,2)-1),TRUE,LEFT(AQ1121,vitri(".",AQ1121,1)-1))</f>
        <v/>
      </c>
    </row>
    <row r="1122" spans="13:54" x14ac:dyDescent="0.25">
      <c r="M1122" s="377"/>
      <c r="BB1122" s="83" t="str">
        <f t="array" ref="BB1122">_xlfn.IFS(AQ1122="","",LEN(AQ1122)-LEN(SUBSTITUTE(AQ1122,".",""))=3,LEFT(AQ1122,vitri(".",AQ1122,3)-1),LEN(AQ1122)-LEN(SUBSTITUTE(AQ1122,".",""))=2,LEFT(AQ1122,vitri(".",AQ1122,2)-1),TRUE,LEFT(AQ1122,vitri(".",AQ1122,1)-1))</f>
        <v/>
      </c>
    </row>
    <row r="1123" spans="13:54" x14ac:dyDescent="0.25">
      <c r="M1123" s="377"/>
      <c r="BB1123" s="83" t="str">
        <f t="array" ref="BB1123">_xlfn.IFS(AQ1123="","",LEN(AQ1123)-LEN(SUBSTITUTE(AQ1123,".",""))=3,LEFT(AQ1123,vitri(".",AQ1123,3)-1),LEN(AQ1123)-LEN(SUBSTITUTE(AQ1123,".",""))=2,LEFT(AQ1123,vitri(".",AQ1123,2)-1),TRUE,LEFT(AQ1123,vitri(".",AQ1123,1)-1))</f>
        <v/>
      </c>
    </row>
    <row r="1124" spans="13:54" x14ac:dyDescent="0.25">
      <c r="M1124" s="377"/>
      <c r="BB1124" s="83" t="str">
        <f t="array" ref="BB1124">_xlfn.IFS(AQ1124="","",LEN(AQ1124)-LEN(SUBSTITUTE(AQ1124,".",""))=3,LEFT(AQ1124,vitri(".",AQ1124,3)-1),LEN(AQ1124)-LEN(SUBSTITUTE(AQ1124,".",""))=2,LEFT(AQ1124,vitri(".",AQ1124,2)-1),TRUE,LEFT(AQ1124,vitri(".",AQ1124,1)-1))</f>
        <v/>
      </c>
    </row>
    <row r="1125" spans="13:54" x14ac:dyDescent="0.25">
      <c r="M1125" s="377"/>
      <c r="BB1125" s="83" t="str">
        <f t="array" ref="BB1125">_xlfn.IFS(AQ1125="","",LEN(AQ1125)-LEN(SUBSTITUTE(AQ1125,".",""))=3,LEFT(AQ1125,vitri(".",AQ1125,3)-1),LEN(AQ1125)-LEN(SUBSTITUTE(AQ1125,".",""))=2,LEFT(AQ1125,vitri(".",AQ1125,2)-1),TRUE,LEFT(AQ1125,vitri(".",AQ1125,1)-1))</f>
        <v/>
      </c>
    </row>
    <row r="1126" spans="13:54" x14ac:dyDescent="0.25">
      <c r="M1126" s="377"/>
      <c r="BB1126" s="83" t="str">
        <f t="array" ref="BB1126">_xlfn.IFS(AQ1126="","",LEN(AQ1126)-LEN(SUBSTITUTE(AQ1126,".",""))=3,LEFT(AQ1126,vitri(".",AQ1126,3)-1),LEN(AQ1126)-LEN(SUBSTITUTE(AQ1126,".",""))=2,LEFT(AQ1126,vitri(".",AQ1126,2)-1),TRUE,LEFT(AQ1126,vitri(".",AQ1126,1)-1))</f>
        <v/>
      </c>
    </row>
    <row r="1127" spans="13:54" x14ac:dyDescent="0.25">
      <c r="M1127" s="377"/>
      <c r="BB1127" s="83" t="str">
        <f t="array" ref="BB1127">_xlfn.IFS(AQ1127="","",LEN(AQ1127)-LEN(SUBSTITUTE(AQ1127,".",""))=3,LEFT(AQ1127,vitri(".",AQ1127,3)-1),LEN(AQ1127)-LEN(SUBSTITUTE(AQ1127,".",""))=2,LEFT(AQ1127,vitri(".",AQ1127,2)-1),TRUE,LEFT(AQ1127,vitri(".",AQ1127,1)-1))</f>
        <v/>
      </c>
    </row>
    <row r="1128" spans="13:54" x14ac:dyDescent="0.25">
      <c r="M1128" s="377"/>
      <c r="BB1128" s="83" t="str">
        <f t="array" ref="BB1128">_xlfn.IFS(AQ1128="","",LEN(AQ1128)-LEN(SUBSTITUTE(AQ1128,".",""))=3,LEFT(AQ1128,vitri(".",AQ1128,3)-1),LEN(AQ1128)-LEN(SUBSTITUTE(AQ1128,".",""))=2,LEFT(AQ1128,vitri(".",AQ1128,2)-1),TRUE,LEFT(AQ1128,vitri(".",AQ1128,1)-1))</f>
        <v/>
      </c>
    </row>
    <row r="1129" spans="13:54" x14ac:dyDescent="0.25">
      <c r="M1129" s="377"/>
      <c r="BB1129" s="83" t="str">
        <f t="array" ref="BB1129">_xlfn.IFS(AQ1129="","",LEN(AQ1129)-LEN(SUBSTITUTE(AQ1129,".",""))=3,LEFT(AQ1129,vitri(".",AQ1129,3)-1),LEN(AQ1129)-LEN(SUBSTITUTE(AQ1129,".",""))=2,LEFT(AQ1129,vitri(".",AQ1129,2)-1),TRUE,LEFT(AQ1129,vitri(".",AQ1129,1)-1))</f>
        <v/>
      </c>
    </row>
    <row r="1130" spans="13:54" x14ac:dyDescent="0.25">
      <c r="M1130" s="377"/>
      <c r="BB1130" s="83" t="str">
        <f t="array" ref="BB1130">_xlfn.IFS(AQ1130="","",LEN(AQ1130)-LEN(SUBSTITUTE(AQ1130,".",""))=3,LEFT(AQ1130,vitri(".",AQ1130,3)-1),LEN(AQ1130)-LEN(SUBSTITUTE(AQ1130,".",""))=2,LEFT(AQ1130,vitri(".",AQ1130,2)-1),TRUE,LEFT(AQ1130,vitri(".",AQ1130,1)-1))</f>
        <v/>
      </c>
    </row>
    <row r="1131" spans="13:54" x14ac:dyDescent="0.25">
      <c r="M1131" s="377"/>
      <c r="BB1131" s="83" t="str">
        <f t="array" ref="BB1131">_xlfn.IFS(AQ1131="","",LEN(AQ1131)-LEN(SUBSTITUTE(AQ1131,".",""))=3,LEFT(AQ1131,vitri(".",AQ1131,3)-1),LEN(AQ1131)-LEN(SUBSTITUTE(AQ1131,".",""))=2,LEFT(AQ1131,vitri(".",AQ1131,2)-1),TRUE,LEFT(AQ1131,vitri(".",AQ1131,1)-1))</f>
        <v/>
      </c>
    </row>
    <row r="1132" spans="13:54" x14ac:dyDescent="0.25">
      <c r="M1132" s="377"/>
      <c r="BB1132" s="83" t="str">
        <f t="array" ref="BB1132">_xlfn.IFS(AQ1132="","",LEN(AQ1132)-LEN(SUBSTITUTE(AQ1132,".",""))=3,LEFT(AQ1132,vitri(".",AQ1132,3)-1),LEN(AQ1132)-LEN(SUBSTITUTE(AQ1132,".",""))=2,LEFT(AQ1132,vitri(".",AQ1132,2)-1),TRUE,LEFT(AQ1132,vitri(".",AQ1132,1)-1))</f>
        <v/>
      </c>
    </row>
    <row r="1133" spans="13:54" x14ac:dyDescent="0.25">
      <c r="M1133" s="377"/>
      <c r="BB1133" s="83" t="str">
        <f t="array" ref="BB1133">_xlfn.IFS(AQ1133="","",LEN(AQ1133)-LEN(SUBSTITUTE(AQ1133,".",""))=3,LEFT(AQ1133,vitri(".",AQ1133,3)-1),LEN(AQ1133)-LEN(SUBSTITUTE(AQ1133,".",""))=2,LEFT(AQ1133,vitri(".",AQ1133,2)-1),TRUE,LEFT(AQ1133,vitri(".",AQ1133,1)-1))</f>
        <v/>
      </c>
    </row>
    <row r="1134" spans="13:54" x14ac:dyDescent="0.25">
      <c r="M1134" s="377"/>
      <c r="BB1134" s="83" t="str">
        <f t="array" ref="BB1134">_xlfn.IFS(AQ1134="","",LEN(AQ1134)-LEN(SUBSTITUTE(AQ1134,".",""))=3,LEFT(AQ1134,vitri(".",AQ1134,3)-1),LEN(AQ1134)-LEN(SUBSTITUTE(AQ1134,".",""))=2,LEFT(AQ1134,vitri(".",AQ1134,2)-1),TRUE,LEFT(AQ1134,vitri(".",AQ1134,1)-1))</f>
        <v/>
      </c>
    </row>
    <row r="1135" spans="13:54" x14ac:dyDescent="0.25">
      <c r="M1135" s="377"/>
      <c r="BB1135" s="83" t="str">
        <f t="array" ref="BB1135">_xlfn.IFS(AQ1135="","",LEN(AQ1135)-LEN(SUBSTITUTE(AQ1135,".",""))=3,LEFT(AQ1135,vitri(".",AQ1135,3)-1),LEN(AQ1135)-LEN(SUBSTITUTE(AQ1135,".",""))=2,LEFT(AQ1135,vitri(".",AQ1135,2)-1),TRUE,LEFT(AQ1135,vitri(".",AQ1135,1)-1))</f>
        <v/>
      </c>
    </row>
    <row r="1136" spans="13:54" x14ac:dyDescent="0.25">
      <c r="M1136" s="377"/>
      <c r="BB1136" s="83" t="str">
        <f t="array" ref="BB1136">_xlfn.IFS(AQ1136="","",LEN(AQ1136)-LEN(SUBSTITUTE(AQ1136,".",""))=3,LEFT(AQ1136,vitri(".",AQ1136,3)-1),LEN(AQ1136)-LEN(SUBSTITUTE(AQ1136,".",""))=2,LEFT(AQ1136,vitri(".",AQ1136,2)-1),TRUE,LEFT(AQ1136,vitri(".",AQ1136,1)-1))</f>
        <v/>
      </c>
    </row>
    <row r="1137" spans="13:54" x14ac:dyDescent="0.25">
      <c r="M1137" s="377"/>
      <c r="BB1137" s="83" t="str">
        <f t="array" ref="BB1137">_xlfn.IFS(AQ1137="","",LEN(AQ1137)-LEN(SUBSTITUTE(AQ1137,".",""))=3,LEFT(AQ1137,vitri(".",AQ1137,3)-1),LEN(AQ1137)-LEN(SUBSTITUTE(AQ1137,".",""))=2,LEFT(AQ1137,vitri(".",AQ1137,2)-1),TRUE,LEFT(AQ1137,vitri(".",AQ1137,1)-1))</f>
        <v/>
      </c>
    </row>
    <row r="1138" spans="13:54" x14ac:dyDescent="0.25">
      <c r="M1138" s="377"/>
      <c r="BB1138" s="83" t="str">
        <f t="array" ref="BB1138">_xlfn.IFS(AQ1138="","",LEN(AQ1138)-LEN(SUBSTITUTE(AQ1138,".",""))=3,LEFT(AQ1138,vitri(".",AQ1138,3)-1),LEN(AQ1138)-LEN(SUBSTITUTE(AQ1138,".",""))=2,LEFT(AQ1138,vitri(".",AQ1138,2)-1),TRUE,LEFT(AQ1138,vitri(".",AQ1138,1)-1))</f>
        <v/>
      </c>
    </row>
    <row r="1139" spans="13:54" x14ac:dyDescent="0.25">
      <c r="M1139" s="377"/>
      <c r="BB1139" s="83" t="str">
        <f t="array" ref="BB1139">_xlfn.IFS(AQ1139="","",LEN(AQ1139)-LEN(SUBSTITUTE(AQ1139,".",""))=3,LEFT(AQ1139,vitri(".",AQ1139,3)-1),LEN(AQ1139)-LEN(SUBSTITUTE(AQ1139,".",""))=2,LEFT(AQ1139,vitri(".",AQ1139,2)-1),TRUE,LEFT(AQ1139,vitri(".",AQ1139,1)-1))</f>
        <v/>
      </c>
    </row>
    <row r="1140" spans="13:54" x14ac:dyDescent="0.25">
      <c r="M1140" s="377"/>
      <c r="BB1140" s="83" t="str">
        <f t="array" ref="BB1140">_xlfn.IFS(AQ1140="","",LEN(AQ1140)-LEN(SUBSTITUTE(AQ1140,".",""))=3,LEFT(AQ1140,vitri(".",AQ1140,3)-1),LEN(AQ1140)-LEN(SUBSTITUTE(AQ1140,".",""))=2,LEFT(AQ1140,vitri(".",AQ1140,2)-1),TRUE,LEFT(AQ1140,vitri(".",AQ1140,1)-1))</f>
        <v/>
      </c>
    </row>
    <row r="1141" spans="13:54" x14ac:dyDescent="0.25">
      <c r="M1141" s="377"/>
      <c r="BB1141" s="83" t="str">
        <f t="array" ref="BB1141">_xlfn.IFS(AQ1141="","",LEN(AQ1141)-LEN(SUBSTITUTE(AQ1141,".",""))=3,LEFT(AQ1141,vitri(".",AQ1141,3)-1),LEN(AQ1141)-LEN(SUBSTITUTE(AQ1141,".",""))=2,LEFT(AQ1141,vitri(".",AQ1141,2)-1),TRUE,LEFT(AQ1141,vitri(".",AQ1141,1)-1))</f>
        <v/>
      </c>
    </row>
    <row r="1142" spans="13:54" x14ac:dyDescent="0.25">
      <c r="M1142" s="377"/>
      <c r="BB1142" s="83" t="str">
        <f t="array" ref="BB1142">_xlfn.IFS(AQ1142="","",LEN(AQ1142)-LEN(SUBSTITUTE(AQ1142,".",""))=3,LEFT(AQ1142,vitri(".",AQ1142,3)-1),LEN(AQ1142)-LEN(SUBSTITUTE(AQ1142,".",""))=2,LEFT(AQ1142,vitri(".",AQ1142,2)-1),TRUE,LEFT(AQ1142,vitri(".",AQ1142,1)-1))</f>
        <v/>
      </c>
    </row>
    <row r="1143" spans="13:54" x14ac:dyDescent="0.25">
      <c r="M1143" s="377"/>
      <c r="BB1143" s="83" t="str">
        <f t="array" ref="BB1143">_xlfn.IFS(AQ1143="","",LEN(AQ1143)-LEN(SUBSTITUTE(AQ1143,".",""))=3,LEFT(AQ1143,vitri(".",AQ1143,3)-1),LEN(AQ1143)-LEN(SUBSTITUTE(AQ1143,".",""))=2,LEFT(AQ1143,vitri(".",AQ1143,2)-1),TRUE,LEFT(AQ1143,vitri(".",AQ1143,1)-1))</f>
        <v/>
      </c>
    </row>
    <row r="1144" spans="13:54" x14ac:dyDescent="0.25">
      <c r="M1144" s="377"/>
      <c r="BB1144" s="83" t="str">
        <f t="array" ref="BB1144">_xlfn.IFS(AQ1144="","",LEN(AQ1144)-LEN(SUBSTITUTE(AQ1144,".",""))=3,LEFT(AQ1144,vitri(".",AQ1144,3)-1),LEN(AQ1144)-LEN(SUBSTITUTE(AQ1144,".",""))=2,LEFT(AQ1144,vitri(".",AQ1144,2)-1),TRUE,LEFT(AQ1144,vitri(".",AQ1144,1)-1))</f>
        <v/>
      </c>
    </row>
    <row r="1145" spans="13:54" x14ac:dyDescent="0.25">
      <c r="M1145" s="377"/>
      <c r="BB1145" s="83" t="str">
        <f t="array" ref="BB1145">_xlfn.IFS(AQ1145="","",LEN(AQ1145)-LEN(SUBSTITUTE(AQ1145,".",""))=3,LEFT(AQ1145,vitri(".",AQ1145,3)-1),LEN(AQ1145)-LEN(SUBSTITUTE(AQ1145,".",""))=2,LEFT(AQ1145,vitri(".",AQ1145,2)-1),TRUE,LEFT(AQ1145,vitri(".",AQ1145,1)-1))</f>
        <v/>
      </c>
    </row>
    <row r="1146" spans="13:54" x14ac:dyDescent="0.25">
      <c r="M1146" s="377"/>
      <c r="BB1146" s="83" t="str">
        <f t="array" ref="BB1146">_xlfn.IFS(AQ1146="","",LEN(AQ1146)-LEN(SUBSTITUTE(AQ1146,".",""))=3,LEFT(AQ1146,vitri(".",AQ1146,3)-1),LEN(AQ1146)-LEN(SUBSTITUTE(AQ1146,".",""))=2,LEFT(AQ1146,vitri(".",AQ1146,2)-1),TRUE,LEFT(AQ1146,vitri(".",AQ1146,1)-1))</f>
        <v/>
      </c>
    </row>
    <row r="1147" spans="13:54" x14ac:dyDescent="0.25">
      <c r="M1147" s="377"/>
      <c r="BB1147" s="83" t="str">
        <f t="array" ref="BB1147">_xlfn.IFS(AQ1147="","",LEN(AQ1147)-LEN(SUBSTITUTE(AQ1147,".",""))=3,LEFT(AQ1147,vitri(".",AQ1147,3)-1),LEN(AQ1147)-LEN(SUBSTITUTE(AQ1147,".",""))=2,LEFT(AQ1147,vitri(".",AQ1147,2)-1),TRUE,LEFT(AQ1147,vitri(".",AQ1147,1)-1))</f>
        <v/>
      </c>
    </row>
    <row r="1148" spans="13:54" x14ac:dyDescent="0.25">
      <c r="M1148" s="377"/>
      <c r="BB1148" s="83" t="str">
        <f t="array" ref="BB1148">_xlfn.IFS(AQ1148="","",LEN(AQ1148)-LEN(SUBSTITUTE(AQ1148,".",""))=3,LEFT(AQ1148,vitri(".",AQ1148,3)-1),LEN(AQ1148)-LEN(SUBSTITUTE(AQ1148,".",""))=2,LEFT(AQ1148,vitri(".",AQ1148,2)-1),TRUE,LEFT(AQ1148,vitri(".",AQ1148,1)-1))</f>
        <v/>
      </c>
    </row>
    <row r="1149" spans="13:54" x14ac:dyDescent="0.25">
      <c r="M1149" s="377"/>
      <c r="BB1149" s="83" t="str">
        <f t="array" ref="BB1149">_xlfn.IFS(AQ1149="","",LEN(AQ1149)-LEN(SUBSTITUTE(AQ1149,".",""))=3,LEFT(AQ1149,vitri(".",AQ1149,3)-1),LEN(AQ1149)-LEN(SUBSTITUTE(AQ1149,".",""))=2,LEFT(AQ1149,vitri(".",AQ1149,2)-1),TRUE,LEFT(AQ1149,vitri(".",AQ1149,1)-1))</f>
        <v/>
      </c>
    </row>
    <row r="1150" spans="13:54" x14ac:dyDescent="0.25">
      <c r="M1150" s="377"/>
      <c r="BB1150" s="83" t="str">
        <f t="array" ref="BB1150">_xlfn.IFS(AQ1150="","",LEN(AQ1150)-LEN(SUBSTITUTE(AQ1150,".",""))=3,LEFT(AQ1150,vitri(".",AQ1150,3)-1),LEN(AQ1150)-LEN(SUBSTITUTE(AQ1150,".",""))=2,LEFT(AQ1150,vitri(".",AQ1150,2)-1),TRUE,LEFT(AQ1150,vitri(".",AQ1150,1)-1))</f>
        <v/>
      </c>
    </row>
    <row r="1151" spans="13:54" x14ac:dyDescent="0.25">
      <c r="M1151" s="377"/>
      <c r="BB1151" s="83" t="str">
        <f t="array" ref="BB1151">_xlfn.IFS(AQ1151="","",LEN(AQ1151)-LEN(SUBSTITUTE(AQ1151,".",""))=3,LEFT(AQ1151,vitri(".",AQ1151,3)-1),LEN(AQ1151)-LEN(SUBSTITUTE(AQ1151,".",""))=2,LEFT(AQ1151,vitri(".",AQ1151,2)-1),TRUE,LEFT(AQ1151,vitri(".",AQ1151,1)-1))</f>
        <v/>
      </c>
    </row>
    <row r="1152" spans="13:54" x14ac:dyDescent="0.25">
      <c r="M1152" s="377"/>
      <c r="BB1152" s="83" t="str">
        <f t="array" ref="BB1152">_xlfn.IFS(AQ1152="","",LEN(AQ1152)-LEN(SUBSTITUTE(AQ1152,".",""))=3,LEFT(AQ1152,vitri(".",AQ1152,3)-1),LEN(AQ1152)-LEN(SUBSTITUTE(AQ1152,".",""))=2,LEFT(AQ1152,vitri(".",AQ1152,2)-1),TRUE,LEFT(AQ1152,vitri(".",AQ1152,1)-1))</f>
        <v/>
      </c>
    </row>
    <row r="1153" spans="13:54" x14ac:dyDescent="0.25">
      <c r="M1153" s="377"/>
      <c r="BB1153" s="83" t="str">
        <f t="array" ref="BB1153">_xlfn.IFS(AQ1153="","",LEN(AQ1153)-LEN(SUBSTITUTE(AQ1153,".",""))=3,LEFT(AQ1153,vitri(".",AQ1153,3)-1),LEN(AQ1153)-LEN(SUBSTITUTE(AQ1153,".",""))=2,LEFT(AQ1153,vitri(".",AQ1153,2)-1),TRUE,LEFT(AQ1153,vitri(".",AQ1153,1)-1))</f>
        <v/>
      </c>
    </row>
    <row r="1154" spans="13:54" x14ac:dyDescent="0.25">
      <c r="M1154" s="377"/>
      <c r="BB1154" s="83" t="str">
        <f t="array" ref="BB1154">_xlfn.IFS(AQ1154="","",LEN(AQ1154)-LEN(SUBSTITUTE(AQ1154,".",""))=3,LEFT(AQ1154,vitri(".",AQ1154,3)-1),LEN(AQ1154)-LEN(SUBSTITUTE(AQ1154,".",""))=2,LEFT(AQ1154,vitri(".",AQ1154,2)-1),TRUE,LEFT(AQ1154,vitri(".",AQ1154,1)-1))</f>
        <v/>
      </c>
    </row>
    <row r="1155" spans="13:54" x14ac:dyDescent="0.25">
      <c r="M1155" s="377"/>
      <c r="BB1155" s="83" t="str">
        <f t="array" ref="BB1155">_xlfn.IFS(AQ1155="","",LEN(AQ1155)-LEN(SUBSTITUTE(AQ1155,".",""))=3,LEFT(AQ1155,vitri(".",AQ1155,3)-1),LEN(AQ1155)-LEN(SUBSTITUTE(AQ1155,".",""))=2,LEFT(AQ1155,vitri(".",AQ1155,2)-1),TRUE,LEFT(AQ1155,vitri(".",AQ1155,1)-1))</f>
        <v/>
      </c>
    </row>
    <row r="1156" spans="13:54" x14ac:dyDescent="0.25">
      <c r="M1156" s="377"/>
      <c r="BB1156" s="83" t="str">
        <f t="array" ref="BB1156">_xlfn.IFS(AQ1156="","",LEN(AQ1156)-LEN(SUBSTITUTE(AQ1156,".",""))=3,LEFT(AQ1156,vitri(".",AQ1156,3)-1),LEN(AQ1156)-LEN(SUBSTITUTE(AQ1156,".",""))=2,LEFT(AQ1156,vitri(".",AQ1156,2)-1),TRUE,LEFT(AQ1156,vitri(".",AQ1156,1)-1))</f>
        <v/>
      </c>
    </row>
    <row r="1157" spans="13:54" x14ac:dyDescent="0.25">
      <c r="M1157" s="377"/>
      <c r="BB1157" s="83" t="str">
        <f t="array" ref="BB1157">_xlfn.IFS(AQ1157="","",LEN(AQ1157)-LEN(SUBSTITUTE(AQ1157,".",""))=3,LEFT(AQ1157,vitri(".",AQ1157,3)-1),LEN(AQ1157)-LEN(SUBSTITUTE(AQ1157,".",""))=2,LEFT(AQ1157,vitri(".",AQ1157,2)-1),TRUE,LEFT(AQ1157,vitri(".",AQ1157,1)-1))</f>
        <v/>
      </c>
    </row>
    <row r="1158" spans="13:54" x14ac:dyDescent="0.25">
      <c r="M1158" s="377"/>
      <c r="BB1158" s="83" t="str">
        <f t="array" ref="BB1158">_xlfn.IFS(AQ1158="","",LEN(AQ1158)-LEN(SUBSTITUTE(AQ1158,".",""))=3,LEFT(AQ1158,vitri(".",AQ1158,3)-1),LEN(AQ1158)-LEN(SUBSTITUTE(AQ1158,".",""))=2,LEFT(AQ1158,vitri(".",AQ1158,2)-1),TRUE,LEFT(AQ1158,vitri(".",AQ1158,1)-1))</f>
        <v/>
      </c>
    </row>
    <row r="1159" spans="13:54" x14ac:dyDescent="0.25">
      <c r="M1159" s="377"/>
      <c r="BB1159" s="83" t="str">
        <f t="array" ref="BB1159">_xlfn.IFS(AQ1159="","",LEN(AQ1159)-LEN(SUBSTITUTE(AQ1159,".",""))=3,LEFT(AQ1159,vitri(".",AQ1159,3)-1),LEN(AQ1159)-LEN(SUBSTITUTE(AQ1159,".",""))=2,LEFT(AQ1159,vitri(".",AQ1159,2)-1),TRUE,LEFT(AQ1159,vitri(".",AQ1159,1)-1))</f>
        <v/>
      </c>
    </row>
    <row r="1160" spans="13:54" x14ac:dyDescent="0.25">
      <c r="M1160" s="377"/>
      <c r="BB1160" s="83" t="str">
        <f t="array" ref="BB1160">_xlfn.IFS(AQ1160="","",LEN(AQ1160)-LEN(SUBSTITUTE(AQ1160,".",""))=3,LEFT(AQ1160,vitri(".",AQ1160,3)-1),LEN(AQ1160)-LEN(SUBSTITUTE(AQ1160,".",""))=2,LEFT(AQ1160,vitri(".",AQ1160,2)-1),TRUE,LEFT(AQ1160,vitri(".",AQ1160,1)-1))</f>
        <v/>
      </c>
    </row>
    <row r="1161" spans="13:54" x14ac:dyDescent="0.25">
      <c r="M1161" s="377"/>
      <c r="BB1161" s="83" t="str">
        <f t="array" ref="BB1161">_xlfn.IFS(AQ1161="","",LEN(AQ1161)-LEN(SUBSTITUTE(AQ1161,".",""))=3,LEFT(AQ1161,vitri(".",AQ1161,3)-1),LEN(AQ1161)-LEN(SUBSTITUTE(AQ1161,".",""))=2,LEFT(AQ1161,vitri(".",AQ1161,2)-1),TRUE,LEFT(AQ1161,vitri(".",AQ1161,1)-1))</f>
        <v/>
      </c>
    </row>
    <row r="1162" spans="13:54" x14ac:dyDescent="0.25">
      <c r="M1162" s="377"/>
      <c r="BB1162" s="83" t="str">
        <f t="array" ref="BB1162">_xlfn.IFS(AQ1162="","",LEN(AQ1162)-LEN(SUBSTITUTE(AQ1162,".",""))=3,LEFT(AQ1162,vitri(".",AQ1162,3)-1),LEN(AQ1162)-LEN(SUBSTITUTE(AQ1162,".",""))=2,LEFT(AQ1162,vitri(".",AQ1162,2)-1),TRUE,LEFT(AQ1162,vitri(".",AQ1162,1)-1))</f>
        <v/>
      </c>
    </row>
    <row r="1163" spans="13:54" x14ac:dyDescent="0.25">
      <c r="M1163" s="377"/>
      <c r="BB1163" s="83" t="str">
        <f t="array" ref="BB1163">_xlfn.IFS(AQ1163="","",LEN(AQ1163)-LEN(SUBSTITUTE(AQ1163,".",""))=3,LEFT(AQ1163,vitri(".",AQ1163,3)-1),LEN(AQ1163)-LEN(SUBSTITUTE(AQ1163,".",""))=2,LEFT(AQ1163,vitri(".",AQ1163,2)-1),TRUE,LEFT(AQ1163,vitri(".",AQ1163,1)-1))</f>
        <v/>
      </c>
    </row>
    <row r="1164" spans="13:54" x14ac:dyDescent="0.25">
      <c r="M1164" s="377"/>
      <c r="BB1164" s="83" t="str">
        <f t="array" ref="BB1164">_xlfn.IFS(AQ1164="","",LEN(AQ1164)-LEN(SUBSTITUTE(AQ1164,".",""))=3,LEFT(AQ1164,vitri(".",AQ1164,3)-1),LEN(AQ1164)-LEN(SUBSTITUTE(AQ1164,".",""))=2,LEFT(AQ1164,vitri(".",AQ1164,2)-1),TRUE,LEFT(AQ1164,vitri(".",AQ1164,1)-1))</f>
        <v/>
      </c>
    </row>
    <row r="1165" spans="13:54" x14ac:dyDescent="0.25">
      <c r="M1165" s="377"/>
      <c r="BB1165" s="83" t="str">
        <f t="array" ref="BB1165">_xlfn.IFS(AQ1165="","",LEN(AQ1165)-LEN(SUBSTITUTE(AQ1165,".",""))=3,LEFT(AQ1165,vitri(".",AQ1165,3)-1),LEN(AQ1165)-LEN(SUBSTITUTE(AQ1165,".",""))=2,LEFT(AQ1165,vitri(".",AQ1165,2)-1),TRUE,LEFT(AQ1165,vitri(".",AQ1165,1)-1))</f>
        <v/>
      </c>
    </row>
    <row r="1166" spans="13:54" x14ac:dyDescent="0.25">
      <c r="M1166" s="377"/>
      <c r="BB1166" s="83" t="str">
        <f t="array" ref="BB1166">_xlfn.IFS(AQ1166="","",LEN(AQ1166)-LEN(SUBSTITUTE(AQ1166,".",""))=3,LEFT(AQ1166,vitri(".",AQ1166,3)-1),LEN(AQ1166)-LEN(SUBSTITUTE(AQ1166,".",""))=2,LEFT(AQ1166,vitri(".",AQ1166,2)-1),TRUE,LEFT(AQ1166,vitri(".",AQ1166,1)-1))</f>
        <v/>
      </c>
    </row>
    <row r="1167" spans="13:54" x14ac:dyDescent="0.25">
      <c r="M1167" s="377"/>
      <c r="BB1167" s="83" t="str">
        <f t="array" ref="BB1167">_xlfn.IFS(AQ1167="","",LEN(AQ1167)-LEN(SUBSTITUTE(AQ1167,".",""))=3,LEFT(AQ1167,vitri(".",AQ1167,3)-1),LEN(AQ1167)-LEN(SUBSTITUTE(AQ1167,".",""))=2,LEFT(AQ1167,vitri(".",AQ1167,2)-1),TRUE,LEFT(AQ1167,vitri(".",AQ1167,1)-1))</f>
        <v/>
      </c>
    </row>
    <row r="1168" spans="13:54" x14ac:dyDescent="0.25">
      <c r="M1168" s="377"/>
      <c r="BB1168" s="83" t="str">
        <f t="array" ref="BB1168">_xlfn.IFS(AQ1168="","",LEN(AQ1168)-LEN(SUBSTITUTE(AQ1168,".",""))=3,LEFT(AQ1168,vitri(".",AQ1168,3)-1),LEN(AQ1168)-LEN(SUBSTITUTE(AQ1168,".",""))=2,LEFT(AQ1168,vitri(".",AQ1168,2)-1),TRUE,LEFT(AQ1168,vitri(".",AQ1168,1)-1))</f>
        <v/>
      </c>
    </row>
    <row r="1169" spans="13:54" x14ac:dyDescent="0.25">
      <c r="M1169" s="377"/>
      <c r="BB1169" s="83" t="str">
        <f t="array" ref="BB1169">_xlfn.IFS(AQ1169="","",LEN(AQ1169)-LEN(SUBSTITUTE(AQ1169,".",""))=3,LEFT(AQ1169,vitri(".",AQ1169,3)-1),LEN(AQ1169)-LEN(SUBSTITUTE(AQ1169,".",""))=2,LEFT(AQ1169,vitri(".",AQ1169,2)-1),TRUE,LEFT(AQ1169,vitri(".",AQ1169,1)-1))</f>
        <v/>
      </c>
    </row>
    <row r="1170" spans="13:54" x14ac:dyDescent="0.25">
      <c r="M1170" s="377"/>
      <c r="BB1170" s="83" t="str">
        <f t="array" ref="BB1170">_xlfn.IFS(AQ1170="","",LEN(AQ1170)-LEN(SUBSTITUTE(AQ1170,".",""))=3,LEFT(AQ1170,vitri(".",AQ1170,3)-1),LEN(AQ1170)-LEN(SUBSTITUTE(AQ1170,".",""))=2,LEFT(AQ1170,vitri(".",AQ1170,2)-1),TRUE,LEFT(AQ1170,vitri(".",AQ1170,1)-1))</f>
        <v/>
      </c>
    </row>
    <row r="1171" spans="13:54" x14ac:dyDescent="0.25">
      <c r="M1171" s="377"/>
      <c r="BB1171" s="83" t="str">
        <f t="array" ref="BB1171">_xlfn.IFS(AQ1171="","",LEN(AQ1171)-LEN(SUBSTITUTE(AQ1171,".",""))=3,LEFT(AQ1171,vitri(".",AQ1171,3)-1),LEN(AQ1171)-LEN(SUBSTITUTE(AQ1171,".",""))=2,LEFT(AQ1171,vitri(".",AQ1171,2)-1),TRUE,LEFT(AQ1171,vitri(".",AQ1171,1)-1))</f>
        <v/>
      </c>
    </row>
    <row r="1172" spans="13:54" x14ac:dyDescent="0.25">
      <c r="M1172" s="377"/>
      <c r="BB1172" s="83" t="str">
        <f t="array" ref="BB1172">_xlfn.IFS(AQ1172="","",LEN(AQ1172)-LEN(SUBSTITUTE(AQ1172,".",""))=3,LEFT(AQ1172,vitri(".",AQ1172,3)-1),LEN(AQ1172)-LEN(SUBSTITUTE(AQ1172,".",""))=2,LEFT(AQ1172,vitri(".",AQ1172,2)-1),TRUE,LEFT(AQ1172,vitri(".",AQ1172,1)-1))</f>
        <v/>
      </c>
    </row>
    <row r="1173" spans="13:54" x14ac:dyDescent="0.25">
      <c r="M1173" s="377"/>
      <c r="BB1173" s="83" t="str">
        <f t="array" ref="BB1173">_xlfn.IFS(AQ1173="","",LEN(AQ1173)-LEN(SUBSTITUTE(AQ1173,".",""))=3,LEFT(AQ1173,vitri(".",AQ1173,3)-1),LEN(AQ1173)-LEN(SUBSTITUTE(AQ1173,".",""))=2,LEFT(AQ1173,vitri(".",AQ1173,2)-1),TRUE,LEFT(AQ1173,vitri(".",AQ1173,1)-1))</f>
        <v/>
      </c>
    </row>
    <row r="1174" spans="13:54" x14ac:dyDescent="0.25">
      <c r="M1174" s="377"/>
      <c r="BB1174" s="83" t="str">
        <f t="array" ref="BB1174">_xlfn.IFS(AQ1174="","",LEN(AQ1174)-LEN(SUBSTITUTE(AQ1174,".",""))=3,LEFT(AQ1174,vitri(".",AQ1174,3)-1),LEN(AQ1174)-LEN(SUBSTITUTE(AQ1174,".",""))=2,LEFT(AQ1174,vitri(".",AQ1174,2)-1),TRUE,LEFT(AQ1174,vitri(".",AQ1174,1)-1))</f>
        <v/>
      </c>
    </row>
    <row r="1175" spans="13:54" x14ac:dyDescent="0.25">
      <c r="M1175" s="377"/>
      <c r="BB1175" s="83" t="str">
        <f t="array" ref="BB1175">_xlfn.IFS(AQ1175="","",LEN(AQ1175)-LEN(SUBSTITUTE(AQ1175,".",""))=3,LEFT(AQ1175,vitri(".",AQ1175,3)-1),LEN(AQ1175)-LEN(SUBSTITUTE(AQ1175,".",""))=2,LEFT(AQ1175,vitri(".",AQ1175,2)-1),TRUE,LEFT(AQ1175,vitri(".",AQ1175,1)-1))</f>
        <v/>
      </c>
    </row>
    <row r="1176" spans="13:54" x14ac:dyDescent="0.25">
      <c r="M1176" s="377"/>
      <c r="BB1176" s="83" t="str">
        <f t="array" ref="BB1176">_xlfn.IFS(AQ1176="","",LEN(AQ1176)-LEN(SUBSTITUTE(AQ1176,".",""))=3,LEFT(AQ1176,vitri(".",AQ1176,3)-1),LEN(AQ1176)-LEN(SUBSTITUTE(AQ1176,".",""))=2,LEFT(AQ1176,vitri(".",AQ1176,2)-1),TRUE,LEFT(AQ1176,vitri(".",AQ1176,1)-1))</f>
        <v/>
      </c>
    </row>
    <row r="1177" spans="13:54" x14ac:dyDescent="0.25">
      <c r="M1177" s="377"/>
      <c r="BB1177" s="83" t="str">
        <f t="array" ref="BB1177">_xlfn.IFS(AQ1177="","",LEN(AQ1177)-LEN(SUBSTITUTE(AQ1177,".",""))=3,LEFT(AQ1177,vitri(".",AQ1177,3)-1),LEN(AQ1177)-LEN(SUBSTITUTE(AQ1177,".",""))=2,LEFT(AQ1177,vitri(".",AQ1177,2)-1),TRUE,LEFT(AQ1177,vitri(".",AQ1177,1)-1))</f>
        <v/>
      </c>
    </row>
    <row r="1178" spans="13:54" x14ac:dyDescent="0.25">
      <c r="M1178" s="377"/>
      <c r="BB1178" s="83" t="str">
        <f t="array" ref="BB1178">_xlfn.IFS(AQ1178="","",LEN(AQ1178)-LEN(SUBSTITUTE(AQ1178,".",""))=3,LEFT(AQ1178,vitri(".",AQ1178,3)-1),LEN(AQ1178)-LEN(SUBSTITUTE(AQ1178,".",""))=2,LEFT(AQ1178,vitri(".",AQ1178,2)-1),TRUE,LEFT(AQ1178,vitri(".",AQ1178,1)-1))</f>
        <v/>
      </c>
    </row>
    <row r="1179" spans="13:54" x14ac:dyDescent="0.25">
      <c r="M1179" s="377"/>
      <c r="BB1179" s="83" t="str">
        <f t="array" ref="BB1179">_xlfn.IFS(AQ1179="","",LEN(AQ1179)-LEN(SUBSTITUTE(AQ1179,".",""))=3,LEFT(AQ1179,vitri(".",AQ1179,3)-1),LEN(AQ1179)-LEN(SUBSTITUTE(AQ1179,".",""))=2,LEFT(AQ1179,vitri(".",AQ1179,2)-1),TRUE,LEFT(AQ1179,vitri(".",AQ1179,1)-1))</f>
        <v/>
      </c>
    </row>
    <row r="1180" spans="13:54" x14ac:dyDescent="0.25">
      <c r="M1180" s="377"/>
      <c r="BB1180" s="83" t="str">
        <f t="array" ref="BB1180">_xlfn.IFS(AQ1180="","",LEN(AQ1180)-LEN(SUBSTITUTE(AQ1180,".",""))=3,LEFT(AQ1180,vitri(".",AQ1180,3)-1),LEN(AQ1180)-LEN(SUBSTITUTE(AQ1180,".",""))=2,LEFT(AQ1180,vitri(".",AQ1180,2)-1),TRUE,LEFT(AQ1180,vitri(".",AQ1180,1)-1))</f>
        <v/>
      </c>
    </row>
    <row r="1181" spans="13:54" x14ac:dyDescent="0.25">
      <c r="M1181" s="377"/>
      <c r="BB1181" s="83" t="str">
        <f t="array" ref="BB1181">_xlfn.IFS(AQ1181="","",LEN(AQ1181)-LEN(SUBSTITUTE(AQ1181,".",""))=3,LEFT(AQ1181,vitri(".",AQ1181,3)-1),LEN(AQ1181)-LEN(SUBSTITUTE(AQ1181,".",""))=2,LEFT(AQ1181,vitri(".",AQ1181,2)-1),TRUE,LEFT(AQ1181,vitri(".",AQ1181,1)-1))</f>
        <v/>
      </c>
    </row>
    <row r="1182" spans="13:54" x14ac:dyDescent="0.25">
      <c r="M1182" s="377"/>
      <c r="BB1182" s="83" t="str">
        <f t="array" ref="BB1182">_xlfn.IFS(AQ1182="","",LEN(AQ1182)-LEN(SUBSTITUTE(AQ1182,".",""))=3,LEFT(AQ1182,vitri(".",AQ1182,3)-1),LEN(AQ1182)-LEN(SUBSTITUTE(AQ1182,".",""))=2,LEFT(AQ1182,vitri(".",AQ1182,2)-1),TRUE,LEFT(AQ1182,vitri(".",AQ1182,1)-1))</f>
        <v/>
      </c>
    </row>
    <row r="1183" spans="13:54" x14ac:dyDescent="0.25">
      <c r="M1183" s="377"/>
      <c r="BB1183" s="83" t="str">
        <f t="array" ref="BB1183">_xlfn.IFS(AQ1183="","",LEN(AQ1183)-LEN(SUBSTITUTE(AQ1183,".",""))=3,LEFT(AQ1183,vitri(".",AQ1183,3)-1),LEN(AQ1183)-LEN(SUBSTITUTE(AQ1183,".",""))=2,LEFT(AQ1183,vitri(".",AQ1183,2)-1),TRUE,LEFT(AQ1183,vitri(".",AQ1183,1)-1))</f>
        <v/>
      </c>
    </row>
    <row r="1184" spans="13:54" x14ac:dyDescent="0.25">
      <c r="M1184" s="377"/>
      <c r="BB1184" s="83" t="str">
        <f t="array" ref="BB1184">_xlfn.IFS(AQ1184="","",LEN(AQ1184)-LEN(SUBSTITUTE(AQ1184,".",""))=3,LEFT(AQ1184,vitri(".",AQ1184,3)-1),LEN(AQ1184)-LEN(SUBSTITUTE(AQ1184,".",""))=2,LEFT(AQ1184,vitri(".",AQ1184,2)-1),TRUE,LEFT(AQ1184,vitri(".",AQ1184,1)-1))</f>
        <v/>
      </c>
    </row>
    <row r="1185" spans="13:54" x14ac:dyDescent="0.25">
      <c r="M1185" s="377"/>
      <c r="BB1185" s="83" t="str">
        <f t="array" ref="BB1185">_xlfn.IFS(AQ1185="","",LEN(AQ1185)-LEN(SUBSTITUTE(AQ1185,".",""))=3,LEFT(AQ1185,vitri(".",AQ1185,3)-1),LEN(AQ1185)-LEN(SUBSTITUTE(AQ1185,".",""))=2,LEFT(AQ1185,vitri(".",AQ1185,2)-1),TRUE,LEFT(AQ1185,vitri(".",AQ1185,1)-1))</f>
        <v/>
      </c>
    </row>
    <row r="1186" spans="13:54" x14ac:dyDescent="0.25">
      <c r="M1186" s="377"/>
      <c r="BB1186" s="83" t="str">
        <f t="array" ref="BB1186">_xlfn.IFS(AQ1186="","",LEN(AQ1186)-LEN(SUBSTITUTE(AQ1186,".",""))=3,LEFT(AQ1186,vitri(".",AQ1186,3)-1),LEN(AQ1186)-LEN(SUBSTITUTE(AQ1186,".",""))=2,LEFT(AQ1186,vitri(".",AQ1186,2)-1),TRUE,LEFT(AQ1186,vitri(".",AQ1186,1)-1))</f>
        <v/>
      </c>
    </row>
    <row r="1187" spans="13:54" x14ac:dyDescent="0.25">
      <c r="M1187" s="377"/>
      <c r="BB1187" s="83" t="str">
        <f t="array" ref="BB1187">_xlfn.IFS(AQ1187="","",LEN(AQ1187)-LEN(SUBSTITUTE(AQ1187,".",""))=3,LEFT(AQ1187,vitri(".",AQ1187,3)-1),LEN(AQ1187)-LEN(SUBSTITUTE(AQ1187,".",""))=2,LEFT(AQ1187,vitri(".",AQ1187,2)-1),TRUE,LEFT(AQ1187,vitri(".",AQ1187,1)-1))</f>
        <v/>
      </c>
    </row>
    <row r="1188" spans="13:54" x14ac:dyDescent="0.25">
      <c r="M1188" s="377"/>
      <c r="BB1188" s="83" t="str">
        <f t="array" ref="BB1188">_xlfn.IFS(AQ1188="","",LEN(AQ1188)-LEN(SUBSTITUTE(AQ1188,".",""))=3,LEFT(AQ1188,vitri(".",AQ1188,3)-1),LEN(AQ1188)-LEN(SUBSTITUTE(AQ1188,".",""))=2,LEFT(AQ1188,vitri(".",AQ1188,2)-1),TRUE,LEFT(AQ1188,vitri(".",AQ1188,1)-1))</f>
        <v/>
      </c>
    </row>
    <row r="1189" spans="13:54" x14ac:dyDescent="0.25">
      <c r="M1189" s="377"/>
      <c r="BB1189" s="83" t="str">
        <f t="array" ref="BB1189">_xlfn.IFS(AQ1189="","",LEN(AQ1189)-LEN(SUBSTITUTE(AQ1189,".",""))=3,LEFT(AQ1189,vitri(".",AQ1189,3)-1),LEN(AQ1189)-LEN(SUBSTITUTE(AQ1189,".",""))=2,LEFT(AQ1189,vitri(".",AQ1189,2)-1),TRUE,LEFT(AQ1189,vitri(".",AQ1189,1)-1))</f>
        <v/>
      </c>
    </row>
    <row r="1190" spans="13:54" x14ac:dyDescent="0.25">
      <c r="M1190" s="377"/>
      <c r="BB1190" s="83" t="str">
        <f t="array" ref="BB1190">_xlfn.IFS(AQ1190="","",LEN(AQ1190)-LEN(SUBSTITUTE(AQ1190,".",""))=3,LEFT(AQ1190,vitri(".",AQ1190,3)-1),LEN(AQ1190)-LEN(SUBSTITUTE(AQ1190,".",""))=2,LEFT(AQ1190,vitri(".",AQ1190,2)-1),TRUE,LEFT(AQ1190,vitri(".",AQ1190,1)-1))</f>
        <v/>
      </c>
    </row>
    <row r="1191" spans="13:54" x14ac:dyDescent="0.25">
      <c r="M1191" s="377"/>
      <c r="BB1191" s="83" t="str">
        <f t="array" ref="BB1191">_xlfn.IFS(AQ1191="","",LEN(AQ1191)-LEN(SUBSTITUTE(AQ1191,".",""))=3,LEFT(AQ1191,vitri(".",AQ1191,3)-1),LEN(AQ1191)-LEN(SUBSTITUTE(AQ1191,".",""))=2,LEFT(AQ1191,vitri(".",AQ1191,2)-1),TRUE,LEFT(AQ1191,vitri(".",AQ1191,1)-1))</f>
        <v/>
      </c>
    </row>
    <row r="1192" spans="13:54" x14ac:dyDescent="0.25">
      <c r="M1192" s="377"/>
      <c r="BB1192" s="83" t="str">
        <f t="array" ref="BB1192">_xlfn.IFS(AQ1192="","",LEN(AQ1192)-LEN(SUBSTITUTE(AQ1192,".",""))=3,LEFT(AQ1192,vitri(".",AQ1192,3)-1),LEN(AQ1192)-LEN(SUBSTITUTE(AQ1192,".",""))=2,LEFT(AQ1192,vitri(".",AQ1192,2)-1),TRUE,LEFT(AQ1192,vitri(".",AQ1192,1)-1))</f>
        <v/>
      </c>
    </row>
    <row r="1193" spans="13:54" x14ac:dyDescent="0.25">
      <c r="M1193" s="377"/>
      <c r="BB1193" s="83" t="str">
        <f t="array" ref="BB1193">_xlfn.IFS(AQ1193="","",LEN(AQ1193)-LEN(SUBSTITUTE(AQ1193,".",""))=3,LEFT(AQ1193,vitri(".",AQ1193,3)-1),LEN(AQ1193)-LEN(SUBSTITUTE(AQ1193,".",""))=2,LEFT(AQ1193,vitri(".",AQ1193,2)-1),TRUE,LEFT(AQ1193,vitri(".",AQ1193,1)-1))</f>
        <v/>
      </c>
    </row>
    <row r="1194" spans="13:54" x14ac:dyDescent="0.25">
      <c r="M1194" s="377"/>
      <c r="BB1194" s="83" t="str">
        <f t="array" ref="BB1194">_xlfn.IFS(AQ1194="","",LEN(AQ1194)-LEN(SUBSTITUTE(AQ1194,".",""))=3,LEFT(AQ1194,vitri(".",AQ1194,3)-1),LEN(AQ1194)-LEN(SUBSTITUTE(AQ1194,".",""))=2,LEFT(AQ1194,vitri(".",AQ1194,2)-1),TRUE,LEFT(AQ1194,vitri(".",AQ1194,1)-1))</f>
        <v/>
      </c>
    </row>
    <row r="1195" spans="13:54" x14ac:dyDescent="0.25">
      <c r="M1195" s="377"/>
      <c r="BB1195" s="83" t="str">
        <f t="array" ref="BB1195">_xlfn.IFS(AQ1195="","",LEN(AQ1195)-LEN(SUBSTITUTE(AQ1195,".",""))=3,LEFT(AQ1195,vitri(".",AQ1195,3)-1),LEN(AQ1195)-LEN(SUBSTITUTE(AQ1195,".",""))=2,LEFT(AQ1195,vitri(".",AQ1195,2)-1),TRUE,LEFT(AQ1195,vitri(".",AQ1195,1)-1))</f>
        <v/>
      </c>
    </row>
    <row r="1196" spans="13:54" x14ac:dyDescent="0.25">
      <c r="M1196" s="377"/>
      <c r="BB1196" s="83" t="str">
        <f t="array" ref="BB1196">_xlfn.IFS(AQ1196="","",LEN(AQ1196)-LEN(SUBSTITUTE(AQ1196,".",""))=3,LEFT(AQ1196,vitri(".",AQ1196,3)-1),LEN(AQ1196)-LEN(SUBSTITUTE(AQ1196,".",""))=2,LEFT(AQ1196,vitri(".",AQ1196,2)-1),TRUE,LEFT(AQ1196,vitri(".",AQ1196,1)-1))</f>
        <v/>
      </c>
    </row>
    <row r="1197" spans="13:54" x14ac:dyDescent="0.25">
      <c r="M1197" s="377"/>
      <c r="BB1197" s="83" t="str">
        <f t="array" ref="BB1197">_xlfn.IFS(AQ1197="","",LEN(AQ1197)-LEN(SUBSTITUTE(AQ1197,".",""))=3,LEFT(AQ1197,vitri(".",AQ1197,3)-1),LEN(AQ1197)-LEN(SUBSTITUTE(AQ1197,".",""))=2,LEFT(AQ1197,vitri(".",AQ1197,2)-1),TRUE,LEFT(AQ1197,vitri(".",AQ1197,1)-1))</f>
        <v/>
      </c>
    </row>
    <row r="1198" spans="13:54" x14ac:dyDescent="0.25">
      <c r="M1198" s="377"/>
      <c r="BB1198" s="83" t="str">
        <f t="array" ref="BB1198">_xlfn.IFS(AQ1198="","",LEN(AQ1198)-LEN(SUBSTITUTE(AQ1198,".",""))=3,LEFT(AQ1198,vitri(".",AQ1198,3)-1),LEN(AQ1198)-LEN(SUBSTITUTE(AQ1198,".",""))=2,LEFT(AQ1198,vitri(".",AQ1198,2)-1),TRUE,LEFT(AQ1198,vitri(".",AQ1198,1)-1))</f>
        <v/>
      </c>
    </row>
    <row r="1199" spans="13:54" x14ac:dyDescent="0.25">
      <c r="M1199" s="377"/>
      <c r="BB1199" s="83" t="str">
        <f t="array" ref="BB1199">_xlfn.IFS(AQ1199="","",LEN(AQ1199)-LEN(SUBSTITUTE(AQ1199,".",""))=3,LEFT(AQ1199,vitri(".",AQ1199,3)-1),LEN(AQ1199)-LEN(SUBSTITUTE(AQ1199,".",""))=2,LEFT(AQ1199,vitri(".",AQ1199,2)-1),TRUE,LEFT(AQ1199,vitri(".",AQ1199,1)-1))</f>
        <v/>
      </c>
    </row>
    <row r="1200" spans="13:54" x14ac:dyDescent="0.25">
      <c r="M1200" s="377"/>
      <c r="BB1200" s="83" t="str">
        <f t="array" ref="BB1200">_xlfn.IFS(AQ1200="","",LEN(AQ1200)-LEN(SUBSTITUTE(AQ1200,".",""))=3,LEFT(AQ1200,vitri(".",AQ1200,3)-1),LEN(AQ1200)-LEN(SUBSTITUTE(AQ1200,".",""))=2,LEFT(AQ1200,vitri(".",AQ1200,2)-1),TRUE,LEFT(AQ1200,vitri(".",AQ1200,1)-1))</f>
        <v/>
      </c>
    </row>
    <row r="1201" spans="13:54" x14ac:dyDescent="0.25">
      <c r="M1201" s="377"/>
      <c r="BB1201" s="83" t="str">
        <f t="array" ref="BB1201">_xlfn.IFS(AQ1201="","",LEN(AQ1201)-LEN(SUBSTITUTE(AQ1201,".",""))=3,LEFT(AQ1201,vitri(".",AQ1201,3)-1),LEN(AQ1201)-LEN(SUBSTITUTE(AQ1201,".",""))=2,LEFT(AQ1201,vitri(".",AQ1201,2)-1),TRUE,LEFT(AQ1201,vitri(".",AQ1201,1)-1))</f>
        <v/>
      </c>
    </row>
    <row r="1202" spans="13:54" x14ac:dyDescent="0.25">
      <c r="M1202" s="377"/>
      <c r="BB1202" s="83" t="str">
        <f t="array" ref="BB1202">_xlfn.IFS(AQ1202="","",LEN(AQ1202)-LEN(SUBSTITUTE(AQ1202,".",""))=3,LEFT(AQ1202,vitri(".",AQ1202,3)-1),LEN(AQ1202)-LEN(SUBSTITUTE(AQ1202,".",""))=2,LEFT(AQ1202,vitri(".",AQ1202,2)-1),TRUE,LEFT(AQ1202,vitri(".",AQ1202,1)-1))</f>
        <v/>
      </c>
    </row>
    <row r="1203" spans="13:54" x14ac:dyDescent="0.25">
      <c r="M1203" s="377"/>
      <c r="BB1203" s="83" t="str">
        <f t="array" ref="BB1203">_xlfn.IFS(AQ1203="","",LEN(AQ1203)-LEN(SUBSTITUTE(AQ1203,".",""))=3,LEFT(AQ1203,vitri(".",AQ1203,3)-1),LEN(AQ1203)-LEN(SUBSTITUTE(AQ1203,".",""))=2,LEFT(AQ1203,vitri(".",AQ1203,2)-1),TRUE,LEFT(AQ1203,vitri(".",AQ1203,1)-1))</f>
        <v/>
      </c>
    </row>
    <row r="1204" spans="13:54" x14ac:dyDescent="0.25">
      <c r="M1204" s="377"/>
      <c r="BB1204" s="83" t="str">
        <f t="array" ref="BB1204">_xlfn.IFS(AQ1204="","",LEN(AQ1204)-LEN(SUBSTITUTE(AQ1204,".",""))=3,LEFT(AQ1204,vitri(".",AQ1204,3)-1),LEN(AQ1204)-LEN(SUBSTITUTE(AQ1204,".",""))=2,LEFT(AQ1204,vitri(".",AQ1204,2)-1),TRUE,LEFT(AQ1204,vitri(".",AQ1204,1)-1))</f>
        <v/>
      </c>
    </row>
    <row r="1205" spans="13:54" x14ac:dyDescent="0.25">
      <c r="M1205" s="377"/>
      <c r="BB1205" s="83" t="str">
        <f t="array" ref="BB1205">_xlfn.IFS(AQ1205="","",LEN(AQ1205)-LEN(SUBSTITUTE(AQ1205,".",""))=3,LEFT(AQ1205,vitri(".",AQ1205,3)-1),LEN(AQ1205)-LEN(SUBSTITUTE(AQ1205,".",""))=2,LEFT(AQ1205,vitri(".",AQ1205,2)-1),TRUE,LEFT(AQ1205,vitri(".",AQ1205,1)-1))</f>
        <v/>
      </c>
    </row>
    <row r="1206" spans="13:54" x14ac:dyDescent="0.25">
      <c r="M1206" s="377"/>
      <c r="BB1206" s="83" t="str">
        <f t="array" ref="BB1206">_xlfn.IFS(AQ1206="","",LEN(AQ1206)-LEN(SUBSTITUTE(AQ1206,".",""))=3,LEFT(AQ1206,vitri(".",AQ1206,3)-1),LEN(AQ1206)-LEN(SUBSTITUTE(AQ1206,".",""))=2,LEFT(AQ1206,vitri(".",AQ1206,2)-1),TRUE,LEFT(AQ1206,vitri(".",AQ1206,1)-1))</f>
        <v/>
      </c>
    </row>
    <row r="1207" spans="13:54" x14ac:dyDescent="0.25">
      <c r="M1207" s="377"/>
      <c r="BB1207" s="83" t="str">
        <f t="array" ref="BB1207">_xlfn.IFS(AQ1207="","",LEN(AQ1207)-LEN(SUBSTITUTE(AQ1207,".",""))=3,LEFT(AQ1207,vitri(".",AQ1207,3)-1),LEN(AQ1207)-LEN(SUBSTITUTE(AQ1207,".",""))=2,LEFT(AQ1207,vitri(".",AQ1207,2)-1),TRUE,LEFT(AQ1207,vitri(".",AQ1207,1)-1))</f>
        <v/>
      </c>
    </row>
    <row r="1208" spans="13:54" x14ac:dyDescent="0.25">
      <c r="M1208" s="377"/>
      <c r="BB1208" s="83" t="str">
        <f t="array" ref="BB1208">_xlfn.IFS(AQ1208="","",LEN(AQ1208)-LEN(SUBSTITUTE(AQ1208,".",""))=3,LEFT(AQ1208,vitri(".",AQ1208,3)-1),LEN(AQ1208)-LEN(SUBSTITUTE(AQ1208,".",""))=2,LEFT(AQ1208,vitri(".",AQ1208,2)-1),TRUE,LEFT(AQ1208,vitri(".",AQ1208,1)-1))</f>
        <v/>
      </c>
    </row>
    <row r="1209" spans="13:54" x14ac:dyDescent="0.25">
      <c r="M1209" s="377"/>
      <c r="BB1209" s="83" t="str">
        <f t="array" ref="BB1209">_xlfn.IFS(AQ1209="","",LEN(AQ1209)-LEN(SUBSTITUTE(AQ1209,".",""))=3,LEFT(AQ1209,vitri(".",AQ1209,3)-1),LEN(AQ1209)-LEN(SUBSTITUTE(AQ1209,".",""))=2,LEFT(AQ1209,vitri(".",AQ1209,2)-1),TRUE,LEFT(AQ1209,vitri(".",AQ1209,1)-1))</f>
        <v/>
      </c>
    </row>
    <row r="1210" spans="13:54" x14ac:dyDescent="0.25">
      <c r="M1210" s="377"/>
      <c r="BB1210" s="83" t="str">
        <f t="array" ref="BB1210">_xlfn.IFS(AQ1210="","",LEN(AQ1210)-LEN(SUBSTITUTE(AQ1210,".",""))=3,LEFT(AQ1210,vitri(".",AQ1210,3)-1),LEN(AQ1210)-LEN(SUBSTITUTE(AQ1210,".",""))=2,LEFT(AQ1210,vitri(".",AQ1210,2)-1),TRUE,LEFT(AQ1210,vitri(".",AQ1210,1)-1))</f>
        <v/>
      </c>
    </row>
    <row r="1211" spans="13:54" x14ac:dyDescent="0.25">
      <c r="M1211" s="377"/>
      <c r="BB1211" s="83" t="str">
        <f t="array" ref="BB1211">_xlfn.IFS(AQ1211="","",LEN(AQ1211)-LEN(SUBSTITUTE(AQ1211,".",""))=3,LEFT(AQ1211,vitri(".",AQ1211,3)-1),LEN(AQ1211)-LEN(SUBSTITUTE(AQ1211,".",""))=2,LEFT(AQ1211,vitri(".",AQ1211,2)-1),TRUE,LEFT(AQ1211,vitri(".",AQ1211,1)-1))</f>
        <v/>
      </c>
    </row>
    <row r="1212" spans="13:54" x14ac:dyDescent="0.25">
      <c r="M1212" s="377"/>
      <c r="BB1212" s="83" t="str">
        <f t="array" ref="BB1212">_xlfn.IFS(AQ1212="","",LEN(AQ1212)-LEN(SUBSTITUTE(AQ1212,".",""))=3,LEFT(AQ1212,vitri(".",AQ1212,3)-1),LEN(AQ1212)-LEN(SUBSTITUTE(AQ1212,".",""))=2,LEFT(AQ1212,vitri(".",AQ1212,2)-1),TRUE,LEFT(AQ1212,vitri(".",AQ1212,1)-1))</f>
        <v/>
      </c>
    </row>
    <row r="1213" spans="13:54" x14ac:dyDescent="0.25">
      <c r="M1213" s="377"/>
      <c r="BB1213" s="83" t="str">
        <f t="array" ref="BB1213">_xlfn.IFS(AQ1213="","",LEN(AQ1213)-LEN(SUBSTITUTE(AQ1213,".",""))=3,LEFT(AQ1213,vitri(".",AQ1213,3)-1),LEN(AQ1213)-LEN(SUBSTITUTE(AQ1213,".",""))=2,LEFT(AQ1213,vitri(".",AQ1213,2)-1),TRUE,LEFT(AQ1213,vitri(".",AQ1213,1)-1))</f>
        <v/>
      </c>
    </row>
    <row r="1214" spans="13:54" x14ac:dyDescent="0.25">
      <c r="M1214" s="377"/>
      <c r="BB1214" s="83" t="str">
        <f t="array" ref="BB1214">_xlfn.IFS(AQ1214="","",LEN(AQ1214)-LEN(SUBSTITUTE(AQ1214,".",""))=3,LEFT(AQ1214,vitri(".",AQ1214,3)-1),LEN(AQ1214)-LEN(SUBSTITUTE(AQ1214,".",""))=2,LEFT(AQ1214,vitri(".",AQ1214,2)-1),TRUE,LEFT(AQ1214,vitri(".",AQ1214,1)-1))</f>
        <v/>
      </c>
    </row>
    <row r="1215" spans="13:54" x14ac:dyDescent="0.25">
      <c r="M1215" s="377"/>
      <c r="BB1215" s="83" t="str">
        <f t="array" ref="BB1215">_xlfn.IFS(AQ1215="","",LEN(AQ1215)-LEN(SUBSTITUTE(AQ1215,".",""))=3,LEFT(AQ1215,vitri(".",AQ1215,3)-1),LEN(AQ1215)-LEN(SUBSTITUTE(AQ1215,".",""))=2,LEFT(AQ1215,vitri(".",AQ1215,2)-1),TRUE,LEFT(AQ1215,vitri(".",AQ1215,1)-1))</f>
        <v/>
      </c>
    </row>
    <row r="1216" spans="13:54" x14ac:dyDescent="0.25">
      <c r="M1216" s="377"/>
      <c r="BB1216" s="83" t="str">
        <f t="array" ref="BB1216">_xlfn.IFS(AQ1216="","",LEN(AQ1216)-LEN(SUBSTITUTE(AQ1216,".",""))=3,LEFT(AQ1216,vitri(".",AQ1216,3)-1),LEN(AQ1216)-LEN(SUBSTITUTE(AQ1216,".",""))=2,LEFT(AQ1216,vitri(".",AQ1216,2)-1),TRUE,LEFT(AQ1216,vitri(".",AQ1216,1)-1))</f>
        <v/>
      </c>
    </row>
    <row r="1217" spans="13:54" x14ac:dyDescent="0.25">
      <c r="M1217" s="377"/>
      <c r="BB1217" s="83" t="str">
        <f t="array" ref="BB1217">_xlfn.IFS(AQ1217="","",LEN(AQ1217)-LEN(SUBSTITUTE(AQ1217,".",""))=3,LEFT(AQ1217,vitri(".",AQ1217,3)-1),LEN(AQ1217)-LEN(SUBSTITUTE(AQ1217,".",""))=2,LEFT(AQ1217,vitri(".",AQ1217,2)-1),TRUE,LEFT(AQ1217,vitri(".",AQ1217,1)-1))</f>
        <v/>
      </c>
    </row>
    <row r="1218" spans="13:54" x14ac:dyDescent="0.25">
      <c r="M1218" s="377"/>
      <c r="BB1218" s="83" t="str">
        <f t="array" ref="BB1218">_xlfn.IFS(AQ1218="","",LEN(AQ1218)-LEN(SUBSTITUTE(AQ1218,".",""))=3,LEFT(AQ1218,vitri(".",AQ1218,3)-1),LEN(AQ1218)-LEN(SUBSTITUTE(AQ1218,".",""))=2,LEFT(AQ1218,vitri(".",AQ1218,2)-1),TRUE,LEFT(AQ1218,vitri(".",AQ1218,1)-1))</f>
        <v/>
      </c>
    </row>
    <row r="1219" spans="13:54" x14ac:dyDescent="0.25">
      <c r="M1219" s="377"/>
      <c r="BB1219" s="83" t="str">
        <f t="array" ref="BB1219">_xlfn.IFS(AQ1219="","",LEN(AQ1219)-LEN(SUBSTITUTE(AQ1219,".",""))=3,LEFT(AQ1219,vitri(".",AQ1219,3)-1),LEN(AQ1219)-LEN(SUBSTITUTE(AQ1219,".",""))=2,LEFT(AQ1219,vitri(".",AQ1219,2)-1),TRUE,LEFT(AQ1219,vitri(".",AQ1219,1)-1))</f>
        <v/>
      </c>
    </row>
    <row r="1220" spans="13:54" x14ac:dyDescent="0.25">
      <c r="M1220" s="377"/>
      <c r="BB1220" s="83" t="str">
        <f t="array" ref="BB1220">_xlfn.IFS(AQ1220="","",LEN(AQ1220)-LEN(SUBSTITUTE(AQ1220,".",""))=3,LEFT(AQ1220,vitri(".",AQ1220,3)-1),LEN(AQ1220)-LEN(SUBSTITUTE(AQ1220,".",""))=2,LEFT(AQ1220,vitri(".",AQ1220,2)-1),TRUE,LEFT(AQ1220,vitri(".",AQ1220,1)-1))</f>
        <v/>
      </c>
    </row>
    <row r="1221" spans="13:54" x14ac:dyDescent="0.25">
      <c r="M1221" s="377"/>
      <c r="BB1221" s="83" t="str">
        <f t="array" ref="BB1221">_xlfn.IFS(AQ1221="","",LEN(AQ1221)-LEN(SUBSTITUTE(AQ1221,".",""))=3,LEFT(AQ1221,vitri(".",AQ1221,3)-1),LEN(AQ1221)-LEN(SUBSTITUTE(AQ1221,".",""))=2,LEFT(AQ1221,vitri(".",AQ1221,2)-1),TRUE,LEFT(AQ1221,vitri(".",AQ1221,1)-1))</f>
        <v/>
      </c>
    </row>
    <row r="1222" spans="13:54" x14ac:dyDescent="0.25">
      <c r="M1222" s="377"/>
      <c r="BB1222" s="83" t="str">
        <f t="array" ref="BB1222">_xlfn.IFS(AQ1222="","",LEN(AQ1222)-LEN(SUBSTITUTE(AQ1222,".",""))=3,LEFT(AQ1222,vitri(".",AQ1222,3)-1),LEN(AQ1222)-LEN(SUBSTITUTE(AQ1222,".",""))=2,LEFT(AQ1222,vitri(".",AQ1222,2)-1),TRUE,LEFT(AQ1222,vitri(".",AQ1222,1)-1))</f>
        <v/>
      </c>
    </row>
    <row r="1223" spans="13:54" x14ac:dyDescent="0.25">
      <c r="M1223" s="377"/>
      <c r="BB1223" s="83" t="str">
        <f t="array" ref="BB1223">_xlfn.IFS(AQ1223="","",LEN(AQ1223)-LEN(SUBSTITUTE(AQ1223,".",""))=3,LEFT(AQ1223,vitri(".",AQ1223,3)-1),LEN(AQ1223)-LEN(SUBSTITUTE(AQ1223,".",""))=2,LEFT(AQ1223,vitri(".",AQ1223,2)-1),TRUE,LEFT(AQ1223,vitri(".",AQ1223,1)-1))</f>
        <v/>
      </c>
    </row>
    <row r="1224" spans="13:54" x14ac:dyDescent="0.25">
      <c r="M1224" s="377"/>
      <c r="BB1224" s="83" t="str">
        <f t="array" ref="BB1224">_xlfn.IFS(AQ1224="","",LEN(AQ1224)-LEN(SUBSTITUTE(AQ1224,".",""))=3,LEFT(AQ1224,vitri(".",AQ1224,3)-1),LEN(AQ1224)-LEN(SUBSTITUTE(AQ1224,".",""))=2,LEFT(AQ1224,vitri(".",AQ1224,2)-1),TRUE,LEFT(AQ1224,vitri(".",AQ1224,1)-1))</f>
        <v/>
      </c>
    </row>
    <row r="1225" spans="13:54" x14ac:dyDescent="0.25">
      <c r="M1225" s="377"/>
      <c r="BB1225" s="83" t="str">
        <f t="array" ref="BB1225">_xlfn.IFS(AQ1225="","",LEN(AQ1225)-LEN(SUBSTITUTE(AQ1225,".",""))=3,LEFT(AQ1225,vitri(".",AQ1225,3)-1),LEN(AQ1225)-LEN(SUBSTITUTE(AQ1225,".",""))=2,LEFT(AQ1225,vitri(".",AQ1225,2)-1),TRUE,LEFT(AQ1225,vitri(".",AQ1225,1)-1))</f>
        <v/>
      </c>
    </row>
    <row r="1226" spans="13:54" x14ac:dyDescent="0.25">
      <c r="M1226" s="377"/>
      <c r="BB1226" s="83" t="str">
        <f t="array" ref="BB1226">_xlfn.IFS(AQ1226="","",LEN(AQ1226)-LEN(SUBSTITUTE(AQ1226,".",""))=3,LEFT(AQ1226,vitri(".",AQ1226,3)-1),LEN(AQ1226)-LEN(SUBSTITUTE(AQ1226,".",""))=2,LEFT(AQ1226,vitri(".",AQ1226,2)-1),TRUE,LEFT(AQ1226,vitri(".",AQ1226,1)-1))</f>
        <v/>
      </c>
    </row>
    <row r="1227" spans="13:54" x14ac:dyDescent="0.25">
      <c r="M1227" s="377"/>
      <c r="BB1227" s="83" t="str">
        <f t="array" ref="BB1227">_xlfn.IFS(AQ1227="","",LEN(AQ1227)-LEN(SUBSTITUTE(AQ1227,".",""))=3,LEFT(AQ1227,vitri(".",AQ1227,3)-1),LEN(AQ1227)-LEN(SUBSTITUTE(AQ1227,".",""))=2,LEFT(AQ1227,vitri(".",AQ1227,2)-1),TRUE,LEFT(AQ1227,vitri(".",AQ1227,1)-1))</f>
        <v/>
      </c>
    </row>
    <row r="1228" spans="13:54" x14ac:dyDescent="0.25">
      <c r="M1228" s="377"/>
      <c r="BB1228" s="83" t="str">
        <f t="array" ref="BB1228">_xlfn.IFS(AQ1228="","",LEN(AQ1228)-LEN(SUBSTITUTE(AQ1228,".",""))=3,LEFT(AQ1228,vitri(".",AQ1228,3)-1),LEN(AQ1228)-LEN(SUBSTITUTE(AQ1228,".",""))=2,LEFT(AQ1228,vitri(".",AQ1228,2)-1),TRUE,LEFT(AQ1228,vitri(".",AQ1228,1)-1))</f>
        <v/>
      </c>
    </row>
    <row r="1229" spans="13:54" x14ac:dyDescent="0.25">
      <c r="M1229" s="377"/>
      <c r="BB1229" s="83" t="str">
        <f t="array" ref="BB1229">_xlfn.IFS(AQ1229="","",LEN(AQ1229)-LEN(SUBSTITUTE(AQ1229,".",""))=3,LEFT(AQ1229,vitri(".",AQ1229,3)-1),LEN(AQ1229)-LEN(SUBSTITUTE(AQ1229,".",""))=2,LEFT(AQ1229,vitri(".",AQ1229,2)-1),TRUE,LEFT(AQ1229,vitri(".",AQ1229,1)-1))</f>
        <v/>
      </c>
    </row>
    <row r="1230" spans="13:54" x14ac:dyDescent="0.25">
      <c r="M1230" s="377"/>
      <c r="BB1230" s="83" t="str">
        <f t="array" ref="BB1230">_xlfn.IFS(AQ1230="","",LEN(AQ1230)-LEN(SUBSTITUTE(AQ1230,".",""))=3,LEFT(AQ1230,vitri(".",AQ1230,3)-1),LEN(AQ1230)-LEN(SUBSTITUTE(AQ1230,".",""))=2,LEFT(AQ1230,vitri(".",AQ1230,2)-1),TRUE,LEFT(AQ1230,vitri(".",AQ1230,1)-1))</f>
        <v/>
      </c>
    </row>
    <row r="1231" spans="13:54" x14ac:dyDescent="0.25">
      <c r="M1231" s="377"/>
      <c r="BB1231" s="83" t="str">
        <f t="array" ref="BB1231">_xlfn.IFS(AQ1231="","",LEN(AQ1231)-LEN(SUBSTITUTE(AQ1231,".",""))=3,LEFT(AQ1231,vitri(".",AQ1231,3)-1),LEN(AQ1231)-LEN(SUBSTITUTE(AQ1231,".",""))=2,LEFT(AQ1231,vitri(".",AQ1231,2)-1),TRUE,LEFT(AQ1231,vitri(".",AQ1231,1)-1))</f>
        <v/>
      </c>
    </row>
    <row r="1232" spans="13:54" x14ac:dyDescent="0.25">
      <c r="M1232" s="377"/>
      <c r="BB1232" s="83" t="str">
        <f t="array" ref="BB1232">_xlfn.IFS(AQ1232="","",LEN(AQ1232)-LEN(SUBSTITUTE(AQ1232,".",""))=3,LEFT(AQ1232,vitri(".",AQ1232,3)-1),LEN(AQ1232)-LEN(SUBSTITUTE(AQ1232,".",""))=2,LEFT(AQ1232,vitri(".",AQ1232,2)-1),TRUE,LEFT(AQ1232,vitri(".",AQ1232,1)-1))</f>
        <v/>
      </c>
    </row>
    <row r="1233" spans="13:54" x14ac:dyDescent="0.25">
      <c r="M1233" s="377"/>
      <c r="BB1233" s="83" t="str">
        <f t="array" ref="BB1233">_xlfn.IFS(AQ1233="","",LEN(AQ1233)-LEN(SUBSTITUTE(AQ1233,".",""))=3,LEFT(AQ1233,vitri(".",AQ1233,3)-1),LEN(AQ1233)-LEN(SUBSTITUTE(AQ1233,".",""))=2,LEFT(AQ1233,vitri(".",AQ1233,2)-1),TRUE,LEFT(AQ1233,vitri(".",AQ1233,1)-1))</f>
        <v/>
      </c>
    </row>
    <row r="1234" spans="13:54" x14ac:dyDescent="0.25">
      <c r="M1234" s="377"/>
      <c r="BB1234" s="83" t="str">
        <f t="array" ref="BB1234">_xlfn.IFS(AQ1234="","",LEN(AQ1234)-LEN(SUBSTITUTE(AQ1234,".",""))=3,LEFT(AQ1234,vitri(".",AQ1234,3)-1),LEN(AQ1234)-LEN(SUBSTITUTE(AQ1234,".",""))=2,LEFT(AQ1234,vitri(".",AQ1234,2)-1),TRUE,LEFT(AQ1234,vitri(".",AQ1234,1)-1))</f>
        <v/>
      </c>
    </row>
    <row r="1235" spans="13:54" x14ac:dyDescent="0.25">
      <c r="M1235" s="377"/>
      <c r="BB1235" s="83" t="str">
        <f t="array" ref="BB1235">_xlfn.IFS(AQ1235="","",LEN(AQ1235)-LEN(SUBSTITUTE(AQ1235,".",""))=3,LEFT(AQ1235,vitri(".",AQ1235,3)-1),LEN(AQ1235)-LEN(SUBSTITUTE(AQ1235,".",""))=2,LEFT(AQ1235,vitri(".",AQ1235,2)-1),TRUE,LEFT(AQ1235,vitri(".",AQ1235,1)-1))</f>
        <v/>
      </c>
    </row>
    <row r="1236" spans="13:54" x14ac:dyDescent="0.25">
      <c r="M1236" s="377"/>
      <c r="BB1236" s="83" t="str">
        <f t="array" ref="BB1236">_xlfn.IFS(AQ1236="","",LEN(AQ1236)-LEN(SUBSTITUTE(AQ1236,".",""))=3,LEFT(AQ1236,vitri(".",AQ1236,3)-1),LEN(AQ1236)-LEN(SUBSTITUTE(AQ1236,".",""))=2,LEFT(AQ1236,vitri(".",AQ1236,2)-1),TRUE,LEFT(AQ1236,vitri(".",AQ1236,1)-1))</f>
        <v/>
      </c>
    </row>
    <row r="1237" spans="13:54" x14ac:dyDescent="0.25">
      <c r="M1237" s="377"/>
      <c r="BB1237" s="83" t="str">
        <f t="array" ref="BB1237">_xlfn.IFS(AQ1237="","",LEN(AQ1237)-LEN(SUBSTITUTE(AQ1237,".",""))=3,LEFT(AQ1237,vitri(".",AQ1237,3)-1),LEN(AQ1237)-LEN(SUBSTITUTE(AQ1237,".",""))=2,LEFT(AQ1237,vitri(".",AQ1237,2)-1),TRUE,LEFT(AQ1237,vitri(".",AQ1237,1)-1))</f>
        <v/>
      </c>
    </row>
    <row r="1238" spans="13:54" x14ac:dyDescent="0.25">
      <c r="M1238" s="377"/>
      <c r="BB1238" s="83" t="str">
        <f t="array" ref="BB1238">_xlfn.IFS(AQ1238="","",LEN(AQ1238)-LEN(SUBSTITUTE(AQ1238,".",""))=3,LEFT(AQ1238,vitri(".",AQ1238,3)-1),LEN(AQ1238)-LEN(SUBSTITUTE(AQ1238,".",""))=2,LEFT(AQ1238,vitri(".",AQ1238,2)-1),TRUE,LEFT(AQ1238,vitri(".",AQ1238,1)-1))</f>
        <v/>
      </c>
    </row>
    <row r="1239" spans="13:54" x14ac:dyDescent="0.25">
      <c r="M1239" s="377"/>
      <c r="BB1239" s="83" t="str">
        <f t="array" ref="BB1239">_xlfn.IFS(AQ1239="","",LEN(AQ1239)-LEN(SUBSTITUTE(AQ1239,".",""))=3,LEFT(AQ1239,vitri(".",AQ1239,3)-1),LEN(AQ1239)-LEN(SUBSTITUTE(AQ1239,".",""))=2,LEFT(AQ1239,vitri(".",AQ1239,2)-1),TRUE,LEFT(AQ1239,vitri(".",AQ1239,1)-1))</f>
        <v/>
      </c>
    </row>
    <row r="1240" spans="13:54" x14ac:dyDescent="0.25">
      <c r="M1240" s="377"/>
      <c r="BB1240" s="83" t="str">
        <f t="array" ref="BB1240">_xlfn.IFS(AQ1240="","",LEN(AQ1240)-LEN(SUBSTITUTE(AQ1240,".",""))=3,LEFT(AQ1240,vitri(".",AQ1240,3)-1),LEN(AQ1240)-LEN(SUBSTITUTE(AQ1240,".",""))=2,LEFT(AQ1240,vitri(".",AQ1240,2)-1),TRUE,LEFT(AQ1240,vitri(".",AQ1240,1)-1))</f>
        <v/>
      </c>
    </row>
    <row r="1241" spans="13:54" x14ac:dyDescent="0.25">
      <c r="M1241" s="377"/>
      <c r="BB1241" s="83" t="str">
        <f t="array" ref="BB1241">_xlfn.IFS(AQ1241="","",LEN(AQ1241)-LEN(SUBSTITUTE(AQ1241,".",""))=3,LEFT(AQ1241,vitri(".",AQ1241,3)-1),LEN(AQ1241)-LEN(SUBSTITUTE(AQ1241,".",""))=2,LEFT(AQ1241,vitri(".",AQ1241,2)-1),TRUE,LEFT(AQ1241,vitri(".",AQ1241,1)-1))</f>
        <v/>
      </c>
    </row>
    <row r="1242" spans="13:54" x14ac:dyDescent="0.25">
      <c r="M1242" s="377"/>
      <c r="BB1242" s="83" t="str">
        <f t="array" ref="BB1242">_xlfn.IFS(AQ1242="","",LEN(AQ1242)-LEN(SUBSTITUTE(AQ1242,".",""))=3,LEFT(AQ1242,vitri(".",AQ1242,3)-1),LEN(AQ1242)-LEN(SUBSTITUTE(AQ1242,".",""))=2,LEFT(AQ1242,vitri(".",AQ1242,2)-1),TRUE,LEFT(AQ1242,vitri(".",AQ1242,1)-1))</f>
        <v/>
      </c>
    </row>
    <row r="1243" spans="13:54" x14ac:dyDescent="0.25">
      <c r="M1243" s="377"/>
      <c r="BB1243" s="83" t="str">
        <f t="array" ref="BB1243">_xlfn.IFS(AQ1243="","",LEN(AQ1243)-LEN(SUBSTITUTE(AQ1243,".",""))=3,LEFT(AQ1243,vitri(".",AQ1243,3)-1),LEN(AQ1243)-LEN(SUBSTITUTE(AQ1243,".",""))=2,LEFT(AQ1243,vitri(".",AQ1243,2)-1),TRUE,LEFT(AQ1243,vitri(".",AQ1243,1)-1))</f>
        <v/>
      </c>
    </row>
    <row r="1244" spans="13:54" x14ac:dyDescent="0.25">
      <c r="M1244" s="377"/>
      <c r="BB1244" s="83" t="str">
        <f t="array" ref="BB1244">_xlfn.IFS(AQ1244="","",LEN(AQ1244)-LEN(SUBSTITUTE(AQ1244,".",""))=3,LEFT(AQ1244,vitri(".",AQ1244,3)-1),LEN(AQ1244)-LEN(SUBSTITUTE(AQ1244,".",""))=2,LEFT(AQ1244,vitri(".",AQ1244,2)-1),TRUE,LEFT(AQ1244,vitri(".",AQ1244,1)-1))</f>
        <v/>
      </c>
    </row>
    <row r="1245" spans="13:54" x14ac:dyDescent="0.25">
      <c r="M1245" s="377"/>
      <c r="BB1245" s="83" t="str">
        <f t="array" ref="BB1245">_xlfn.IFS(AQ1245="","",LEN(AQ1245)-LEN(SUBSTITUTE(AQ1245,".",""))=3,LEFT(AQ1245,vitri(".",AQ1245,3)-1),LEN(AQ1245)-LEN(SUBSTITUTE(AQ1245,".",""))=2,LEFT(AQ1245,vitri(".",AQ1245,2)-1),TRUE,LEFT(AQ1245,vitri(".",AQ1245,1)-1))</f>
        <v/>
      </c>
    </row>
    <row r="1246" spans="13:54" x14ac:dyDescent="0.25">
      <c r="M1246" s="377"/>
      <c r="BB1246" s="83" t="str">
        <f t="array" ref="BB1246">_xlfn.IFS(AQ1246="","",LEN(AQ1246)-LEN(SUBSTITUTE(AQ1246,".",""))=3,LEFT(AQ1246,vitri(".",AQ1246,3)-1),LEN(AQ1246)-LEN(SUBSTITUTE(AQ1246,".",""))=2,LEFT(AQ1246,vitri(".",AQ1246,2)-1),TRUE,LEFT(AQ1246,vitri(".",AQ1246,1)-1))</f>
        <v/>
      </c>
    </row>
    <row r="1247" spans="13:54" x14ac:dyDescent="0.25">
      <c r="M1247" s="377"/>
      <c r="BB1247" s="83" t="str">
        <f t="array" ref="BB1247">_xlfn.IFS(AQ1247="","",LEN(AQ1247)-LEN(SUBSTITUTE(AQ1247,".",""))=3,LEFT(AQ1247,vitri(".",AQ1247,3)-1),LEN(AQ1247)-LEN(SUBSTITUTE(AQ1247,".",""))=2,LEFT(AQ1247,vitri(".",AQ1247,2)-1),TRUE,LEFT(AQ1247,vitri(".",AQ1247,1)-1))</f>
        <v/>
      </c>
    </row>
    <row r="1248" spans="13:54" x14ac:dyDescent="0.25">
      <c r="M1248" s="377"/>
      <c r="BB1248" s="83" t="str">
        <f t="array" ref="BB1248">_xlfn.IFS(AQ1248="","",LEN(AQ1248)-LEN(SUBSTITUTE(AQ1248,".",""))=3,LEFT(AQ1248,vitri(".",AQ1248,3)-1),LEN(AQ1248)-LEN(SUBSTITUTE(AQ1248,".",""))=2,LEFT(AQ1248,vitri(".",AQ1248,2)-1),TRUE,LEFT(AQ1248,vitri(".",AQ1248,1)-1))</f>
        <v/>
      </c>
    </row>
    <row r="1249" spans="13:54" x14ac:dyDescent="0.25">
      <c r="M1249" s="377"/>
      <c r="BB1249" s="83" t="str">
        <f t="array" ref="BB1249">_xlfn.IFS(AQ1249="","",LEN(AQ1249)-LEN(SUBSTITUTE(AQ1249,".",""))=3,LEFT(AQ1249,vitri(".",AQ1249,3)-1),LEN(AQ1249)-LEN(SUBSTITUTE(AQ1249,".",""))=2,LEFT(AQ1249,vitri(".",AQ1249,2)-1),TRUE,LEFT(AQ1249,vitri(".",AQ1249,1)-1))</f>
        <v/>
      </c>
    </row>
    <row r="1250" spans="13:54" x14ac:dyDescent="0.25">
      <c r="M1250" s="377"/>
      <c r="BB1250" s="83" t="str">
        <f t="array" ref="BB1250">_xlfn.IFS(AQ1250="","",LEN(AQ1250)-LEN(SUBSTITUTE(AQ1250,".",""))=3,LEFT(AQ1250,vitri(".",AQ1250,3)-1),LEN(AQ1250)-LEN(SUBSTITUTE(AQ1250,".",""))=2,LEFT(AQ1250,vitri(".",AQ1250,2)-1),TRUE,LEFT(AQ1250,vitri(".",AQ1250,1)-1))</f>
        <v/>
      </c>
    </row>
    <row r="1251" spans="13:54" x14ac:dyDescent="0.25">
      <c r="M1251" s="377"/>
      <c r="BB1251" s="83" t="str">
        <f t="array" ref="BB1251">_xlfn.IFS(AQ1251="","",LEN(AQ1251)-LEN(SUBSTITUTE(AQ1251,".",""))=3,LEFT(AQ1251,vitri(".",AQ1251,3)-1),LEN(AQ1251)-LEN(SUBSTITUTE(AQ1251,".",""))=2,LEFT(AQ1251,vitri(".",AQ1251,2)-1),TRUE,LEFT(AQ1251,vitri(".",AQ1251,1)-1))</f>
        <v/>
      </c>
    </row>
    <row r="1252" spans="13:54" x14ac:dyDescent="0.25">
      <c r="M1252" s="377"/>
      <c r="BB1252" s="83" t="str">
        <f t="array" ref="BB1252">_xlfn.IFS(AQ1252="","",LEN(AQ1252)-LEN(SUBSTITUTE(AQ1252,".",""))=3,LEFT(AQ1252,vitri(".",AQ1252,3)-1),LEN(AQ1252)-LEN(SUBSTITUTE(AQ1252,".",""))=2,LEFT(AQ1252,vitri(".",AQ1252,2)-1),TRUE,LEFT(AQ1252,vitri(".",AQ1252,1)-1))</f>
        <v/>
      </c>
    </row>
    <row r="1253" spans="13:54" x14ac:dyDescent="0.25">
      <c r="M1253" s="377"/>
      <c r="BB1253" s="83" t="str">
        <f t="array" ref="BB1253">_xlfn.IFS(AQ1253="","",LEN(AQ1253)-LEN(SUBSTITUTE(AQ1253,".",""))=3,LEFT(AQ1253,vitri(".",AQ1253,3)-1),LEN(AQ1253)-LEN(SUBSTITUTE(AQ1253,".",""))=2,LEFT(AQ1253,vitri(".",AQ1253,2)-1),TRUE,LEFT(AQ1253,vitri(".",AQ1253,1)-1))</f>
        <v/>
      </c>
    </row>
    <row r="1254" spans="13:54" x14ac:dyDescent="0.25">
      <c r="M1254" s="377"/>
      <c r="BB1254" s="83" t="str">
        <f t="array" ref="BB1254">_xlfn.IFS(AQ1254="","",LEN(AQ1254)-LEN(SUBSTITUTE(AQ1254,".",""))=3,LEFT(AQ1254,vitri(".",AQ1254,3)-1),LEN(AQ1254)-LEN(SUBSTITUTE(AQ1254,".",""))=2,LEFT(AQ1254,vitri(".",AQ1254,2)-1),TRUE,LEFT(AQ1254,vitri(".",AQ1254,1)-1))</f>
        <v/>
      </c>
    </row>
    <row r="1255" spans="13:54" x14ac:dyDescent="0.25">
      <c r="M1255" s="377"/>
      <c r="BB1255" s="83" t="str">
        <f t="array" ref="BB1255">_xlfn.IFS(AQ1255="","",LEN(AQ1255)-LEN(SUBSTITUTE(AQ1255,".",""))=3,LEFT(AQ1255,vitri(".",AQ1255,3)-1),LEN(AQ1255)-LEN(SUBSTITUTE(AQ1255,".",""))=2,LEFT(AQ1255,vitri(".",AQ1255,2)-1),TRUE,LEFT(AQ1255,vitri(".",AQ1255,1)-1))</f>
        <v/>
      </c>
    </row>
    <row r="1256" spans="13:54" x14ac:dyDescent="0.25">
      <c r="M1256" s="377"/>
      <c r="BB1256" s="83" t="str">
        <f t="array" ref="BB1256">_xlfn.IFS(AQ1256="","",LEN(AQ1256)-LEN(SUBSTITUTE(AQ1256,".",""))=3,LEFT(AQ1256,vitri(".",AQ1256,3)-1),LEN(AQ1256)-LEN(SUBSTITUTE(AQ1256,".",""))=2,LEFT(AQ1256,vitri(".",AQ1256,2)-1),TRUE,LEFT(AQ1256,vitri(".",AQ1256,1)-1))</f>
        <v/>
      </c>
    </row>
    <row r="1257" spans="13:54" x14ac:dyDescent="0.25">
      <c r="M1257" s="377"/>
      <c r="BB1257" s="83" t="str">
        <f t="array" ref="BB1257">_xlfn.IFS(AQ1257="","",LEN(AQ1257)-LEN(SUBSTITUTE(AQ1257,".",""))=3,LEFT(AQ1257,vitri(".",AQ1257,3)-1),LEN(AQ1257)-LEN(SUBSTITUTE(AQ1257,".",""))=2,LEFT(AQ1257,vitri(".",AQ1257,2)-1),TRUE,LEFT(AQ1257,vitri(".",AQ1257,1)-1))</f>
        <v/>
      </c>
    </row>
    <row r="1258" spans="13:54" x14ac:dyDescent="0.25">
      <c r="M1258" s="377"/>
      <c r="BB1258" s="83" t="str">
        <f t="array" ref="BB1258">_xlfn.IFS(AQ1258="","",LEN(AQ1258)-LEN(SUBSTITUTE(AQ1258,".",""))=3,LEFT(AQ1258,vitri(".",AQ1258,3)-1),LEN(AQ1258)-LEN(SUBSTITUTE(AQ1258,".",""))=2,LEFT(AQ1258,vitri(".",AQ1258,2)-1),TRUE,LEFT(AQ1258,vitri(".",AQ1258,1)-1))</f>
        <v/>
      </c>
    </row>
    <row r="1259" spans="13:54" x14ac:dyDescent="0.25">
      <c r="M1259" s="377"/>
      <c r="BB1259" s="83" t="str">
        <f t="array" ref="BB1259">_xlfn.IFS(AQ1259="","",LEN(AQ1259)-LEN(SUBSTITUTE(AQ1259,".",""))=3,LEFT(AQ1259,vitri(".",AQ1259,3)-1),LEN(AQ1259)-LEN(SUBSTITUTE(AQ1259,".",""))=2,LEFT(AQ1259,vitri(".",AQ1259,2)-1),TRUE,LEFT(AQ1259,vitri(".",AQ1259,1)-1))</f>
        <v/>
      </c>
    </row>
    <row r="1260" spans="13:54" x14ac:dyDescent="0.25">
      <c r="M1260" s="377"/>
      <c r="BB1260" s="83" t="str">
        <f t="array" ref="BB1260">_xlfn.IFS(AQ1260="","",LEN(AQ1260)-LEN(SUBSTITUTE(AQ1260,".",""))=3,LEFT(AQ1260,vitri(".",AQ1260,3)-1),LEN(AQ1260)-LEN(SUBSTITUTE(AQ1260,".",""))=2,LEFT(AQ1260,vitri(".",AQ1260,2)-1),TRUE,LEFT(AQ1260,vitri(".",AQ1260,1)-1))</f>
        <v/>
      </c>
    </row>
    <row r="1261" spans="13:54" x14ac:dyDescent="0.25">
      <c r="M1261" s="377"/>
      <c r="BB1261" s="83" t="str">
        <f t="array" ref="BB1261">_xlfn.IFS(AQ1261="","",LEN(AQ1261)-LEN(SUBSTITUTE(AQ1261,".",""))=3,LEFT(AQ1261,vitri(".",AQ1261,3)-1),LEN(AQ1261)-LEN(SUBSTITUTE(AQ1261,".",""))=2,LEFT(AQ1261,vitri(".",AQ1261,2)-1),TRUE,LEFT(AQ1261,vitri(".",AQ1261,1)-1))</f>
        <v/>
      </c>
    </row>
    <row r="1262" spans="13:54" x14ac:dyDescent="0.25">
      <c r="M1262" s="377"/>
      <c r="BB1262" s="83" t="str">
        <f t="array" ref="BB1262">_xlfn.IFS(AQ1262="","",LEN(AQ1262)-LEN(SUBSTITUTE(AQ1262,".",""))=3,LEFT(AQ1262,vitri(".",AQ1262,3)-1),LEN(AQ1262)-LEN(SUBSTITUTE(AQ1262,".",""))=2,LEFT(AQ1262,vitri(".",AQ1262,2)-1),TRUE,LEFT(AQ1262,vitri(".",AQ1262,1)-1))</f>
        <v/>
      </c>
    </row>
    <row r="1263" spans="13:54" x14ac:dyDescent="0.25">
      <c r="M1263" s="377"/>
      <c r="BB1263" s="83" t="str">
        <f t="array" ref="BB1263">_xlfn.IFS(AQ1263="","",LEN(AQ1263)-LEN(SUBSTITUTE(AQ1263,".",""))=3,LEFT(AQ1263,vitri(".",AQ1263,3)-1),LEN(AQ1263)-LEN(SUBSTITUTE(AQ1263,".",""))=2,LEFT(AQ1263,vitri(".",AQ1263,2)-1),TRUE,LEFT(AQ1263,vitri(".",AQ1263,1)-1))</f>
        <v/>
      </c>
    </row>
    <row r="1264" spans="13:54" x14ac:dyDescent="0.25">
      <c r="M1264" s="377"/>
      <c r="BB1264" s="83" t="str">
        <f t="array" ref="BB1264">_xlfn.IFS(AQ1264="","",LEN(AQ1264)-LEN(SUBSTITUTE(AQ1264,".",""))=3,LEFT(AQ1264,vitri(".",AQ1264,3)-1),LEN(AQ1264)-LEN(SUBSTITUTE(AQ1264,".",""))=2,LEFT(AQ1264,vitri(".",AQ1264,2)-1),TRUE,LEFT(AQ1264,vitri(".",AQ1264,1)-1))</f>
        <v/>
      </c>
    </row>
    <row r="1265" spans="13:54" x14ac:dyDescent="0.25">
      <c r="M1265" s="377"/>
      <c r="BB1265" s="83" t="str">
        <f t="array" ref="BB1265">_xlfn.IFS(AQ1265="","",LEN(AQ1265)-LEN(SUBSTITUTE(AQ1265,".",""))=3,LEFT(AQ1265,vitri(".",AQ1265,3)-1),LEN(AQ1265)-LEN(SUBSTITUTE(AQ1265,".",""))=2,LEFT(AQ1265,vitri(".",AQ1265,2)-1),TRUE,LEFT(AQ1265,vitri(".",AQ1265,1)-1))</f>
        <v/>
      </c>
    </row>
    <row r="1266" spans="13:54" x14ac:dyDescent="0.25">
      <c r="M1266" s="377"/>
      <c r="BB1266" s="83" t="str">
        <f t="array" ref="BB1266">_xlfn.IFS(AQ1266="","",LEN(AQ1266)-LEN(SUBSTITUTE(AQ1266,".",""))=3,LEFT(AQ1266,vitri(".",AQ1266,3)-1),LEN(AQ1266)-LEN(SUBSTITUTE(AQ1266,".",""))=2,LEFT(AQ1266,vitri(".",AQ1266,2)-1),TRUE,LEFT(AQ1266,vitri(".",AQ1266,1)-1))</f>
        <v/>
      </c>
    </row>
    <row r="1267" spans="13:54" x14ac:dyDescent="0.25">
      <c r="M1267" s="377"/>
      <c r="BB1267" s="83" t="str">
        <f t="array" ref="BB1267">_xlfn.IFS(AQ1267="","",LEN(AQ1267)-LEN(SUBSTITUTE(AQ1267,".",""))=3,LEFT(AQ1267,vitri(".",AQ1267,3)-1),LEN(AQ1267)-LEN(SUBSTITUTE(AQ1267,".",""))=2,LEFT(AQ1267,vitri(".",AQ1267,2)-1),TRUE,LEFT(AQ1267,vitri(".",AQ1267,1)-1))</f>
        <v/>
      </c>
    </row>
    <row r="1268" spans="13:54" x14ac:dyDescent="0.25">
      <c r="M1268" s="377"/>
      <c r="BB1268" s="83" t="str">
        <f t="array" ref="BB1268">_xlfn.IFS(AQ1268="","",LEN(AQ1268)-LEN(SUBSTITUTE(AQ1268,".",""))=3,LEFT(AQ1268,vitri(".",AQ1268,3)-1),LEN(AQ1268)-LEN(SUBSTITUTE(AQ1268,".",""))=2,LEFT(AQ1268,vitri(".",AQ1268,2)-1),TRUE,LEFT(AQ1268,vitri(".",AQ1268,1)-1))</f>
        <v/>
      </c>
    </row>
    <row r="1269" spans="13:54" x14ac:dyDescent="0.25">
      <c r="M1269" s="377"/>
      <c r="BB1269" s="83" t="str">
        <f t="array" ref="BB1269">_xlfn.IFS(AQ1269="","",LEN(AQ1269)-LEN(SUBSTITUTE(AQ1269,".",""))=3,LEFT(AQ1269,vitri(".",AQ1269,3)-1),LEN(AQ1269)-LEN(SUBSTITUTE(AQ1269,".",""))=2,LEFT(AQ1269,vitri(".",AQ1269,2)-1),TRUE,LEFT(AQ1269,vitri(".",AQ1269,1)-1))</f>
        <v/>
      </c>
    </row>
    <row r="1270" spans="13:54" x14ac:dyDescent="0.25">
      <c r="M1270" s="377"/>
      <c r="BB1270" s="83" t="str">
        <f t="array" ref="BB1270">_xlfn.IFS(AQ1270="","",LEN(AQ1270)-LEN(SUBSTITUTE(AQ1270,".",""))=3,LEFT(AQ1270,vitri(".",AQ1270,3)-1),LEN(AQ1270)-LEN(SUBSTITUTE(AQ1270,".",""))=2,LEFT(AQ1270,vitri(".",AQ1270,2)-1),TRUE,LEFT(AQ1270,vitri(".",AQ1270,1)-1))</f>
        <v/>
      </c>
    </row>
    <row r="1271" spans="13:54" x14ac:dyDescent="0.25">
      <c r="M1271" s="377"/>
      <c r="BB1271" s="83" t="str">
        <f t="array" ref="BB1271">_xlfn.IFS(AQ1271="","",LEN(AQ1271)-LEN(SUBSTITUTE(AQ1271,".",""))=3,LEFT(AQ1271,vitri(".",AQ1271,3)-1),LEN(AQ1271)-LEN(SUBSTITUTE(AQ1271,".",""))=2,LEFT(AQ1271,vitri(".",AQ1271,2)-1),TRUE,LEFT(AQ1271,vitri(".",AQ1271,1)-1))</f>
        <v/>
      </c>
    </row>
    <row r="1272" spans="13:54" x14ac:dyDescent="0.25">
      <c r="M1272" s="377"/>
      <c r="BB1272" s="83" t="str">
        <f t="array" ref="BB1272">_xlfn.IFS(AQ1272="","",LEN(AQ1272)-LEN(SUBSTITUTE(AQ1272,".",""))=3,LEFT(AQ1272,vitri(".",AQ1272,3)-1),LEN(AQ1272)-LEN(SUBSTITUTE(AQ1272,".",""))=2,LEFT(AQ1272,vitri(".",AQ1272,2)-1),TRUE,LEFT(AQ1272,vitri(".",AQ1272,1)-1))</f>
        <v/>
      </c>
    </row>
    <row r="1273" spans="13:54" x14ac:dyDescent="0.25">
      <c r="M1273" s="377"/>
      <c r="BB1273" s="83" t="str">
        <f t="array" ref="BB1273">_xlfn.IFS(AQ1273="","",LEN(AQ1273)-LEN(SUBSTITUTE(AQ1273,".",""))=3,LEFT(AQ1273,vitri(".",AQ1273,3)-1),LEN(AQ1273)-LEN(SUBSTITUTE(AQ1273,".",""))=2,LEFT(AQ1273,vitri(".",AQ1273,2)-1),TRUE,LEFT(AQ1273,vitri(".",AQ1273,1)-1))</f>
        <v/>
      </c>
    </row>
    <row r="1274" spans="13:54" x14ac:dyDescent="0.25">
      <c r="M1274" s="377"/>
      <c r="BB1274" s="83" t="str">
        <f t="array" ref="BB1274">_xlfn.IFS(AQ1274="","",LEN(AQ1274)-LEN(SUBSTITUTE(AQ1274,".",""))=3,LEFT(AQ1274,vitri(".",AQ1274,3)-1),LEN(AQ1274)-LEN(SUBSTITUTE(AQ1274,".",""))=2,LEFT(AQ1274,vitri(".",AQ1274,2)-1),TRUE,LEFT(AQ1274,vitri(".",AQ1274,1)-1))</f>
        <v/>
      </c>
    </row>
    <row r="1275" spans="13:54" x14ac:dyDescent="0.25">
      <c r="M1275" s="377"/>
      <c r="BB1275" s="83" t="str">
        <f t="array" ref="BB1275">_xlfn.IFS(AQ1275="","",LEN(AQ1275)-LEN(SUBSTITUTE(AQ1275,".",""))=3,LEFT(AQ1275,vitri(".",AQ1275,3)-1),LEN(AQ1275)-LEN(SUBSTITUTE(AQ1275,".",""))=2,LEFT(AQ1275,vitri(".",AQ1275,2)-1),TRUE,LEFT(AQ1275,vitri(".",AQ1275,1)-1))</f>
        <v/>
      </c>
    </row>
    <row r="1276" spans="13:54" x14ac:dyDescent="0.25">
      <c r="M1276" s="377"/>
      <c r="BB1276" s="83" t="str">
        <f t="array" ref="BB1276">_xlfn.IFS(AQ1276="","",LEN(AQ1276)-LEN(SUBSTITUTE(AQ1276,".",""))=3,LEFT(AQ1276,vitri(".",AQ1276,3)-1),LEN(AQ1276)-LEN(SUBSTITUTE(AQ1276,".",""))=2,LEFT(AQ1276,vitri(".",AQ1276,2)-1),TRUE,LEFT(AQ1276,vitri(".",AQ1276,1)-1))</f>
        <v/>
      </c>
    </row>
    <row r="1277" spans="13:54" x14ac:dyDescent="0.25">
      <c r="M1277" s="377"/>
      <c r="BB1277" s="83" t="str">
        <f t="array" ref="BB1277">_xlfn.IFS(AQ1277="","",LEN(AQ1277)-LEN(SUBSTITUTE(AQ1277,".",""))=3,LEFT(AQ1277,vitri(".",AQ1277,3)-1),LEN(AQ1277)-LEN(SUBSTITUTE(AQ1277,".",""))=2,LEFT(AQ1277,vitri(".",AQ1277,2)-1),TRUE,LEFT(AQ1277,vitri(".",AQ1277,1)-1))</f>
        <v/>
      </c>
    </row>
    <row r="1278" spans="13:54" x14ac:dyDescent="0.25">
      <c r="M1278" s="377"/>
      <c r="BB1278" s="83" t="str">
        <f t="array" ref="BB1278">_xlfn.IFS(AQ1278="","",LEN(AQ1278)-LEN(SUBSTITUTE(AQ1278,".",""))=3,LEFT(AQ1278,vitri(".",AQ1278,3)-1),LEN(AQ1278)-LEN(SUBSTITUTE(AQ1278,".",""))=2,LEFT(AQ1278,vitri(".",AQ1278,2)-1),TRUE,LEFT(AQ1278,vitri(".",AQ1278,1)-1))</f>
        <v/>
      </c>
    </row>
    <row r="1279" spans="13:54" x14ac:dyDescent="0.25">
      <c r="M1279" s="377"/>
      <c r="BB1279" s="83" t="str">
        <f t="array" ref="BB1279">_xlfn.IFS(AQ1279="","",LEN(AQ1279)-LEN(SUBSTITUTE(AQ1279,".",""))=3,LEFT(AQ1279,vitri(".",AQ1279,3)-1),LEN(AQ1279)-LEN(SUBSTITUTE(AQ1279,".",""))=2,LEFT(AQ1279,vitri(".",AQ1279,2)-1),TRUE,LEFT(AQ1279,vitri(".",AQ1279,1)-1))</f>
        <v/>
      </c>
    </row>
    <row r="1280" spans="13:54" x14ac:dyDescent="0.25">
      <c r="M1280" s="377"/>
      <c r="BB1280" s="83" t="str">
        <f t="array" ref="BB1280">_xlfn.IFS(AQ1280="","",LEN(AQ1280)-LEN(SUBSTITUTE(AQ1280,".",""))=3,LEFT(AQ1280,vitri(".",AQ1280,3)-1),LEN(AQ1280)-LEN(SUBSTITUTE(AQ1280,".",""))=2,LEFT(AQ1280,vitri(".",AQ1280,2)-1),TRUE,LEFT(AQ1280,vitri(".",AQ1280,1)-1))</f>
        <v/>
      </c>
    </row>
    <row r="1281" spans="13:54" x14ac:dyDescent="0.25">
      <c r="M1281" s="377"/>
      <c r="BB1281" s="83" t="str">
        <f t="array" ref="BB1281">_xlfn.IFS(AQ1281="","",LEN(AQ1281)-LEN(SUBSTITUTE(AQ1281,".",""))=3,LEFT(AQ1281,vitri(".",AQ1281,3)-1),LEN(AQ1281)-LEN(SUBSTITUTE(AQ1281,".",""))=2,LEFT(AQ1281,vitri(".",AQ1281,2)-1),TRUE,LEFT(AQ1281,vitri(".",AQ1281,1)-1))</f>
        <v/>
      </c>
    </row>
    <row r="1282" spans="13:54" x14ac:dyDescent="0.25">
      <c r="M1282" s="377"/>
      <c r="BB1282" s="83" t="str">
        <f t="array" ref="BB1282">_xlfn.IFS(AQ1282="","",LEN(AQ1282)-LEN(SUBSTITUTE(AQ1282,".",""))=3,LEFT(AQ1282,vitri(".",AQ1282,3)-1),LEN(AQ1282)-LEN(SUBSTITUTE(AQ1282,".",""))=2,LEFT(AQ1282,vitri(".",AQ1282,2)-1),TRUE,LEFT(AQ1282,vitri(".",AQ1282,1)-1))</f>
        <v/>
      </c>
    </row>
    <row r="1283" spans="13:54" x14ac:dyDescent="0.25">
      <c r="M1283" s="377"/>
      <c r="BB1283" s="83" t="str">
        <f t="array" ref="BB1283">_xlfn.IFS(AQ1283="","",LEN(AQ1283)-LEN(SUBSTITUTE(AQ1283,".",""))=3,LEFT(AQ1283,vitri(".",AQ1283,3)-1),LEN(AQ1283)-LEN(SUBSTITUTE(AQ1283,".",""))=2,LEFT(AQ1283,vitri(".",AQ1283,2)-1),TRUE,LEFT(AQ1283,vitri(".",AQ1283,1)-1))</f>
        <v/>
      </c>
    </row>
    <row r="1284" spans="13:54" x14ac:dyDescent="0.25">
      <c r="M1284" s="377"/>
      <c r="BB1284" s="83" t="str">
        <f t="array" ref="BB1284">_xlfn.IFS(AQ1284="","",LEN(AQ1284)-LEN(SUBSTITUTE(AQ1284,".",""))=3,LEFT(AQ1284,vitri(".",AQ1284,3)-1),LEN(AQ1284)-LEN(SUBSTITUTE(AQ1284,".",""))=2,LEFT(AQ1284,vitri(".",AQ1284,2)-1),TRUE,LEFT(AQ1284,vitri(".",AQ1284,1)-1))</f>
        <v/>
      </c>
    </row>
    <row r="1285" spans="13:54" x14ac:dyDescent="0.25">
      <c r="M1285" s="377"/>
      <c r="BB1285" s="83" t="str">
        <f t="array" ref="BB1285">_xlfn.IFS(AQ1285="","",LEN(AQ1285)-LEN(SUBSTITUTE(AQ1285,".",""))=3,LEFT(AQ1285,vitri(".",AQ1285,3)-1),LEN(AQ1285)-LEN(SUBSTITUTE(AQ1285,".",""))=2,LEFT(AQ1285,vitri(".",AQ1285,2)-1),TRUE,LEFT(AQ1285,vitri(".",AQ1285,1)-1))</f>
        <v/>
      </c>
    </row>
    <row r="1286" spans="13:54" x14ac:dyDescent="0.25">
      <c r="M1286" s="377"/>
      <c r="BB1286" s="83" t="str">
        <f t="array" ref="BB1286">_xlfn.IFS(AQ1286="","",LEN(AQ1286)-LEN(SUBSTITUTE(AQ1286,".",""))=3,LEFT(AQ1286,vitri(".",AQ1286,3)-1),LEN(AQ1286)-LEN(SUBSTITUTE(AQ1286,".",""))=2,LEFT(AQ1286,vitri(".",AQ1286,2)-1),TRUE,LEFT(AQ1286,vitri(".",AQ1286,1)-1))</f>
        <v/>
      </c>
    </row>
    <row r="1287" spans="13:54" x14ac:dyDescent="0.25">
      <c r="M1287" s="377"/>
      <c r="BB1287" s="83" t="str">
        <f t="array" ref="BB1287">_xlfn.IFS(AQ1287="","",LEN(AQ1287)-LEN(SUBSTITUTE(AQ1287,".",""))=3,LEFT(AQ1287,vitri(".",AQ1287,3)-1),LEN(AQ1287)-LEN(SUBSTITUTE(AQ1287,".",""))=2,LEFT(AQ1287,vitri(".",AQ1287,2)-1),TRUE,LEFT(AQ1287,vitri(".",AQ1287,1)-1))</f>
        <v/>
      </c>
    </row>
    <row r="1288" spans="13:54" x14ac:dyDescent="0.25">
      <c r="M1288" s="377"/>
      <c r="BB1288" s="83" t="str">
        <f t="array" ref="BB1288">_xlfn.IFS(AQ1288="","",LEN(AQ1288)-LEN(SUBSTITUTE(AQ1288,".",""))=3,LEFT(AQ1288,vitri(".",AQ1288,3)-1),LEN(AQ1288)-LEN(SUBSTITUTE(AQ1288,".",""))=2,LEFT(AQ1288,vitri(".",AQ1288,2)-1),TRUE,LEFT(AQ1288,vitri(".",AQ1288,1)-1))</f>
        <v/>
      </c>
    </row>
    <row r="1289" spans="13:54" x14ac:dyDescent="0.25">
      <c r="M1289" s="377"/>
      <c r="BB1289" s="83" t="str">
        <f t="array" ref="BB1289">_xlfn.IFS(AQ1289="","",LEN(AQ1289)-LEN(SUBSTITUTE(AQ1289,".",""))=3,LEFT(AQ1289,vitri(".",AQ1289,3)-1),LEN(AQ1289)-LEN(SUBSTITUTE(AQ1289,".",""))=2,LEFT(AQ1289,vitri(".",AQ1289,2)-1),TRUE,LEFT(AQ1289,vitri(".",AQ1289,1)-1))</f>
        <v/>
      </c>
    </row>
    <row r="1290" spans="13:54" x14ac:dyDescent="0.25">
      <c r="M1290" s="377"/>
      <c r="BB1290" s="83" t="str">
        <f t="array" ref="BB1290">_xlfn.IFS(AQ1290="","",LEN(AQ1290)-LEN(SUBSTITUTE(AQ1290,".",""))=3,LEFT(AQ1290,vitri(".",AQ1290,3)-1),LEN(AQ1290)-LEN(SUBSTITUTE(AQ1290,".",""))=2,LEFT(AQ1290,vitri(".",AQ1290,2)-1),TRUE,LEFT(AQ1290,vitri(".",AQ1290,1)-1))</f>
        <v/>
      </c>
    </row>
    <row r="1291" spans="13:54" x14ac:dyDescent="0.25">
      <c r="M1291" s="377"/>
      <c r="BB1291" s="83" t="str">
        <f t="array" ref="BB1291">_xlfn.IFS(AQ1291="","",LEN(AQ1291)-LEN(SUBSTITUTE(AQ1291,".",""))=3,LEFT(AQ1291,vitri(".",AQ1291,3)-1),LEN(AQ1291)-LEN(SUBSTITUTE(AQ1291,".",""))=2,LEFT(AQ1291,vitri(".",AQ1291,2)-1),TRUE,LEFT(AQ1291,vitri(".",AQ1291,1)-1))</f>
        <v/>
      </c>
    </row>
    <row r="1292" spans="13:54" x14ac:dyDescent="0.25">
      <c r="M1292" s="377"/>
      <c r="BB1292" s="83" t="str">
        <f t="array" ref="BB1292">_xlfn.IFS(AQ1292="","",LEN(AQ1292)-LEN(SUBSTITUTE(AQ1292,".",""))=3,LEFT(AQ1292,vitri(".",AQ1292,3)-1),LEN(AQ1292)-LEN(SUBSTITUTE(AQ1292,".",""))=2,LEFT(AQ1292,vitri(".",AQ1292,2)-1),TRUE,LEFT(AQ1292,vitri(".",AQ1292,1)-1))</f>
        <v/>
      </c>
    </row>
    <row r="1293" spans="13:54" x14ac:dyDescent="0.25">
      <c r="M1293" s="377"/>
      <c r="BB1293" s="83" t="str">
        <f t="array" ref="BB1293">_xlfn.IFS(AQ1293="","",LEN(AQ1293)-LEN(SUBSTITUTE(AQ1293,".",""))=3,LEFT(AQ1293,vitri(".",AQ1293,3)-1),LEN(AQ1293)-LEN(SUBSTITUTE(AQ1293,".",""))=2,LEFT(AQ1293,vitri(".",AQ1293,2)-1),TRUE,LEFT(AQ1293,vitri(".",AQ1293,1)-1))</f>
        <v/>
      </c>
    </row>
    <row r="1294" spans="13:54" x14ac:dyDescent="0.25">
      <c r="M1294" s="377"/>
      <c r="BB1294" s="83" t="str">
        <f t="array" ref="BB1294">_xlfn.IFS(AQ1294="","",LEN(AQ1294)-LEN(SUBSTITUTE(AQ1294,".",""))=3,LEFT(AQ1294,vitri(".",AQ1294,3)-1),LEN(AQ1294)-LEN(SUBSTITUTE(AQ1294,".",""))=2,LEFT(AQ1294,vitri(".",AQ1294,2)-1),TRUE,LEFT(AQ1294,vitri(".",AQ1294,1)-1))</f>
        <v/>
      </c>
    </row>
    <row r="1295" spans="13:54" x14ac:dyDescent="0.25">
      <c r="M1295" s="377"/>
      <c r="BB1295" s="83" t="str">
        <f t="array" ref="BB1295">_xlfn.IFS(AQ1295="","",LEN(AQ1295)-LEN(SUBSTITUTE(AQ1295,".",""))=3,LEFT(AQ1295,vitri(".",AQ1295,3)-1),LEN(AQ1295)-LEN(SUBSTITUTE(AQ1295,".",""))=2,LEFT(AQ1295,vitri(".",AQ1295,2)-1),TRUE,LEFT(AQ1295,vitri(".",AQ1295,1)-1))</f>
        <v/>
      </c>
    </row>
    <row r="1296" spans="13:54" x14ac:dyDescent="0.25">
      <c r="M1296" s="377"/>
      <c r="BB1296" s="83" t="str">
        <f t="array" ref="BB1296">_xlfn.IFS(AQ1296="","",LEN(AQ1296)-LEN(SUBSTITUTE(AQ1296,".",""))=3,LEFT(AQ1296,vitri(".",AQ1296,3)-1),LEN(AQ1296)-LEN(SUBSTITUTE(AQ1296,".",""))=2,LEFT(AQ1296,vitri(".",AQ1296,2)-1),TRUE,LEFT(AQ1296,vitri(".",AQ1296,1)-1))</f>
        <v/>
      </c>
    </row>
    <row r="1297" spans="13:54" x14ac:dyDescent="0.25">
      <c r="M1297" s="377"/>
      <c r="BB1297" s="83" t="str">
        <f t="array" ref="BB1297">_xlfn.IFS(AQ1297="","",LEN(AQ1297)-LEN(SUBSTITUTE(AQ1297,".",""))=3,LEFT(AQ1297,vitri(".",AQ1297,3)-1),LEN(AQ1297)-LEN(SUBSTITUTE(AQ1297,".",""))=2,LEFT(AQ1297,vitri(".",AQ1297,2)-1),TRUE,LEFT(AQ1297,vitri(".",AQ1297,1)-1))</f>
        <v/>
      </c>
    </row>
    <row r="1298" spans="13:54" x14ac:dyDescent="0.25">
      <c r="M1298" s="377"/>
      <c r="BB1298" s="83" t="str">
        <f t="array" ref="BB1298">_xlfn.IFS(AQ1298="","",LEN(AQ1298)-LEN(SUBSTITUTE(AQ1298,".",""))=3,LEFT(AQ1298,vitri(".",AQ1298,3)-1),LEN(AQ1298)-LEN(SUBSTITUTE(AQ1298,".",""))=2,LEFT(AQ1298,vitri(".",AQ1298,2)-1),TRUE,LEFT(AQ1298,vitri(".",AQ1298,1)-1))</f>
        <v/>
      </c>
    </row>
    <row r="1299" spans="13:54" x14ac:dyDescent="0.25">
      <c r="M1299" s="377"/>
      <c r="BB1299" s="83" t="str">
        <f t="array" ref="BB1299">_xlfn.IFS(AQ1299="","",LEN(AQ1299)-LEN(SUBSTITUTE(AQ1299,".",""))=3,LEFT(AQ1299,vitri(".",AQ1299,3)-1),LEN(AQ1299)-LEN(SUBSTITUTE(AQ1299,".",""))=2,LEFT(AQ1299,vitri(".",AQ1299,2)-1),TRUE,LEFT(AQ1299,vitri(".",AQ1299,1)-1))</f>
        <v/>
      </c>
    </row>
    <row r="1300" spans="13:54" x14ac:dyDescent="0.25">
      <c r="M1300" s="377"/>
      <c r="BB1300" s="83" t="str">
        <f t="array" ref="BB1300">_xlfn.IFS(AQ1300="","",LEN(AQ1300)-LEN(SUBSTITUTE(AQ1300,".",""))=3,LEFT(AQ1300,vitri(".",AQ1300,3)-1),LEN(AQ1300)-LEN(SUBSTITUTE(AQ1300,".",""))=2,LEFT(AQ1300,vitri(".",AQ1300,2)-1),TRUE,LEFT(AQ1300,vitri(".",AQ1300,1)-1))</f>
        <v/>
      </c>
    </row>
    <row r="1301" spans="13:54" x14ac:dyDescent="0.25">
      <c r="M1301" s="377"/>
      <c r="BB1301" s="83" t="str">
        <f t="array" ref="BB1301">_xlfn.IFS(AQ1301="","",LEN(AQ1301)-LEN(SUBSTITUTE(AQ1301,".",""))=3,LEFT(AQ1301,vitri(".",AQ1301,3)-1),LEN(AQ1301)-LEN(SUBSTITUTE(AQ1301,".",""))=2,LEFT(AQ1301,vitri(".",AQ1301,2)-1),TRUE,LEFT(AQ1301,vitri(".",AQ1301,1)-1))</f>
        <v/>
      </c>
    </row>
    <row r="1302" spans="13:54" x14ac:dyDescent="0.25">
      <c r="M1302" s="377"/>
      <c r="BB1302" s="83" t="str">
        <f t="array" ref="BB1302">_xlfn.IFS(AQ1302="","",LEN(AQ1302)-LEN(SUBSTITUTE(AQ1302,".",""))=3,LEFT(AQ1302,vitri(".",AQ1302,3)-1),LEN(AQ1302)-LEN(SUBSTITUTE(AQ1302,".",""))=2,LEFT(AQ1302,vitri(".",AQ1302,2)-1),TRUE,LEFT(AQ1302,vitri(".",AQ1302,1)-1))</f>
        <v/>
      </c>
    </row>
    <row r="1303" spans="13:54" x14ac:dyDescent="0.25">
      <c r="M1303" s="377"/>
      <c r="BB1303" s="83" t="str">
        <f t="array" ref="BB1303">_xlfn.IFS(AQ1303="","",LEN(AQ1303)-LEN(SUBSTITUTE(AQ1303,".",""))=3,LEFT(AQ1303,vitri(".",AQ1303,3)-1),LEN(AQ1303)-LEN(SUBSTITUTE(AQ1303,".",""))=2,LEFT(AQ1303,vitri(".",AQ1303,2)-1),TRUE,LEFT(AQ1303,vitri(".",AQ1303,1)-1))</f>
        <v/>
      </c>
    </row>
    <row r="1304" spans="13:54" x14ac:dyDescent="0.25">
      <c r="M1304" s="377"/>
      <c r="BB1304" s="83" t="str">
        <f t="array" ref="BB1304">_xlfn.IFS(AQ1304="","",LEN(AQ1304)-LEN(SUBSTITUTE(AQ1304,".",""))=3,LEFT(AQ1304,vitri(".",AQ1304,3)-1),LEN(AQ1304)-LEN(SUBSTITUTE(AQ1304,".",""))=2,LEFT(AQ1304,vitri(".",AQ1304,2)-1),TRUE,LEFT(AQ1304,vitri(".",AQ1304,1)-1))</f>
        <v/>
      </c>
    </row>
    <row r="1305" spans="13:54" x14ac:dyDescent="0.25">
      <c r="M1305" s="377"/>
      <c r="BB1305" s="83" t="str">
        <f t="array" ref="BB1305">_xlfn.IFS(AQ1305="","",LEN(AQ1305)-LEN(SUBSTITUTE(AQ1305,".",""))=3,LEFT(AQ1305,vitri(".",AQ1305,3)-1),LEN(AQ1305)-LEN(SUBSTITUTE(AQ1305,".",""))=2,LEFT(AQ1305,vitri(".",AQ1305,2)-1),TRUE,LEFT(AQ1305,vitri(".",AQ1305,1)-1))</f>
        <v/>
      </c>
    </row>
    <row r="1306" spans="13:54" x14ac:dyDescent="0.25">
      <c r="M1306" s="377"/>
      <c r="BB1306" s="83" t="str">
        <f t="array" ref="BB1306">_xlfn.IFS(AQ1306="","",LEN(AQ1306)-LEN(SUBSTITUTE(AQ1306,".",""))=3,LEFT(AQ1306,vitri(".",AQ1306,3)-1),LEN(AQ1306)-LEN(SUBSTITUTE(AQ1306,".",""))=2,LEFT(AQ1306,vitri(".",AQ1306,2)-1),TRUE,LEFT(AQ1306,vitri(".",AQ1306,1)-1))</f>
        <v/>
      </c>
    </row>
    <row r="1307" spans="13:54" x14ac:dyDescent="0.25">
      <c r="M1307" s="377"/>
      <c r="BB1307" s="83" t="str">
        <f t="array" ref="BB1307">_xlfn.IFS(AQ1307="","",LEN(AQ1307)-LEN(SUBSTITUTE(AQ1307,".",""))=3,LEFT(AQ1307,vitri(".",AQ1307,3)-1),LEN(AQ1307)-LEN(SUBSTITUTE(AQ1307,".",""))=2,LEFT(AQ1307,vitri(".",AQ1307,2)-1),TRUE,LEFT(AQ1307,vitri(".",AQ1307,1)-1))</f>
        <v/>
      </c>
    </row>
    <row r="1308" spans="13:54" x14ac:dyDescent="0.25">
      <c r="M1308" s="377"/>
      <c r="BB1308" s="83" t="str">
        <f t="array" ref="BB1308">_xlfn.IFS(AQ1308="","",LEN(AQ1308)-LEN(SUBSTITUTE(AQ1308,".",""))=3,LEFT(AQ1308,vitri(".",AQ1308,3)-1),LEN(AQ1308)-LEN(SUBSTITUTE(AQ1308,".",""))=2,LEFT(AQ1308,vitri(".",AQ1308,2)-1),TRUE,LEFT(AQ1308,vitri(".",AQ1308,1)-1))</f>
        <v/>
      </c>
    </row>
    <row r="1309" spans="13:54" x14ac:dyDescent="0.25">
      <c r="M1309" s="377"/>
      <c r="BB1309" s="83" t="str">
        <f t="array" ref="BB1309">_xlfn.IFS(AQ1309="","",LEN(AQ1309)-LEN(SUBSTITUTE(AQ1309,".",""))=3,LEFT(AQ1309,vitri(".",AQ1309,3)-1),LEN(AQ1309)-LEN(SUBSTITUTE(AQ1309,".",""))=2,LEFT(AQ1309,vitri(".",AQ1309,2)-1),TRUE,LEFT(AQ1309,vitri(".",AQ1309,1)-1))</f>
        <v/>
      </c>
    </row>
    <row r="1310" spans="13:54" x14ac:dyDescent="0.25">
      <c r="M1310" s="377"/>
      <c r="BB1310" s="83" t="str">
        <f t="array" ref="BB1310">_xlfn.IFS(AQ1310="","",LEN(AQ1310)-LEN(SUBSTITUTE(AQ1310,".",""))=3,LEFT(AQ1310,vitri(".",AQ1310,3)-1),LEN(AQ1310)-LEN(SUBSTITUTE(AQ1310,".",""))=2,LEFT(AQ1310,vitri(".",AQ1310,2)-1),TRUE,LEFT(AQ1310,vitri(".",AQ1310,1)-1))</f>
        <v/>
      </c>
    </row>
    <row r="1311" spans="13:54" x14ac:dyDescent="0.25">
      <c r="M1311" s="377"/>
      <c r="BB1311" s="83" t="str">
        <f t="array" ref="BB1311">_xlfn.IFS(AQ1311="","",LEN(AQ1311)-LEN(SUBSTITUTE(AQ1311,".",""))=3,LEFT(AQ1311,vitri(".",AQ1311,3)-1),LEN(AQ1311)-LEN(SUBSTITUTE(AQ1311,".",""))=2,LEFT(AQ1311,vitri(".",AQ1311,2)-1),TRUE,LEFT(AQ1311,vitri(".",AQ1311,1)-1))</f>
        <v/>
      </c>
    </row>
    <row r="1312" spans="13:54" x14ac:dyDescent="0.25">
      <c r="M1312" s="377"/>
      <c r="BB1312" s="83" t="str">
        <f t="array" ref="BB1312">_xlfn.IFS(AQ1312="","",LEN(AQ1312)-LEN(SUBSTITUTE(AQ1312,".",""))=3,LEFT(AQ1312,vitri(".",AQ1312,3)-1),LEN(AQ1312)-LEN(SUBSTITUTE(AQ1312,".",""))=2,LEFT(AQ1312,vitri(".",AQ1312,2)-1),TRUE,LEFT(AQ1312,vitri(".",AQ1312,1)-1))</f>
        <v/>
      </c>
    </row>
    <row r="1313" spans="13:54" x14ac:dyDescent="0.25">
      <c r="M1313" s="377"/>
      <c r="BB1313" s="83" t="str">
        <f t="array" ref="BB1313">_xlfn.IFS(AQ1313="","",LEN(AQ1313)-LEN(SUBSTITUTE(AQ1313,".",""))=3,LEFT(AQ1313,vitri(".",AQ1313,3)-1),LEN(AQ1313)-LEN(SUBSTITUTE(AQ1313,".",""))=2,LEFT(AQ1313,vitri(".",AQ1313,2)-1),TRUE,LEFT(AQ1313,vitri(".",AQ1313,1)-1))</f>
        <v/>
      </c>
    </row>
    <row r="1314" spans="13:54" x14ac:dyDescent="0.25">
      <c r="M1314" s="377"/>
      <c r="BB1314" s="83" t="str">
        <f t="array" ref="BB1314">_xlfn.IFS(AQ1314="","",LEN(AQ1314)-LEN(SUBSTITUTE(AQ1314,".",""))=3,LEFT(AQ1314,vitri(".",AQ1314,3)-1),LEN(AQ1314)-LEN(SUBSTITUTE(AQ1314,".",""))=2,LEFT(AQ1314,vitri(".",AQ1314,2)-1),TRUE,LEFT(AQ1314,vitri(".",AQ1314,1)-1))</f>
        <v/>
      </c>
    </row>
    <row r="1315" spans="13:54" x14ac:dyDescent="0.25">
      <c r="M1315" s="377"/>
      <c r="BB1315" s="83" t="str">
        <f t="array" ref="BB1315">_xlfn.IFS(AQ1315="","",LEN(AQ1315)-LEN(SUBSTITUTE(AQ1315,".",""))=3,LEFT(AQ1315,vitri(".",AQ1315,3)-1),LEN(AQ1315)-LEN(SUBSTITUTE(AQ1315,".",""))=2,LEFT(AQ1315,vitri(".",AQ1315,2)-1),TRUE,LEFT(AQ1315,vitri(".",AQ1315,1)-1))</f>
        <v/>
      </c>
    </row>
    <row r="1316" spans="13:54" x14ac:dyDescent="0.25">
      <c r="M1316" s="377"/>
      <c r="BB1316" s="83" t="str">
        <f t="array" ref="BB1316">_xlfn.IFS(AQ1316="","",LEN(AQ1316)-LEN(SUBSTITUTE(AQ1316,".",""))=3,LEFT(AQ1316,vitri(".",AQ1316,3)-1),LEN(AQ1316)-LEN(SUBSTITUTE(AQ1316,".",""))=2,LEFT(AQ1316,vitri(".",AQ1316,2)-1),TRUE,LEFT(AQ1316,vitri(".",AQ1316,1)-1))</f>
        <v/>
      </c>
    </row>
    <row r="1317" spans="13:54" x14ac:dyDescent="0.25">
      <c r="M1317" s="377"/>
      <c r="BB1317" s="83" t="str">
        <f t="array" ref="BB1317">_xlfn.IFS(AQ1317="","",LEN(AQ1317)-LEN(SUBSTITUTE(AQ1317,".",""))=3,LEFT(AQ1317,vitri(".",AQ1317,3)-1),LEN(AQ1317)-LEN(SUBSTITUTE(AQ1317,".",""))=2,LEFT(AQ1317,vitri(".",AQ1317,2)-1),TRUE,LEFT(AQ1317,vitri(".",AQ1317,1)-1))</f>
        <v/>
      </c>
    </row>
    <row r="1318" spans="13:54" x14ac:dyDescent="0.25">
      <c r="M1318" s="377"/>
      <c r="BB1318" s="83" t="str">
        <f t="array" ref="BB1318">_xlfn.IFS(AQ1318="","",LEN(AQ1318)-LEN(SUBSTITUTE(AQ1318,".",""))=3,LEFT(AQ1318,vitri(".",AQ1318,3)-1),LEN(AQ1318)-LEN(SUBSTITUTE(AQ1318,".",""))=2,LEFT(AQ1318,vitri(".",AQ1318,2)-1),TRUE,LEFT(AQ1318,vitri(".",AQ1318,1)-1))</f>
        <v/>
      </c>
    </row>
    <row r="1319" spans="13:54" x14ac:dyDescent="0.25">
      <c r="M1319" s="377"/>
      <c r="BB1319" s="83" t="str">
        <f t="array" ref="BB1319">_xlfn.IFS(AQ1319="","",LEN(AQ1319)-LEN(SUBSTITUTE(AQ1319,".",""))=3,LEFT(AQ1319,vitri(".",AQ1319,3)-1),LEN(AQ1319)-LEN(SUBSTITUTE(AQ1319,".",""))=2,LEFT(AQ1319,vitri(".",AQ1319,2)-1),TRUE,LEFT(AQ1319,vitri(".",AQ1319,1)-1))</f>
        <v/>
      </c>
    </row>
    <row r="1320" spans="13:54" x14ac:dyDescent="0.25">
      <c r="M1320" s="377"/>
      <c r="BB1320" s="83" t="str">
        <f t="array" ref="BB1320">_xlfn.IFS(AQ1320="","",LEN(AQ1320)-LEN(SUBSTITUTE(AQ1320,".",""))=3,LEFT(AQ1320,vitri(".",AQ1320,3)-1),LEN(AQ1320)-LEN(SUBSTITUTE(AQ1320,".",""))=2,LEFT(AQ1320,vitri(".",AQ1320,2)-1),TRUE,LEFT(AQ1320,vitri(".",AQ1320,1)-1))</f>
        <v/>
      </c>
    </row>
    <row r="1321" spans="13:54" x14ac:dyDescent="0.25">
      <c r="M1321" s="377"/>
      <c r="BB1321" s="83" t="str">
        <f t="array" ref="BB1321">_xlfn.IFS(AQ1321="","",LEN(AQ1321)-LEN(SUBSTITUTE(AQ1321,".",""))=3,LEFT(AQ1321,vitri(".",AQ1321,3)-1),LEN(AQ1321)-LEN(SUBSTITUTE(AQ1321,".",""))=2,LEFT(AQ1321,vitri(".",AQ1321,2)-1),TRUE,LEFT(AQ1321,vitri(".",AQ1321,1)-1))</f>
        <v/>
      </c>
    </row>
    <row r="1322" spans="13:54" x14ac:dyDescent="0.25">
      <c r="M1322" s="377"/>
      <c r="BB1322" s="83" t="str">
        <f t="array" ref="BB1322">_xlfn.IFS(AQ1322="","",LEN(AQ1322)-LEN(SUBSTITUTE(AQ1322,".",""))=3,LEFT(AQ1322,vitri(".",AQ1322,3)-1),LEN(AQ1322)-LEN(SUBSTITUTE(AQ1322,".",""))=2,LEFT(AQ1322,vitri(".",AQ1322,2)-1),TRUE,LEFT(AQ1322,vitri(".",AQ1322,1)-1))</f>
        <v/>
      </c>
    </row>
    <row r="1323" spans="13:54" x14ac:dyDescent="0.25">
      <c r="M1323" s="377"/>
      <c r="BB1323" s="83" t="str">
        <f t="array" ref="BB1323">_xlfn.IFS(AQ1323="","",LEN(AQ1323)-LEN(SUBSTITUTE(AQ1323,".",""))=3,LEFT(AQ1323,vitri(".",AQ1323,3)-1),LEN(AQ1323)-LEN(SUBSTITUTE(AQ1323,".",""))=2,LEFT(AQ1323,vitri(".",AQ1323,2)-1),TRUE,LEFT(AQ1323,vitri(".",AQ1323,1)-1))</f>
        <v/>
      </c>
    </row>
    <row r="1324" spans="13:54" x14ac:dyDescent="0.25">
      <c r="M1324" s="377"/>
      <c r="BB1324" s="83" t="str">
        <f t="array" ref="BB1324">_xlfn.IFS(AQ1324="","",LEN(AQ1324)-LEN(SUBSTITUTE(AQ1324,".",""))=3,LEFT(AQ1324,vitri(".",AQ1324,3)-1),LEN(AQ1324)-LEN(SUBSTITUTE(AQ1324,".",""))=2,LEFT(AQ1324,vitri(".",AQ1324,2)-1),TRUE,LEFT(AQ1324,vitri(".",AQ1324,1)-1))</f>
        <v/>
      </c>
    </row>
    <row r="1325" spans="13:54" x14ac:dyDescent="0.25">
      <c r="M1325" s="377"/>
      <c r="BB1325" s="83" t="str">
        <f t="array" ref="BB1325">_xlfn.IFS(AQ1325="","",LEN(AQ1325)-LEN(SUBSTITUTE(AQ1325,".",""))=3,LEFT(AQ1325,vitri(".",AQ1325,3)-1),LEN(AQ1325)-LEN(SUBSTITUTE(AQ1325,".",""))=2,LEFT(AQ1325,vitri(".",AQ1325,2)-1),TRUE,LEFT(AQ1325,vitri(".",AQ1325,1)-1))</f>
        <v/>
      </c>
    </row>
    <row r="1326" spans="13:54" x14ac:dyDescent="0.25">
      <c r="M1326" s="377"/>
      <c r="BB1326" s="83" t="str">
        <f t="array" ref="BB1326">_xlfn.IFS(AQ1326="","",LEN(AQ1326)-LEN(SUBSTITUTE(AQ1326,".",""))=3,LEFT(AQ1326,vitri(".",AQ1326,3)-1),LEN(AQ1326)-LEN(SUBSTITUTE(AQ1326,".",""))=2,LEFT(AQ1326,vitri(".",AQ1326,2)-1),TRUE,LEFT(AQ1326,vitri(".",AQ1326,1)-1))</f>
        <v/>
      </c>
    </row>
    <row r="1327" spans="13:54" x14ac:dyDescent="0.25">
      <c r="M1327" s="377"/>
      <c r="BB1327" s="83" t="str">
        <f t="array" ref="BB1327">_xlfn.IFS(AQ1327="","",LEN(AQ1327)-LEN(SUBSTITUTE(AQ1327,".",""))=3,LEFT(AQ1327,vitri(".",AQ1327,3)-1),LEN(AQ1327)-LEN(SUBSTITUTE(AQ1327,".",""))=2,LEFT(AQ1327,vitri(".",AQ1327,2)-1),TRUE,LEFT(AQ1327,vitri(".",AQ1327,1)-1))</f>
        <v/>
      </c>
    </row>
    <row r="1328" spans="13:54" x14ac:dyDescent="0.25">
      <c r="M1328" s="377"/>
      <c r="BB1328" s="83" t="str">
        <f t="array" ref="BB1328">_xlfn.IFS(AQ1328="","",LEN(AQ1328)-LEN(SUBSTITUTE(AQ1328,".",""))=3,LEFT(AQ1328,vitri(".",AQ1328,3)-1),LEN(AQ1328)-LEN(SUBSTITUTE(AQ1328,".",""))=2,LEFT(AQ1328,vitri(".",AQ1328,2)-1),TRUE,LEFT(AQ1328,vitri(".",AQ1328,1)-1))</f>
        <v/>
      </c>
    </row>
    <row r="1329" spans="13:54" x14ac:dyDescent="0.25">
      <c r="M1329" s="377"/>
      <c r="BB1329" s="83" t="str">
        <f t="array" ref="BB1329">_xlfn.IFS(AQ1329="","",LEN(AQ1329)-LEN(SUBSTITUTE(AQ1329,".",""))=3,LEFT(AQ1329,vitri(".",AQ1329,3)-1),LEN(AQ1329)-LEN(SUBSTITUTE(AQ1329,".",""))=2,LEFT(AQ1329,vitri(".",AQ1329,2)-1),TRUE,LEFT(AQ1329,vitri(".",AQ1329,1)-1))</f>
        <v/>
      </c>
    </row>
    <row r="1330" spans="13:54" x14ac:dyDescent="0.25">
      <c r="M1330" s="377"/>
      <c r="BB1330" s="83" t="str">
        <f t="array" ref="BB1330">_xlfn.IFS(AQ1330="","",LEN(AQ1330)-LEN(SUBSTITUTE(AQ1330,".",""))=3,LEFT(AQ1330,vitri(".",AQ1330,3)-1),LEN(AQ1330)-LEN(SUBSTITUTE(AQ1330,".",""))=2,LEFT(AQ1330,vitri(".",AQ1330,2)-1),TRUE,LEFT(AQ1330,vitri(".",AQ1330,1)-1))</f>
        <v/>
      </c>
    </row>
    <row r="1331" spans="13:54" x14ac:dyDescent="0.25">
      <c r="M1331" s="377"/>
      <c r="BB1331" s="83" t="str">
        <f t="array" ref="BB1331">_xlfn.IFS(AQ1331="","",LEN(AQ1331)-LEN(SUBSTITUTE(AQ1331,".",""))=3,LEFT(AQ1331,vitri(".",AQ1331,3)-1),LEN(AQ1331)-LEN(SUBSTITUTE(AQ1331,".",""))=2,LEFT(AQ1331,vitri(".",AQ1331,2)-1),TRUE,LEFT(AQ1331,vitri(".",AQ1331,1)-1))</f>
        <v/>
      </c>
    </row>
    <row r="1332" spans="13:54" x14ac:dyDescent="0.25">
      <c r="M1332" s="377"/>
      <c r="BB1332" s="83" t="str">
        <f t="array" ref="BB1332">_xlfn.IFS(AQ1332="","",LEN(AQ1332)-LEN(SUBSTITUTE(AQ1332,".",""))=3,LEFT(AQ1332,vitri(".",AQ1332,3)-1),LEN(AQ1332)-LEN(SUBSTITUTE(AQ1332,".",""))=2,LEFT(AQ1332,vitri(".",AQ1332,2)-1),TRUE,LEFT(AQ1332,vitri(".",AQ1332,1)-1))</f>
        <v/>
      </c>
    </row>
    <row r="1333" spans="13:54" x14ac:dyDescent="0.25">
      <c r="M1333" s="377"/>
      <c r="BB1333" s="83" t="str">
        <f t="array" ref="BB1333">_xlfn.IFS(AQ1333="","",LEN(AQ1333)-LEN(SUBSTITUTE(AQ1333,".",""))=3,LEFT(AQ1333,vitri(".",AQ1333,3)-1),LEN(AQ1333)-LEN(SUBSTITUTE(AQ1333,".",""))=2,LEFT(AQ1333,vitri(".",AQ1333,2)-1),TRUE,LEFT(AQ1333,vitri(".",AQ1333,1)-1))</f>
        <v/>
      </c>
    </row>
    <row r="1334" spans="13:54" x14ac:dyDescent="0.25">
      <c r="M1334" s="377"/>
      <c r="BB1334" s="83" t="str">
        <f t="array" ref="BB1334">_xlfn.IFS(AQ1334="","",LEN(AQ1334)-LEN(SUBSTITUTE(AQ1334,".",""))=3,LEFT(AQ1334,vitri(".",AQ1334,3)-1),LEN(AQ1334)-LEN(SUBSTITUTE(AQ1334,".",""))=2,LEFT(AQ1334,vitri(".",AQ1334,2)-1),TRUE,LEFT(AQ1334,vitri(".",AQ1334,1)-1))</f>
        <v/>
      </c>
    </row>
    <row r="1335" spans="13:54" x14ac:dyDescent="0.25">
      <c r="M1335" s="377"/>
      <c r="BB1335" s="83" t="str">
        <f t="array" ref="BB1335">_xlfn.IFS(AQ1335="","",LEN(AQ1335)-LEN(SUBSTITUTE(AQ1335,".",""))=3,LEFT(AQ1335,vitri(".",AQ1335,3)-1),LEN(AQ1335)-LEN(SUBSTITUTE(AQ1335,".",""))=2,LEFT(AQ1335,vitri(".",AQ1335,2)-1),TRUE,LEFT(AQ1335,vitri(".",AQ1335,1)-1))</f>
        <v/>
      </c>
    </row>
    <row r="1336" spans="13:54" x14ac:dyDescent="0.25">
      <c r="M1336" s="377"/>
      <c r="BB1336" s="83" t="str">
        <f t="array" ref="BB1336">_xlfn.IFS(AQ1336="","",LEN(AQ1336)-LEN(SUBSTITUTE(AQ1336,".",""))=3,LEFT(AQ1336,vitri(".",AQ1336,3)-1),LEN(AQ1336)-LEN(SUBSTITUTE(AQ1336,".",""))=2,LEFT(AQ1336,vitri(".",AQ1336,2)-1),TRUE,LEFT(AQ1336,vitri(".",AQ1336,1)-1))</f>
        <v/>
      </c>
    </row>
    <row r="1337" spans="13:54" x14ac:dyDescent="0.25">
      <c r="M1337" s="377"/>
      <c r="BB1337" s="83" t="str">
        <f t="array" ref="BB1337">_xlfn.IFS(AQ1337="","",LEN(AQ1337)-LEN(SUBSTITUTE(AQ1337,".",""))=3,LEFT(AQ1337,vitri(".",AQ1337,3)-1),LEN(AQ1337)-LEN(SUBSTITUTE(AQ1337,".",""))=2,LEFT(AQ1337,vitri(".",AQ1337,2)-1),TRUE,LEFT(AQ1337,vitri(".",AQ1337,1)-1))</f>
        <v/>
      </c>
    </row>
    <row r="1338" spans="13:54" x14ac:dyDescent="0.25">
      <c r="M1338" s="377"/>
      <c r="BB1338" s="83" t="str">
        <f t="array" ref="BB1338">_xlfn.IFS(AQ1338="","",LEN(AQ1338)-LEN(SUBSTITUTE(AQ1338,".",""))=3,LEFT(AQ1338,vitri(".",AQ1338,3)-1),LEN(AQ1338)-LEN(SUBSTITUTE(AQ1338,".",""))=2,LEFT(AQ1338,vitri(".",AQ1338,2)-1),TRUE,LEFT(AQ1338,vitri(".",AQ1338,1)-1))</f>
        <v/>
      </c>
    </row>
    <row r="1339" spans="13:54" x14ac:dyDescent="0.25">
      <c r="M1339" s="377"/>
      <c r="BB1339" s="83" t="str">
        <f t="array" ref="BB1339">_xlfn.IFS(AQ1339="","",LEN(AQ1339)-LEN(SUBSTITUTE(AQ1339,".",""))=3,LEFT(AQ1339,vitri(".",AQ1339,3)-1),LEN(AQ1339)-LEN(SUBSTITUTE(AQ1339,".",""))=2,LEFT(AQ1339,vitri(".",AQ1339,2)-1),TRUE,LEFT(AQ1339,vitri(".",AQ1339,1)-1))</f>
        <v/>
      </c>
    </row>
    <row r="1340" spans="13:54" x14ac:dyDescent="0.25">
      <c r="M1340" s="377"/>
      <c r="BB1340" s="83" t="str">
        <f t="array" ref="BB1340">_xlfn.IFS(AQ1340="","",LEN(AQ1340)-LEN(SUBSTITUTE(AQ1340,".",""))=3,LEFT(AQ1340,vitri(".",AQ1340,3)-1),LEN(AQ1340)-LEN(SUBSTITUTE(AQ1340,".",""))=2,LEFT(AQ1340,vitri(".",AQ1340,2)-1),TRUE,LEFT(AQ1340,vitri(".",AQ1340,1)-1))</f>
        <v/>
      </c>
    </row>
    <row r="1341" spans="13:54" x14ac:dyDescent="0.25">
      <c r="M1341" s="377"/>
      <c r="BB1341" s="83" t="str">
        <f t="array" ref="BB1341">_xlfn.IFS(AQ1341="","",LEN(AQ1341)-LEN(SUBSTITUTE(AQ1341,".",""))=3,LEFT(AQ1341,vitri(".",AQ1341,3)-1),LEN(AQ1341)-LEN(SUBSTITUTE(AQ1341,".",""))=2,LEFT(AQ1341,vitri(".",AQ1341,2)-1),TRUE,LEFT(AQ1341,vitri(".",AQ1341,1)-1))</f>
        <v/>
      </c>
    </row>
    <row r="1342" spans="13:54" x14ac:dyDescent="0.25">
      <c r="M1342" s="377"/>
      <c r="BB1342" s="83" t="str">
        <f t="array" ref="BB1342">_xlfn.IFS(AQ1342="","",LEN(AQ1342)-LEN(SUBSTITUTE(AQ1342,".",""))=3,LEFT(AQ1342,vitri(".",AQ1342,3)-1),LEN(AQ1342)-LEN(SUBSTITUTE(AQ1342,".",""))=2,LEFT(AQ1342,vitri(".",AQ1342,2)-1),TRUE,LEFT(AQ1342,vitri(".",AQ1342,1)-1))</f>
        <v/>
      </c>
    </row>
    <row r="1343" spans="13:54" x14ac:dyDescent="0.25">
      <c r="M1343" s="377"/>
      <c r="BB1343" s="83" t="str">
        <f t="array" ref="BB1343">_xlfn.IFS(AQ1343="","",LEN(AQ1343)-LEN(SUBSTITUTE(AQ1343,".",""))=3,LEFT(AQ1343,vitri(".",AQ1343,3)-1),LEN(AQ1343)-LEN(SUBSTITUTE(AQ1343,".",""))=2,LEFT(AQ1343,vitri(".",AQ1343,2)-1),TRUE,LEFT(AQ1343,vitri(".",AQ1343,1)-1))</f>
        <v/>
      </c>
    </row>
    <row r="1344" spans="13:54" x14ac:dyDescent="0.25">
      <c r="M1344" s="377"/>
      <c r="BB1344" s="83" t="str">
        <f t="array" ref="BB1344">_xlfn.IFS(AQ1344="","",LEN(AQ1344)-LEN(SUBSTITUTE(AQ1344,".",""))=3,LEFT(AQ1344,vitri(".",AQ1344,3)-1),LEN(AQ1344)-LEN(SUBSTITUTE(AQ1344,".",""))=2,LEFT(AQ1344,vitri(".",AQ1344,2)-1),TRUE,LEFT(AQ1344,vitri(".",AQ1344,1)-1))</f>
        <v/>
      </c>
    </row>
    <row r="1345" spans="13:54" x14ac:dyDescent="0.25">
      <c r="M1345" s="377"/>
      <c r="BB1345" s="83" t="str">
        <f t="array" ref="BB1345">_xlfn.IFS(AQ1345="","",LEN(AQ1345)-LEN(SUBSTITUTE(AQ1345,".",""))=3,LEFT(AQ1345,vitri(".",AQ1345,3)-1),LEN(AQ1345)-LEN(SUBSTITUTE(AQ1345,".",""))=2,LEFT(AQ1345,vitri(".",AQ1345,2)-1),TRUE,LEFT(AQ1345,vitri(".",AQ1345,1)-1))</f>
        <v/>
      </c>
    </row>
    <row r="1346" spans="13:54" x14ac:dyDescent="0.25">
      <c r="M1346" s="377"/>
      <c r="BB1346" s="83" t="str">
        <f t="array" ref="BB1346">_xlfn.IFS(AQ1346="","",LEN(AQ1346)-LEN(SUBSTITUTE(AQ1346,".",""))=3,LEFT(AQ1346,vitri(".",AQ1346,3)-1),LEN(AQ1346)-LEN(SUBSTITUTE(AQ1346,".",""))=2,LEFT(AQ1346,vitri(".",AQ1346,2)-1),TRUE,LEFT(AQ1346,vitri(".",AQ1346,1)-1))</f>
        <v/>
      </c>
    </row>
    <row r="1347" spans="13:54" x14ac:dyDescent="0.25">
      <c r="M1347" s="377"/>
      <c r="BB1347" s="83" t="str">
        <f t="array" ref="BB1347">_xlfn.IFS(AQ1347="","",LEN(AQ1347)-LEN(SUBSTITUTE(AQ1347,".",""))=3,LEFT(AQ1347,vitri(".",AQ1347,3)-1),LEN(AQ1347)-LEN(SUBSTITUTE(AQ1347,".",""))=2,LEFT(AQ1347,vitri(".",AQ1347,2)-1),TRUE,LEFT(AQ1347,vitri(".",AQ1347,1)-1))</f>
        <v/>
      </c>
    </row>
    <row r="1348" spans="13:54" x14ac:dyDescent="0.25">
      <c r="M1348" s="377"/>
      <c r="BB1348" s="83" t="str">
        <f t="array" ref="BB1348">_xlfn.IFS(AQ1348="","",LEN(AQ1348)-LEN(SUBSTITUTE(AQ1348,".",""))=3,LEFT(AQ1348,vitri(".",AQ1348,3)-1),LEN(AQ1348)-LEN(SUBSTITUTE(AQ1348,".",""))=2,LEFT(AQ1348,vitri(".",AQ1348,2)-1),TRUE,LEFT(AQ1348,vitri(".",AQ1348,1)-1))</f>
        <v/>
      </c>
    </row>
    <row r="1349" spans="13:54" x14ac:dyDescent="0.25">
      <c r="M1349" s="377"/>
      <c r="BB1349" s="83" t="str">
        <f t="array" ref="BB1349">_xlfn.IFS(AQ1349="","",LEN(AQ1349)-LEN(SUBSTITUTE(AQ1349,".",""))=3,LEFT(AQ1349,vitri(".",AQ1349,3)-1),LEN(AQ1349)-LEN(SUBSTITUTE(AQ1349,".",""))=2,LEFT(AQ1349,vitri(".",AQ1349,2)-1),TRUE,LEFT(AQ1349,vitri(".",AQ1349,1)-1))</f>
        <v/>
      </c>
    </row>
    <row r="1350" spans="13:54" x14ac:dyDescent="0.25">
      <c r="M1350" s="377"/>
      <c r="BB1350" s="83" t="str">
        <f t="array" ref="BB1350">_xlfn.IFS(AQ1350="","",LEN(AQ1350)-LEN(SUBSTITUTE(AQ1350,".",""))=3,LEFT(AQ1350,vitri(".",AQ1350,3)-1),LEN(AQ1350)-LEN(SUBSTITUTE(AQ1350,".",""))=2,LEFT(AQ1350,vitri(".",AQ1350,2)-1),TRUE,LEFT(AQ1350,vitri(".",AQ1350,1)-1))</f>
        <v/>
      </c>
    </row>
    <row r="1351" spans="13:54" x14ac:dyDescent="0.25">
      <c r="M1351" s="377"/>
      <c r="BB1351" s="83" t="str">
        <f t="array" ref="BB1351">_xlfn.IFS(AQ1351="","",LEN(AQ1351)-LEN(SUBSTITUTE(AQ1351,".",""))=3,LEFT(AQ1351,vitri(".",AQ1351,3)-1),LEN(AQ1351)-LEN(SUBSTITUTE(AQ1351,".",""))=2,LEFT(AQ1351,vitri(".",AQ1351,2)-1),TRUE,LEFT(AQ1351,vitri(".",AQ1351,1)-1))</f>
        <v/>
      </c>
    </row>
    <row r="1352" spans="13:54" x14ac:dyDescent="0.25">
      <c r="M1352" s="377"/>
      <c r="BB1352" s="83" t="str">
        <f t="array" ref="BB1352">_xlfn.IFS(AQ1352="","",LEN(AQ1352)-LEN(SUBSTITUTE(AQ1352,".",""))=3,LEFT(AQ1352,vitri(".",AQ1352,3)-1),LEN(AQ1352)-LEN(SUBSTITUTE(AQ1352,".",""))=2,LEFT(AQ1352,vitri(".",AQ1352,2)-1),TRUE,LEFT(AQ1352,vitri(".",AQ1352,1)-1))</f>
        <v/>
      </c>
    </row>
    <row r="1353" spans="13:54" x14ac:dyDescent="0.25">
      <c r="M1353" s="377"/>
      <c r="BB1353" s="83" t="str">
        <f t="array" ref="BB1353">_xlfn.IFS(AQ1353="","",LEN(AQ1353)-LEN(SUBSTITUTE(AQ1353,".",""))=3,LEFT(AQ1353,vitri(".",AQ1353,3)-1),LEN(AQ1353)-LEN(SUBSTITUTE(AQ1353,".",""))=2,LEFT(AQ1353,vitri(".",AQ1353,2)-1),TRUE,LEFT(AQ1353,vitri(".",AQ1353,1)-1))</f>
        <v/>
      </c>
    </row>
    <row r="1354" spans="13:54" x14ac:dyDescent="0.25">
      <c r="M1354" s="377"/>
      <c r="BB1354" s="83" t="str">
        <f t="array" ref="BB1354">_xlfn.IFS(AQ1354="","",LEN(AQ1354)-LEN(SUBSTITUTE(AQ1354,".",""))=3,LEFT(AQ1354,vitri(".",AQ1354,3)-1),LEN(AQ1354)-LEN(SUBSTITUTE(AQ1354,".",""))=2,LEFT(AQ1354,vitri(".",AQ1354,2)-1),TRUE,LEFT(AQ1354,vitri(".",AQ1354,1)-1))</f>
        <v/>
      </c>
    </row>
    <row r="1355" spans="13:54" x14ac:dyDescent="0.25">
      <c r="M1355" s="377"/>
      <c r="BB1355" s="83" t="str">
        <f t="array" ref="BB1355">_xlfn.IFS(AQ1355="","",LEN(AQ1355)-LEN(SUBSTITUTE(AQ1355,".",""))=3,LEFT(AQ1355,vitri(".",AQ1355,3)-1),LEN(AQ1355)-LEN(SUBSTITUTE(AQ1355,".",""))=2,LEFT(AQ1355,vitri(".",AQ1355,2)-1),TRUE,LEFT(AQ1355,vitri(".",AQ1355,1)-1))</f>
        <v/>
      </c>
    </row>
    <row r="1356" spans="13:54" x14ac:dyDescent="0.25">
      <c r="M1356" s="377"/>
      <c r="BB1356" s="83" t="str">
        <f t="array" ref="BB1356">_xlfn.IFS(AQ1356="","",LEN(AQ1356)-LEN(SUBSTITUTE(AQ1356,".",""))=3,LEFT(AQ1356,vitri(".",AQ1356,3)-1),LEN(AQ1356)-LEN(SUBSTITUTE(AQ1356,".",""))=2,LEFT(AQ1356,vitri(".",AQ1356,2)-1),TRUE,LEFT(AQ1356,vitri(".",AQ1356,1)-1))</f>
        <v/>
      </c>
    </row>
    <row r="1357" spans="13:54" x14ac:dyDescent="0.25">
      <c r="M1357" s="377"/>
      <c r="BB1357" s="83" t="str">
        <f t="array" ref="BB1357">_xlfn.IFS(AQ1357="","",LEN(AQ1357)-LEN(SUBSTITUTE(AQ1357,".",""))=3,LEFT(AQ1357,vitri(".",AQ1357,3)-1),LEN(AQ1357)-LEN(SUBSTITUTE(AQ1357,".",""))=2,LEFT(AQ1357,vitri(".",AQ1357,2)-1),TRUE,LEFT(AQ1357,vitri(".",AQ1357,1)-1))</f>
        <v/>
      </c>
    </row>
    <row r="1358" spans="13:54" x14ac:dyDescent="0.25">
      <c r="M1358" s="377"/>
      <c r="BB1358" s="83" t="str">
        <f t="array" ref="BB1358">_xlfn.IFS(AQ1358="","",LEN(AQ1358)-LEN(SUBSTITUTE(AQ1358,".",""))=3,LEFT(AQ1358,vitri(".",AQ1358,3)-1),LEN(AQ1358)-LEN(SUBSTITUTE(AQ1358,".",""))=2,LEFT(AQ1358,vitri(".",AQ1358,2)-1),TRUE,LEFT(AQ1358,vitri(".",AQ1358,1)-1))</f>
        <v/>
      </c>
    </row>
    <row r="1359" spans="13:54" x14ac:dyDescent="0.25">
      <c r="M1359" s="377"/>
      <c r="BB1359" s="83" t="str">
        <f t="array" ref="BB1359">_xlfn.IFS(AQ1359="","",LEN(AQ1359)-LEN(SUBSTITUTE(AQ1359,".",""))=3,LEFT(AQ1359,vitri(".",AQ1359,3)-1),LEN(AQ1359)-LEN(SUBSTITUTE(AQ1359,".",""))=2,LEFT(AQ1359,vitri(".",AQ1359,2)-1),TRUE,LEFT(AQ1359,vitri(".",AQ1359,1)-1))</f>
        <v/>
      </c>
    </row>
    <row r="1360" spans="13:54" x14ac:dyDescent="0.25">
      <c r="M1360" s="377"/>
      <c r="BB1360" s="83" t="str">
        <f t="array" ref="BB1360">_xlfn.IFS(AQ1360="","",LEN(AQ1360)-LEN(SUBSTITUTE(AQ1360,".",""))=3,LEFT(AQ1360,vitri(".",AQ1360,3)-1),LEN(AQ1360)-LEN(SUBSTITUTE(AQ1360,".",""))=2,LEFT(AQ1360,vitri(".",AQ1360,2)-1),TRUE,LEFT(AQ1360,vitri(".",AQ1360,1)-1))</f>
        <v/>
      </c>
    </row>
    <row r="1361" spans="13:54" x14ac:dyDescent="0.25">
      <c r="M1361" s="377"/>
      <c r="BB1361" s="83" t="str">
        <f t="array" ref="BB1361">_xlfn.IFS(AQ1361="","",LEN(AQ1361)-LEN(SUBSTITUTE(AQ1361,".",""))=3,LEFT(AQ1361,vitri(".",AQ1361,3)-1),LEN(AQ1361)-LEN(SUBSTITUTE(AQ1361,".",""))=2,LEFT(AQ1361,vitri(".",AQ1361,2)-1),TRUE,LEFT(AQ1361,vitri(".",AQ1361,1)-1))</f>
        <v/>
      </c>
    </row>
    <row r="1362" spans="13:54" x14ac:dyDescent="0.25">
      <c r="M1362" s="377"/>
      <c r="BB1362" s="83" t="str">
        <f t="array" ref="BB1362">_xlfn.IFS(AQ1362="","",LEN(AQ1362)-LEN(SUBSTITUTE(AQ1362,".",""))=3,LEFT(AQ1362,vitri(".",AQ1362,3)-1),LEN(AQ1362)-LEN(SUBSTITUTE(AQ1362,".",""))=2,LEFT(AQ1362,vitri(".",AQ1362,2)-1),TRUE,LEFT(AQ1362,vitri(".",AQ1362,1)-1))</f>
        <v/>
      </c>
    </row>
    <row r="1363" spans="13:54" x14ac:dyDescent="0.25">
      <c r="M1363" s="377"/>
      <c r="BB1363" s="83" t="str">
        <f t="array" ref="BB1363">_xlfn.IFS(AQ1363="","",LEN(AQ1363)-LEN(SUBSTITUTE(AQ1363,".",""))=3,LEFT(AQ1363,vitri(".",AQ1363,3)-1),LEN(AQ1363)-LEN(SUBSTITUTE(AQ1363,".",""))=2,LEFT(AQ1363,vitri(".",AQ1363,2)-1),TRUE,LEFT(AQ1363,vitri(".",AQ1363,1)-1))</f>
        <v/>
      </c>
    </row>
    <row r="1364" spans="13:54" x14ac:dyDescent="0.25">
      <c r="M1364" s="377"/>
      <c r="BB1364" s="83" t="str">
        <f t="array" ref="BB1364">_xlfn.IFS(AQ1364="","",LEN(AQ1364)-LEN(SUBSTITUTE(AQ1364,".",""))=3,LEFT(AQ1364,vitri(".",AQ1364,3)-1),LEN(AQ1364)-LEN(SUBSTITUTE(AQ1364,".",""))=2,LEFT(AQ1364,vitri(".",AQ1364,2)-1),TRUE,LEFT(AQ1364,vitri(".",AQ1364,1)-1))</f>
        <v/>
      </c>
    </row>
    <row r="1365" spans="13:54" x14ac:dyDescent="0.25">
      <c r="M1365" s="377"/>
      <c r="BB1365" s="83" t="str">
        <f t="array" ref="BB1365">_xlfn.IFS(AQ1365="","",LEN(AQ1365)-LEN(SUBSTITUTE(AQ1365,".",""))=3,LEFT(AQ1365,vitri(".",AQ1365,3)-1),LEN(AQ1365)-LEN(SUBSTITUTE(AQ1365,".",""))=2,LEFT(AQ1365,vitri(".",AQ1365,2)-1),TRUE,LEFT(AQ1365,vitri(".",AQ1365,1)-1))</f>
        <v/>
      </c>
    </row>
    <row r="1366" spans="13:54" x14ac:dyDescent="0.25">
      <c r="M1366" s="377"/>
      <c r="BB1366" s="83" t="str">
        <f t="array" ref="BB1366">_xlfn.IFS(AQ1366="","",LEN(AQ1366)-LEN(SUBSTITUTE(AQ1366,".",""))=3,LEFT(AQ1366,vitri(".",AQ1366,3)-1),LEN(AQ1366)-LEN(SUBSTITUTE(AQ1366,".",""))=2,LEFT(AQ1366,vitri(".",AQ1366,2)-1),TRUE,LEFT(AQ1366,vitri(".",AQ1366,1)-1))</f>
        <v/>
      </c>
    </row>
    <row r="1367" spans="13:54" x14ac:dyDescent="0.25">
      <c r="M1367" s="377"/>
      <c r="BB1367" s="83" t="str">
        <f t="array" ref="BB1367">_xlfn.IFS(AQ1367="","",LEN(AQ1367)-LEN(SUBSTITUTE(AQ1367,".",""))=3,LEFT(AQ1367,vitri(".",AQ1367,3)-1),LEN(AQ1367)-LEN(SUBSTITUTE(AQ1367,".",""))=2,LEFT(AQ1367,vitri(".",AQ1367,2)-1),TRUE,LEFT(AQ1367,vitri(".",AQ1367,1)-1))</f>
        <v/>
      </c>
    </row>
    <row r="1368" spans="13:54" x14ac:dyDescent="0.25">
      <c r="M1368" s="377"/>
      <c r="BB1368" s="83" t="str">
        <f t="array" ref="BB1368">_xlfn.IFS(AQ1368="","",LEN(AQ1368)-LEN(SUBSTITUTE(AQ1368,".",""))=3,LEFT(AQ1368,vitri(".",AQ1368,3)-1),LEN(AQ1368)-LEN(SUBSTITUTE(AQ1368,".",""))=2,LEFT(AQ1368,vitri(".",AQ1368,2)-1),TRUE,LEFT(AQ1368,vitri(".",AQ1368,1)-1))</f>
        <v/>
      </c>
    </row>
    <row r="1369" spans="13:54" x14ac:dyDescent="0.25">
      <c r="M1369" s="377"/>
      <c r="BB1369" s="83" t="str">
        <f t="array" ref="BB1369">_xlfn.IFS(AQ1369="","",LEN(AQ1369)-LEN(SUBSTITUTE(AQ1369,".",""))=3,LEFT(AQ1369,vitri(".",AQ1369,3)-1),LEN(AQ1369)-LEN(SUBSTITUTE(AQ1369,".",""))=2,LEFT(AQ1369,vitri(".",AQ1369,2)-1),TRUE,LEFT(AQ1369,vitri(".",AQ1369,1)-1))</f>
        <v/>
      </c>
    </row>
    <row r="1370" spans="13:54" x14ac:dyDescent="0.25">
      <c r="M1370" s="377"/>
      <c r="BB1370" s="83" t="str">
        <f t="array" ref="BB1370">_xlfn.IFS(AQ1370="","",LEN(AQ1370)-LEN(SUBSTITUTE(AQ1370,".",""))=3,LEFT(AQ1370,vitri(".",AQ1370,3)-1),LEN(AQ1370)-LEN(SUBSTITUTE(AQ1370,".",""))=2,LEFT(AQ1370,vitri(".",AQ1370,2)-1),TRUE,LEFT(AQ1370,vitri(".",AQ1370,1)-1))</f>
        <v/>
      </c>
    </row>
    <row r="1371" spans="13:54" x14ac:dyDescent="0.25">
      <c r="M1371" s="377"/>
      <c r="BB1371" s="83" t="str">
        <f t="array" ref="BB1371">_xlfn.IFS(AQ1371="","",LEN(AQ1371)-LEN(SUBSTITUTE(AQ1371,".",""))=3,LEFT(AQ1371,vitri(".",AQ1371,3)-1),LEN(AQ1371)-LEN(SUBSTITUTE(AQ1371,".",""))=2,LEFT(AQ1371,vitri(".",AQ1371,2)-1),TRUE,LEFT(AQ1371,vitri(".",AQ1371,1)-1))</f>
        <v/>
      </c>
    </row>
    <row r="1372" spans="13:54" x14ac:dyDescent="0.25">
      <c r="M1372" s="377"/>
      <c r="BB1372" s="83" t="str">
        <f t="array" ref="BB1372">_xlfn.IFS(AQ1372="","",LEN(AQ1372)-LEN(SUBSTITUTE(AQ1372,".",""))=3,LEFT(AQ1372,vitri(".",AQ1372,3)-1),LEN(AQ1372)-LEN(SUBSTITUTE(AQ1372,".",""))=2,LEFT(AQ1372,vitri(".",AQ1372,2)-1),TRUE,LEFT(AQ1372,vitri(".",AQ1372,1)-1))</f>
        <v/>
      </c>
    </row>
    <row r="1373" spans="13:54" x14ac:dyDescent="0.25">
      <c r="M1373" s="377"/>
      <c r="BB1373" s="83" t="str">
        <f t="array" ref="BB1373">_xlfn.IFS(AQ1373="","",LEN(AQ1373)-LEN(SUBSTITUTE(AQ1373,".",""))=3,LEFT(AQ1373,vitri(".",AQ1373,3)-1),LEN(AQ1373)-LEN(SUBSTITUTE(AQ1373,".",""))=2,LEFT(AQ1373,vitri(".",AQ1373,2)-1),TRUE,LEFT(AQ1373,vitri(".",AQ1373,1)-1))</f>
        <v/>
      </c>
    </row>
    <row r="1374" spans="13:54" x14ac:dyDescent="0.25">
      <c r="M1374" s="377"/>
      <c r="BB1374" s="83" t="str">
        <f t="array" ref="BB1374">_xlfn.IFS(AQ1374="","",LEN(AQ1374)-LEN(SUBSTITUTE(AQ1374,".",""))=3,LEFT(AQ1374,vitri(".",AQ1374,3)-1),LEN(AQ1374)-LEN(SUBSTITUTE(AQ1374,".",""))=2,LEFT(AQ1374,vitri(".",AQ1374,2)-1),TRUE,LEFT(AQ1374,vitri(".",AQ1374,1)-1))</f>
        <v/>
      </c>
    </row>
    <row r="1375" spans="13:54" x14ac:dyDescent="0.25">
      <c r="M1375" s="377"/>
      <c r="BB1375" s="83" t="str">
        <f t="array" ref="BB1375">_xlfn.IFS(AQ1375="","",LEN(AQ1375)-LEN(SUBSTITUTE(AQ1375,".",""))=3,LEFT(AQ1375,vitri(".",AQ1375,3)-1),LEN(AQ1375)-LEN(SUBSTITUTE(AQ1375,".",""))=2,LEFT(AQ1375,vitri(".",AQ1375,2)-1),TRUE,LEFT(AQ1375,vitri(".",AQ1375,1)-1))</f>
        <v/>
      </c>
    </row>
    <row r="1376" spans="13:54" x14ac:dyDescent="0.25">
      <c r="M1376" s="377"/>
      <c r="BB1376" s="83" t="str">
        <f t="array" ref="BB1376">_xlfn.IFS(AQ1376="","",LEN(AQ1376)-LEN(SUBSTITUTE(AQ1376,".",""))=3,LEFT(AQ1376,vitri(".",AQ1376,3)-1),LEN(AQ1376)-LEN(SUBSTITUTE(AQ1376,".",""))=2,LEFT(AQ1376,vitri(".",AQ1376,2)-1),TRUE,LEFT(AQ1376,vitri(".",AQ1376,1)-1))</f>
        <v/>
      </c>
    </row>
    <row r="1377" spans="13:54" x14ac:dyDescent="0.25">
      <c r="M1377" s="377"/>
      <c r="BB1377" s="83" t="str">
        <f t="array" ref="BB1377">_xlfn.IFS(AQ1377="","",LEN(AQ1377)-LEN(SUBSTITUTE(AQ1377,".",""))=3,LEFT(AQ1377,vitri(".",AQ1377,3)-1),LEN(AQ1377)-LEN(SUBSTITUTE(AQ1377,".",""))=2,LEFT(AQ1377,vitri(".",AQ1377,2)-1),TRUE,LEFT(AQ1377,vitri(".",AQ1377,1)-1))</f>
        <v/>
      </c>
    </row>
    <row r="1378" spans="13:54" x14ac:dyDescent="0.25">
      <c r="M1378" s="377"/>
      <c r="BB1378" s="83" t="str">
        <f t="array" ref="BB1378">_xlfn.IFS(AQ1378="","",LEN(AQ1378)-LEN(SUBSTITUTE(AQ1378,".",""))=3,LEFT(AQ1378,vitri(".",AQ1378,3)-1),LEN(AQ1378)-LEN(SUBSTITUTE(AQ1378,".",""))=2,LEFT(AQ1378,vitri(".",AQ1378,2)-1),TRUE,LEFT(AQ1378,vitri(".",AQ1378,1)-1))</f>
        <v/>
      </c>
    </row>
    <row r="1379" spans="13:54" x14ac:dyDescent="0.25">
      <c r="M1379" s="377"/>
      <c r="BB1379" s="83" t="str">
        <f t="array" ref="BB1379">_xlfn.IFS(AQ1379="","",LEN(AQ1379)-LEN(SUBSTITUTE(AQ1379,".",""))=3,LEFT(AQ1379,vitri(".",AQ1379,3)-1),LEN(AQ1379)-LEN(SUBSTITUTE(AQ1379,".",""))=2,LEFT(AQ1379,vitri(".",AQ1379,2)-1),TRUE,LEFT(AQ1379,vitri(".",AQ1379,1)-1))</f>
        <v/>
      </c>
    </row>
    <row r="1380" spans="13:54" x14ac:dyDescent="0.25">
      <c r="M1380" s="377"/>
      <c r="BB1380" s="83" t="str">
        <f t="array" ref="BB1380">_xlfn.IFS(AQ1380="","",LEN(AQ1380)-LEN(SUBSTITUTE(AQ1380,".",""))=3,LEFT(AQ1380,vitri(".",AQ1380,3)-1),LEN(AQ1380)-LEN(SUBSTITUTE(AQ1380,".",""))=2,LEFT(AQ1380,vitri(".",AQ1380,2)-1),TRUE,LEFT(AQ1380,vitri(".",AQ1380,1)-1))</f>
        <v/>
      </c>
    </row>
    <row r="1381" spans="13:54" x14ac:dyDescent="0.25">
      <c r="M1381" s="377"/>
      <c r="BB1381" s="83" t="str">
        <f t="array" ref="BB1381">_xlfn.IFS(AQ1381="","",LEN(AQ1381)-LEN(SUBSTITUTE(AQ1381,".",""))=3,LEFT(AQ1381,vitri(".",AQ1381,3)-1),LEN(AQ1381)-LEN(SUBSTITUTE(AQ1381,".",""))=2,LEFT(AQ1381,vitri(".",AQ1381,2)-1),TRUE,LEFT(AQ1381,vitri(".",AQ1381,1)-1))</f>
        <v/>
      </c>
    </row>
    <row r="1382" spans="13:54" x14ac:dyDescent="0.25">
      <c r="M1382" s="377"/>
      <c r="BB1382" s="83" t="str">
        <f t="array" ref="BB1382">_xlfn.IFS(AQ1382="","",LEN(AQ1382)-LEN(SUBSTITUTE(AQ1382,".",""))=3,LEFT(AQ1382,vitri(".",AQ1382,3)-1),LEN(AQ1382)-LEN(SUBSTITUTE(AQ1382,".",""))=2,LEFT(AQ1382,vitri(".",AQ1382,2)-1),TRUE,LEFT(AQ1382,vitri(".",AQ1382,1)-1))</f>
        <v/>
      </c>
    </row>
    <row r="1383" spans="13:54" x14ac:dyDescent="0.25">
      <c r="M1383" s="377"/>
      <c r="BB1383" s="83" t="str">
        <f t="array" ref="BB1383">_xlfn.IFS(AQ1383="","",LEN(AQ1383)-LEN(SUBSTITUTE(AQ1383,".",""))=3,LEFT(AQ1383,vitri(".",AQ1383,3)-1),LEN(AQ1383)-LEN(SUBSTITUTE(AQ1383,".",""))=2,LEFT(AQ1383,vitri(".",AQ1383,2)-1),TRUE,LEFT(AQ1383,vitri(".",AQ1383,1)-1))</f>
        <v/>
      </c>
    </row>
    <row r="1384" spans="13:54" x14ac:dyDescent="0.25">
      <c r="M1384" s="377"/>
      <c r="BB1384" s="83" t="str">
        <f t="array" ref="BB1384">_xlfn.IFS(AQ1384="","",LEN(AQ1384)-LEN(SUBSTITUTE(AQ1384,".",""))=3,LEFT(AQ1384,vitri(".",AQ1384,3)-1),LEN(AQ1384)-LEN(SUBSTITUTE(AQ1384,".",""))=2,LEFT(AQ1384,vitri(".",AQ1384,2)-1),TRUE,LEFT(AQ1384,vitri(".",AQ1384,1)-1))</f>
        <v/>
      </c>
    </row>
    <row r="1385" spans="13:54" x14ac:dyDescent="0.25">
      <c r="M1385" s="377"/>
      <c r="BB1385" s="83" t="str">
        <f t="array" ref="BB1385">_xlfn.IFS(AQ1385="","",LEN(AQ1385)-LEN(SUBSTITUTE(AQ1385,".",""))=3,LEFT(AQ1385,vitri(".",AQ1385,3)-1),LEN(AQ1385)-LEN(SUBSTITUTE(AQ1385,".",""))=2,LEFT(AQ1385,vitri(".",AQ1385,2)-1),TRUE,LEFT(AQ1385,vitri(".",AQ1385,1)-1))</f>
        <v/>
      </c>
    </row>
    <row r="1386" spans="13:54" x14ac:dyDescent="0.25">
      <c r="M1386" s="377"/>
      <c r="BB1386" s="83" t="str">
        <f t="array" ref="BB1386">_xlfn.IFS(AQ1386="","",LEN(AQ1386)-LEN(SUBSTITUTE(AQ1386,".",""))=3,LEFT(AQ1386,vitri(".",AQ1386,3)-1),LEN(AQ1386)-LEN(SUBSTITUTE(AQ1386,".",""))=2,LEFT(AQ1386,vitri(".",AQ1386,2)-1),TRUE,LEFT(AQ1386,vitri(".",AQ1386,1)-1))</f>
        <v/>
      </c>
    </row>
    <row r="1387" spans="13:54" x14ac:dyDescent="0.25">
      <c r="M1387" s="377"/>
      <c r="BB1387" s="83" t="str">
        <f t="array" ref="BB1387">_xlfn.IFS(AQ1387="","",LEN(AQ1387)-LEN(SUBSTITUTE(AQ1387,".",""))=3,LEFT(AQ1387,vitri(".",AQ1387,3)-1),LEN(AQ1387)-LEN(SUBSTITUTE(AQ1387,".",""))=2,LEFT(AQ1387,vitri(".",AQ1387,2)-1),TRUE,LEFT(AQ1387,vitri(".",AQ1387,1)-1))</f>
        <v/>
      </c>
    </row>
    <row r="1388" spans="13:54" x14ac:dyDescent="0.25">
      <c r="M1388" s="377"/>
      <c r="BB1388" s="83" t="str">
        <f t="array" ref="BB1388">_xlfn.IFS(AQ1388="","",LEN(AQ1388)-LEN(SUBSTITUTE(AQ1388,".",""))=3,LEFT(AQ1388,vitri(".",AQ1388,3)-1),LEN(AQ1388)-LEN(SUBSTITUTE(AQ1388,".",""))=2,LEFT(AQ1388,vitri(".",AQ1388,2)-1),TRUE,LEFT(AQ1388,vitri(".",AQ1388,1)-1))</f>
        <v/>
      </c>
    </row>
    <row r="1389" spans="13:54" x14ac:dyDescent="0.25">
      <c r="M1389" s="377"/>
      <c r="BB1389" s="83" t="str">
        <f t="array" ref="BB1389">_xlfn.IFS(AQ1389="","",LEN(AQ1389)-LEN(SUBSTITUTE(AQ1389,".",""))=3,LEFT(AQ1389,vitri(".",AQ1389,3)-1),LEN(AQ1389)-LEN(SUBSTITUTE(AQ1389,".",""))=2,LEFT(AQ1389,vitri(".",AQ1389,2)-1),TRUE,LEFT(AQ1389,vitri(".",AQ1389,1)-1))</f>
        <v/>
      </c>
    </row>
    <row r="1390" spans="13:54" x14ac:dyDescent="0.25">
      <c r="M1390" s="377"/>
      <c r="BB1390" s="83" t="str">
        <f t="array" ref="BB1390">_xlfn.IFS(AQ1390="","",LEN(AQ1390)-LEN(SUBSTITUTE(AQ1390,".",""))=3,LEFT(AQ1390,vitri(".",AQ1390,3)-1),LEN(AQ1390)-LEN(SUBSTITUTE(AQ1390,".",""))=2,LEFT(AQ1390,vitri(".",AQ1390,2)-1),TRUE,LEFT(AQ1390,vitri(".",AQ1390,1)-1))</f>
        <v/>
      </c>
    </row>
    <row r="1391" spans="13:54" x14ac:dyDescent="0.25">
      <c r="M1391" s="377"/>
      <c r="BB1391" s="83" t="str">
        <f t="array" ref="BB1391">_xlfn.IFS(AQ1391="","",LEN(AQ1391)-LEN(SUBSTITUTE(AQ1391,".",""))=3,LEFT(AQ1391,vitri(".",AQ1391,3)-1),LEN(AQ1391)-LEN(SUBSTITUTE(AQ1391,".",""))=2,LEFT(AQ1391,vitri(".",AQ1391,2)-1),TRUE,LEFT(AQ1391,vitri(".",AQ1391,1)-1))</f>
        <v/>
      </c>
    </row>
    <row r="1392" spans="13:54" x14ac:dyDescent="0.25">
      <c r="M1392" s="377"/>
      <c r="BB1392" s="83" t="str">
        <f t="array" ref="BB1392">_xlfn.IFS(AQ1392="","",LEN(AQ1392)-LEN(SUBSTITUTE(AQ1392,".",""))=3,LEFT(AQ1392,vitri(".",AQ1392,3)-1),LEN(AQ1392)-LEN(SUBSTITUTE(AQ1392,".",""))=2,LEFT(AQ1392,vitri(".",AQ1392,2)-1),TRUE,LEFT(AQ1392,vitri(".",AQ1392,1)-1))</f>
        <v/>
      </c>
    </row>
    <row r="1393" spans="13:54" x14ac:dyDescent="0.25">
      <c r="M1393" s="377"/>
      <c r="BB1393" s="83" t="str">
        <f t="array" ref="BB1393">_xlfn.IFS(AQ1393="","",LEN(AQ1393)-LEN(SUBSTITUTE(AQ1393,".",""))=3,LEFT(AQ1393,vitri(".",AQ1393,3)-1),LEN(AQ1393)-LEN(SUBSTITUTE(AQ1393,".",""))=2,LEFT(AQ1393,vitri(".",AQ1393,2)-1),TRUE,LEFT(AQ1393,vitri(".",AQ1393,1)-1))</f>
        <v/>
      </c>
    </row>
    <row r="1394" spans="13:54" x14ac:dyDescent="0.25">
      <c r="M1394" s="377"/>
      <c r="BB1394" s="83" t="str">
        <f t="array" ref="BB1394">_xlfn.IFS(AQ1394="","",LEN(AQ1394)-LEN(SUBSTITUTE(AQ1394,".",""))=3,LEFT(AQ1394,vitri(".",AQ1394,3)-1),LEN(AQ1394)-LEN(SUBSTITUTE(AQ1394,".",""))=2,LEFT(AQ1394,vitri(".",AQ1394,2)-1),TRUE,LEFT(AQ1394,vitri(".",AQ1394,1)-1))</f>
        <v/>
      </c>
    </row>
    <row r="1395" spans="13:54" x14ac:dyDescent="0.25">
      <c r="M1395" s="377"/>
      <c r="BB1395" s="83" t="str">
        <f t="array" ref="BB1395">_xlfn.IFS(AQ1395="","",LEN(AQ1395)-LEN(SUBSTITUTE(AQ1395,".",""))=3,LEFT(AQ1395,vitri(".",AQ1395,3)-1),LEN(AQ1395)-LEN(SUBSTITUTE(AQ1395,".",""))=2,LEFT(AQ1395,vitri(".",AQ1395,2)-1),TRUE,LEFT(AQ1395,vitri(".",AQ1395,1)-1))</f>
        <v/>
      </c>
    </row>
    <row r="1396" spans="13:54" x14ac:dyDescent="0.25">
      <c r="M1396" s="377"/>
      <c r="BB1396" s="83" t="str">
        <f t="array" ref="BB1396">_xlfn.IFS(AQ1396="","",LEN(AQ1396)-LEN(SUBSTITUTE(AQ1396,".",""))=3,LEFT(AQ1396,vitri(".",AQ1396,3)-1),LEN(AQ1396)-LEN(SUBSTITUTE(AQ1396,".",""))=2,LEFT(AQ1396,vitri(".",AQ1396,2)-1),TRUE,LEFT(AQ1396,vitri(".",AQ1396,1)-1))</f>
        <v/>
      </c>
    </row>
    <row r="1397" spans="13:54" x14ac:dyDescent="0.25">
      <c r="M1397" s="377"/>
      <c r="BB1397" s="83" t="str">
        <f t="array" ref="BB1397">_xlfn.IFS(AQ1397="","",LEN(AQ1397)-LEN(SUBSTITUTE(AQ1397,".",""))=3,LEFT(AQ1397,vitri(".",AQ1397,3)-1),LEN(AQ1397)-LEN(SUBSTITUTE(AQ1397,".",""))=2,LEFT(AQ1397,vitri(".",AQ1397,2)-1),TRUE,LEFT(AQ1397,vitri(".",AQ1397,1)-1))</f>
        <v/>
      </c>
    </row>
    <row r="1398" spans="13:54" x14ac:dyDescent="0.25">
      <c r="M1398" s="377"/>
      <c r="BB1398" s="83" t="str">
        <f t="array" ref="BB1398">_xlfn.IFS(AQ1398="","",LEN(AQ1398)-LEN(SUBSTITUTE(AQ1398,".",""))=3,LEFT(AQ1398,vitri(".",AQ1398,3)-1),LEN(AQ1398)-LEN(SUBSTITUTE(AQ1398,".",""))=2,LEFT(AQ1398,vitri(".",AQ1398,2)-1),TRUE,LEFT(AQ1398,vitri(".",AQ1398,1)-1))</f>
        <v/>
      </c>
    </row>
    <row r="1399" spans="13:54" x14ac:dyDescent="0.25">
      <c r="M1399" s="377"/>
      <c r="BB1399" s="83" t="str">
        <f t="array" ref="BB1399">_xlfn.IFS(AQ1399="","",LEN(AQ1399)-LEN(SUBSTITUTE(AQ1399,".",""))=3,LEFT(AQ1399,vitri(".",AQ1399,3)-1),LEN(AQ1399)-LEN(SUBSTITUTE(AQ1399,".",""))=2,LEFT(AQ1399,vitri(".",AQ1399,2)-1),TRUE,LEFT(AQ1399,vitri(".",AQ1399,1)-1))</f>
        <v/>
      </c>
    </row>
    <row r="1400" spans="13:54" x14ac:dyDescent="0.25">
      <c r="M1400" s="377"/>
      <c r="BB1400" s="83" t="str">
        <f t="array" ref="BB1400">_xlfn.IFS(AQ1400="","",LEN(AQ1400)-LEN(SUBSTITUTE(AQ1400,".",""))=3,LEFT(AQ1400,vitri(".",AQ1400,3)-1),LEN(AQ1400)-LEN(SUBSTITUTE(AQ1400,".",""))=2,LEFT(AQ1400,vitri(".",AQ1400,2)-1),TRUE,LEFT(AQ1400,vitri(".",AQ1400,1)-1))</f>
        <v/>
      </c>
    </row>
    <row r="1401" spans="13:54" x14ac:dyDescent="0.25">
      <c r="M1401" s="377"/>
      <c r="BB1401" s="83" t="str">
        <f t="array" ref="BB1401">_xlfn.IFS(AQ1401="","",LEN(AQ1401)-LEN(SUBSTITUTE(AQ1401,".",""))=3,LEFT(AQ1401,vitri(".",AQ1401,3)-1),LEN(AQ1401)-LEN(SUBSTITUTE(AQ1401,".",""))=2,LEFT(AQ1401,vitri(".",AQ1401,2)-1),TRUE,LEFT(AQ1401,vitri(".",AQ1401,1)-1))</f>
        <v/>
      </c>
    </row>
    <row r="1402" spans="13:54" x14ac:dyDescent="0.25">
      <c r="M1402" s="377"/>
      <c r="BB1402" s="83" t="str">
        <f t="array" ref="BB1402">_xlfn.IFS(AQ1402="","",LEN(AQ1402)-LEN(SUBSTITUTE(AQ1402,".",""))=3,LEFT(AQ1402,vitri(".",AQ1402,3)-1),LEN(AQ1402)-LEN(SUBSTITUTE(AQ1402,".",""))=2,LEFT(AQ1402,vitri(".",AQ1402,2)-1),TRUE,LEFT(AQ1402,vitri(".",AQ1402,1)-1))</f>
        <v/>
      </c>
    </row>
    <row r="1403" spans="13:54" x14ac:dyDescent="0.25">
      <c r="M1403" s="377"/>
      <c r="BB1403" s="83" t="str">
        <f t="array" ref="BB1403">_xlfn.IFS(AQ1403="","",LEN(AQ1403)-LEN(SUBSTITUTE(AQ1403,".",""))=3,LEFT(AQ1403,vitri(".",AQ1403,3)-1),LEN(AQ1403)-LEN(SUBSTITUTE(AQ1403,".",""))=2,LEFT(AQ1403,vitri(".",AQ1403,2)-1),TRUE,LEFT(AQ1403,vitri(".",AQ1403,1)-1))</f>
        <v/>
      </c>
    </row>
    <row r="1404" spans="13:54" x14ac:dyDescent="0.25">
      <c r="M1404" s="377"/>
      <c r="BB1404" s="83" t="str">
        <f t="array" ref="BB1404">_xlfn.IFS(AQ1404="","",LEN(AQ1404)-LEN(SUBSTITUTE(AQ1404,".",""))=3,LEFT(AQ1404,vitri(".",AQ1404,3)-1),LEN(AQ1404)-LEN(SUBSTITUTE(AQ1404,".",""))=2,LEFT(AQ1404,vitri(".",AQ1404,2)-1),TRUE,LEFT(AQ1404,vitri(".",AQ1404,1)-1))</f>
        <v/>
      </c>
    </row>
    <row r="1405" spans="13:54" x14ac:dyDescent="0.25">
      <c r="M1405" s="377"/>
      <c r="BB1405" s="83" t="str">
        <f t="array" ref="BB1405">_xlfn.IFS(AQ1405="","",LEN(AQ1405)-LEN(SUBSTITUTE(AQ1405,".",""))=3,LEFT(AQ1405,vitri(".",AQ1405,3)-1),LEN(AQ1405)-LEN(SUBSTITUTE(AQ1405,".",""))=2,LEFT(AQ1405,vitri(".",AQ1405,2)-1),TRUE,LEFT(AQ1405,vitri(".",AQ1405,1)-1))</f>
        <v/>
      </c>
    </row>
    <row r="1406" spans="13:54" x14ac:dyDescent="0.25">
      <c r="M1406" s="377"/>
      <c r="BB1406" s="83" t="str">
        <f t="array" ref="BB1406">_xlfn.IFS(AQ1406="","",LEN(AQ1406)-LEN(SUBSTITUTE(AQ1406,".",""))=3,LEFT(AQ1406,vitri(".",AQ1406,3)-1),LEN(AQ1406)-LEN(SUBSTITUTE(AQ1406,".",""))=2,LEFT(AQ1406,vitri(".",AQ1406,2)-1),TRUE,LEFT(AQ1406,vitri(".",AQ1406,1)-1))</f>
        <v/>
      </c>
    </row>
    <row r="1407" spans="13:54" x14ac:dyDescent="0.25">
      <c r="M1407" s="377"/>
      <c r="BB1407" s="83" t="str">
        <f t="array" ref="BB1407">_xlfn.IFS(AQ1407="","",LEN(AQ1407)-LEN(SUBSTITUTE(AQ1407,".",""))=3,LEFT(AQ1407,vitri(".",AQ1407,3)-1),LEN(AQ1407)-LEN(SUBSTITUTE(AQ1407,".",""))=2,LEFT(AQ1407,vitri(".",AQ1407,2)-1),TRUE,LEFT(AQ1407,vitri(".",AQ1407,1)-1))</f>
        <v/>
      </c>
    </row>
    <row r="1408" spans="13:54" x14ac:dyDescent="0.25">
      <c r="M1408" s="377"/>
      <c r="BB1408" s="83" t="str">
        <f t="array" ref="BB1408">_xlfn.IFS(AQ1408="","",LEN(AQ1408)-LEN(SUBSTITUTE(AQ1408,".",""))=3,LEFT(AQ1408,vitri(".",AQ1408,3)-1),LEN(AQ1408)-LEN(SUBSTITUTE(AQ1408,".",""))=2,LEFT(AQ1408,vitri(".",AQ1408,2)-1),TRUE,LEFT(AQ1408,vitri(".",AQ1408,1)-1))</f>
        <v/>
      </c>
    </row>
    <row r="1409" spans="13:54" x14ac:dyDescent="0.25">
      <c r="M1409" s="377"/>
      <c r="BB1409" s="83" t="str">
        <f t="array" ref="BB1409">_xlfn.IFS(AQ1409="","",LEN(AQ1409)-LEN(SUBSTITUTE(AQ1409,".",""))=3,LEFT(AQ1409,vitri(".",AQ1409,3)-1),LEN(AQ1409)-LEN(SUBSTITUTE(AQ1409,".",""))=2,LEFT(AQ1409,vitri(".",AQ1409,2)-1),TRUE,LEFT(AQ1409,vitri(".",AQ1409,1)-1))</f>
        <v/>
      </c>
    </row>
    <row r="1410" spans="13:54" x14ac:dyDescent="0.25">
      <c r="M1410" s="377"/>
      <c r="BB1410" s="83" t="str">
        <f t="array" ref="BB1410">_xlfn.IFS(AQ1410="","",LEN(AQ1410)-LEN(SUBSTITUTE(AQ1410,".",""))=3,LEFT(AQ1410,vitri(".",AQ1410,3)-1),LEN(AQ1410)-LEN(SUBSTITUTE(AQ1410,".",""))=2,LEFT(AQ1410,vitri(".",AQ1410,2)-1),TRUE,LEFT(AQ1410,vitri(".",AQ1410,1)-1))</f>
        <v/>
      </c>
    </row>
    <row r="1411" spans="13:54" x14ac:dyDescent="0.25">
      <c r="M1411" s="377"/>
      <c r="BB1411" s="83" t="str">
        <f t="array" ref="BB1411">_xlfn.IFS(AQ1411="","",LEN(AQ1411)-LEN(SUBSTITUTE(AQ1411,".",""))=3,LEFT(AQ1411,vitri(".",AQ1411,3)-1),LEN(AQ1411)-LEN(SUBSTITUTE(AQ1411,".",""))=2,LEFT(AQ1411,vitri(".",AQ1411,2)-1),TRUE,LEFT(AQ1411,vitri(".",AQ1411,1)-1))</f>
        <v/>
      </c>
    </row>
    <row r="1412" spans="13:54" x14ac:dyDescent="0.25">
      <c r="M1412" s="377"/>
      <c r="BB1412" s="83" t="str">
        <f t="array" ref="BB1412">_xlfn.IFS(AQ1412="","",LEN(AQ1412)-LEN(SUBSTITUTE(AQ1412,".",""))=3,LEFT(AQ1412,vitri(".",AQ1412,3)-1),LEN(AQ1412)-LEN(SUBSTITUTE(AQ1412,".",""))=2,LEFT(AQ1412,vitri(".",AQ1412,2)-1),TRUE,LEFT(AQ1412,vitri(".",AQ1412,1)-1))</f>
        <v/>
      </c>
    </row>
    <row r="1413" spans="13:54" x14ac:dyDescent="0.25">
      <c r="M1413" s="377"/>
      <c r="BB1413" s="83" t="str">
        <f t="array" ref="BB1413">_xlfn.IFS(AQ1413="","",LEN(AQ1413)-LEN(SUBSTITUTE(AQ1413,".",""))=3,LEFT(AQ1413,vitri(".",AQ1413,3)-1),LEN(AQ1413)-LEN(SUBSTITUTE(AQ1413,".",""))=2,LEFT(AQ1413,vitri(".",AQ1413,2)-1),TRUE,LEFT(AQ1413,vitri(".",AQ1413,1)-1))</f>
        <v/>
      </c>
    </row>
    <row r="1414" spans="13:54" x14ac:dyDescent="0.25">
      <c r="M1414" s="377"/>
      <c r="BB1414" s="83" t="str">
        <f t="array" ref="BB1414">_xlfn.IFS(AQ1414="","",LEN(AQ1414)-LEN(SUBSTITUTE(AQ1414,".",""))=3,LEFT(AQ1414,vitri(".",AQ1414,3)-1),LEN(AQ1414)-LEN(SUBSTITUTE(AQ1414,".",""))=2,LEFT(AQ1414,vitri(".",AQ1414,2)-1),TRUE,LEFT(AQ1414,vitri(".",AQ1414,1)-1))</f>
        <v/>
      </c>
    </row>
    <row r="1415" spans="13:54" x14ac:dyDescent="0.25">
      <c r="M1415" s="377"/>
      <c r="BB1415" s="83" t="str">
        <f t="array" ref="BB1415">_xlfn.IFS(AQ1415="","",LEN(AQ1415)-LEN(SUBSTITUTE(AQ1415,".",""))=3,LEFT(AQ1415,vitri(".",AQ1415,3)-1),LEN(AQ1415)-LEN(SUBSTITUTE(AQ1415,".",""))=2,LEFT(AQ1415,vitri(".",AQ1415,2)-1),TRUE,LEFT(AQ1415,vitri(".",AQ1415,1)-1))</f>
        <v/>
      </c>
    </row>
    <row r="1416" spans="13:54" x14ac:dyDescent="0.25">
      <c r="M1416" s="377"/>
      <c r="BB1416" s="83" t="str">
        <f t="array" ref="BB1416">_xlfn.IFS(AQ1416="","",LEN(AQ1416)-LEN(SUBSTITUTE(AQ1416,".",""))=3,LEFT(AQ1416,vitri(".",AQ1416,3)-1),LEN(AQ1416)-LEN(SUBSTITUTE(AQ1416,".",""))=2,LEFT(AQ1416,vitri(".",AQ1416,2)-1),TRUE,LEFT(AQ1416,vitri(".",AQ1416,1)-1))</f>
        <v/>
      </c>
    </row>
    <row r="1417" spans="13:54" x14ac:dyDescent="0.25">
      <c r="M1417" s="377"/>
      <c r="BB1417" s="83" t="str">
        <f t="array" ref="BB1417">_xlfn.IFS(AQ1417="","",LEN(AQ1417)-LEN(SUBSTITUTE(AQ1417,".",""))=3,LEFT(AQ1417,vitri(".",AQ1417,3)-1),LEN(AQ1417)-LEN(SUBSTITUTE(AQ1417,".",""))=2,LEFT(AQ1417,vitri(".",AQ1417,2)-1),TRUE,LEFT(AQ1417,vitri(".",AQ1417,1)-1))</f>
        <v/>
      </c>
    </row>
    <row r="1418" spans="13:54" x14ac:dyDescent="0.25">
      <c r="M1418" s="377"/>
      <c r="BB1418" s="83" t="str">
        <f t="array" ref="BB1418">_xlfn.IFS(AQ1418="","",LEN(AQ1418)-LEN(SUBSTITUTE(AQ1418,".",""))=3,LEFT(AQ1418,vitri(".",AQ1418,3)-1),LEN(AQ1418)-LEN(SUBSTITUTE(AQ1418,".",""))=2,LEFT(AQ1418,vitri(".",AQ1418,2)-1),TRUE,LEFT(AQ1418,vitri(".",AQ1418,1)-1))</f>
        <v/>
      </c>
    </row>
    <row r="1419" spans="13:54" x14ac:dyDescent="0.25">
      <c r="M1419" s="377"/>
      <c r="BB1419" s="83" t="str">
        <f t="array" ref="BB1419">_xlfn.IFS(AQ1419="","",LEN(AQ1419)-LEN(SUBSTITUTE(AQ1419,".",""))=3,LEFT(AQ1419,vitri(".",AQ1419,3)-1),LEN(AQ1419)-LEN(SUBSTITUTE(AQ1419,".",""))=2,LEFT(AQ1419,vitri(".",AQ1419,2)-1),TRUE,LEFT(AQ1419,vitri(".",AQ1419,1)-1))</f>
        <v/>
      </c>
    </row>
    <row r="1420" spans="13:54" x14ac:dyDescent="0.25">
      <c r="M1420" s="377"/>
      <c r="BB1420" s="83" t="str">
        <f t="array" ref="BB1420">_xlfn.IFS(AQ1420="","",LEN(AQ1420)-LEN(SUBSTITUTE(AQ1420,".",""))=3,LEFT(AQ1420,vitri(".",AQ1420,3)-1),LEN(AQ1420)-LEN(SUBSTITUTE(AQ1420,".",""))=2,LEFT(AQ1420,vitri(".",AQ1420,2)-1),TRUE,LEFT(AQ1420,vitri(".",AQ1420,1)-1))</f>
        <v/>
      </c>
    </row>
    <row r="1421" spans="13:54" x14ac:dyDescent="0.25">
      <c r="M1421" s="377"/>
      <c r="BB1421" s="83" t="str">
        <f t="array" ref="BB1421">_xlfn.IFS(AQ1421="","",LEN(AQ1421)-LEN(SUBSTITUTE(AQ1421,".",""))=3,LEFT(AQ1421,vitri(".",AQ1421,3)-1),LEN(AQ1421)-LEN(SUBSTITUTE(AQ1421,".",""))=2,LEFT(AQ1421,vitri(".",AQ1421,2)-1),TRUE,LEFT(AQ1421,vitri(".",AQ1421,1)-1))</f>
        <v/>
      </c>
    </row>
    <row r="1422" spans="13:54" x14ac:dyDescent="0.25">
      <c r="M1422" s="377"/>
      <c r="BB1422" s="83" t="str">
        <f t="array" ref="BB1422">_xlfn.IFS(AQ1422="","",LEN(AQ1422)-LEN(SUBSTITUTE(AQ1422,".",""))=3,LEFT(AQ1422,vitri(".",AQ1422,3)-1),LEN(AQ1422)-LEN(SUBSTITUTE(AQ1422,".",""))=2,LEFT(AQ1422,vitri(".",AQ1422,2)-1),TRUE,LEFT(AQ1422,vitri(".",AQ1422,1)-1))</f>
        <v/>
      </c>
    </row>
    <row r="1423" spans="13:54" x14ac:dyDescent="0.25">
      <c r="M1423" s="377"/>
      <c r="BB1423" s="83" t="str">
        <f t="array" ref="BB1423">_xlfn.IFS(AQ1423="","",LEN(AQ1423)-LEN(SUBSTITUTE(AQ1423,".",""))=3,LEFT(AQ1423,vitri(".",AQ1423,3)-1),LEN(AQ1423)-LEN(SUBSTITUTE(AQ1423,".",""))=2,LEFT(AQ1423,vitri(".",AQ1423,2)-1),TRUE,LEFT(AQ1423,vitri(".",AQ1423,1)-1))</f>
        <v/>
      </c>
    </row>
    <row r="1424" spans="13:54" x14ac:dyDescent="0.25">
      <c r="M1424" s="377"/>
      <c r="BB1424" s="83" t="str">
        <f t="array" ref="BB1424">_xlfn.IFS(AQ1424="","",LEN(AQ1424)-LEN(SUBSTITUTE(AQ1424,".",""))=3,LEFT(AQ1424,vitri(".",AQ1424,3)-1),LEN(AQ1424)-LEN(SUBSTITUTE(AQ1424,".",""))=2,LEFT(AQ1424,vitri(".",AQ1424,2)-1),TRUE,LEFT(AQ1424,vitri(".",AQ1424,1)-1))</f>
        <v/>
      </c>
    </row>
    <row r="1425" spans="13:54" x14ac:dyDescent="0.25">
      <c r="M1425" s="377"/>
      <c r="BB1425" s="83" t="str">
        <f t="array" ref="BB1425">_xlfn.IFS(AQ1425="","",LEN(AQ1425)-LEN(SUBSTITUTE(AQ1425,".",""))=3,LEFT(AQ1425,vitri(".",AQ1425,3)-1),LEN(AQ1425)-LEN(SUBSTITUTE(AQ1425,".",""))=2,LEFT(AQ1425,vitri(".",AQ1425,2)-1),TRUE,LEFT(AQ1425,vitri(".",AQ1425,1)-1))</f>
        <v/>
      </c>
    </row>
    <row r="1426" spans="13:54" x14ac:dyDescent="0.25">
      <c r="M1426" s="377"/>
      <c r="BB1426" s="83" t="str">
        <f t="array" ref="BB1426">_xlfn.IFS(AQ1426="","",LEN(AQ1426)-LEN(SUBSTITUTE(AQ1426,".",""))=3,LEFT(AQ1426,vitri(".",AQ1426,3)-1),LEN(AQ1426)-LEN(SUBSTITUTE(AQ1426,".",""))=2,LEFT(AQ1426,vitri(".",AQ1426,2)-1),TRUE,LEFT(AQ1426,vitri(".",AQ1426,1)-1))</f>
        <v/>
      </c>
    </row>
    <row r="1427" spans="13:54" x14ac:dyDescent="0.25">
      <c r="M1427" s="377"/>
      <c r="BB1427" s="83" t="str">
        <f t="array" ref="BB1427">_xlfn.IFS(AQ1427="","",LEN(AQ1427)-LEN(SUBSTITUTE(AQ1427,".",""))=3,LEFT(AQ1427,vitri(".",AQ1427,3)-1),LEN(AQ1427)-LEN(SUBSTITUTE(AQ1427,".",""))=2,LEFT(AQ1427,vitri(".",AQ1427,2)-1),TRUE,LEFT(AQ1427,vitri(".",AQ1427,1)-1))</f>
        <v/>
      </c>
    </row>
    <row r="1428" spans="13:54" x14ac:dyDescent="0.25">
      <c r="M1428" s="377"/>
      <c r="BB1428" s="83" t="str">
        <f t="array" ref="BB1428">_xlfn.IFS(AQ1428="","",LEN(AQ1428)-LEN(SUBSTITUTE(AQ1428,".",""))=3,LEFT(AQ1428,vitri(".",AQ1428,3)-1),LEN(AQ1428)-LEN(SUBSTITUTE(AQ1428,".",""))=2,LEFT(AQ1428,vitri(".",AQ1428,2)-1),TRUE,LEFT(AQ1428,vitri(".",AQ1428,1)-1))</f>
        <v/>
      </c>
    </row>
    <row r="1429" spans="13:54" x14ac:dyDescent="0.25">
      <c r="M1429" s="377"/>
      <c r="BB1429" s="83" t="str">
        <f t="array" ref="BB1429">_xlfn.IFS(AQ1429="","",LEN(AQ1429)-LEN(SUBSTITUTE(AQ1429,".",""))=3,LEFT(AQ1429,vitri(".",AQ1429,3)-1),LEN(AQ1429)-LEN(SUBSTITUTE(AQ1429,".",""))=2,LEFT(AQ1429,vitri(".",AQ1429,2)-1),TRUE,LEFT(AQ1429,vitri(".",AQ1429,1)-1))</f>
        <v/>
      </c>
    </row>
    <row r="1430" spans="13:54" x14ac:dyDescent="0.25">
      <c r="M1430" s="377"/>
      <c r="BB1430" s="83" t="str">
        <f t="array" ref="BB1430">_xlfn.IFS(AQ1430="","",LEN(AQ1430)-LEN(SUBSTITUTE(AQ1430,".",""))=3,LEFT(AQ1430,vitri(".",AQ1430,3)-1),LEN(AQ1430)-LEN(SUBSTITUTE(AQ1430,".",""))=2,LEFT(AQ1430,vitri(".",AQ1430,2)-1),TRUE,LEFT(AQ1430,vitri(".",AQ1430,1)-1))</f>
        <v/>
      </c>
    </row>
    <row r="1431" spans="13:54" x14ac:dyDescent="0.25">
      <c r="M1431" s="377"/>
      <c r="BB1431" s="83" t="str">
        <f t="array" ref="BB1431">_xlfn.IFS(AQ1431="","",LEN(AQ1431)-LEN(SUBSTITUTE(AQ1431,".",""))=3,LEFT(AQ1431,vitri(".",AQ1431,3)-1),LEN(AQ1431)-LEN(SUBSTITUTE(AQ1431,".",""))=2,LEFT(AQ1431,vitri(".",AQ1431,2)-1),TRUE,LEFT(AQ1431,vitri(".",AQ1431,1)-1))</f>
        <v/>
      </c>
    </row>
    <row r="1432" spans="13:54" x14ac:dyDescent="0.25">
      <c r="M1432" s="377"/>
      <c r="BB1432" s="83" t="str">
        <f t="array" ref="BB1432">_xlfn.IFS(AQ1432="","",LEN(AQ1432)-LEN(SUBSTITUTE(AQ1432,".",""))=3,LEFT(AQ1432,vitri(".",AQ1432,3)-1),LEN(AQ1432)-LEN(SUBSTITUTE(AQ1432,".",""))=2,LEFT(AQ1432,vitri(".",AQ1432,2)-1),TRUE,LEFT(AQ1432,vitri(".",AQ1432,1)-1))</f>
        <v/>
      </c>
    </row>
    <row r="1433" spans="13:54" x14ac:dyDescent="0.25">
      <c r="M1433" s="377"/>
      <c r="BB1433" s="83" t="str">
        <f t="array" ref="BB1433">_xlfn.IFS(AQ1433="","",LEN(AQ1433)-LEN(SUBSTITUTE(AQ1433,".",""))=3,LEFT(AQ1433,vitri(".",AQ1433,3)-1),LEN(AQ1433)-LEN(SUBSTITUTE(AQ1433,".",""))=2,LEFT(AQ1433,vitri(".",AQ1433,2)-1),TRUE,LEFT(AQ1433,vitri(".",AQ1433,1)-1))</f>
        <v/>
      </c>
    </row>
    <row r="1434" spans="13:54" x14ac:dyDescent="0.25">
      <c r="M1434" s="377"/>
      <c r="BB1434" s="83" t="str">
        <f t="array" ref="BB1434">_xlfn.IFS(AQ1434="","",LEN(AQ1434)-LEN(SUBSTITUTE(AQ1434,".",""))=3,LEFT(AQ1434,vitri(".",AQ1434,3)-1),LEN(AQ1434)-LEN(SUBSTITUTE(AQ1434,".",""))=2,LEFT(AQ1434,vitri(".",AQ1434,2)-1),TRUE,LEFT(AQ1434,vitri(".",AQ1434,1)-1))</f>
        <v/>
      </c>
    </row>
    <row r="1435" spans="13:54" x14ac:dyDescent="0.25">
      <c r="M1435" s="377"/>
      <c r="BB1435" s="83" t="str">
        <f t="array" ref="BB1435">_xlfn.IFS(AQ1435="","",LEN(AQ1435)-LEN(SUBSTITUTE(AQ1435,".",""))=3,LEFT(AQ1435,vitri(".",AQ1435,3)-1),LEN(AQ1435)-LEN(SUBSTITUTE(AQ1435,".",""))=2,LEFT(AQ1435,vitri(".",AQ1435,2)-1),TRUE,LEFT(AQ1435,vitri(".",AQ1435,1)-1))</f>
        <v/>
      </c>
    </row>
    <row r="1436" spans="13:54" x14ac:dyDescent="0.25">
      <c r="M1436" s="377"/>
      <c r="BB1436" s="83" t="str">
        <f t="array" ref="BB1436">_xlfn.IFS(AQ1436="","",LEN(AQ1436)-LEN(SUBSTITUTE(AQ1436,".",""))=3,LEFT(AQ1436,vitri(".",AQ1436,3)-1),LEN(AQ1436)-LEN(SUBSTITUTE(AQ1436,".",""))=2,LEFT(AQ1436,vitri(".",AQ1436,2)-1),TRUE,LEFT(AQ1436,vitri(".",AQ1436,1)-1))</f>
        <v/>
      </c>
    </row>
    <row r="1437" spans="13:54" x14ac:dyDescent="0.25">
      <c r="M1437" s="377"/>
      <c r="BB1437" s="83" t="str">
        <f t="array" ref="BB1437">_xlfn.IFS(AQ1437="","",LEN(AQ1437)-LEN(SUBSTITUTE(AQ1437,".",""))=3,LEFT(AQ1437,vitri(".",AQ1437,3)-1),LEN(AQ1437)-LEN(SUBSTITUTE(AQ1437,".",""))=2,LEFT(AQ1437,vitri(".",AQ1437,2)-1),TRUE,LEFT(AQ1437,vitri(".",AQ1437,1)-1))</f>
        <v/>
      </c>
    </row>
    <row r="1438" spans="13:54" x14ac:dyDescent="0.25">
      <c r="M1438" s="377"/>
      <c r="BB1438" s="83" t="str">
        <f t="array" ref="BB1438">_xlfn.IFS(AQ1438="","",LEN(AQ1438)-LEN(SUBSTITUTE(AQ1438,".",""))=3,LEFT(AQ1438,vitri(".",AQ1438,3)-1),LEN(AQ1438)-LEN(SUBSTITUTE(AQ1438,".",""))=2,LEFT(AQ1438,vitri(".",AQ1438,2)-1),TRUE,LEFT(AQ1438,vitri(".",AQ1438,1)-1))</f>
        <v/>
      </c>
    </row>
    <row r="1439" spans="13:54" x14ac:dyDescent="0.25">
      <c r="M1439" s="377"/>
      <c r="BB1439" s="83" t="str">
        <f t="array" ref="BB1439">_xlfn.IFS(AQ1439="","",LEN(AQ1439)-LEN(SUBSTITUTE(AQ1439,".",""))=3,LEFT(AQ1439,vitri(".",AQ1439,3)-1),LEN(AQ1439)-LEN(SUBSTITUTE(AQ1439,".",""))=2,LEFT(AQ1439,vitri(".",AQ1439,2)-1),TRUE,LEFT(AQ1439,vitri(".",AQ1439,1)-1))</f>
        <v/>
      </c>
    </row>
    <row r="1440" spans="13:54" x14ac:dyDescent="0.25">
      <c r="M1440" s="377"/>
      <c r="BB1440" s="83" t="str">
        <f t="array" ref="BB1440">_xlfn.IFS(AQ1440="","",LEN(AQ1440)-LEN(SUBSTITUTE(AQ1440,".",""))=3,LEFT(AQ1440,vitri(".",AQ1440,3)-1),LEN(AQ1440)-LEN(SUBSTITUTE(AQ1440,".",""))=2,LEFT(AQ1440,vitri(".",AQ1440,2)-1),TRUE,LEFT(AQ1440,vitri(".",AQ1440,1)-1))</f>
        <v/>
      </c>
    </row>
    <row r="1441" spans="13:54" x14ac:dyDescent="0.25">
      <c r="M1441" s="377"/>
      <c r="BB1441" s="83" t="str">
        <f t="array" ref="BB1441">_xlfn.IFS(AQ1441="","",LEN(AQ1441)-LEN(SUBSTITUTE(AQ1441,".",""))=3,LEFT(AQ1441,vitri(".",AQ1441,3)-1),LEN(AQ1441)-LEN(SUBSTITUTE(AQ1441,".",""))=2,LEFT(AQ1441,vitri(".",AQ1441,2)-1),TRUE,LEFT(AQ1441,vitri(".",AQ1441,1)-1))</f>
        <v/>
      </c>
    </row>
    <row r="1442" spans="13:54" x14ac:dyDescent="0.25">
      <c r="M1442" s="377"/>
      <c r="BB1442" s="83" t="str">
        <f t="array" ref="BB1442">_xlfn.IFS(AQ1442="","",LEN(AQ1442)-LEN(SUBSTITUTE(AQ1442,".",""))=3,LEFT(AQ1442,vitri(".",AQ1442,3)-1),LEN(AQ1442)-LEN(SUBSTITUTE(AQ1442,".",""))=2,LEFT(AQ1442,vitri(".",AQ1442,2)-1),TRUE,LEFT(AQ1442,vitri(".",AQ1442,1)-1))</f>
        <v/>
      </c>
    </row>
    <row r="1443" spans="13:54" x14ac:dyDescent="0.25">
      <c r="M1443" s="377"/>
      <c r="BB1443" s="83" t="str">
        <f t="array" ref="BB1443">_xlfn.IFS(AQ1443="","",LEN(AQ1443)-LEN(SUBSTITUTE(AQ1443,".",""))=3,LEFT(AQ1443,vitri(".",AQ1443,3)-1),LEN(AQ1443)-LEN(SUBSTITUTE(AQ1443,".",""))=2,LEFT(AQ1443,vitri(".",AQ1443,2)-1),TRUE,LEFT(AQ1443,vitri(".",AQ1443,1)-1))</f>
        <v/>
      </c>
    </row>
    <row r="1444" spans="13:54" x14ac:dyDescent="0.25">
      <c r="M1444" s="377"/>
      <c r="BB1444" s="83" t="str">
        <f t="array" ref="BB1444">_xlfn.IFS(AQ1444="","",LEN(AQ1444)-LEN(SUBSTITUTE(AQ1444,".",""))=3,LEFT(AQ1444,vitri(".",AQ1444,3)-1),LEN(AQ1444)-LEN(SUBSTITUTE(AQ1444,".",""))=2,LEFT(AQ1444,vitri(".",AQ1444,2)-1),TRUE,LEFT(AQ1444,vitri(".",AQ1444,1)-1))</f>
        <v/>
      </c>
    </row>
    <row r="1445" spans="13:54" x14ac:dyDescent="0.25">
      <c r="M1445" s="377"/>
      <c r="BB1445" s="83" t="str">
        <f t="array" ref="BB1445">_xlfn.IFS(AQ1445="","",LEN(AQ1445)-LEN(SUBSTITUTE(AQ1445,".",""))=3,LEFT(AQ1445,vitri(".",AQ1445,3)-1),LEN(AQ1445)-LEN(SUBSTITUTE(AQ1445,".",""))=2,LEFT(AQ1445,vitri(".",AQ1445,2)-1),TRUE,LEFT(AQ1445,vitri(".",AQ1445,1)-1))</f>
        <v/>
      </c>
    </row>
    <row r="1446" spans="13:54" x14ac:dyDescent="0.25">
      <c r="M1446" s="377"/>
      <c r="BB1446" s="83" t="str">
        <f t="array" ref="BB1446">_xlfn.IFS(AQ1446="","",LEN(AQ1446)-LEN(SUBSTITUTE(AQ1446,".",""))=3,LEFT(AQ1446,vitri(".",AQ1446,3)-1),LEN(AQ1446)-LEN(SUBSTITUTE(AQ1446,".",""))=2,LEFT(AQ1446,vitri(".",AQ1446,2)-1),TRUE,LEFT(AQ1446,vitri(".",AQ1446,1)-1))</f>
        <v/>
      </c>
    </row>
    <row r="1447" spans="13:54" x14ac:dyDescent="0.25">
      <c r="M1447" s="377"/>
      <c r="BB1447" s="83" t="str">
        <f t="array" ref="BB1447">_xlfn.IFS(AQ1447="","",LEN(AQ1447)-LEN(SUBSTITUTE(AQ1447,".",""))=3,LEFT(AQ1447,vitri(".",AQ1447,3)-1),LEN(AQ1447)-LEN(SUBSTITUTE(AQ1447,".",""))=2,LEFT(AQ1447,vitri(".",AQ1447,2)-1),TRUE,LEFT(AQ1447,vitri(".",AQ1447,1)-1))</f>
        <v/>
      </c>
    </row>
    <row r="1448" spans="13:54" x14ac:dyDescent="0.25">
      <c r="M1448" s="377"/>
      <c r="BB1448" s="83" t="str">
        <f t="array" ref="BB1448">_xlfn.IFS(AQ1448="","",LEN(AQ1448)-LEN(SUBSTITUTE(AQ1448,".",""))=3,LEFT(AQ1448,vitri(".",AQ1448,3)-1),LEN(AQ1448)-LEN(SUBSTITUTE(AQ1448,".",""))=2,LEFT(AQ1448,vitri(".",AQ1448,2)-1),TRUE,LEFT(AQ1448,vitri(".",AQ1448,1)-1))</f>
        <v/>
      </c>
    </row>
    <row r="1449" spans="13:54" x14ac:dyDescent="0.25">
      <c r="M1449" s="377"/>
      <c r="BB1449" s="83" t="str">
        <f t="array" ref="BB1449">_xlfn.IFS(AQ1449="","",LEN(AQ1449)-LEN(SUBSTITUTE(AQ1449,".",""))=3,LEFT(AQ1449,vitri(".",AQ1449,3)-1),LEN(AQ1449)-LEN(SUBSTITUTE(AQ1449,".",""))=2,LEFT(AQ1449,vitri(".",AQ1449,2)-1),TRUE,LEFT(AQ1449,vitri(".",AQ1449,1)-1))</f>
        <v/>
      </c>
    </row>
    <row r="1450" spans="13:54" x14ac:dyDescent="0.25">
      <c r="M1450" s="377"/>
      <c r="BB1450" s="83" t="str">
        <f t="array" ref="BB1450">_xlfn.IFS(AQ1450="","",LEN(AQ1450)-LEN(SUBSTITUTE(AQ1450,".",""))=3,LEFT(AQ1450,vitri(".",AQ1450,3)-1),LEN(AQ1450)-LEN(SUBSTITUTE(AQ1450,".",""))=2,LEFT(AQ1450,vitri(".",AQ1450,2)-1),TRUE,LEFT(AQ1450,vitri(".",AQ1450,1)-1))</f>
        <v/>
      </c>
    </row>
    <row r="1451" spans="13:54" x14ac:dyDescent="0.25">
      <c r="M1451" s="377"/>
      <c r="BB1451" s="83" t="str">
        <f t="array" ref="BB1451">_xlfn.IFS(AQ1451="","",LEN(AQ1451)-LEN(SUBSTITUTE(AQ1451,".",""))=3,LEFT(AQ1451,vitri(".",AQ1451,3)-1),LEN(AQ1451)-LEN(SUBSTITUTE(AQ1451,".",""))=2,LEFT(AQ1451,vitri(".",AQ1451,2)-1),TRUE,LEFT(AQ1451,vitri(".",AQ1451,1)-1))</f>
        <v/>
      </c>
    </row>
    <row r="1452" spans="13:54" x14ac:dyDescent="0.25">
      <c r="M1452" s="377"/>
      <c r="BB1452" s="83" t="str">
        <f t="array" ref="BB1452">_xlfn.IFS(AQ1452="","",LEN(AQ1452)-LEN(SUBSTITUTE(AQ1452,".",""))=3,LEFT(AQ1452,vitri(".",AQ1452,3)-1),LEN(AQ1452)-LEN(SUBSTITUTE(AQ1452,".",""))=2,LEFT(AQ1452,vitri(".",AQ1452,2)-1),TRUE,LEFT(AQ1452,vitri(".",AQ1452,1)-1))</f>
        <v/>
      </c>
    </row>
    <row r="1453" spans="13:54" x14ac:dyDescent="0.25">
      <c r="M1453" s="377"/>
      <c r="BB1453" s="83" t="str">
        <f t="array" ref="BB1453">_xlfn.IFS(AQ1453="","",LEN(AQ1453)-LEN(SUBSTITUTE(AQ1453,".",""))=3,LEFT(AQ1453,vitri(".",AQ1453,3)-1),LEN(AQ1453)-LEN(SUBSTITUTE(AQ1453,".",""))=2,LEFT(AQ1453,vitri(".",AQ1453,2)-1),TRUE,LEFT(AQ1453,vitri(".",AQ1453,1)-1))</f>
        <v/>
      </c>
    </row>
    <row r="1454" spans="13:54" x14ac:dyDescent="0.25">
      <c r="M1454" s="377"/>
      <c r="BB1454" s="83" t="str">
        <f t="array" ref="BB1454">_xlfn.IFS(AQ1454="","",LEN(AQ1454)-LEN(SUBSTITUTE(AQ1454,".",""))=3,LEFT(AQ1454,vitri(".",AQ1454,3)-1),LEN(AQ1454)-LEN(SUBSTITUTE(AQ1454,".",""))=2,LEFT(AQ1454,vitri(".",AQ1454,2)-1),TRUE,LEFT(AQ1454,vitri(".",AQ1454,1)-1))</f>
        <v/>
      </c>
    </row>
    <row r="1455" spans="13:54" x14ac:dyDescent="0.25">
      <c r="M1455" s="377"/>
      <c r="BB1455" s="83" t="str">
        <f t="array" ref="BB1455">_xlfn.IFS(AQ1455="","",LEN(AQ1455)-LEN(SUBSTITUTE(AQ1455,".",""))=3,LEFT(AQ1455,vitri(".",AQ1455,3)-1),LEN(AQ1455)-LEN(SUBSTITUTE(AQ1455,".",""))=2,LEFT(AQ1455,vitri(".",AQ1455,2)-1),TRUE,LEFT(AQ1455,vitri(".",AQ1455,1)-1))</f>
        <v/>
      </c>
    </row>
    <row r="1456" spans="13:54" x14ac:dyDescent="0.25">
      <c r="M1456" s="377"/>
      <c r="BB1456" s="83" t="str">
        <f t="array" ref="BB1456">_xlfn.IFS(AQ1456="","",LEN(AQ1456)-LEN(SUBSTITUTE(AQ1456,".",""))=3,LEFT(AQ1456,vitri(".",AQ1456,3)-1),LEN(AQ1456)-LEN(SUBSTITUTE(AQ1456,".",""))=2,LEFT(AQ1456,vitri(".",AQ1456,2)-1),TRUE,LEFT(AQ1456,vitri(".",AQ1456,1)-1))</f>
        <v/>
      </c>
    </row>
    <row r="1457" spans="13:54" x14ac:dyDescent="0.25">
      <c r="M1457" s="377"/>
      <c r="BB1457" s="83" t="str">
        <f t="array" ref="BB1457">_xlfn.IFS(AQ1457="","",LEN(AQ1457)-LEN(SUBSTITUTE(AQ1457,".",""))=3,LEFT(AQ1457,vitri(".",AQ1457,3)-1),LEN(AQ1457)-LEN(SUBSTITUTE(AQ1457,".",""))=2,LEFT(AQ1457,vitri(".",AQ1457,2)-1),TRUE,LEFT(AQ1457,vitri(".",AQ1457,1)-1))</f>
        <v/>
      </c>
    </row>
    <row r="1458" spans="13:54" x14ac:dyDescent="0.25">
      <c r="M1458" s="377"/>
      <c r="BB1458" s="83" t="str">
        <f t="array" ref="BB1458">_xlfn.IFS(AQ1458="","",LEN(AQ1458)-LEN(SUBSTITUTE(AQ1458,".",""))=3,LEFT(AQ1458,vitri(".",AQ1458,3)-1),LEN(AQ1458)-LEN(SUBSTITUTE(AQ1458,".",""))=2,LEFT(AQ1458,vitri(".",AQ1458,2)-1),TRUE,LEFT(AQ1458,vitri(".",AQ1458,1)-1))</f>
        <v/>
      </c>
    </row>
    <row r="1459" spans="13:54" x14ac:dyDescent="0.25">
      <c r="M1459" s="377"/>
      <c r="BB1459" s="83" t="str">
        <f t="array" ref="BB1459">_xlfn.IFS(AQ1459="","",LEN(AQ1459)-LEN(SUBSTITUTE(AQ1459,".",""))=3,LEFT(AQ1459,vitri(".",AQ1459,3)-1),LEN(AQ1459)-LEN(SUBSTITUTE(AQ1459,".",""))=2,LEFT(AQ1459,vitri(".",AQ1459,2)-1),TRUE,LEFT(AQ1459,vitri(".",AQ1459,1)-1))</f>
        <v/>
      </c>
    </row>
    <row r="1460" spans="13:54" x14ac:dyDescent="0.25">
      <c r="M1460" s="377"/>
      <c r="BB1460" s="83" t="str">
        <f t="array" ref="BB1460">_xlfn.IFS(AQ1460="","",LEN(AQ1460)-LEN(SUBSTITUTE(AQ1460,".",""))=3,LEFT(AQ1460,vitri(".",AQ1460,3)-1),LEN(AQ1460)-LEN(SUBSTITUTE(AQ1460,".",""))=2,LEFT(AQ1460,vitri(".",AQ1460,2)-1),TRUE,LEFT(AQ1460,vitri(".",AQ1460,1)-1))</f>
        <v/>
      </c>
    </row>
    <row r="1461" spans="13:54" x14ac:dyDescent="0.25">
      <c r="M1461" s="377"/>
      <c r="BB1461" s="83" t="str">
        <f t="array" ref="BB1461">_xlfn.IFS(AQ1461="","",LEN(AQ1461)-LEN(SUBSTITUTE(AQ1461,".",""))=3,LEFT(AQ1461,vitri(".",AQ1461,3)-1),LEN(AQ1461)-LEN(SUBSTITUTE(AQ1461,".",""))=2,LEFT(AQ1461,vitri(".",AQ1461,2)-1),TRUE,LEFT(AQ1461,vitri(".",AQ1461,1)-1))</f>
        <v/>
      </c>
    </row>
    <row r="1462" spans="13:54" x14ac:dyDescent="0.25">
      <c r="M1462" s="377"/>
      <c r="BB1462" s="83" t="str">
        <f t="array" ref="BB1462">_xlfn.IFS(AQ1462="","",LEN(AQ1462)-LEN(SUBSTITUTE(AQ1462,".",""))=3,LEFT(AQ1462,vitri(".",AQ1462,3)-1),LEN(AQ1462)-LEN(SUBSTITUTE(AQ1462,".",""))=2,LEFT(AQ1462,vitri(".",AQ1462,2)-1),TRUE,LEFT(AQ1462,vitri(".",AQ1462,1)-1))</f>
        <v/>
      </c>
    </row>
    <row r="1463" spans="13:54" x14ac:dyDescent="0.25">
      <c r="M1463" s="377"/>
      <c r="BB1463" s="83" t="str">
        <f t="array" ref="BB1463">_xlfn.IFS(AQ1463="","",LEN(AQ1463)-LEN(SUBSTITUTE(AQ1463,".",""))=3,LEFT(AQ1463,vitri(".",AQ1463,3)-1),LEN(AQ1463)-LEN(SUBSTITUTE(AQ1463,".",""))=2,LEFT(AQ1463,vitri(".",AQ1463,2)-1),TRUE,LEFT(AQ1463,vitri(".",AQ1463,1)-1))</f>
        <v/>
      </c>
    </row>
    <row r="1464" spans="13:54" x14ac:dyDescent="0.25">
      <c r="M1464" s="377"/>
      <c r="BB1464" s="83" t="str">
        <f t="array" ref="BB1464">_xlfn.IFS(AQ1464="","",LEN(AQ1464)-LEN(SUBSTITUTE(AQ1464,".",""))=3,LEFT(AQ1464,vitri(".",AQ1464,3)-1),LEN(AQ1464)-LEN(SUBSTITUTE(AQ1464,".",""))=2,LEFT(AQ1464,vitri(".",AQ1464,2)-1),TRUE,LEFT(AQ1464,vitri(".",AQ1464,1)-1))</f>
        <v/>
      </c>
    </row>
    <row r="1465" spans="13:54" x14ac:dyDescent="0.25">
      <c r="M1465" s="377"/>
      <c r="BB1465" s="83" t="str">
        <f t="array" ref="BB1465">_xlfn.IFS(AQ1465="","",LEN(AQ1465)-LEN(SUBSTITUTE(AQ1465,".",""))=3,LEFT(AQ1465,vitri(".",AQ1465,3)-1),LEN(AQ1465)-LEN(SUBSTITUTE(AQ1465,".",""))=2,LEFT(AQ1465,vitri(".",AQ1465,2)-1),TRUE,LEFT(AQ1465,vitri(".",AQ1465,1)-1))</f>
        <v/>
      </c>
    </row>
    <row r="1466" spans="13:54" x14ac:dyDescent="0.25">
      <c r="M1466" s="377"/>
      <c r="BB1466" s="83" t="str">
        <f t="array" ref="BB1466">_xlfn.IFS(AQ1466="","",LEN(AQ1466)-LEN(SUBSTITUTE(AQ1466,".",""))=3,LEFT(AQ1466,vitri(".",AQ1466,3)-1),LEN(AQ1466)-LEN(SUBSTITUTE(AQ1466,".",""))=2,LEFT(AQ1466,vitri(".",AQ1466,2)-1),TRUE,LEFT(AQ1466,vitri(".",AQ1466,1)-1))</f>
        <v/>
      </c>
    </row>
    <row r="1467" spans="13:54" x14ac:dyDescent="0.25">
      <c r="M1467" s="377"/>
      <c r="BB1467" s="83" t="str">
        <f t="array" ref="BB1467">_xlfn.IFS(AQ1467="","",LEN(AQ1467)-LEN(SUBSTITUTE(AQ1467,".",""))=3,LEFT(AQ1467,vitri(".",AQ1467,3)-1),LEN(AQ1467)-LEN(SUBSTITUTE(AQ1467,".",""))=2,LEFT(AQ1467,vitri(".",AQ1467,2)-1),TRUE,LEFT(AQ1467,vitri(".",AQ1467,1)-1))</f>
        <v/>
      </c>
    </row>
    <row r="1468" spans="13:54" x14ac:dyDescent="0.25">
      <c r="M1468" s="377"/>
      <c r="BB1468" s="83" t="str">
        <f t="array" ref="BB1468">_xlfn.IFS(AQ1468="","",LEN(AQ1468)-LEN(SUBSTITUTE(AQ1468,".",""))=3,LEFT(AQ1468,vitri(".",AQ1468,3)-1),LEN(AQ1468)-LEN(SUBSTITUTE(AQ1468,".",""))=2,LEFT(AQ1468,vitri(".",AQ1468,2)-1),TRUE,LEFT(AQ1468,vitri(".",AQ1468,1)-1))</f>
        <v/>
      </c>
    </row>
    <row r="1469" spans="13:54" x14ac:dyDescent="0.25">
      <c r="M1469" s="377"/>
      <c r="BB1469" s="83" t="str">
        <f t="array" ref="BB1469">_xlfn.IFS(AQ1469="","",LEN(AQ1469)-LEN(SUBSTITUTE(AQ1469,".",""))=3,LEFT(AQ1469,vitri(".",AQ1469,3)-1),LEN(AQ1469)-LEN(SUBSTITUTE(AQ1469,".",""))=2,LEFT(AQ1469,vitri(".",AQ1469,2)-1),TRUE,LEFT(AQ1469,vitri(".",AQ1469,1)-1))</f>
        <v/>
      </c>
    </row>
    <row r="1470" spans="13:54" x14ac:dyDescent="0.25">
      <c r="M1470" s="377"/>
      <c r="BB1470" s="83" t="str">
        <f t="array" ref="BB1470">_xlfn.IFS(AQ1470="","",LEN(AQ1470)-LEN(SUBSTITUTE(AQ1470,".",""))=3,LEFT(AQ1470,vitri(".",AQ1470,3)-1),LEN(AQ1470)-LEN(SUBSTITUTE(AQ1470,".",""))=2,LEFT(AQ1470,vitri(".",AQ1470,2)-1),TRUE,LEFT(AQ1470,vitri(".",AQ1470,1)-1))</f>
        <v/>
      </c>
    </row>
    <row r="1471" spans="13:54" x14ac:dyDescent="0.25">
      <c r="M1471" s="377"/>
      <c r="BB1471" s="83" t="str">
        <f t="array" ref="BB1471">_xlfn.IFS(AQ1471="","",LEN(AQ1471)-LEN(SUBSTITUTE(AQ1471,".",""))=3,LEFT(AQ1471,vitri(".",AQ1471,3)-1),LEN(AQ1471)-LEN(SUBSTITUTE(AQ1471,".",""))=2,LEFT(AQ1471,vitri(".",AQ1471,2)-1),TRUE,LEFT(AQ1471,vitri(".",AQ1471,1)-1))</f>
        <v/>
      </c>
    </row>
    <row r="1472" spans="13:54" x14ac:dyDescent="0.25">
      <c r="M1472" s="377"/>
      <c r="BB1472" s="83" t="str">
        <f t="array" ref="BB1472">_xlfn.IFS(AQ1472="","",LEN(AQ1472)-LEN(SUBSTITUTE(AQ1472,".",""))=3,LEFT(AQ1472,vitri(".",AQ1472,3)-1),LEN(AQ1472)-LEN(SUBSTITUTE(AQ1472,".",""))=2,LEFT(AQ1472,vitri(".",AQ1472,2)-1),TRUE,LEFT(AQ1472,vitri(".",AQ1472,1)-1))</f>
        <v/>
      </c>
    </row>
    <row r="1473" spans="13:54" x14ac:dyDescent="0.25">
      <c r="M1473" s="377"/>
      <c r="BB1473" s="83" t="str">
        <f t="array" ref="BB1473">_xlfn.IFS(AQ1473="","",LEN(AQ1473)-LEN(SUBSTITUTE(AQ1473,".",""))=3,LEFT(AQ1473,vitri(".",AQ1473,3)-1),LEN(AQ1473)-LEN(SUBSTITUTE(AQ1473,".",""))=2,LEFT(AQ1473,vitri(".",AQ1473,2)-1),TRUE,LEFT(AQ1473,vitri(".",AQ1473,1)-1))</f>
        <v/>
      </c>
    </row>
    <row r="1474" spans="13:54" x14ac:dyDescent="0.25">
      <c r="M1474" s="377"/>
      <c r="BB1474" s="83" t="str">
        <f t="array" ref="BB1474">_xlfn.IFS(AQ1474="","",LEN(AQ1474)-LEN(SUBSTITUTE(AQ1474,".",""))=3,LEFT(AQ1474,vitri(".",AQ1474,3)-1),LEN(AQ1474)-LEN(SUBSTITUTE(AQ1474,".",""))=2,LEFT(AQ1474,vitri(".",AQ1474,2)-1),TRUE,LEFT(AQ1474,vitri(".",AQ1474,1)-1))</f>
        <v/>
      </c>
    </row>
    <row r="1475" spans="13:54" x14ac:dyDescent="0.25">
      <c r="M1475" s="377"/>
      <c r="BB1475" s="83" t="str">
        <f t="array" ref="BB1475">_xlfn.IFS(AQ1475="","",LEN(AQ1475)-LEN(SUBSTITUTE(AQ1475,".",""))=3,LEFT(AQ1475,vitri(".",AQ1475,3)-1),LEN(AQ1475)-LEN(SUBSTITUTE(AQ1475,".",""))=2,LEFT(AQ1475,vitri(".",AQ1475,2)-1),TRUE,LEFT(AQ1475,vitri(".",AQ1475,1)-1))</f>
        <v/>
      </c>
    </row>
    <row r="1476" spans="13:54" x14ac:dyDescent="0.25">
      <c r="M1476" s="377"/>
      <c r="BB1476" s="83" t="str">
        <f t="array" ref="BB1476">_xlfn.IFS(AQ1476="","",LEN(AQ1476)-LEN(SUBSTITUTE(AQ1476,".",""))=3,LEFT(AQ1476,vitri(".",AQ1476,3)-1),LEN(AQ1476)-LEN(SUBSTITUTE(AQ1476,".",""))=2,LEFT(AQ1476,vitri(".",AQ1476,2)-1),TRUE,LEFT(AQ1476,vitri(".",AQ1476,1)-1))</f>
        <v/>
      </c>
    </row>
    <row r="1477" spans="13:54" x14ac:dyDescent="0.25">
      <c r="M1477" s="377"/>
      <c r="BB1477" s="83" t="str">
        <f t="array" ref="BB1477">_xlfn.IFS(AQ1477="","",LEN(AQ1477)-LEN(SUBSTITUTE(AQ1477,".",""))=3,LEFT(AQ1477,vitri(".",AQ1477,3)-1),LEN(AQ1477)-LEN(SUBSTITUTE(AQ1477,".",""))=2,LEFT(AQ1477,vitri(".",AQ1477,2)-1),TRUE,LEFT(AQ1477,vitri(".",AQ1477,1)-1))</f>
        <v/>
      </c>
    </row>
    <row r="1478" spans="13:54" x14ac:dyDescent="0.25">
      <c r="M1478" s="377"/>
      <c r="BB1478" s="83" t="str">
        <f t="array" ref="BB1478">_xlfn.IFS(AQ1478="","",LEN(AQ1478)-LEN(SUBSTITUTE(AQ1478,".",""))=3,LEFT(AQ1478,vitri(".",AQ1478,3)-1),LEN(AQ1478)-LEN(SUBSTITUTE(AQ1478,".",""))=2,LEFT(AQ1478,vitri(".",AQ1478,2)-1),TRUE,LEFT(AQ1478,vitri(".",AQ1478,1)-1))</f>
        <v/>
      </c>
    </row>
    <row r="1479" spans="13:54" x14ac:dyDescent="0.25">
      <c r="M1479" s="377"/>
      <c r="BB1479" s="83" t="str">
        <f t="array" ref="BB1479">_xlfn.IFS(AQ1479="","",LEN(AQ1479)-LEN(SUBSTITUTE(AQ1479,".",""))=3,LEFT(AQ1479,vitri(".",AQ1479,3)-1),LEN(AQ1479)-LEN(SUBSTITUTE(AQ1479,".",""))=2,LEFT(AQ1479,vitri(".",AQ1479,2)-1),TRUE,LEFT(AQ1479,vitri(".",AQ1479,1)-1))</f>
        <v/>
      </c>
    </row>
    <row r="1480" spans="13:54" x14ac:dyDescent="0.25">
      <c r="M1480" s="377"/>
      <c r="BB1480" s="83" t="str">
        <f t="array" ref="BB1480">_xlfn.IFS(AQ1480="","",LEN(AQ1480)-LEN(SUBSTITUTE(AQ1480,".",""))=3,LEFT(AQ1480,vitri(".",AQ1480,3)-1),LEN(AQ1480)-LEN(SUBSTITUTE(AQ1480,".",""))=2,LEFT(AQ1480,vitri(".",AQ1480,2)-1),TRUE,LEFT(AQ1480,vitri(".",AQ1480,1)-1))</f>
        <v/>
      </c>
    </row>
    <row r="1481" spans="13:54" x14ac:dyDescent="0.25">
      <c r="M1481" s="377"/>
      <c r="BB1481" s="83" t="str">
        <f t="array" ref="BB1481">_xlfn.IFS(AQ1481="","",LEN(AQ1481)-LEN(SUBSTITUTE(AQ1481,".",""))=3,LEFT(AQ1481,vitri(".",AQ1481,3)-1),LEN(AQ1481)-LEN(SUBSTITUTE(AQ1481,".",""))=2,LEFT(AQ1481,vitri(".",AQ1481,2)-1),TRUE,LEFT(AQ1481,vitri(".",AQ1481,1)-1))</f>
        <v/>
      </c>
    </row>
    <row r="1482" spans="13:54" x14ac:dyDescent="0.25">
      <c r="M1482" s="377"/>
      <c r="BB1482" s="83" t="str">
        <f t="array" ref="BB1482">_xlfn.IFS(AQ1482="","",LEN(AQ1482)-LEN(SUBSTITUTE(AQ1482,".",""))=3,LEFT(AQ1482,vitri(".",AQ1482,3)-1),LEN(AQ1482)-LEN(SUBSTITUTE(AQ1482,".",""))=2,LEFT(AQ1482,vitri(".",AQ1482,2)-1),TRUE,LEFT(AQ1482,vitri(".",AQ1482,1)-1))</f>
        <v/>
      </c>
    </row>
    <row r="1483" spans="13:54" x14ac:dyDescent="0.25">
      <c r="M1483" s="377"/>
      <c r="BB1483" s="83" t="str">
        <f t="array" ref="BB1483">_xlfn.IFS(AQ1483="","",LEN(AQ1483)-LEN(SUBSTITUTE(AQ1483,".",""))=3,LEFT(AQ1483,vitri(".",AQ1483,3)-1),LEN(AQ1483)-LEN(SUBSTITUTE(AQ1483,".",""))=2,LEFT(AQ1483,vitri(".",AQ1483,2)-1),TRUE,LEFT(AQ1483,vitri(".",AQ1483,1)-1))</f>
        <v/>
      </c>
    </row>
    <row r="1484" spans="13:54" x14ac:dyDescent="0.25">
      <c r="M1484" s="377"/>
      <c r="BB1484" s="83" t="str">
        <f t="array" ref="BB1484">_xlfn.IFS(AQ1484="","",LEN(AQ1484)-LEN(SUBSTITUTE(AQ1484,".",""))=3,LEFT(AQ1484,vitri(".",AQ1484,3)-1),LEN(AQ1484)-LEN(SUBSTITUTE(AQ1484,".",""))=2,LEFT(AQ1484,vitri(".",AQ1484,2)-1),TRUE,LEFT(AQ1484,vitri(".",AQ1484,1)-1))</f>
        <v/>
      </c>
    </row>
    <row r="1485" spans="13:54" x14ac:dyDescent="0.25">
      <c r="M1485" s="377"/>
      <c r="BB1485" s="83" t="str">
        <f t="array" ref="BB1485">_xlfn.IFS(AQ1485="","",LEN(AQ1485)-LEN(SUBSTITUTE(AQ1485,".",""))=3,LEFT(AQ1485,vitri(".",AQ1485,3)-1),LEN(AQ1485)-LEN(SUBSTITUTE(AQ1485,".",""))=2,LEFT(AQ1485,vitri(".",AQ1485,2)-1),TRUE,LEFT(AQ1485,vitri(".",AQ1485,1)-1))</f>
        <v/>
      </c>
    </row>
    <row r="1486" spans="13:54" x14ac:dyDescent="0.25">
      <c r="M1486" s="377"/>
      <c r="BB1486" s="83" t="str">
        <f t="array" ref="BB1486">_xlfn.IFS(AQ1486="","",LEN(AQ1486)-LEN(SUBSTITUTE(AQ1486,".",""))=3,LEFT(AQ1486,vitri(".",AQ1486,3)-1),LEN(AQ1486)-LEN(SUBSTITUTE(AQ1486,".",""))=2,LEFT(AQ1486,vitri(".",AQ1486,2)-1),TRUE,LEFT(AQ1486,vitri(".",AQ1486,1)-1))</f>
        <v/>
      </c>
    </row>
    <row r="1487" spans="13:54" x14ac:dyDescent="0.25">
      <c r="M1487" s="377"/>
      <c r="BB1487" s="83" t="str">
        <f t="array" ref="BB1487">_xlfn.IFS(AQ1487="","",LEN(AQ1487)-LEN(SUBSTITUTE(AQ1487,".",""))=3,LEFT(AQ1487,vitri(".",AQ1487,3)-1),LEN(AQ1487)-LEN(SUBSTITUTE(AQ1487,".",""))=2,LEFT(AQ1487,vitri(".",AQ1487,2)-1),TRUE,LEFT(AQ1487,vitri(".",AQ1487,1)-1))</f>
        <v/>
      </c>
    </row>
    <row r="1488" spans="13:54" x14ac:dyDescent="0.25">
      <c r="M1488" s="377"/>
      <c r="BB1488" s="83" t="str">
        <f t="array" ref="BB1488">_xlfn.IFS(AQ1488="","",LEN(AQ1488)-LEN(SUBSTITUTE(AQ1488,".",""))=3,LEFT(AQ1488,vitri(".",AQ1488,3)-1),LEN(AQ1488)-LEN(SUBSTITUTE(AQ1488,".",""))=2,LEFT(AQ1488,vitri(".",AQ1488,2)-1),TRUE,LEFT(AQ1488,vitri(".",AQ1488,1)-1))</f>
        <v/>
      </c>
    </row>
    <row r="1489" spans="13:54" x14ac:dyDescent="0.25">
      <c r="M1489" s="377"/>
      <c r="BB1489" s="83" t="str">
        <f t="array" ref="BB1489">_xlfn.IFS(AQ1489="","",LEN(AQ1489)-LEN(SUBSTITUTE(AQ1489,".",""))=3,LEFT(AQ1489,vitri(".",AQ1489,3)-1),LEN(AQ1489)-LEN(SUBSTITUTE(AQ1489,".",""))=2,LEFT(AQ1489,vitri(".",AQ1489,2)-1),TRUE,LEFT(AQ1489,vitri(".",AQ1489,1)-1))</f>
        <v/>
      </c>
    </row>
    <row r="1490" spans="13:54" x14ac:dyDescent="0.25">
      <c r="M1490" s="377"/>
      <c r="BB1490" s="83" t="str">
        <f t="array" ref="BB1490">_xlfn.IFS(AQ1490="","",LEN(AQ1490)-LEN(SUBSTITUTE(AQ1490,".",""))=3,LEFT(AQ1490,vitri(".",AQ1490,3)-1),LEN(AQ1490)-LEN(SUBSTITUTE(AQ1490,".",""))=2,LEFT(AQ1490,vitri(".",AQ1490,2)-1),TRUE,LEFT(AQ1490,vitri(".",AQ1490,1)-1))</f>
        <v/>
      </c>
    </row>
    <row r="1491" spans="13:54" x14ac:dyDescent="0.25">
      <c r="M1491" s="377"/>
      <c r="BB1491" s="83" t="str">
        <f t="array" ref="BB1491">_xlfn.IFS(AQ1491="","",LEN(AQ1491)-LEN(SUBSTITUTE(AQ1491,".",""))=3,LEFT(AQ1491,vitri(".",AQ1491,3)-1),LEN(AQ1491)-LEN(SUBSTITUTE(AQ1491,".",""))=2,LEFT(AQ1491,vitri(".",AQ1491,2)-1),TRUE,LEFT(AQ1491,vitri(".",AQ1491,1)-1))</f>
        <v/>
      </c>
    </row>
    <row r="1492" spans="13:54" x14ac:dyDescent="0.25">
      <c r="M1492" s="377"/>
      <c r="BB1492" s="83" t="str">
        <f t="array" ref="BB1492">_xlfn.IFS(AQ1492="","",LEN(AQ1492)-LEN(SUBSTITUTE(AQ1492,".",""))=3,LEFT(AQ1492,vitri(".",AQ1492,3)-1),LEN(AQ1492)-LEN(SUBSTITUTE(AQ1492,".",""))=2,LEFT(AQ1492,vitri(".",AQ1492,2)-1),TRUE,LEFT(AQ1492,vitri(".",AQ1492,1)-1))</f>
        <v/>
      </c>
    </row>
    <row r="1493" spans="13:54" x14ac:dyDescent="0.25">
      <c r="M1493" s="377"/>
      <c r="BB1493" s="83" t="str">
        <f t="array" ref="BB1493">_xlfn.IFS(AQ1493="","",LEN(AQ1493)-LEN(SUBSTITUTE(AQ1493,".",""))=3,LEFT(AQ1493,vitri(".",AQ1493,3)-1),LEN(AQ1493)-LEN(SUBSTITUTE(AQ1493,".",""))=2,LEFT(AQ1493,vitri(".",AQ1493,2)-1),TRUE,LEFT(AQ1493,vitri(".",AQ1493,1)-1))</f>
        <v/>
      </c>
    </row>
    <row r="1494" spans="13:54" x14ac:dyDescent="0.25">
      <c r="M1494" s="377"/>
      <c r="BB1494" s="83" t="str">
        <f t="array" ref="BB1494">_xlfn.IFS(AQ1494="","",LEN(AQ1494)-LEN(SUBSTITUTE(AQ1494,".",""))=3,LEFT(AQ1494,vitri(".",AQ1494,3)-1),LEN(AQ1494)-LEN(SUBSTITUTE(AQ1494,".",""))=2,LEFT(AQ1494,vitri(".",AQ1494,2)-1),TRUE,LEFT(AQ1494,vitri(".",AQ1494,1)-1))</f>
        <v/>
      </c>
    </row>
    <row r="1495" spans="13:54" x14ac:dyDescent="0.25">
      <c r="M1495" s="377"/>
      <c r="BB1495" s="83" t="str">
        <f t="array" ref="BB1495">_xlfn.IFS(AQ1495="","",LEN(AQ1495)-LEN(SUBSTITUTE(AQ1495,".",""))=3,LEFT(AQ1495,vitri(".",AQ1495,3)-1),LEN(AQ1495)-LEN(SUBSTITUTE(AQ1495,".",""))=2,LEFT(AQ1495,vitri(".",AQ1495,2)-1),TRUE,LEFT(AQ1495,vitri(".",AQ1495,1)-1))</f>
        <v/>
      </c>
    </row>
    <row r="1496" spans="13:54" x14ac:dyDescent="0.25">
      <c r="M1496" s="377"/>
      <c r="BB1496" s="83" t="str">
        <f t="array" ref="BB1496">_xlfn.IFS(AQ1496="","",LEN(AQ1496)-LEN(SUBSTITUTE(AQ1496,".",""))=3,LEFT(AQ1496,vitri(".",AQ1496,3)-1),LEN(AQ1496)-LEN(SUBSTITUTE(AQ1496,".",""))=2,LEFT(AQ1496,vitri(".",AQ1496,2)-1),TRUE,LEFT(AQ1496,vitri(".",AQ1496,1)-1))</f>
        <v/>
      </c>
    </row>
    <row r="1497" spans="13:54" x14ac:dyDescent="0.25">
      <c r="M1497" s="377"/>
      <c r="BB1497" s="83" t="str">
        <f t="array" ref="BB1497">_xlfn.IFS(AQ1497="","",LEN(AQ1497)-LEN(SUBSTITUTE(AQ1497,".",""))=3,LEFT(AQ1497,vitri(".",AQ1497,3)-1),LEN(AQ1497)-LEN(SUBSTITUTE(AQ1497,".",""))=2,LEFT(AQ1497,vitri(".",AQ1497,2)-1),TRUE,LEFT(AQ1497,vitri(".",AQ1497,1)-1))</f>
        <v/>
      </c>
    </row>
    <row r="1498" spans="13:54" x14ac:dyDescent="0.25">
      <c r="M1498" s="377"/>
      <c r="BB1498" s="83" t="str">
        <f t="array" ref="BB1498">_xlfn.IFS(AQ1498="","",LEN(AQ1498)-LEN(SUBSTITUTE(AQ1498,".",""))=3,LEFT(AQ1498,vitri(".",AQ1498,3)-1),LEN(AQ1498)-LEN(SUBSTITUTE(AQ1498,".",""))=2,LEFT(AQ1498,vitri(".",AQ1498,2)-1),TRUE,LEFT(AQ1498,vitri(".",AQ1498,1)-1))</f>
        <v/>
      </c>
    </row>
    <row r="1499" spans="13:54" x14ac:dyDescent="0.25">
      <c r="M1499" s="377"/>
      <c r="BB1499" s="83" t="str">
        <f t="array" ref="BB1499">_xlfn.IFS(AQ1499="","",LEN(AQ1499)-LEN(SUBSTITUTE(AQ1499,".",""))=3,LEFT(AQ1499,vitri(".",AQ1499,3)-1),LEN(AQ1499)-LEN(SUBSTITUTE(AQ1499,".",""))=2,LEFT(AQ1499,vitri(".",AQ1499,2)-1),TRUE,LEFT(AQ1499,vitri(".",AQ1499,1)-1))</f>
        <v/>
      </c>
    </row>
    <row r="1500" spans="13:54" x14ac:dyDescent="0.25">
      <c r="M1500" s="377"/>
      <c r="BB1500" s="83" t="str">
        <f t="array" ref="BB1500">_xlfn.IFS(AQ1500="","",LEN(AQ1500)-LEN(SUBSTITUTE(AQ1500,".",""))=3,LEFT(AQ1500,vitri(".",AQ1500,3)-1),LEN(AQ1500)-LEN(SUBSTITUTE(AQ1500,".",""))=2,LEFT(AQ1500,vitri(".",AQ1500,2)-1),TRUE,LEFT(AQ1500,vitri(".",AQ1500,1)-1))</f>
        <v/>
      </c>
    </row>
    <row r="1501" spans="13:54" x14ac:dyDescent="0.25">
      <c r="M1501" s="377"/>
      <c r="BB1501" s="83" t="str">
        <f t="array" ref="BB1501">_xlfn.IFS(AQ1501="","",LEN(AQ1501)-LEN(SUBSTITUTE(AQ1501,".",""))=3,LEFT(AQ1501,vitri(".",AQ1501,3)-1),LEN(AQ1501)-LEN(SUBSTITUTE(AQ1501,".",""))=2,LEFT(AQ1501,vitri(".",AQ1501,2)-1),TRUE,LEFT(AQ1501,vitri(".",AQ1501,1)-1))</f>
        <v/>
      </c>
    </row>
    <row r="1502" spans="13:54" x14ac:dyDescent="0.25">
      <c r="M1502" s="377"/>
      <c r="BB1502" s="83" t="str">
        <f t="array" ref="BB1502">_xlfn.IFS(AQ1502="","",LEN(AQ1502)-LEN(SUBSTITUTE(AQ1502,".",""))=3,LEFT(AQ1502,vitri(".",AQ1502,3)-1),LEN(AQ1502)-LEN(SUBSTITUTE(AQ1502,".",""))=2,LEFT(AQ1502,vitri(".",AQ1502,2)-1),TRUE,LEFT(AQ1502,vitri(".",AQ1502,1)-1))</f>
        <v/>
      </c>
    </row>
    <row r="1503" spans="13:54" x14ac:dyDescent="0.25">
      <c r="M1503" s="377"/>
      <c r="BB1503" s="83" t="str">
        <f t="array" ref="BB1503">_xlfn.IFS(AQ1503="","",LEN(AQ1503)-LEN(SUBSTITUTE(AQ1503,".",""))=3,LEFT(AQ1503,vitri(".",AQ1503,3)-1),LEN(AQ1503)-LEN(SUBSTITUTE(AQ1503,".",""))=2,LEFT(AQ1503,vitri(".",AQ1503,2)-1),TRUE,LEFT(AQ1503,vitri(".",AQ1503,1)-1))</f>
        <v/>
      </c>
    </row>
    <row r="1504" spans="13:54" x14ac:dyDescent="0.25">
      <c r="M1504" s="377"/>
      <c r="BB1504" s="83" t="str">
        <f t="array" ref="BB1504">_xlfn.IFS(AQ1504="","",LEN(AQ1504)-LEN(SUBSTITUTE(AQ1504,".",""))=3,LEFT(AQ1504,vitri(".",AQ1504,3)-1),LEN(AQ1504)-LEN(SUBSTITUTE(AQ1504,".",""))=2,LEFT(AQ1504,vitri(".",AQ1504,2)-1),TRUE,LEFT(AQ1504,vitri(".",AQ1504,1)-1))</f>
        <v/>
      </c>
    </row>
    <row r="1505" spans="13:54" x14ac:dyDescent="0.25">
      <c r="M1505" s="377"/>
      <c r="BB1505" s="83" t="str">
        <f t="array" ref="BB1505">_xlfn.IFS(AQ1505="","",LEN(AQ1505)-LEN(SUBSTITUTE(AQ1505,".",""))=3,LEFT(AQ1505,vitri(".",AQ1505,3)-1),LEN(AQ1505)-LEN(SUBSTITUTE(AQ1505,".",""))=2,LEFT(AQ1505,vitri(".",AQ1505,2)-1),TRUE,LEFT(AQ1505,vitri(".",AQ1505,1)-1))</f>
        <v/>
      </c>
    </row>
    <row r="1506" spans="13:54" x14ac:dyDescent="0.25">
      <c r="M1506" s="377"/>
      <c r="BB1506" s="83" t="str">
        <f t="array" ref="BB1506">_xlfn.IFS(AQ1506="","",LEN(AQ1506)-LEN(SUBSTITUTE(AQ1506,".",""))=3,LEFT(AQ1506,vitri(".",AQ1506,3)-1),LEN(AQ1506)-LEN(SUBSTITUTE(AQ1506,".",""))=2,LEFT(AQ1506,vitri(".",AQ1506,2)-1),TRUE,LEFT(AQ1506,vitri(".",AQ1506,1)-1))</f>
        <v/>
      </c>
    </row>
    <row r="1507" spans="13:54" x14ac:dyDescent="0.25">
      <c r="M1507" s="377"/>
      <c r="BB1507" s="83" t="str">
        <f t="array" ref="BB1507">_xlfn.IFS(AQ1507="","",LEN(AQ1507)-LEN(SUBSTITUTE(AQ1507,".",""))=3,LEFT(AQ1507,vitri(".",AQ1507,3)-1),LEN(AQ1507)-LEN(SUBSTITUTE(AQ1507,".",""))=2,LEFT(AQ1507,vitri(".",AQ1507,2)-1),TRUE,LEFT(AQ1507,vitri(".",AQ1507,1)-1))</f>
        <v/>
      </c>
    </row>
    <row r="1508" spans="13:54" x14ac:dyDescent="0.25">
      <c r="M1508" s="377"/>
      <c r="BB1508" s="83" t="str">
        <f t="array" ref="BB1508">_xlfn.IFS(AQ1508="","",LEN(AQ1508)-LEN(SUBSTITUTE(AQ1508,".",""))=3,LEFT(AQ1508,vitri(".",AQ1508,3)-1),LEN(AQ1508)-LEN(SUBSTITUTE(AQ1508,".",""))=2,LEFT(AQ1508,vitri(".",AQ1508,2)-1),TRUE,LEFT(AQ1508,vitri(".",AQ1508,1)-1))</f>
        <v/>
      </c>
    </row>
    <row r="1509" spans="13:54" x14ac:dyDescent="0.25">
      <c r="M1509" s="377"/>
      <c r="BB1509" s="83" t="str">
        <f t="array" ref="BB1509">_xlfn.IFS(AQ1509="","",LEN(AQ1509)-LEN(SUBSTITUTE(AQ1509,".",""))=3,LEFT(AQ1509,vitri(".",AQ1509,3)-1),LEN(AQ1509)-LEN(SUBSTITUTE(AQ1509,".",""))=2,LEFT(AQ1509,vitri(".",AQ1509,2)-1),TRUE,LEFT(AQ1509,vitri(".",AQ1509,1)-1))</f>
        <v/>
      </c>
    </row>
    <row r="1510" spans="13:54" x14ac:dyDescent="0.25">
      <c r="M1510" s="377"/>
      <c r="BB1510" s="83" t="str">
        <f t="array" ref="BB1510">_xlfn.IFS(AQ1510="","",LEN(AQ1510)-LEN(SUBSTITUTE(AQ1510,".",""))=3,LEFT(AQ1510,vitri(".",AQ1510,3)-1),LEN(AQ1510)-LEN(SUBSTITUTE(AQ1510,".",""))=2,LEFT(AQ1510,vitri(".",AQ1510,2)-1),TRUE,LEFT(AQ1510,vitri(".",AQ1510,1)-1))</f>
        <v/>
      </c>
    </row>
    <row r="1511" spans="13:54" x14ac:dyDescent="0.25">
      <c r="M1511" s="377"/>
      <c r="BB1511" s="83" t="str">
        <f t="array" ref="BB1511">_xlfn.IFS(AQ1511="","",LEN(AQ1511)-LEN(SUBSTITUTE(AQ1511,".",""))=3,LEFT(AQ1511,vitri(".",AQ1511,3)-1),LEN(AQ1511)-LEN(SUBSTITUTE(AQ1511,".",""))=2,LEFT(AQ1511,vitri(".",AQ1511,2)-1),TRUE,LEFT(AQ1511,vitri(".",AQ1511,1)-1))</f>
        <v/>
      </c>
    </row>
    <row r="1512" spans="13:54" x14ac:dyDescent="0.25">
      <c r="M1512" s="377"/>
      <c r="BB1512" s="83" t="str">
        <f t="array" ref="BB1512">_xlfn.IFS(AQ1512="","",LEN(AQ1512)-LEN(SUBSTITUTE(AQ1512,".",""))=3,LEFT(AQ1512,vitri(".",AQ1512,3)-1),LEN(AQ1512)-LEN(SUBSTITUTE(AQ1512,".",""))=2,LEFT(AQ1512,vitri(".",AQ1512,2)-1),TRUE,LEFT(AQ1512,vitri(".",AQ1512,1)-1))</f>
        <v/>
      </c>
    </row>
    <row r="1513" spans="13:54" x14ac:dyDescent="0.25">
      <c r="M1513" s="377"/>
      <c r="BB1513" s="83" t="str">
        <f t="array" ref="BB1513">_xlfn.IFS(AQ1513="","",LEN(AQ1513)-LEN(SUBSTITUTE(AQ1513,".",""))=3,LEFT(AQ1513,vitri(".",AQ1513,3)-1),LEN(AQ1513)-LEN(SUBSTITUTE(AQ1513,".",""))=2,LEFT(AQ1513,vitri(".",AQ1513,2)-1),TRUE,LEFT(AQ1513,vitri(".",AQ1513,1)-1))</f>
        <v/>
      </c>
    </row>
    <row r="1514" spans="13:54" x14ac:dyDescent="0.25">
      <c r="M1514" s="377"/>
      <c r="BB1514" s="83" t="str">
        <f t="array" ref="BB1514">_xlfn.IFS(AQ1514="","",LEN(AQ1514)-LEN(SUBSTITUTE(AQ1514,".",""))=3,LEFT(AQ1514,vitri(".",AQ1514,3)-1),LEN(AQ1514)-LEN(SUBSTITUTE(AQ1514,".",""))=2,LEFT(AQ1514,vitri(".",AQ1514,2)-1),TRUE,LEFT(AQ1514,vitri(".",AQ1514,1)-1))</f>
        <v/>
      </c>
    </row>
    <row r="1515" spans="13:54" x14ac:dyDescent="0.25">
      <c r="M1515" s="377"/>
      <c r="BB1515" s="83" t="str">
        <f t="array" ref="BB1515">_xlfn.IFS(AQ1515="","",LEN(AQ1515)-LEN(SUBSTITUTE(AQ1515,".",""))=3,LEFT(AQ1515,vitri(".",AQ1515,3)-1),LEN(AQ1515)-LEN(SUBSTITUTE(AQ1515,".",""))=2,LEFT(AQ1515,vitri(".",AQ1515,2)-1),TRUE,LEFT(AQ1515,vitri(".",AQ1515,1)-1))</f>
        <v/>
      </c>
    </row>
    <row r="1516" spans="13:54" x14ac:dyDescent="0.25">
      <c r="M1516" s="377"/>
      <c r="BB1516" s="83" t="str">
        <f t="array" ref="BB1516">_xlfn.IFS(AQ1516="","",LEN(AQ1516)-LEN(SUBSTITUTE(AQ1516,".",""))=3,LEFT(AQ1516,vitri(".",AQ1516,3)-1),LEN(AQ1516)-LEN(SUBSTITUTE(AQ1516,".",""))=2,LEFT(AQ1516,vitri(".",AQ1516,2)-1),TRUE,LEFT(AQ1516,vitri(".",AQ1516,1)-1))</f>
        <v/>
      </c>
    </row>
    <row r="1517" spans="13:54" x14ac:dyDescent="0.25">
      <c r="M1517" s="377"/>
      <c r="BB1517" s="83" t="str">
        <f t="array" ref="BB1517">_xlfn.IFS(AQ1517="","",LEN(AQ1517)-LEN(SUBSTITUTE(AQ1517,".",""))=3,LEFT(AQ1517,vitri(".",AQ1517,3)-1),LEN(AQ1517)-LEN(SUBSTITUTE(AQ1517,".",""))=2,LEFT(AQ1517,vitri(".",AQ1517,2)-1),TRUE,LEFT(AQ1517,vitri(".",AQ1517,1)-1))</f>
        <v/>
      </c>
    </row>
    <row r="1518" spans="13:54" x14ac:dyDescent="0.25">
      <c r="M1518" s="377"/>
      <c r="BB1518" s="83" t="str">
        <f t="array" ref="BB1518">_xlfn.IFS(AQ1518="","",LEN(AQ1518)-LEN(SUBSTITUTE(AQ1518,".",""))=3,LEFT(AQ1518,vitri(".",AQ1518,3)-1),LEN(AQ1518)-LEN(SUBSTITUTE(AQ1518,".",""))=2,LEFT(AQ1518,vitri(".",AQ1518,2)-1),TRUE,LEFT(AQ1518,vitri(".",AQ1518,1)-1))</f>
        <v/>
      </c>
    </row>
    <row r="1519" spans="13:54" x14ac:dyDescent="0.25">
      <c r="M1519" s="377"/>
      <c r="BB1519" s="83" t="str">
        <f t="array" ref="BB1519">_xlfn.IFS(AQ1519="","",LEN(AQ1519)-LEN(SUBSTITUTE(AQ1519,".",""))=3,LEFT(AQ1519,vitri(".",AQ1519,3)-1),LEN(AQ1519)-LEN(SUBSTITUTE(AQ1519,".",""))=2,LEFT(AQ1519,vitri(".",AQ1519,2)-1),TRUE,LEFT(AQ1519,vitri(".",AQ1519,1)-1))</f>
        <v/>
      </c>
    </row>
    <row r="1520" spans="13:54" x14ac:dyDescent="0.25">
      <c r="M1520" s="377"/>
      <c r="BB1520" s="83" t="str">
        <f t="array" ref="BB1520">_xlfn.IFS(AQ1520="","",LEN(AQ1520)-LEN(SUBSTITUTE(AQ1520,".",""))=3,LEFT(AQ1520,vitri(".",AQ1520,3)-1),LEN(AQ1520)-LEN(SUBSTITUTE(AQ1520,".",""))=2,LEFT(AQ1520,vitri(".",AQ1520,2)-1),TRUE,LEFT(AQ1520,vitri(".",AQ1520,1)-1))</f>
        <v/>
      </c>
    </row>
    <row r="1521" spans="13:54" x14ac:dyDescent="0.25">
      <c r="M1521" s="377"/>
      <c r="BB1521" s="83" t="str">
        <f t="array" ref="BB1521">_xlfn.IFS(AQ1521="","",LEN(AQ1521)-LEN(SUBSTITUTE(AQ1521,".",""))=3,LEFT(AQ1521,vitri(".",AQ1521,3)-1),LEN(AQ1521)-LEN(SUBSTITUTE(AQ1521,".",""))=2,LEFT(AQ1521,vitri(".",AQ1521,2)-1),TRUE,LEFT(AQ1521,vitri(".",AQ1521,1)-1))</f>
        <v/>
      </c>
    </row>
    <row r="1522" spans="13:54" x14ac:dyDescent="0.25">
      <c r="M1522" s="377"/>
      <c r="BB1522" s="83" t="str">
        <f t="array" ref="BB1522">_xlfn.IFS(AQ1522="","",LEN(AQ1522)-LEN(SUBSTITUTE(AQ1522,".",""))=3,LEFT(AQ1522,vitri(".",AQ1522,3)-1),LEN(AQ1522)-LEN(SUBSTITUTE(AQ1522,".",""))=2,LEFT(AQ1522,vitri(".",AQ1522,2)-1),TRUE,LEFT(AQ1522,vitri(".",AQ1522,1)-1))</f>
        <v/>
      </c>
    </row>
    <row r="1523" spans="13:54" x14ac:dyDescent="0.25">
      <c r="M1523" s="377"/>
      <c r="BB1523" s="83" t="str">
        <f t="array" ref="BB1523">_xlfn.IFS(AQ1523="","",LEN(AQ1523)-LEN(SUBSTITUTE(AQ1523,".",""))=3,LEFT(AQ1523,vitri(".",AQ1523,3)-1),LEN(AQ1523)-LEN(SUBSTITUTE(AQ1523,".",""))=2,LEFT(AQ1523,vitri(".",AQ1523,2)-1),TRUE,LEFT(AQ1523,vitri(".",AQ1523,1)-1))</f>
        <v/>
      </c>
    </row>
    <row r="1524" spans="13:54" x14ac:dyDescent="0.25">
      <c r="M1524" s="377"/>
      <c r="BB1524" s="83" t="str">
        <f t="array" ref="BB1524">_xlfn.IFS(AQ1524="","",LEN(AQ1524)-LEN(SUBSTITUTE(AQ1524,".",""))=3,LEFT(AQ1524,vitri(".",AQ1524,3)-1),LEN(AQ1524)-LEN(SUBSTITUTE(AQ1524,".",""))=2,LEFT(AQ1524,vitri(".",AQ1524,2)-1),TRUE,LEFT(AQ1524,vitri(".",AQ1524,1)-1))</f>
        <v/>
      </c>
    </row>
    <row r="1525" spans="13:54" x14ac:dyDescent="0.25">
      <c r="M1525" s="377"/>
      <c r="BB1525" s="83" t="str">
        <f t="array" ref="BB1525">_xlfn.IFS(AQ1525="","",LEN(AQ1525)-LEN(SUBSTITUTE(AQ1525,".",""))=3,LEFT(AQ1525,vitri(".",AQ1525,3)-1),LEN(AQ1525)-LEN(SUBSTITUTE(AQ1525,".",""))=2,LEFT(AQ1525,vitri(".",AQ1525,2)-1),TRUE,LEFT(AQ1525,vitri(".",AQ1525,1)-1))</f>
        <v/>
      </c>
    </row>
    <row r="1526" spans="13:54" x14ac:dyDescent="0.25">
      <c r="M1526" s="377"/>
      <c r="BB1526" s="83" t="str">
        <f t="array" ref="BB1526">_xlfn.IFS(AQ1526="","",LEN(AQ1526)-LEN(SUBSTITUTE(AQ1526,".",""))=3,LEFT(AQ1526,vitri(".",AQ1526,3)-1),LEN(AQ1526)-LEN(SUBSTITUTE(AQ1526,".",""))=2,LEFT(AQ1526,vitri(".",AQ1526,2)-1),TRUE,LEFT(AQ1526,vitri(".",AQ1526,1)-1))</f>
        <v/>
      </c>
    </row>
    <row r="1527" spans="13:54" x14ac:dyDescent="0.25">
      <c r="M1527" s="377"/>
      <c r="BB1527" s="83" t="str">
        <f t="array" ref="BB1527">_xlfn.IFS(AQ1527="","",LEN(AQ1527)-LEN(SUBSTITUTE(AQ1527,".",""))=3,LEFT(AQ1527,vitri(".",AQ1527,3)-1),LEN(AQ1527)-LEN(SUBSTITUTE(AQ1527,".",""))=2,LEFT(AQ1527,vitri(".",AQ1527,2)-1),TRUE,LEFT(AQ1527,vitri(".",AQ1527,1)-1))</f>
        <v/>
      </c>
    </row>
    <row r="1528" spans="13:54" x14ac:dyDescent="0.25">
      <c r="M1528" s="377"/>
      <c r="BB1528" s="83" t="str">
        <f t="array" ref="BB1528">_xlfn.IFS(AQ1528="","",LEN(AQ1528)-LEN(SUBSTITUTE(AQ1528,".",""))=3,LEFT(AQ1528,vitri(".",AQ1528,3)-1),LEN(AQ1528)-LEN(SUBSTITUTE(AQ1528,".",""))=2,LEFT(AQ1528,vitri(".",AQ1528,2)-1),TRUE,LEFT(AQ1528,vitri(".",AQ1528,1)-1))</f>
        <v/>
      </c>
    </row>
    <row r="1529" spans="13:54" x14ac:dyDescent="0.25">
      <c r="M1529" s="377"/>
      <c r="BB1529" s="83" t="str">
        <f t="array" ref="BB1529">_xlfn.IFS(AQ1529="","",LEN(AQ1529)-LEN(SUBSTITUTE(AQ1529,".",""))=3,LEFT(AQ1529,vitri(".",AQ1529,3)-1),LEN(AQ1529)-LEN(SUBSTITUTE(AQ1529,".",""))=2,LEFT(AQ1529,vitri(".",AQ1529,2)-1),TRUE,LEFT(AQ1529,vitri(".",AQ1529,1)-1))</f>
        <v/>
      </c>
    </row>
    <row r="1530" spans="13:54" x14ac:dyDescent="0.25">
      <c r="M1530" s="377"/>
      <c r="BB1530" s="83" t="str">
        <f t="array" ref="BB1530">_xlfn.IFS(AQ1530="","",LEN(AQ1530)-LEN(SUBSTITUTE(AQ1530,".",""))=3,LEFT(AQ1530,vitri(".",AQ1530,3)-1),LEN(AQ1530)-LEN(SUBSTITUTE(AQ1530,".",""))=2,LEFT(AQ1530,vitri(".",AQ1530,2)-1),TRUE,LEFT(AQ1530,vitri(".",AQ1530,1)-1))</f>
        <v/>
      </c>
    </row>
    <row r="1531" spans="13:54" x14ac:dyDescent="0.25">
      <c r="M1531" s="377"/>
      <c r="BB1531" s="83" t="str">
        <f t="array" ref="BB1531">_xlfn.IFS(AQ1531="","",LEN(AQ1531)-LEN(SUBSTITUTE(AQ1531,".",""))=3,LEFT(AQ1531,vitri(".",AQ1531,3)-1),LEN(AQ1531)-LEN(SUBSTITUTE(AQ1531,".",""))=2,LEFT(AQ1531,vitri(".",AQ1531,2)-1),TRUE,LEFT(AQ1531,vitri(".",AQ1531,1)-1))</f>
        <v/>
      </c>
    </row>
    <row r="1532" spans="13:54" x14ac:dyDescent="0.25">
      <c r="M1532" s="377"/>
      <c r="BB1532" s="83" t="str">
        <f t="array" ref="BB1532">_xlfn.IFS(AQ1532="","",LEN(AQ1532)-LEN(SUBSTITUTE(AQ1532,".",""))=3,LEFT(AQ1532,vitri(".",AQ1532,3)-1),LEN(AQ1532)-LEN(SUBSTITUTE(AQ1532,".",""))=2,LEFT(AQ1532,vitri(".",AQ1532,2)-1),TRUE,LEFT(AQ1532,vitri(".",AQ1532,1)-1))</f>
        <v/>
      </c>
    </row>
    <row r="1533" spans="13:54" x14ac:dyDescent="0.25">
      <c r="M1533" s="377"/>
      <c r="BB1533" s="83" t="str">
        <f t="array" ref="BB1533">_xlfn.IFS(AQ1533="","",LEN(AQ1533)-LEN(SUBSTITUTE(AQ1533,".",""))=3,LEFT(AQ1533,vitri(".",AQ1533,3)-1),LEN(AQ1533)-LEN(SUBSTITUTE(AQ1533,".",""))=2,LEFT(AQ1533,vitri(".",AQ1533,2)-1),TRUE,LEFT(AQ1533,vitri(".",AQ1533,1)-1))</f>
        <v/>
      </c>
    </row>
    <row r="1534" spans="13:54" x14ac:dyDescent="0.25">
      <c r="M1534" s="377"/>
      <c r="BB1534" s="83" t="str">
        <f t="array" ref="BB1534">_xlfn.IFS(AQ1534="","",LEN(AQ1534)-LEN(SUBSTITUTE(AQ1534,".",""))=3,LEFT(AQ1534,vitri(".",AQ1534,3)-1),LEN(AQ1534)-LEN(SUBSTITUTE(AQ1534,".",""))=2,LEFT(AQ1534,vitri(".",AQ1534,2)-1),TRUE,LEFT(AQ1534,vitri(".",AQ1534,1)-1))</f>
        <v/>
      </c>
    </row>
    <row r="1535" spans="13:54" x14ac:dyDescent="0.25">
      <c r="M1535" s="377"/>
      <c r="BB1535" s="83" t="str">
        <f t="array" ref="BB1535">_xlfn.IFS(AQ1535="","",LEN(AQ1535)-LEN(SUBSTITUTE(AQ1535,".",""))=3,LEFT(AQ1535,vitri(".",AQ1535,3)-1),LEN(AQ1535)-LEN(SUBSTITUTE(AQ1535,".",""))=2,LEFT(AQ1535,vitri(".",AQ1535,2)-1),TRUE,LEFT(AQ1535,vitri(".",AQ1535,1)-1))</f>
        <v/>
      </c>
    </row>
    <row r="1536" spans="13:54" x14ac:dyDescent="0.25">
      <c r="M1536" s="377"/>
      <c r="BB1536" s="83" t="str">
        <f t="array" ref="BB1536">_xlfn.IFS(AQ1536="","",LEN(AQ1536)-LEN(SUBSTITUTE(AQ1536,".",""))=3,LEFT(AQ1536,vitri(".",AQ1536,3)-1),LEN(AQ1536)-LEN(SUBSTITUTE(AQ1536,".",""))=2,LEFT(AQ1536,vitri(".",AQ1536,2)-1),TRUE,LEFT(AQ1536,vitri(".",AQ1536,1)-1))</f>
        <v/>
      </c>
    </row>
    <row r="1537" spans="13:54" x14ac:dyDescent="0.25">
      <c r="M1537" s="377"/>
      <c r="BB1537" s="83" t="str">
        <f t="array" ref="BB1537">_xlfn.IFS(AQ1537="","",LEN(AQ1537)-LEN(SUBSTITUTE(AQ1537,".",""))=3,LEFT(AQ1537,vitri(".",AQ1537,3)-1),LEN(AQ1537)-LEN(SUBSTITUTE(AQ1537,".",""))=2,LEFT(AQ1537,vitri(".",AQ1537,2)-1),TRUE,LEFT(AQ1537,vitri(".",AQ1537,1)-1))</f>
        <v/>
      </c>
    </row>
    <row r="1538" spans="13:54" x14ac:dyDescent="0.25">
      <c r="M1538" s="377"/>
      <c r="BB1538" s="83" t="str">
        <f t="array" ref="BB1538">_xlfn.IFS(AQ1538="","",LEN(AQ1538)-LEN(SUBSTITUTE(AQ1538,".",""))=3,LEFT(AQ1538,vitri(".",AQ1538,3)-1),LEN(AQ1538)-LEN(SUBSTITUTE(AQ1538,".",""))=2,LEFT(AQ1538,vitri(".",AQ1538,2)-1),TRUE,LEFT(AQ1538,vitri(".",AQ1538,1)-1))</f>
        <v/>
      </c>
    </row>
    <row r="1539" spans="13:54" x14ac:dyDescent="0.25">
      <c r="M1539" s="377"/>
      <c r="BB1539" s="83" t="str">
        <f t="array" ref="BB1539">_xlfn.IFS(AQ1539="","",LEN(AQ1539)-LEN(SUBSTITUTE(AQ1539,".",""))=3,LEFT(AQ1539,vitri(".",AQ1539,3)-1),LEN(AQ1539)-LEN(SUBSTITUTE(AQ1539,".",""))=2,LEFT(AQ1539,vitri(".",AQ1539,2)-1),TRUE,LEFT(AQ1539,vitri(".",AQ1539,1)-1))</f>
        <v/>
      </c>
    </row>
    <row r="1540" spans="13:54" x14ac:dyDescent="0.25">
      <c r="M1540" s="377"/>
      <c r="BB1540" s="83" t="str">
        <f t="array" ref="BB1540">_xlfn.IFS(AQ1540="","",LEN(AQ1540)-LEN(SUBSTITUTE(AQ1540,".",""))=3,LEFT(AQ1540,vitri(".",AQ1540,3)-1),LEN(AQ1540)-LEN(SUBSTITUTE(AQ1540,".",""))=2,LEFT(AQ1540,vitri(".",AQ1540,2)-1),TRUE,LEFT(AQ1540,vitri(".",AQ1540,1)-1))</f>
        <v/>
      </c>
    </row>
    <row r="1541" spans="13:54" x14ac:dyDescent="0.25">
      <c r="M1541" s="377"/>
      <c r="BB1541" s="83" t="str">
        <f t="array" ref="BB1541">_xlfn.IFS(AQ1541="","",LEN(AQ1541)-LEN(SUBSTITUTE(AQ1541,".",""))=3,LEFT(AQ1541,vitri(".",AQ1541,3)-1),LEN(AQ1541)-LEN(SUBSTITUTE(AQ1541,".",""))=2,LEFT(AQ1541,vitri(".",AQ1541,2)-1),TRUE,LEFT(AQ1541,vitri(".",AQ1541,1)-1))</f>
        <v/>
      </c>
    </row>
    <row r="1542" spans="13:54" x14ac:dyDescent="0.25">
      <c r="M1542" s="377"/>
      <c r="BB1542" s="83" t="str">
        <f t="array" ref="BB1542">_xlfn.IFS(AQ1542="","",LEN(AQ1542)-LEN(SUBSTITUTE(AQ1542,".",""))=3,LEFT(AQ1542,vitri(".",AQ1542,3)-1),LEN(AQ1542)-LEN(SUBSTITUTE(AQ1542,".",""))=2,LEFT(AQ1542,vitri(".",AQ1542,2)-1),TRUE,LEFT(AQ1542,vitri(".",AQ1542,1)-1))</f>
        <v/>
      </c>
    </row>
    <row r="1543" spans="13:54" x14ac:dyDescent="0.25">
      <c r="M1543" s="377"/>
      <c r="BB1543" s="83" t="str">
        <f t="array" ref="BB1543">_xlfn.IFS(AQ1543="","",LEN(AQ1543)-LEN(SUBSTITUTE(AQ1543,".",""))=3,LEFT(AQ1543,vitri(".",AQ1543,3)-1),LEN(AQ1543)-LEN(SUBSTITUTE(AQ1543,".",""))=2,LEFT(AQ1543,vitri(".",AQ1543,2)-1),TRUE,LEFT(AQ1543,vitri(".",AQ1543,1)-1))</f>
        <v/>
      </c>
    </row>
    <row r="1544" spans="13:54" x14ac:dyDescent="0.25">
      <c r="M1544" s="377"/>
      <c r="BB1544" s="83" t="str">
        <f t="array" ref="BB1544">_xlfn.IFS(AQ1544="","",LEN(AQ1544)-LEN(SUBSTITUTE(AQ1544,".",""))=3,LEFT(AQ1544,vitri(".",AQ1544,3)-1),LEN(AQ1544)-LEN(SUBSTITUTE(AQ1544,".",""))=2,LEFT(AQ1544,vitri(".",AQ1544,2)-1),TRUE,LEFT(AQ1544,vitri(".",AQ1544,1)-1))</f>
        <v/>
      </c>
    </row>
    <row r="1545" spans="13:54" x14ac:dyDescent="0.25">
      <c r="M1545" s="377"/>
      <c r="BB1545" s="83" t="str">
        <f t="array" ref="BB1545">_xlfn.IFS(AQ1545="","",LEN(AQ1545)-LEN(SUBSTITUTE(AQ1545,".",""))=3,LEFT(AQ1545,vitri(".",AQ1545,3)-1),LEN(AQ1545)-LEN(SUBSTITUTE(AQ1545,".",""))=2,LEFT(AQ1545,vitri(".",AQ1545,2)-1),TRUE,LEFT(AQ1545,vitri(".",AQ1545,1)-1))</f>
        <v/>
      </c>
    </row>
    <row r="1546" spans="13:54" x14ac:dyDescent="0.25">
      <c r="M1546" s="377"/>
      <c r="BB1546" s="83" t="str">
        <f t="array" ref="BB1546">_xlfn.IFS(AQ1546="","",LEN(AQ1546)-LEN(SUBSTITUTE(AQ1546,".",""))=3,LEFT(AQ1546,vitri(".",AQ1546,3)-1),LEN(AQ1546)-LEN(SUBSTITUTE(AQ1546,".",""))=2,LEFT(AQ1546,vitri(".",AQ1546,2)-1),TRUE,LEFT(AQ1546,vitri(".",AQ1546,1)-1))</f>
        <v/>
      </c>
    </row>
    <row r="1547" spans="13:54" x14ac:dyDescent="0.25">
      <c r="M1547" s="377"/>
      <c r="BB1547" s="83" t="str">
        <f t="array" ref="BB1547">_xlfn.IFS(AQ1547="","",LEN(AQ1547)-LEN(SUBSTITUTE(AQ1547,".",""))=3,LEFT(AQ1547,vitri(".",AQ1547,3)-1),LEN(AQ1547)-LEN(SUBSTITUTE(AQ1547,".",""))=2,LEFT(AQ1547,vitri(".",AQ1547,2)-1),TRUE,LEFT(AQ1547,vitri(".",AQ1547,1)-1))</f>
        <v/>
      </c>
    </row>
    <row r="1548" spans="13:54" x14ac:dyDescent="0.25">
      <c r="M1548" s="377"/>
      <c r="BB1548" s="83" t="str">
        <f t="array" ref="BB1548">_xlfn.IFS(AQ1548="","",LEN(AQ1548)-LEN(SUBSTITUTE(AQ1548,".",""))=3,LEFT(AQ1548,vitri(".",AQ1548,3)-1),LEN(AQ1548)-LEN(SUBSTITUTE(AQ1548,".",""))=2,LEFT(AQ1548,vitri(".",AQ1548,2)-1),TRUE,LEFT(AQ1548,vitri(".",AQ1548,1)-1))</f>
        <v/>
      </c>
    </row>
    <row r="1549" spans="13:54" x14ac:dyDescent="0.25">
      <c r="M1549" s="377"/>
      <c r="BB1549" s="83" t="str">
        <f t="array" ref="BB1549">_xlfn.IFS(AQ1549="","",LEN(AQ1549)-LEN(SUBSTITUTE(AQ1549,".",""))=3,LEFT(AQ1549,vitri(".",AQ1549,3)-1),LEN(AQ1549)-LEN(SUBSTITUTE(AQ1549,".",""))=2,LEFT(AQ1549,vitri(".",AQ1549,2)-1),TRUE,LEFT(AQ1549,vitri(".",AQ1549,1)-1))</f>
        <v/>
      </c>
    </row>
    <row r="1550" spans="13:54" x14ac:dyDescent="0.25">
      <c r="M1550" s="377"/>
      <c r="BB1550" s="83" t="str">
        <f t="array" ref="BB1550">_xlfn.IFS(AQ1550="","",LEN(AQ1550)-LEN(SUBSTITUTE(AQ1550,".",""))=3,LEFT(AQ1550,vitri(".",AQ1550,3)-1),LEN(AQ1550)-LEN(SUBSTITUTE(AQ1550,".",""))=2,LEFT(AQ1550,vitri(".",AQ1550,2)-1),TRUE,LEFT(AQ1550,vitri(".",AQ1550,1)-1))</f>
        <v/>
      </c>
    </row>
    <row r="1551" spans="13:54" x14ac:dyDescent="0.25">
      <c r="M1551" s="377"/>
      <c r="BB1551" s="83" t="str">
        <f t="array" ref="BB1551">_xlfn.IFS(AQ1551="","",LEN(AQ1551)-LEN(SUBSTITUTE(AQ1551,".",""))=3,LEFT(AQ1551,vitri(".",AQ1551,3)-1),LEN(AQ1551)-LEN(SUBSTITUTE(AQ1551,".",""))=2,LEFT(AQ1551,vitri(".",AQ1551,2)-1),TRUE,LEFT(AQ1551,vitri(".",AQ1551,1)-1))</f>
        <v/>
      </c>
    </row>
    <row r="1552" spans="13:54" x14ac:dyDescent="0.25">
      <c r="M1552" s="377"/>
      <c r="BB1552" s="83" t="str">
        <f t="array" ref="BB1552">_xlfn.IFS(AQ1552="","",LEN(AQ1552)-LEN(SUBSTITUTE(AQ1552,".",""))=3,LEFT(AQ1552,vitri(".",AQ1552,3)-1),LEN(AQ1552)-LEN(SUBSTITUTE(AQ1552,".",""))=2,LEFT(AQ1552,vitri(".",AQ1552,2)-1),TRUE,LEFT(AQ1552,vitri(".",AQ1552,1)-1))</f>
        <v/>
      </c>
    </row>
    <row r="1553" spans="13:54" x14ac:dyDescent="0.25">
      <c r="M1553" s="377"/>
      <c r="BB1553" s="83" t="str">
        <f t="array" ref="BB1553">_xlfn.IFS(AQ1553="","",LEN(AQ1553)-LEN(SUBSTITUTE(AQ1553,".",""))=3,LEFT(AQ1553,vitri(".",AQ1553,3)-1),LEN(AQ1553)-LEN(SUBSTITUTE(AQ1553,".",""))=2,LEFT(AQ1553,vitri(".",AQ1553,2)-1),TRUE,LEFT(AQ1553,vitri(".",AQ1553,1)-1))</f>
        <v/>
      </c>
    </row>
    <row r="1554" spans="13:54" x14ac:dyDescent="0.25">
      <c r="M1554" s="377"/>
      <c r="BB1554" s="83" t="str">
        <f t="array" ref="BB1554">_xlfn.IFS(AQ1554="","",LEN(AQ1554)-LEN(SUBSTITUTE(AQ1554,".",""))=3,LEFT(AQ1554,vitri(".",AQ1554,3)-1),LEN(AQ1554)-LEN(SUBSTITUTE(AQ1554,".",""))=2,LEFT(AQ1554,vitri(".",AQ1554,2)-1),TRUE,LEFT(AQ1554,vitri(".",AQ1554,1)-1))</f>
        <v/>
      </c>
    </row>
    <row r="1555" spans="13:54" x14ac:dyDescent="0.25">
      <c r="M1555" s="377"/>
      <c r="BB1555" s="83" t="str">
        <f t="array" ref="BB1555">_xlfn.IFS(AQ1555="","",LEN(AQ1555)-LEN(SUBSTITUTE(AQ1555,".",""))=3,LEFT(AQ1555,vitri(".",AQ1555,3)-1),LEN(AQ1555)-LEN(SUBSTITUTE(AQ1555,".",""))=2,LEFT(AQ1555,vitri(".",AQ1555,2)-1),TRUE,LEFT(AQ1555,vitri(".",AQ1555,1)-1))</f>
        <v/>
      </c>
    </row>
    <row r="1556" spans="13:54" x14ac:dyDescent="0.25">
      <c r="M1556" s="377"/>
      <c r="BB1556" s="83" t="str">
        <f t="array" ref="BB1556">_xlfn.IFS(AQ1556="","",LEN(AQ1556)-LEN(SUBSTITUTE(AQ1556,".",""))=3,LEFT(AQ1556,vitri(".",AQ1556,3)-1),LEN(AQ1556)-LEN(SUBSTITUTE(AQ1556,".",""))=2,LEFT(AQ1556,vitri(".",AQ1556,2)-1),TRUE,LEFT(AQ1556,vitri(".",AQ1556,1)-1))</f>
        <v/>
      </c>
    </row>
    <row r="1557" spans="13:54" x14ac:dyDescent="0.25">
      <c r="M1557" s="377"/>
      <c r="BB1557" s="83" t="str">
        <f t="array" ref="BB1557">_xlfn.IFS(AQ1557="","",LEN(AQ1557)-LEN(SUBSTITUTE(AQ1557,".",""))=3,LEFT(AQ1557,vitri(".",AQ1557,3)-1),LEN(AQ1557)-LEN(SUBSTITUTE(AQ1557,".",""))=2,LEFT(AQ1557,vitri(".",AQ1557,2)-1),TRUE,LEFT(AQ1557,vitri(".",AQ1557,1)-1))</f>
        <v/>
      </c>
    </row>
    <row r="1558" spans="13:54" x14ac:dyDescent="0.25">
      <c r="M1558" s="377"/>
      <c r="BB1558" s="83" t="str">
        <f t="array" ref="BB1558">_xlfn.IFS(AQ1558="","",LEN(AQ1558)-LEN(SUBSTITUTE(AQ1558,".",""))=3,LEFT(AQ1558,vitri(".",AQ1558,3)-1),LEN(AQ1558)-LEN(SUBSTITUTE(AQ1558,".",""))=2,LEFT(AQ1558,vitri(".",AQ1558,2)-1),TRUE,LEFT(AQ1558,vitri(".",AQ1558,1)-1))</f>
        <v/>
      </c>
    </row>
    <row r="1559" spans="13:54" x14ac:dyDescent="0.25">
      <c r="M1559" s="377"/>
      <c r="BB1559" s="83" t="str">
        <f t="array" ref="BB1559">_xlfn.IFS(AQ1559="","",LEN(AQ1559)-LEN(SUBSTITUTE(AQ1559,".",""))=3,LEFT(AQ1559,vitri(".",AQ1559,3)-1),LEN(AQ1559)-LEN(SUBSTITUTE(AQ1559,".",""))=2,LEFT(AQ1559,vitri(".",AQ1559,2)-1),TRUE,LEFT(AQ1559,vitri(".",AQ1559,1)-1))</f>
        <v/>
      </c>
    </row>
    <row r="1560" spans="13:54" x14ac:dyDescent="0.25">
      <c r="M1560" s="377"/>
      <c r="BB1560" s="83" t="str">
        <f t="array" ref="BB1560">_xlfn.IFS(AQ1560="","",LEN(AQ1560)-LEN(SUBSTITUTE(AQ1560,".",""))=3,LEFT(AQ1560,vitri(".",AQ1560,3)-1),LEN(AQ1560)-LEN(SUBSTITUTE(AQ1560,".",""))=2,LEFT(AQ1560,vitri(".",AQ1560,2)-1),TRUE,LEFT(AQ1560,vitri(".",AQ1560,1)-1))</f>
        <v/>
      </c>
    </row>
    <row r="1561" spans="13:54" x14ac:dyDescent="0.25">
      <c r="M1561" s="377"/>
      <c r="BB1561" s="83" t="str">
        <f t="array" ref="BB1561">_xlfn.IFS(AQ1561="","",LEN(AQ1561)-LEN(SUBSTITUTE(AQ1561,".",""))=3,LEFT(AQ1561,vitri(".",AQ1561,3)-1),LEN(AQ1561)-LEN(SUBSTITUTE(AQ1561,".",""))=2,LEFT(AQ1561,vitri(".",AQ1561,2)-1),TRUE,LEFT(AQ1561,vitri(".",AQ1561,1)-1))</f>
        <v/>
      </c>
    </row>
    <row r="1562" spans="13:54" x14ac:dyDescent="0.25">
      <c r="M1562" s="377"/>
      <c r="BB1562" s="83" t="str">
        <f t="array" ref="BB1562">_xlfn.IFS(AQ1562="","",LEN(AQ1562)-LEN(SUBSTITUTE(AQ1562,".",""))=3,LEFT(AQ1562,vitri(".",AQ1562,3)-1),LEN(AQ1562)-LEN(SUBSTITUTE(AQ1562,".",""))=2,LEFT(AQ1562,vitri(".",AQ1562,2)-1),TRUE,LEFT(AQ1562,vitri(".",AQ1562,1)-1))</f>
        <v/>
      </c>
    </row>
    <row r="1563" spans="13:54" x14ac:dyDescent="0.25">
      <c r="M1563" s="377"/>
      <c r="BB1563" s="83" t="str">
        <f t="array" ref="BB1563">_xlfn.IFS(AQ1563="","",LEN(AQ1563)-LEN(SUBSTITUTE(AQ1563,".",""))=3,LEFT(AQ1563,vitri(".",AQ1563,3)-1),LEN(AQ1563)-LEN(SUBSTITUTE(AQ1563,".",""))=2,LEFT(AQ1563,vitri(".",AQ1563,2)-1),TRUE,LEFT(AQ1563,vitri(".",AQ1563,1)-1))</f>
        <v/>
      </c>
    </row>
    <row r="1564" spans="13:54" x14ac:dyDescent="0.25">
      <c r="M1564" s="377"/>
      <c r="BB1564" s="83" t="str">
        <f t="array" ref="BB1564">_xlfn.IFS(AQ1564="","",LEN(AQ1564)-LEN(SUBSTITUTE(AQ1564,".",""))=3,LEFT(AQ1564,vitri(".",AQ1564,3)-1),LEN(AQ1564)-LEN(SUBSTITUTE(AQ1564,".",""))=2,LEFT(AQ1564,vitri(".",AQ1564,2)-1),TRUE,LEFT(AQ1564,vitri(".",AQ1564,1)-1))</f>
        <v/>
      </c>
    </row>
    <row r="1565" spans="13:54" x14ac:dyDescent="0.25">
      <c r="M1565" s="377"/>
      <c r="BB1565" s="83" t="str">
        <f t="array" ref="BB1565">_xlfn.IFS(AQ1565="","",LEN(AQ1565)-LEN(SUBSTITUTE(AQ1565,".",""))=3,LEFT(AQ1565,vitri(".",AQ1565,3)-1),LEN(AQ1565)-LEN(SUBSTITUTE(AQ1565,".",""))=2,LEFT(AQ1565,vitri(".",AQ1565,2)-1),TRUE,LEFT(AQ1565,vitri(".",AQ1565,1)-1))</f>
        <v/>
      </c>
    </row>
    <row r="1566" spans="13:54" x14ac:dyDescent="0.25">
      <c r="M1566" s="377"/>
      <c r="BB1566" s="83" t="str">
        <f t="array" ref="BB1566">_xlfn.IFS(AQ1566="","",LEN(AQ1566)-LEN(SUBSTITUTE(AQ1566,".",""))=3,LEFT(AQ1566,vitri(".",AQ1566,3)-1),LEN(AQ1566)-LEN(SUBSTITUTE(AQ1566,".",""))=2,LEFT(AQ1566,vitri(".",AQ1566,2)-1),TRUE,LEFT(AQ1566,vitri(".",AQ1566,1)-1))</f>
        <v/>
      </c>
    </row>
    <row r="1567" spans="13:54" x14ac:dyDescent="0.25">
      <c r="M1567" s="377"/>
      <c r="BB1567" s="83" t="str">
        <f t="array" ref="BB1567">_xlfn.IFS(AQ1567="","",LEN(AQ1567)-LEN(SUBSTITUTE(AQ1567,".",""))=3,LEFT(AQ1567,vitri(".",AQ1567,3)-1),LEN(AQ1567)-LEN(SUBSTITUTE(AQ1567,".",""))=2,LEFT(AQ1567,vitri(".",AQ1567,2)-1),TRUE,LEFT(AQ1567,vitri(".",AQ1567,1)-1))</f>
        <v/>
      </c>
    </row>
    <row r="1568" spans="13:54" x14ac:dyDescent="0.25">
      <c r="M1568" s="377"/>
      <c r="BB1568" s="83" t="str">
        <f t="array" ref="BB1568">_xlfn.IFS(AQ1568="","",LEN(AQ1568)-LEN(SUBSTITUTE(AQ1568,".",""))=3,LEFT(AQ1568,vitri(".",AQ1568,3)-1),LEN(AQ1568)-LEN(SUBSTITUTE(AQ1568,".",""))=2,LEFT(AQ1568,vitri(".",AQ1568,2)-1),TRUE,LEFT(AQ1568,vitri(".",AQ1568,1)-1))</f>
        <v/>
      </c>
    </row>
    <row r="1569" spans="13:54" x14ac:dyDescent="0.25">
      <c r="M1569" s="377"/>
      <c r="BB1569" s="83" t="str">
        <f t="array" ref="BB1569">_xlfn.IFS(AQ1569="","",LEN(AQ1569)-LEN(SUBSTITUTE(AQ1569,".",""))=3,LEFT(AQ1569,vitri(".",AQ1569,3)-1),LEN(AQ1569)-LEN(SUBSTITUTE(AQ1569,".",""))=2,LEFT(AQ1569,vitri(".",AQ1569,2)-1),TRUE,LEFT(AQ1569,vitri(".",AQ1569,1)-1))</f>
        <v/>
      </c>
    </row>
    <row r="1570" spans="13:54" x14ac:dyDescent="0.25">
      <c r="M1570" s="377"/>
      <c r="BB1570" s="83" t="str">
        <f t="array" ref="BB1570">_xlfn.IFS(AQ1570="","",LEN(AQ1570)-LEN(SUBSTITUTE(AQ1570,".",""))=3,LEFT(AQ1570,vitri(".",AQ1570,3)-1),LEN(AQ1570)-LEN(SUBSTITUTE(AQ1570,".",""))=2,LEFT(AQ1570,vitri(".",AQ1570,2)-1),TRUE,LEFT(AQ1570,vitri(".",AQ1570,1)-1))</f>
        <v/>
      </c>
    </row>
    <row r="1571" spans="13:54" x14ac:dyDescent="0.25">
      <c r="M1571" s="377"/>
      <c r="BB1571" s="83" t="str">
        <f t="array" ref="BB1571">_xlfn.IFS(AQ1571="","",LEN(AQ1571)-LEN(SUBSTITUTE(AQ1571,".",""))=3,LEFT(AQ1571,vitri(".",AQ1571,3)-1),LEN(AQ1571)-LEN(SUBSTITUTE(AQ1571,".",""))=2,LEFT(AQ1571,vitri(".",AQ1571,2)-1),TRUE,LEFT(AQ1571,vitri(".",AQ1571,1)-1))</f>
        <v/>
      </c>
    </row>
    <row r="1572" spans="13:54" x14ac:dyDescent="0.25">
      <c r="M1572" s="377"/>
      <c r="BB1572" s="83" t="str">
        <f t="array" ref="BB1572">_xlfn.IFS(AQ1572="","",LEN(AQ1572)-LEN(SUBSTITUTE(AQ1572,".",""))=3,LEFT(AQ1572,vitri(".",AQ1572,3)-1),LEN(AQ1572)-LEN(SUBSTITUTE(AQ1572,".",""))=2,LEFT(AQ1572,vitri(".",AQ1572,2)-1),TRUE,LEFT(AQ1572,vitri(".",AQ1572,1)-1))</f>
        <v/>
      </c>
    </row>
    <row r="1573" spans="13:54" x14ac:dyDescent="0.25">
      <c r="M1573" s="377"/>
      <c r="BB1573" s="83" t="str">
        <f t="array" ref="BB1573">_xlfn.IFS(AQ1573="","",LEN(AQ1573)-LEN(SUBSTITUTE(AQ1573,".",""))=3,LEFT(AQ1573,vitri(".",AQ1573,3)-1),LEN(AQ1573)-LEN(SUBSTITUTE(AQ1573,".",""))=2,LEFT(AQ1573,vitri(".",AQ1573,2)-1),TRUE,LEFT(AQ1573,vitri(".",AQ1573,1)-1))</f>
        <v/>
      </c>
    </row>
    <row r="1574" spans="13:54" x14ac:dyDescent="0.25">
      <c r="M1574" s="377"/>
      <c r="BB1574" s="83" t="str">
        <f t="array" ref="BB1574">_xlfn.IFS(AQ1574="","",LEN(AQ1574)-LEN(SUBSTITUTE(AQ1574,".",""))=3,LEFT(AQ1574,vitri(".",AQ1574,3)-1),LEN(AQ1574)-LEN(SUBSTITUTE(AQ1574,".",""))=2,LEFT(AQ1574,vitri(".",AQ1574,2)-1),TRUE,LEFT(AQ1574,vitri(".",AQ1574,1)-1))</f>
        <v/>
      </c>
    </row>
    <row r="1575" spans="13:54" x14ac:dyDescent="0.25">
      <c r="M1575" s="377"/>
      <c r="BB1575" s="83" t="str">
        <f t="array" ref="BB1575">_xlfn.IFS(AQ1575="","",LEN(AQ1575)-LEN(SUBSTITUTE(AQ1575,".",""))=3,LEFT(AQ1575,vitri(".",AQ1575,3)-1),LEN(AQ1575)-LEN(SUBSTITUTE(AQ1575,".",""))=2,LEFT(AQ1575,vitri(".",AQ1575,2)-1),TRUE,LEFT(AQ1575,vitri(".",AQ1575,1)-1))</f>
        <v/>
      </c>
    </row>
    <row r="1576" spans="13:54" x14ac:dyDescent="0.25">
      <c r="M1576" s="377"/>
      <c r="BB1576" s="83" t="str">
        <f t="array" ref="BB1576">_xlfn.IFS(AQ1576="","",LEN(AQ1576)-LEN(SUBSTITUTE(AQ1576,".",""))=3,LEFT(AQ1576,vitri(".",AQ1576,3)-1),LEN(AQ1576)-LEN(SUBSTITUTE(AQ1576,".",""))=2,LEFT(AQ1576,vitri(".",AQ1576,2)-1),TRUE,LEFT(AQ1576,vitri(".",AQ1576,1)-1))</f>
        <v/>
      </c>
    </row>
    <row r="1577" spans="13:54" x14ac:dyDescent="0.25">
      <c r="M1577" s="377"/>
      <c r="BB1577" s="83" t="str">
        <f t="array" ref="BB1577">_xlfn.IFS(AQ1577="","",LEN(AQ1577)-LEN(SUBSTITUTE(AQ1577,".",""))=3,LEFT(AQ1577,vitri(".",AQ1577,3)-1),LEN(AQ1577)-LEN(SUBSTITUTE(AQ1577,".",""))=2,LEFT(AQ1577,vitri(".",AQ1577,2)-1),TRUE,LEFT(AQ1577,vitri(".",AQ1577,1)-1))</f>
        <v/>
      </c>
    </row>
    <row r="1578" spans="13:54" x14ac:dyDescent="0.25">
      <c r="M1578" s="377"/>
      <c r="BB1578" s="83" t="str">
        <f t="array" ref="BB1578">_xlfn.IFS(AQ1578="","",LEN(AQ1578)-LEN(SUBSTITUTE(AQ1578,".",""))=3,LEFT(AQ1578,vitri(".",AQ1578,3)-1),LEN(AQ1578)-LEN(SUBSTITUTE(AQ1578,".",""))=2,LEFT(AQ1578,vitri(".",AQ1578,2)-1),TRUE,LEFT(AQ1578,vitri(".",AQ1578,1)-1))</f>
        <v/>
      </c>
    </row>
    <row r="1579" spans="13:54" x14ac:dyDescent="0.25">
      <c r="M1579" s="377"/>
      <c r="BB1579" s="83" t="str">
        <f t="array" ref="BB1579">_xlfn.IFS(AQ1579="","",LEN(AQ1579)-LEN(SUBSTITUTE(AQ1579,".",""))=3,LEFT(AQ1579,vitri(".",AQ1579,3)-1),LEN(AQ1579)-LEN(SUBSTITUTE(AQ1579,".",""))=2,LEFT(AQ1579,vitri(".",AQ1579,2)-1),TRUE,LEFT(AQ1579,vitri(".",AQ1579,1)-1))</f>
        <v/>
      </c>
    </row>
    <row r="1580" spans="13:54" x14ac:dyDescent="0.25">
      <c r="M1580" s="377"/>
      <c r="BB1580" s="83" t="str">
        <f t="array" ref="BB1580">_xlfn.IFS(AQ1580="","",LEN(AQ1580)-LEN(SUBSTITUTE(AQ1580,".",""))=3,LEFT(AQ1580,vitri(".",AQ1580,3)-1),LEN(AQ1580)-LEN(SUBSTITUTE(AQ1580,".",""))=2,LEFT(AQ1580,vitri(".",AQ1580,2)-1),TRUE,LEFT(AQ1580,vitri(".",AQ1580,1)-1))</f>
        <v/>
      </c>
    </row>
    <row r="1581" spans="13:54" x14ac:dyDescent="0.25">
      <c r="M1581" s="377"/>
      <c r="BB1581" s="83" t="str">
        <f t="array" ref="BB1581">_xlfn.IFS(AQ1581="","",LEN(AQ1581)-LEN(SUBSTITUTE(AQ1581,".",""))=3,LEFT(AQ1581,vitri(".",AQ1581,3)-1),LEN(AQ1581)-LEN(SUBSTITUTE(AQ1581,".",""))=2,LEFT(AQ1581,vitri(".",AQ1581,2)-1),TRUE,LEFT(AQ1581,vitri(".",AQ1581,1)-1))</f>
        <v/>
      </c>
    </row>
    <row r="1582" spans="13:54" x14ac:dyDescent="0.25">
      <c r="M1582" s="377"/>
      <c r="BB1582" s="83" t="str">
        <f t="array" ref="BB1582">_xlfn.IFS(AQ1582="","",LEN(AQ1582)-LEN(SUBSTITUTE(AQ1582,".",""))=3,LEFT(AQ1582,vitri(".",AQ1582,3)-1),LEN(AQ1582)-LEN(SUBSTITUTE(AQ1582,".",""))=2,LEFT(AQ1582,vitri(".",AQ1582,2)-1),TRUE,LEFT(AQ1582,vitri(".",AQ1582,1)-1))</f>
        <v/>
      </c>
    </row>
    <row r="1583" spans="13:54" x14ac:dyDescent="0.25">
      <c r="M1583" s="377"/>
      <c r="BB1583" s="83" t="str">
        <f t="array" ref="BB1583">_xlfn.IFS(AQ1583="","",LEN(AQ1583)-LEN(SUBSTITUTE(AQ1583,".",""))=3,LEFT(AQ1583,vitri(".",AQ1583,3)-1),LEN(AQ1583)-LEN(SUBSTITUTE(AQ1583,".",""))=2,LEFT(AQ1583,vitri(".",AQ1583,2)-1),TRUE,LEFT(AQ1583,vitri(".",AQ1583,1)-1))</f>
        <v/>
      </c>
    </row>
    <row r="1584" spans="13:54" x14ac:dyDescent="0.25">
      <c r="M1584" s="377"/>
      <c r="BB1584" s="83" t="str">
        <f t="array" ref="BB1584">_xlfn.IFS(AQ1584="","",LEN(AQ1584)-LEN(SUBSTITUTE(AQ1584,".",""))=3,LEFT(AQ1584,vitri(".",AQ1584,3)-1),LEN(AQ1584)-LEN(SUBSTITUTE(AQ1584,".",""))=2,LEFT(AQ1584,vitri(".",AQ1584,2)-1),TRUE,LEFT(AQ1584,vitri(".",AQ1584,1)-1))</f>
        <v/>
      </c>
    </row>
    <row r="1585" spans="13:54" x14ac:dyDescent="0.25">
      <c r="M1585" s="377"/>
      <c r="BB1585" s="83" t="str">
        <f t="array" ref="BB1585">_xlfn.IFS(AQ1585="","",LEN(AQ1585)-LEN(SUBSTITUTE(AQ1585,".",""))=3,LEFT(AQ1585,vitri(".",AQ1585,3)-1),LEN(AQ1585)-LEN(SUBSTITUTE(AQ1585,".",""))=2,LEFT(AQ1585,vitri(".",AQ1585,2)-1),TRUE,LEFT(AQ1585,vitri(".",AQ1585,1)-1))</f>
        <v/>
      </c>
    </row>
    <row r="1586" spans="13:54" x14ac:dyDescent="0.25">
      <c r="M1586" s="377"/>
      <c r="BB1586" s="83" t="str">
        <f t="array" ref="BB1586">_xlfn.IFS(AQ1586="","",LEN(AQ1586)-LEN(SUBSTITUTE(AQ1586,".",""))=3,LEFT(AQ1586,vitri(".",AQ1586,3)-1),LEN(AQ1586)-LEN(SUBSTITUTE(AQ1586,".",""))=2,LEFT(AQ1586,vitri(".",AQ1586,2)-1),TRUE,LEFT(AQ1586,vitri(".",AQ1586,1)-1))</f>
        <v/>
      </c>
    </row>
    <row r="1587" spans="13:54" x14ac:dyDescent="0.25">
      <c r="M1587" s="377"/>
      <c r="BB1587" s="83" t="str">
        <f t="array" ref="BB1587">_xlfn.IFS(AQ1587="","",LEN(AQ1587)-LEN(SUBSTITUTE(AQ1587,".",""))=3,LEFT(AQ1587,vitri(".",AQ1587,3)-1),LEN(AQ1587)-LEN(SUBSTITUTE(AQ1587,".",""))=2,LEFT(AQ1587,vitri(".",AQ1587,2)-1),TRUE,LEFT(AQ1587,vitri(".",AQ1587,1)-1))</f>
        <v/>
      </c>
    </row>
    <row r="1588" spans="13:54" x14ac:dyDescent="0.25">
      <c r="M1588" s="377"/>
      <c r="BB1588" s="83" t="str">
        <f t="array" ref="BB1588">_xlfn.IFS(AQ1588="","",LEN(AQ1588)-LEN(SUBSTITUTE(AQ1588,".",""))=3,LEFT(AQ1588,vitri(".",AQ1588,3)-1),LEN(AQ1588)-LEN(SUBSTITUTE(AQ1588,".",""))=2,LEFT(AQ1588,vitri(".",AQ1588,2)-1),TRUE,LEFT(AQ1588,vitri(".",AQ1588,1)-1))</f>
        <v/>
      </c>
    </row>
    <row r="1589" spans="13:54" x14ac:dyDescent="0.25">
      <c r="M1589" s="377"/>
      <c r="BB1589" s="83" t="str">
        <f t="array" ref="BB1589">_xlfn.IFS(AQ1589="","",LEN(AQ1589)-LEN(SUBSTITUTE(AQ1589,".",""))=3,LEFT(AQ1589,vitri(".",AQ1589,3)-1),LEN(AQ1589)-LEN(SUBSTITUTE(AQ1589,".",""))=2,LEFT(AQ1589,vitri(".",AQ1589,2)-1),TRUE,LEFT(AQ1589,vitri(".",AQ1589,1)-1))</f>
        <v/>
      </c>
    </row>
    <row r="1590" spans="13:54" x14ac:dyDescent="0.25">
      <c r="M1590" s="377"/>
      <c r="BB1590" s="83" t="str">
        <f t="array" ref="BB1590">_xlfn.IFS(AQ1590="","",LEN(AQ1590)-LEN(SUBSTITUTE(AQ1590,".",""))=3,LEFT(AQ1590,vitri(".",AQ1590,3)-1),LEN(AQ1590)-LEN(SUBSTITUTE(AQ1590,".",""))=2,LEFT(AQ1590,vitri(".",AQ1590,2)-1),TRUE,LEFT(AQ1590,vitri(".",AQ1590,1)-1))</f>
        <v/>
      </c>
    </row>
    <row r="1591" spans="13:54" x14ac:dyDescent="0.25">
      <c r="M1591" s="377"/>
      <c r="BB1591" s="83" t="str">
        <f t="array" ref="BB1591">_xlfn.IFS(AQ1591="","",LEN(AQ1591)-LEN(SUBSTITUTE(AQ1591,".",""))=3,LEFT(AQ1591,vitri(".",AQ1591,3)-1),LEN(AQ1591)-LEN(SUBSTITUTE(AQ1591,".",""))=2,LEFT(AQ1591,vitri(".",AQ1591,2)-1),TRUE,LEFT(AQ1591,vitri(".",AQ1591,1)-1))</f>
        <v/>
      </c>
    </row>
    <row r="1592" spans="13:54" x14ac:dyDescent="0.25">
      <c r="M1592" s="377"/>
      <c r="BB1592" s="83" t="str">
        <f t="array" ref="BB1592">_xlfn.IFS(AQ1592="","",LEN(AQ1592)-LEN(SUBSTITUTE(AQ1592,".",""))=3,LEFT(AQ1592,vitri(".",AQ1592,3)-1),LEN(AQ1592)-LEN(SUBSTITUTE(AQ1592,".",""))=2,LEFT(AQ1592,vitri(".",AQ1592,2)-1),TRUE,LEFT(AQ1592,vitri(".",AQ1592,1)-1))</f>
        <v/>
      </c>
    </row>
    <row r="1593" spans="13:54" x14ac:dyDescent="0.25">
      <c r="M1593" s="377"/>
      <c r="BB1593" s="83" t="str">
        <f t="array" ref="BB1593">_xlfn.IFS(AQ1593="","",LEN(AQ1593)-LEN(SUBSTITUTE(AQ1593,".",""))=3,LEFT(AQ1593,vitri(".",AQ1593,3)-1),LEN(AQ1593)-LEN(SUBSTITUTE(AQ1593,".",""))=2,LEFT(AQ1593,vitri(".",AQ1593,2)-1),TRUE,LEFT(AQ1593,vitri(".",AQ1593,1)-1))</f>
        <v/>
      </c>
    </row>
    <row r="1594" spans="13:54" x14ac:dyDescent="0.25">
      <c r="M1594" s="377"/>
      <c r="BB1594" s="83" t="str">
        <f t="array" ref="BB1594">_xlfn.IFS(AQ1594="","",LEN(AQ1594)-LEN(SUBSTITUTE(AQ1594,".",""))=3,LEFT(AQ1594,vitri(".",AQ1594,3)-1),LEN(AQ1594)-LEN(SUBSTITUTE(AQ1594,".",""))=2,LEFT(AQ1594,vitri(".",AQ1594,2)-1),TRUE,LEFT(AQ1594,vitri(".",AQ1594,1)-1))</f>
        <v/>
      </c>
    </row>
    <row r="1595" spans="13:54" x14ac:dyDescent="0.25">
      <c r="M1595" s="377"/>
      <c r="BB1595" s="83" t="str">
        <f t="array" ref="BB1595">_xlfn.IFS(AQ1595="","",LEN(AQ1595)-LEN(SUBSTITUTE(AQ1595,".",""))=3,LEFT(AQ1595,vitri(".",AQ1595,3)-1),LEN(AQ1595)-LEN(SUBSTITUTE(AQ1595,".",""))=2,LEFT(AQ1595,vitri(".",AQ1595,2)-1),TRUE,LEFT(AQ1595,vitri(".",AQ1595,1)-1))</f>
        <v/>
      </c>
    </row>
    <row r="1596" spans="13:54" x14ac:dyDescent="0.25">
      <c r="M1596" s="377"/>
      <c r="BB1596" s="83" t="str">
        <f t="array" ref="BB1596">_xlfn.IFS(AQ1596="","",LEN(AQ1596)-LEN(SUBSTITUTE(AQ1596,".",""))=3,LEFT(AQ1596,vitri(".",AQ1596,3)-1),LEN(AQ1596)-LEN(SUBSTITUTE(AQ1596,".",""))=2,LEFT(AQ1596,vitri(".",AQ1596,2)-1),TRUE,LEFT(AQ1596,vitri(".",AQ1596,1)-1))</f>
        <v/>
      </c>
    </row>
    <row r="1597" spans="13:54" x14ac:dyDescent="0.25">
      <c r="M1597" s="377"/>
      <c r="BB1597" s="83" t="str">
        <f t="array" ref="BB1597">_xlfn.IFS(AQ1597="","",LEN(AQ1597)-LEN(SUBSTITUTE(AQ1597,".",""))=3,LEFT(AQ1597,vitri(".",AQ1597,3)-1),LEN(AQ1597)-LEN(SUBSTITUTE(AQ1597,".",""))=2,LEFT(AQ1597,vitri(".",AQ1597,2)-1),TRUE,LEFT(AQ1597,vitri(".",AQ1597,1)-1))</f>
        <v/>
      </c>
    </row>
    <row r="1598" spans="13:54" x14ac:dyDescent="0.25">
      <c r="M1598" s="377"/>
      <c r="BB1598" s="83" t="str">
        <f t="array" ref="BB1598">_xlfn.IFS(AQ1598="","",LEN(AQ1598)-LEN(SUBSTITUTE(AQ1598,".",""))=3,LEFT(AQ1598,vitri(".",AQ1598,3)-1),LEN(AQ1598)-LEN(SUBSTITUTE(AQ1598,".",""))=2,LEFT(AQ1598,vitri(".",AQ1598,2)-1),TRUE,LEFT(AQ1598,vitri(".",AQ1598,1)-1))</f>
        <v/>
      </c>
    </row>
    <row r="1599" spans="13:54" x14ac:dyDescent="0.25">
      <c r="M1599" s="377"/>
      <c r="BB1599" s="83" t="str">
        <f t="array" ref="BB1599">_xlfn.IFS(AQ1599="","",LEN(AQ1599)-LEN(SUBSTITUTE(AQ1599,".",""))=3,LEFT(AQ1599,vitri(".",AQ1599,3)-1),LEN(AQ1599)-LEN(SUBSTITUTE(AQ1599,".",""))=2,LEFT(AQ1599,vitri(".",AQ1599,2)-1),TRUE,LEFT(AQ1599,vitri(".",AQ1599,1)-1))</f>
        <v/>
      </c>
    </row>
    <row r="1600" spans="13:54" x14ac:dyDescent="0.25">
      <c r="M1600" s="377"/>
      <c r="BB1600" s="83" t="str">
        <f t="array" ref="BB1600">_xlfn.IFS(AQ1600="","",LEN(AQ1600)-LEN(SUBSTITUTE(AQ1600,".",""))=3,LEFT(AQ1600,vitri(".",AQ1600,3)-1),LEN(AQ1600)-LEN(SUBSTITUTE(AQ1600,".",""))=2,LEFT(AQ1600,vitri(".",AQ1600,2)-1),TRUE,LEFT(AQ1600,vitri(".",AQ1600,1)-1))</f>
        <v/>
      </c>
    </row>
    <row r="1601" spans="13:54" x14ac:dyDescent="0.25">
      <c r="M1601" s="377"/>
      <c r="BB1601" s="83" t="str">
        <f t="array" ref="BB1601">_xlfn.IFS(AQ1601="","",LEN(AQ1601)-LEN(SUBSTITUTE(AQ1601,".",""))=3,LEFT(AQ1601,vitri(".",AQ1601,3)-1),LEN(AQ1601)-LEN(SUBSTITUTE(AQ1601,".",""))=2,LEFT(AQ1601,vitri(".",AQ1601,2)-1),TRUE,LEFT(AQ1601,vitri(".",AQ1601,1)-1))</f>
        <v/>
      </c>
    </row>
    <row r="1602" spans="13:54" x14ac:dyDescent="0.25">
      <c r="M1602" s="377"/>
      <c r="BB1602" s="83" t="str">
        <f t="array" ref="BB1602">_xlfn.IFS(AQ1602="","",LEN(AQ1602)-LEN(SUBSTITUTE(AQ1602,".",""))=3,LEFT(AQ1602,vitri(".",AQ1602,3)-1),LEN(AQ1602)-LEN(SUBSTITUTE(AQ1602,".",""))=2,LEFT(AQ1602,vitri(".",AQ1602,2)-1),TRUE,LEFT(AQ1602,vitri(".",AQ1602,1)-1))</f>
        <v/>
      </c>
    </row>
    <row r="1603" spans="13:54" x14ac:dyDescent="0.25">
      <c r="M1603" s="377"/>
      <c r="BB1603" s="83" t="str">
        <f t="array" ref="BB1603">_xlfn.IFS(AQ1603="","",LEN(AQ1603)-LEN(SUBSTITUTE(AQ1603,".",""))=3,LEFT(AQ1603,vitri(".",AQ1603,3)-1),LEN(AQ1603)-LEN(SUBSTITUTE(AQ1603,".",""))=2,LEFT(AQ1603,vitri(".",AQ1603,2)-1),TRUE,LEFT(AQ1603,vitri(".",AQ1603,1)-1))</f>
        <v/>
      </c>
    </row>
    <row r="1604" spans="13:54" x14ac:dyDescent="0.25">
      <c r="M1604" s="377"/>
      <c r="BB1604" s="83" t="str">
        <f t="array" ref="BB1604">_xlfn.IFS(AQ1604="","",LEN(AQ1604)-LEN(SUBSTITUTE(AQ1604,".",""))=3,LEFT(AQ1604,vitri(".",AQ1604,3)-1),LEN(AQ1604)-LEN(SUBSTITUTE(AQ1604,".",""))=2,LEFT(AQ1604,vitri(".",AQ1604,2)-1),TRUE,LEFT(AQ1604,vitri(".",AQ1604,1)-1))</f>
        <v/>
      </c>
    </row>
    <row r="1605" spans="13:54" x14ac:dyDescent="0.25">
      <c r="M1605" s="377"/>
      <c r="BB1605" s="83" t="str">
        <f t="array" ref="BB1605">_xlfn.IFS(AQ1605="","",LEN(AQ1605)-LEN(SUBSTITUTE(AQ1605,".",""))=3,LEFT(AQ1605,vitri(".",AQ1605,3)-1),LEN(AQ1605)-LEN(SUBSTITUTE(AQ1605,".",""))=2,LEFT(AQ1605,vitri(".",AQ1605,2)-1),TRUE,LEFT(AQ1605,vitri(".",AQ1605,1)-1))</f>
        <v/>
      </c>
    </row>
    <row r="1606" spans="13:54" x14ac:dyDescent="0.25">
      <c r="M1606" s="377"/>
      <c r="BB1606" s="83" t="str">
        <f t="array" ref="BB1606">_xlfn.IFS(AQ1606="","",LEN(AQ1606)-LEN(SUBSTITUTE(AQ1606,".",""))=3,LEFT(AQ1606,vitri(".",AQ1606,3)-1),LEN(AQ1606)-LEN(SUBSTITUTE(AQ1606,".",""))=2,LEFT(AQ1606,vitri(".",AQ1606,2)-1),TRUE,LEFT(AQ1606,vitri(".",AQ1606,1)-1))</f>
        <v/>
      </c>
    </row>
    <row r="1607" spans="13:54" x14ac:dyDescent="0.25">
      <c r="M1607" s="377"/>
      <c r="BB1607" s="83" t="str">
        <f t="array" ref="BB1607">_xlfn.IFS(AQ1607="","",LEN(AQ1607)-LEN(SUBSTITUTE(AQ1607,".",""))=3,LEFT(AQ1607,vitri(".",AQ1607,3)-1),LEN(AQ1607)-LEN(SUBSTITUTE(AQ1607,".",""))=2,LEFT(AQ1607,vitri(".",AQ1607,2)-1),TRUE,LEFT(AQ1607,vitri(".",AQ1607,1)-1))</f>
        <v/>
      </c>
    </row>
    <row r="1608" spans="13:54" x14ac:dyDescent="0.25">
      <c r="M1608" s="377"/>
      <c r="BB1608" s="83" t="str">
        <f t="array" ref="BB1608">_xlfn.IFS(AQ1608="","",LEN(AQ1608)-LEN(SUBSTITUTE(AQ1608,".",""))=3,LEFT(AQ1608,vitri(".",AQ1608,3)-1),LEN(AQ1608)-LEN(SUBSTITUTE(AQ1608,".",""))=2,LEFT(AQ1608,vitri(".",AQ1608,2)-1),TRUE,LEFT(AQ1608,vitri(".",AQ1608,1)-1))</f>
        <v/>
      </c>
    </row>
    <row r="1609" spans="13:54" x14ac:dyDescent="0.25">
      <c r="M1609" s="377"/>
      <c r="BB1609" s="83" t="str">
        <f t="array" ref="BB1609">_xlfn.IFS(AQ1609="","",LEN(AQ1609)-LEN(SUBSTITUTE(AQ1609,".",""))=3,LEFT(AQ1609,vitri(".",AQ1609,3)-1),LEN(AQ1609)-LEN(SUBSTITUTE(AQ1609,".",""))=2,LEFT(AQ1609,vitri(".",AQ1609,2)-1),TRUE,LEFT(AQ1609,vitri(".",AQ1609,1)-1))</f>
        <v/>
      </c>
    </row>
    <row r="1610" spans="13:54" x14ac:dyDescent="0.25">
      <c r="M1610" s="377"/>
      <c r="BB1610" s="83" t="str">
        <f t="array" ref="BB1610">_xlfn.IFS(AQ1610="","",LEN(AQ1610)-LEN(SUBSTITUTE(AQ1610,".",""))=3,LEFT(AQ1610,vitri(".",AQ1610,3)-1),LEN(AQ1610)-LEN(SUBSTITUTE(AQ1610,".",""))=2,LEFT(AQ1610,vitri(".",AQ1610,2)-1),TRUE,LEFT(AQ1610,vitri(".",AQ1610,1)-1))</f>
        <v/>
      </c>
    </row>
    <row r="1611" spans="13:54" x14ac:dyDescent="0.25">
      <c r="M1611" s="377"/>
      <c r="BB1611" s="83" t="str">
        <f t="array" ref="BB1611">_xlfn.IFS(AQ1611="","",LEN(AQ1611)-LEN(SUBSTITUTE(AQ1611,".",""))=3,LEFT(AQ1611,vitri(".",AQ1611,3)-1),LEN(AQ1611)-LEN(SUBSTITUTE(AQ1611,".",""))=2,LEFT(AQ1611,vitri(".",AQ1611,2)-1),TRUE,LEFT(AQ1611,vitri(".",AQ1611,1)-1))</f>
        <v/>
      </c>
    </row>
    <row r="1612" spans="13:54" x14ac:dyDescent="0.25">
      <c r="M1612" s="377"/>
      <c r="BB1612" s="83" t="str">
        <f t="array" ref="BB1612">_xlfn.IFS(AQ1612="","",LEN(AQ1612)-LEN(SUBSTITUTE(AQ1612,".",""))=3,LEFT(AQ1612,vitri(".",AQ1612,3)-1),LEN(AQ1612)-LEN(SUBSTITUTE(AQ1612,".",""))=2,LEFT(AQ1612,vitri(".",AQ1612,2)-1),TRUE,LEFT(AQ1612,vitri(".",AQ1612,1)-1))</f>
        <v/>
      </c>
    </row>
    <row r="1613" spans="13:54" x14ac:dyDescent="0.25">
      <c r="M1613" s="377"/>
      <c r="BB1613" s="83" t="str">
        <f t="array" ref="BB1613">_xlfn.IFS(AQ1613="","",LEN(AQ1613)-LEN(SUBSTITUTE(AQ1613,".",""))=3,LEFT(AQ1613,vitri(".",AQ1613,3)-1),LEN(AQ1613)-LEN(SUBSTITUTE(AQ1613,".",""))=2,LEFT(AQ1613,vitri(".",AQ1613,2)-1),TRUE,LEFT(AQ1613,vitri(".",AQ1613,1)-1))</f>
        <v/>
      </c>
    </row>
    <row r="1614" spans="13:54" x14ac:dyDescent="0.25">
      <c r="M1614" s="377"/>
      <c r="BB1614" s="83" t="str">
        <f t="array" ref="BB1614">_xlfn.IFS(AQ1614="","",LEN(AQ1614)-LEN(SUBSTITUTE(AQ1614,".",""))=3,LEFT(AQ1614,vitri(".",AQ1614,3)-1),LEN(AQ1614)-LEN(SUBSTITUTE(AQ1614,".",""))=2,LEFT(AQ1614,vitri(".",AQ1614,2)-1),TRUE,LEFT(AQ1614,vitri(".",AQ1614,1)-1))</f>
        <v/>
      </c>
    </row>
    <row r="1615" spans="13:54" x14ac:dyDescent="0.25">
      <c r="M1615" s="377"/>
      <c r="BB1615" s="83" t="str">
        <f t="array" ref="BB1615">_xlfn.IFS(AQ1615="","",LEN(AQ1615)-LEN(SUBSTITUTE(AQ1615,".",""))=3,LEFT(AQ1615,vitri(".",AQ1615,3)-1),LEN(AQ1615)-LEN(SUBSTITUTE(AQ1615,".",""))=2,LEFT(AQ1615,vitri(".",AQ1615,2)-1),TRUE,LEFT(AQ1615,vitri(".",AQ1615,1)-1))</f>
        <v/>
      </c>
    </row>
    <row r="1616" spans="13:54" x14ac:dyDescent="0.25">
      <c r="M1616" s="377"/>
      <c r="BB1616" s="83" t="str">
        <f t="array" ref="BB1616">_xlfn.IFS(AQ1616="","",LEN(AQ1616)-LEN(SUBSTITUTE(AQ1616,".",""))=3,LEFT(AQ1616,vitri(".",AQ1616,3)-1),LEN(AQ1616)-LEN(SUBSTITUTE(AQ1616,".",""))=2,LEFT(AQ1616,vitri(".",AQ1616,2)-1),TRUE,LEFT(AQ1616,vitri(".",AQ1616,1)-1))</f>
        <v/>
      </c>
    </row>
    <row r="1617" spans="13:54" x14ac:dyDescent="0.25">
      <c r="M1617" s="377"/>
      <c r="BB1617" s="83" t="str">
        <f t="array" ref="BB1617">_xlfn.IFS(AQ1617="","",LEN(AQ1617)-LEN(SUBSTITUTE(AQ1617,".",""))=3,LEFT(AQ1617,vitri(".",AQ1617,3)-1),LEN(AQ1617)-LEN(SUBSTITUTE(AQ1617,".",""))=2,LEFT(AQ1617,vitri(".",AQ1617,2)-1),TRUE,LEFT(AQ1617,vitri(".",AQ1617,1)-1))</f>
        <v/>
      </c>
    </row>
    <row r="1618" spans="13:54" x14ac:dyDescent="0.25">
      <c r="M1618" s="377"/>
      <c r="BB1618" s="83" t="str">
        <f t="array" ref="BB1618">_xlfn.IFS(AQ1618="","",LEN(AQ1618)-LEN(SUBSTITUTE(AQ1618,".",""))=3,LEFT(AQ1618,vitri(".",AQ1618,3)-1),LEN(AQ1618)-LEN(SUBSTITUTE(AQ1618,".",""))=2,LEFT(AQ1618,vitri(".",AQ1618,2)-1),TRUE,LEFT(AQ1618,vitri(".",AQ1618,1)-1))</f>
        <v/>
      </c>
    </row>
    <row r="1619" spans="13:54" x14ac:dyDescent="0.25">
      <c r="M1619" s="377"/>
      <c r="BB1619" s="83" t="str">
        <f t="array" ref="BB1619">_xlfn.IFS(AQ1619="","",LEN(AQ1619)-LEN(SUBSTITUTE(AQ1619,".",""))=3,LEFT(AQ1619,vitri(".",AQ1619,3)-1),LEN(AQ1619)-LEN(SUBSTITUTE(AQ1619,".",""))=2,LEFT(AQ1619,vitri(".",AQ1619,2)-1),TRUE,LEFT(AQ1619,vitri(".",AQ1619,1)-1))</f>
        <v/>
      </c>
    </row>
    <row r="1620" spans="13:54" x14ac:dyDescent="0.25">
      <c r="M1620" s="377"/>
      <c r="BB1620" s="83" t="str">
        <f t="array" ref="BB1620">_xlfn.IFS(AQ1620="","",LEN(AQ1620)-LEN(SUBSTITUTE(AQ1620,".",""))=3,LEFT(AQ1620,vitri(".",AQ1620,3)-1),LEN(AQ1620)-LEN(SUBSTITUTE(AQ1620,".",""))=2,LEFT(AQ1620,vitri(".",AQ1620,2)-1),TRUE,LEFT(AQ1620,vitri(".",AQ1620,1)-1))</f>
        <v/>
      </c>
    </row>
    <row r="1621" spans="13:54" x14ac:dyDescent="0.25">
      <c r="M1621" s="377"/>
      <c r="BB1621" s="83" t="str">
        <f t="array" ref="BB1621">_xlfn.IFS(AQ1621="","",LEN(AQ1621)-LEN(SUBSTITUTE(AQ1621,".",""))=3,LEFT(AQ1621,vitri(".",AQ1621,3)-1),LEN(AQ1621)-LEN(SUBSTITUTE(AQ1621,".",""))=2,LEFT(AQ1621,vitri(".",AQ1621,2)-1),TRUE,LEFT(AQ1621,vitri(".",AQ1621,1)-1))</f>
        <v/>
      </c>
    </row>
    <row r="1622" spans="13:54" x14ac:dyDescent="0.25">
      <c r="M1622" s="377"/>
      <c r="BB1622" s="83" t="str">
        <f t="array" ref="BB1622">_xlfn.IFS(AQ1622="","",LEN(AQ1622)-LEN(SUBSTITUTE(AQ1622,".",""))=3,LEFT(AQ1622,vitri(".",AQ1622,3)-1),LEN(AQ1622)-LEN(SUBSTITUTE(AQ1622,".",""))=2,LEFT(AQ1622,vitri(".",AQ1622,2)-1),TRUE,LEFT(AQ1622,vitri(".",AQ1622,1)-1))</f>
        <v/>
      </c>
    </row>
    <row r="1623" spans="13:54" x14ac:dyDescent="0.25">
      <c r="M1623" s="377"/>
      <c r="BB1623" s="83" t="str">
        <f t="array" ref="BB1623">_xlfn.IFS(AQ1623="","",LEN(AQ1623)-LEN(SUBSTITUTE(AQ1623,".",""))=3,LEFT(AQ1623,vitri(".",AQ1623,3)-1),LEN(AQ1623)-LEN(SUBSTITUTE(AQ1623,".",""))=2,LEFT(AQ1623,vitri(".",AQ1623,2)-1),TRUE,LEFT(AQ1623,vitri(".",AQ1623,1)-1))</f>
        <v/>
      </c>
    </row>
    <row r="1624" spans="13:54" x14ac:dyDescent="0.25">
      <c r="M1624" s="377"/>
      <c r="BB1624" s="83" t="str">
        <f t="array" ref="BB1624">_xlfn.IFS(AQ1624="","",LEN(AQ1624)-LEN(SUBSTITUTE(AQ1624,".",""))=3,LEFT(AQ1624,vitri(".",AQ1624,3)-1),LEN(AQ1624)-LEN(SUBSTITUTE(AQ1624,".",""))=2,LEFT(AQ1624,vitri(".",AQ1624,2)-1),TRUE,LEFT(AQ1624,vitri(".",AQ1624,1)-1))</f>
        <v/>
      </c>
    </row>
    <row r="1625" spans="13:54" x14ac:dyDescent="0.25">
      <c r="M1625" s="377"/>
      <c r="BB1625" s="83" t="str">
        <f t="array" ref="BB1625">_xlfn.IFS(AQ1625="","",LEN(AQ1625)-LEN(SUBSTITUTE(AQ1625,".",""))=3,LEFT(AQ1625,vitri(".",AQ1625,3)-1),LEN(AQ1625)-LEN(SUBSTITUTE(AQ1625,".",""))=2,LEFT(AQ1625,vitri(".",AQ1625,2)-1),TRUE,LEFT(AQ1625,vitri(".",AQ1625,1)-1))</f>
        <v/>
      </c>
    </row>
    <row r="1626" spans="13:54" x14ac:dyDescent="0.25">
      <c r="M1626" s="377"/>
      <c r="BB1626" s="83" t="str">
        <f t="array" ref="BB1626">_xlfn.IFS(AQ1626="","",LEN(AQ1626)-LEN(SUBSTITUTE(AQ1626,".",""))=3,LEFT(AQ1626,vitri(".",AQ1626,3)-1),LEN(AQ1626)-LEN(SUBSTITUTE(AQ1626,".",""))=2,LEFT(AQ1626,vitri(".",AQ1626,2)-1),TRUE,LEFT(AQ1626,vitri(".",AQ1626,1)-1))</f>
        <v/>
      </c>
    </row>
    <row r="1627" spans="13:54" x14ac:dyDescent="0.25">
      <c r="M1627" s="377"/>
      <c r="BB1627" s="83" t="str">
        <f t="array" ref="BB1627">_xlfn.IFS(AQ1627="","",LEN(AQ1627)-LEN(SUBSTITUTE(AQ1627,".",""))=3,LEFT(AQ1627,vitri(".",AQ1627,3)-1),LEN(AQ1627)-LEN(SUBSTITUTE(AQ1627,".",""))=2,LEFT(AQ1627,vitri(".",AQ1627,2)-1),TRUE,LEFT(AQ1627,vitri(".",AQ1627,1)-1))</f>
        <v/>
      </c>
    </row>
    <row r="1628" spans="13:54" x14ac:dyDescent="0.25">
      <c r="M1628" s="377"/>
      <c r="BB1628" s="83" t="str">
        <f t="array" ref="BB1628">_xlfn.IFS(AQ1628="","",LEN(AQ1628)-LEN(SUBSTITUTE(AQ1628,".",""))=3,LEFT(AQ1628,vitri(".",AQ1628,3)-1),LEN(AQ1628)-LEN(SUBSTITUTE(AQ1628,".",""))=2,LEFT(AQ1628,vitri(".",AQ1628,2)-1),TRUE,LEFT(AQ1628,vitri(".",AQ1628,1)-1))</f>
        <v/>
      </c>
    </row>
    <row r="1629" spans="13:54" x14ac:dyDescent="0.25">
      <c r="M1629" s="377"/>
      <c r="BB1629" s="83" t="str">
        <f t="array" ref="BB1629">_xlfn.IFS(AQ1629="","",LEN(AQ1629)-LEN(SUBSTITUTE(AQ1629,".",""))=3,LEFT(AQ1629,vitri(".",AQ1629,3)-1),LEN(AQ1629)-LEN(SUBSTITUTE(AQ1629,".",""))=2,LEFT(AQ1629,vitri(".",AQ1629,2)-1),TRUE,LEFT(AQ1629,vitri(".",AQ1629,1)-1))</f>
        <v/>
      </c>
    </row>
    <row r="1630" spans="13:54" x14ac:dyDescent="0.25">
      <c r="M1630" s="377"/>
      <c r="BB1630" s="83" t="str">
        <f t="array" ref="BB1630">_xlfn.IFS(AQ1630="","",LEN(AQ1630)-LEN(SUBSTITUTE(AQ1630,".",""))=3,LEFT(AQ1630,vitri(".",AQ1630,3)-1),LEN(AQ1630)-LEN(SUBSTITUTE(AQ1630,".",""))=2,LEFT(AQ1630,vitri(".",AQ1630,2)-1),TRUE,LEFT(AQ1630,vitri(".",AQ1630,1)-1))</f>
        <v/>
      </c>
    </row>
    <row r="1631" spans="13:54" x14ac:dyDescent="0.25">
      <c r="M1631" s="377"/>
      <c r="BB1631" s="83" t="str">
        <f t="array" ref="BB1631">_xlfn.IFS(AQ1631="","",LEN(AQ1631)-LEN(SUBSTITUTE(AQ1631,".",""))=3,LEFT(AQ1631,vitri(".",AQ1631,3)-1),LEN(AQ1631)-LEN(SUBSTITUTE(AQ1631,".",""))=2,LEFT(AQ1631,vitri(".",AQ1631,2)-1),TRUE,LEFT(AQ1631,vitri(".",AQ1631,1)-1))</f>
        <v/>
      </c>
    </row>
    <row r="1632" spans="13:54" x14ac:dyDescent="0.25">
      <c r="M1632" s="377"/>
      <c r="BB1632" s="83" t="str">
        <f t="array" ref="BB1632">_xlfn.IFS(AQ1632="","",LEN(AQ1632)-LEN(SUBSTITUTE(AQ1632,".",""))=3,LEFT(AQ1632,vitri(".",AQ1632,3)-1),LEN(AQ1632)-LEN(SUBSTITUTE(AQ1632,".",""))=2,LEFT(AQ1632,vitri(".",AQ1632,2)-1),TRUE,LEFT(AQ1632,vitri(".",AQ1632,1)-1))</f>
        <v/>
      </c>
    </row>
    <row r="1633" spans="13:54" x14ac:dyDescent="0.25">
      <c r="M1633" s="377"/>
      <c r="BB1633" s="83" t="str">
        <f t="array" ref="BB1633">_xlfn.IFS(AQ1633="","",LEN(AQ1633)-LEN(SUBSTITUTE(AQ1633,".",""))=3,LEFT(AQ1633,vitri(".",AQ1633,3)-1),LEN(AQ1633)-LEN(SUBSTITUTE(AQ1633,".",""))=2,LEFT(AQ1633,vitri(".",AQ1633,2)-1),TRUE,LEFT(AQ1633,vitri(".",AQ1633,1)-1))</f>
        <v/>
      </c>
    </row>
    <row r="1634" spans="13:54" x14ac:dyDescent="0.25">
      <c r="M1634" s="377"/>
      <c r="BB1634" s="83" t="str">
        <f t="array" ref="BB1634">_xlfn.IFS(AQ1634="","",LEN(AQ1634)-LEN(SUBSTITUTE(AQ1634,".",""))=3,LEFT(AQ1634,vitri(".",AQ1634,3)-1),LEN(AQ1634)-LEN(SUBSTITUTE(AQ1634,".",""))=2,LEFT(AQ1634,vitri(".",AQ1634,2)-1),TRUE,LEFT(AQ1634,vitri(".",AQ1634,1)-1))</f>
        <v/>
      </c>
    </row>
    <row r="1635" spans="13:54" x14ac:dyDescent="0.25">
      <c r="M1635" s="377"/>
      <c r="BB1635" s="83" t="str">
        <f t="array" ref="BB1635">_xlfn.IFS(AQ1635="","",LEN(AQ1635)-LEN(SUBSTITUTE(AQ1635,".",""))=3,LEFT(AQ1635,vitri(".",AQ1635,3)-1),LEN(AQ1635)-LEN(SUBSTITUTE(AQ1635,".",""))=2,LEFT(AQ1635,vitri(".",AQ1635,2)-1),TRUE,LEFT(AQ1635,vitri(".",AQ1635,1)-1))</f>
        <v/>
      </c>
    </row>
    <row r="1636" spans="13:54" x14ac:dyDescent="0.25">
      <c r="M1636" s="377"/>
      <c r="BB1636" s="83" t="str">
        <f t="array" ref="BB1636">_xlfn.IFS(AQ1636="","",LEN(AQ1636)-LEN(SUBSTITUTE(AQ1636,".",""))=3,LEFT(AQ1636,vitri(".",AQ1636,3)-1),LEN(AQ1636)-LEN(SUBSTITUTE(AQ1636,".",""))=2,LEFT(AQ1636,vitri(".",AQ1636,2)-1),TRUE,LEFT(AQ1636,vitri(".",AQ1636,1)-1))</f>
        <v/>
      </c>
    </row>
    <row r="1637" spans="13:54" x14ac:dyDescent="0.25">
      <c r="M1637" s="377"/>
      <c r="BB1637" s="83" t="str">
        <f t="array" ref="BB1637">_xlfn.IFS(AQ1637="","",LEN(AQ1637)-LEN(SUBSTITUTE(AQ1637,".",""))=3,LEFT(AQ1637,vitri(".",AQ1637,3)-1),LEN(AQ1637)-LEN(SUBSTITUTE(AQ1637,".",""))=2,LEFT(AQ1637,vitri(".",AQ1637,2)-1),TRUE,LEFT(AQ1637,vitri(".",AQ1637,1)-1))</f>
        <v/>
      </c>
    </row>
    <row r="1638" spans="13:54" x14ac:dyDescent="0.25">
      <c r="M1638" s="377"/>
      <c r="BB1638" s="83" t="str">
        <f t="array" ref="BB1638">_xlfn.IFS(AQ1638="","",LEN(AQ1638)-LEN(SUBSTITUTE(AQ1638,".",""))=3,LEFT(AQ1638,vitri(".",AQ1638,3)-1),LEN(AQ1638)-LEN(SUBSTITUTE(AQ1638,".",""))=2,LEFT(AQ1638,vitri(".",AQ1638,2)-1),TRUE,LEFT(AQ1638,vitri(".",AQ1638,1)-1))</f>
        <v/>
      </c>
    </row>
    <row r="1639" spans="13:54" x14ac:dyDescent="0.25">
      <c r="M1639" s="377"/>
      <c r="BB1639" s="83" t="str">
        <f t="array" ref="BB1639">_xlfn.IFS(AQ1639="","",LEN(AQ1639)-LEN(SUBSTITUTE(AQ1639,".",""))=3,LEFT(AQ1639,vitri(".",AQ1639,3)-1),LEN(AQ1639)-LEN(SUBSTITUTE(AQ1639,".",""))=2,LEFT(AQ1639,vitri(".",AQ1639,2)-1),TRUE,LEFT(AQ1639,vitri(".",AQ1639,1)-1))</f>
        <v/>
      </c>
    </row>
    <row r="1640" spans="13:54" x14ac:dyDescent="0.25">
      <c r="M1640" s="377"/>
      <c r="BB1640" s="83" t="str">
        <f t="array" ref="BB1640">_xlfn.IFS(AQ1640="","",LEN(AQ1640)-LEN(SUBSTITUTE(AQ1640,".",""))=3,LEFT(AQ1640,vitri(".",AQ1640,3)-1),LEN(AQ1640)-LEN(SUBSTITUTE(AQ1640,".",""))=2,LEFT(AQ1640,vitri(".",AQ1640,2)-1),TRUE,LEFT(AQ1640,vitri(".",AQ1640,1)-1))</f>
        <v/>
      </c>
    </row>
    <row r="1641" spans="13:54" x14ac:dyDescent="0.25">
      <c r="M1641" s="377"/>
      <c r="BB1641" s="83" t="str">
        <f t="array" ref="BB1641">_xlfn.IFS(AQ1641="","",LEN(AQ1641)-LEN(SUBSTITUTE(AQ1641,".",""))=3,LEFT(AQ1641,vitri(".",AQ1641,3)-1),LEN(AQ1641)-LEN(SUBSTITUTE(AQ1641,".",""))=2,LEFT(AQ1641,vitri(".",AQ1641,2)-1),TRUE,LEFT(AQ1641,vitri(".",AQ1641,1)-1))</f>
        <v/>
      </c>
    </row>
    <row r="1642" spans="13:54" x14ac:dyDescent="0.25">
      <c r="M1642" s="377"/>
      <c r="BB1642" s="83" t="str">
        <f t="array" ref="BB1642">_xlfn.IFS(AQ1642="","",LEN(AQ1642)-LEN(SUBSTITUTE(AQ1642,".",""))=3,LEFT(AQ1642,vitri(".",AQ1642,3)-1),LEN(AQ1642)-LEN(SUBSTITUTE(AQ1642,".",""))=2,LEFT(AQ1642,vitri(".",AQ1642,2)-1),TRUE,LEFT(AQ1642,vitri(".",AQ1642,1)-1))</f>
        <v/>
      </c>
    </row>
    <row r="1643" spans="13:54" x14ac:dyDescent="0.25">
      <c r="M1643" s="377"/>
      <c r="BB1643" s="83" t="str">
        <f t="array" ref="BB1643">_xlfn.IFS(AQ1643="","",LEN(AQ1643)-LEN(SUBSTITUTE(AQ1643,".",""))=3,LEFT(AQ1643,vitri(".",AQ1643,3)-1),LEN(AQ1643)-LEN(SUBSTITUTE(AQ1643,".",""))=2,LEFT(AQ1643,vitri(".",AQ1643,2)-1),TRUE,LEFT(AQ1643,vitri(".",AQ1643,1)-1))</f>
        <v/>
      </c>
    </row>
    <row r="1644" spans="13:54" x14ac:dyDescent="0.25">
      <c r="M1644" s="377"/>
      <c r="BB1644" s="83" t="str">
        <f t="array" ref="BB1644">_xlfn.IFS(AQ1644="","",LEN(AQ1644)-LEN(SUBSTITUTE(AQ1644,".",""))=3,LEFT(AQ1644,vitri(".",AQ1644,3)-1),LEN(AQ1644)-LEN(SUBSTITUTE(AQ1644,".",""))=2,LEFT(AQ1644,vitri(".",AQ1644,2)-1),TRUE,LEFT(AQ1644,vitri(".",AQ1644,1)-1))</f>
        <v/>
      </c>
    </row>
    <row r="1645" spans="13:54" x14ac:dyDescent="0.25">
      <c r="M1645" s="377"/>
      <c r="BB1645" s="83" t="str">
        <f t="array" ref="BB1645">_xlfn.IFS(AQ1645="","",LEN(AQ1645)-LEN(SUBSTITUTE(AQ1645,".",""))=3,LEFT(AQ1645,vitri(".",AQ1645,3)-1),LEN(AQ1645)-LEN(SUBSTITUTE(AQ1645,".",""))=2,LEFT(AQ1645,vitri(".",AQ1645,2)-1),TRUE,LEFT(AQ1645,vitri(".",AQ1645,1)-1))</f>
        <v/>
      </c>
    </row>
    <row r="1646" spans="13:54" x14ac:dyDescent="0.25">
      <c r="M1646" s="377"/>
      <c r="BB1646" s="83" t="str">
        <f t="array" ref="BB1646">_xlfn.IFS(AQ1646="","",LEN(AQ1646)-LEN(SUBSTITUTE(AQ1646,".",""))=3,LEFT(AQ1646,vitri(".",AQ1646,3)-1),LEN(AQ1646)-LEN(SUBSTITUTE(AQ1646,".",""))=2,LEFT(AQ1646,vitri(".",AQ1646,2)-1),TRUE,LEFT(AQ1646,vitri(".",AQ1646,1)-1))</f>
        <v/>
      </c>
    </row>
    <row r="1647" spans="13:54" x14ac:dyDescent="0.25">
      <c r="M1647" s="377"/>
      <c r="BB1647" s="83" t="str">
        <f t="array" ref="BB1647">_xlfn.IFS(AQ1647="","",LEN(AQ1647)-LEN(SUBSTITUTE(AQ1647,".",""))=3,LEFT(AQ1647,vitri(".",AQ1647,3)-1),LEN(AQ1647)-LEN(SUBSTITUTE(AQ1647,".",""))=2,LEFT(AQ1647,vitri(".",AQ1647,2)-1),TRUE,LEFT(AQ1647,vitri(".",AQ1647,1)-1))</f>
        <v/>
      </c>
    </row>
    <row r="1648" spans="13:54" x14ac:dyDescent="0.25">
      <c r="M1648" s="377"/>
      <c r="BB1648" s="83" t="str">
        <f t="array" ref="BB1648">_xlfn.IFS(AQ1648="","",LEN(AQ1648)-LEN(SUBSTITUTE(AQ1648,".",""))=3,LEFT(AQ1648,vitri(".",AQ1648,3)-1),LEN(AQ1648)-LEN(SUBSTITUTE(AQ1648,".",""))=2,LEFT(AQ1648,vitri(".",AQ1648,2)-1),TRUE,LEFT(AQ1648,vitri(".",AQ1648,1)-1))</f>
        <v/>
      </c>
    </row>
    <row r="1649" spans="13:54" x14ac:dyDescent="0.25">
      <c r="M1649" s="377"/>
      <c r="BB1649" s="83" t="str">
        <f t="array" ref="BB1649">_xlfn.IFS(AQ1649="","",LEN(AQ1649)-LEN(SUBSTITUTE(AQ1649,".",""))=3,LEFT(AQ1649,vitri(".",AQ1649,3)-1),LEN(AQ1649)-LEN(SUBSTITUTE(AQ1649,".",""))=2,LEFT(AQ1649,vitri(".",AQ1649,2)-1),TRUE,LEFT(AQ1649,vitri(".",AQ1649,1)-1))</f>
        <v/>
      </c>
    </row>
    <row r="1650" spans="13:54" x14ac:dyDescent="0.25">
      <c r="M1650" s="377"/>
      <c r="BB1650" s="83" t="str">
        <f t="array" ref="BB1650">_xlfn.IFS(AQ1650="","",LEN(AQ1650)-LEN(SUBSTITUTE(AQ1650,".",""))=3,LEFT(AQ1650,vitri(".",AQ1650,3)-1),LEN(AQ1650)-LEN(SUBSTITUTE(AQ1650,".",""))=2,LEFT(AQ1650,vitri(".",AQ1650,2)-1),TRUE,LEFT(AQ1650,vitri(".",AQ1650,1)-1))</f>
        <v/>
      </c>
    </row>
    <row r="1651" spans="13:54" x14ac:dyDescent="0.25">
      <c r="M1651" s="377"/>
      <c r="BB1651" s="83" t="str">
        <f t="array" ref="BB1651">_xlfn.IFS(AQ1651="","",LEN(AQ1651)-LEN(SUBSTITUTE(AQ1651,".",""))=3,LEFT(AQ1651,vitri(".",AQ1651,3)-1),LEN(AQ1651)-LEN(SUBSTITUTE(AQ1651,".",""))=2,LEFT(AQ1651,vitri(".",AQ1651,2)-1),TRUE,LEFT(AQ1651,vitri(".",AQ1651,1)-1))</f>
        <v/>
      </c>
    </row>
    <row r="1652" spans="13:54" x14ac:dyDescent="0.25">
      <c r="M1652" s="377"/>
      <c r="BB1652" s="83" t="str">
        <f t="array" ref="BB1652">_xlfn.IFS(AQ1652="","",LEN(AQ1652)-LEN(SUBSTITUTE(AQ1652,".",""))=3,LEFT(AQ1652,vitri(".",AQ1652,3)-1),LEN(AQ1652)-LEN(SUBSTITUTE(AQ1652,".",""))=2,LEFT(AQ1652,vitri(".",AQ1652,2)-1),TRUE,LEFT(AQ1652,vitri(".",AQ1652,1)-1))</f>
        <v/>
      </c>
    </row>
    <row r="1653" spans="13:54" x14ac:dyDescent="0.25">
      <c r="M1653" s="377"/>
      <c r="BB1653" s="83" t="str">
        <f t="array" ref="BB1653">_xlfn.IFS(AQ1653="","",LEN(AQ1653)-LEN(SUBSTITUTE(AQ1653,".",""))=3,LEFT(AQ1653,vitri(".",AQ1653,3)-1),LEN(AQ1653)-LEN(SUBSTITUTE(AQ1653,".",""))=2,LEFT(AQ1653,vitri(".",AQ1653,2)-1),TRUE,LEFT(AQ1653,vitri(".",AQ1653,1)-1))</f>
        <v/>
      </c>
    </row>
    <row r="1654" spans="13:54" x14ac:dyDescent="0.25">
      <c r="M1654" s="377"/>
      <c r="BB1654" s="83" t="str">
        <f t="array" ref="BB1654">_xlfn.IFS(AQ1654="","",LEN(AQ1654)-LEN(SUBSTITUTE(AQ1654,".",""))=3,LEFT(AQ1654,vitri(".",AQ1654,3)-1),LEN(AQ1654)-LEN(SUBSTITUTE(AQ1654,".",""))=2,LEFT(AQ1654,vitri(".",AQ1654,2)-1),TRUE,LEFT(AQ1654,vitri(".",AQ1654,1)-1))</f>
        <v/>
      </c>
    </row>
    <row r="1655" spans="13:54" x14ac:dyDescent="0.25">
      <c r="M1655" s="377"/>
      <c r="BB1655" s="83" t="str">
        <f t="array" ref="BB1655">_xlfn.IFS(AQ1655="","",LEN(AQ1655)-LEN(SUBSTITUTE(AQ1655,".",""))=3,LEFT(AQ1655,vitri(".",AQ1655,3)-1),LEN(AQ1655)-LEN(SUBSTITUTE(AQ1655,".",""))=2,LEFT(AQ1655,vitri(".",AQ1655,2)-1),TRUE,LEFT(AQ1655,vitri(".",AQ1655,1)-1))</f>
        <v/>
      </c>
    </row>
    <row r="1656" spans="13:54" x14ac:dyDescent="0.25">
      <c r="M1656" s="377"/>
      <c r="BB1656" s="83" t="str">
        <f t="array" ref="BB1656">_xlfn.IFS(AQ1656="","",LEN(AQ1656)-LEN(SUBSTITUTE(AQ1656,".",""))=3,LEFT(AQ1656,vitri(".",AQ1656,3)-1),LEN(AQ1656)-LEN(SUBSTITUTE(AQ1656,".",""))=2,LEFT(AQ1656,vitri(".",AQ1656,2)-1),TRUE,LEFT(AQ1656,vitri(".",AQ1656,1)-1))</f>
        <v/>
      </c>
    </row>
    <row r="1657" spans="13:54" x14ac:dyDescent="0.25">
      <c r="M1657" s="377"/>
      <c r="BB1657" s="83" t="str">
        <f t="array" ref="BB1657">_xlfn.IFS(AQ1657="","",LEN(AQ1657)-LEN(SUBSTITUTE(AQ1657,".",""))=3,LEFT(AQ1657,vitri(".",AQ1657,3)-1),LEN(AQ1657)-LEN(SUBSTITUTE(AQ1657,".",""))=2,LEFT(AQ1657,vitri(".",AQ1657,2)-1),TRUE,LEFT(AQ1657,vitri(".",AQ1657,1)-1))</f>
        <v/>
      </c>
    </row>
    <row r="1658" spans="13:54" x14ac:dyDescent="0.25">
      <c r="M1658" s="377"/>
      <c r="BB1658" s="83" t="str">
        <f t="array" ref="BB1658">_xlfn.IFS(AQ1658="","",LEN(AQ1658)-LEN(SUBSTITUTE(AQ1658,".",""))=3,LEFT(AQ1658,vitri(".",AQ1658,3)-1),LEN(AQ1658)-LEN(SUBSTITUTE(AQ1658,".",""))=2,LEFT(AQ1658,vitri(".",AQ1658,2)-1),TRUE,LEFT(AQ1658,vitri(".",AQ1658,1)-1))</f>
        <v/>
      </c>
    </row>
    <row r="1659" spans="13:54" x14ac:dyDescent="0.25">
      <c r="M1659" s="377"/>
      <c r="BB1659" s="83" t="str">
        <f t="array" ref="BB1659">_xlfn.IFS(AQ1659="","",LEN(AQ1659)-LEN(SUBSTITUTE(AQ1659,".",""))=3,LEFT(AQ1659,vitri(".",AQ1659,3)-1),LEN(AQ1659)-LEN(SUBSTITUTE(AQ1659,".",""))=2,LEFT(AQ1659,vitri(".",AQ1659,2)-1),TRUE,LEFT(AQ1659,vitri(".",AQ1659,1)-1))</f>
        <v/>
      </c>
    </row>
    <row r="1660" spans="13:54" x14ac:dyDescent="0.25">
      <c r="M1660" s="377"/>
      <c r="BB1660" s="83" t="str">
        <f t="array" ref="BB1660">_xlfn.IFS(AQ1660="","",LEN(AQ1660)-LEN(SUBSTITUTE(AQ1660,".",""))=3,LEFT(AQ1660,vitri(".",AQ1660,3)-1),LEN(AQ1660)-LEN(SUBSTITUTE(AQ1660,".",""))=2,LEFT(AQ1660,vitri(".",AQ1660,2)-1),TRUE,LEFT(AQ1660,vitri(".",AQ1660,1)-1))</f>
        <v/>
      </c>
    </row>
    <row r="1661" spans="13:54" x14ac:dyDescent="0.25">
      <c r="M1661" s="377"/>
      <c r="BB1661" s="83" t="str">
        <f t="array" ref="BB1661">_xlfn.IFS(AQ1661="","",LEN(AQ1661)-LEN(SUBSTITUTE(AQ1661,".",""))=3,LEFT(AQ1661,vitri(".",AQ1661,3)-1),LEN(AQ1661)-LEN(SUBSTITUTE(AQ1661,".",""))=2,LEFT(AQ1661,vitri(".",AQ1661,2)-1),TRUE,LEFT(AQ1661,vitri(".",AQ1661,1)-1))</f>
        <v/>
      </c>
    </row>
    <row r="1662" spans="13:54" x14ac:dyDescent="0.25">
      <c r="M1662" s="377"/>
      <c r="BB1662" s="83" t="str">
        <f t="array" ref="BB1662">_xlfn.IFS(AQ1662="","",LEN(AQ1662)-LEN(SUBSTITUTE(AQ1662,".",""))=3,LEFT(AQ1662,vitri(".",AQ1662,3)-1),LEN(AQ1662)-LEN(SUBSTITUTE(AQ1662,".",""))=2,LEFT(AQ1662,vitri(".",AQ1662,2)-1),TRUE,LEFT(AQ1662,vitri(".",AQ1662,1)-1))</f>
        <v/>
      </c>
    </row>
    <row r="1663" spans="13:54" x14ac:dyDescent="0.25">
      <c r="M1663" s="377"/>
      <c r="BB1663" s="83" t="str">
        <f t="array" ref="BB1663">_xlfn.IFS(AQ1663="","",LEN(AQ1663)-LEN(SUBSTITUTE(AQ1663,".",""))=3,LEFT(AQ1663,vitri(".",AQ1663,3)-1),LEN(AQ1663)-LEN(SUBSTITUTE(AQ1663,".",""))=2,LEFT(AQ1663,vitri(".",AQ1663,2)-1),TRUE,LEFT(AQ1663,vitri(".",AQ1663,1)-1))</f>
        <v/>
      </c>
    </row>
    <row r="1664" spans="13:54" x14ac:dyDescent="0.25">
      <c r="M1664" s="377"/>
      <c r="BB1664" s="83" t="str">
        <f t="array" ref="BB1664">_xlfn.IFS(AQ1664="","",LEN(AQ1664)-LEN(SUBSTITUTE(AQ1664,".",""))=3,LEFT(AQ1664,vitri(".",AQ1664,3)-1),LEN(AQ1664)-LEN(SUBSTITUTE(AQ1664,".",""))=2,LEFT(AQ1664,vitri(".",AQ1664,2)-1),TRUE,LEFT(AQ1664,vitri(".",AQ1664,1)-1))</f>
        <v/>
      </c>
    </row>
    <row r="1665" spans="13:54" x14ac:dyDescent="0.25">
      <c r="M1665" s="377"/>
      <c r="BB1665" s="83" t="str">
        <f t="array" ref="BB1665">_xlfn.IFS(AQ1665="","",LEN(AQ1665)-LEN(SUBSTITUTE(AQ1665,".",""))=3,LEFT(AQ1665,vitri(".",AQ1665,3)-1),LEN(AQ1665)-LEN(SUBSTITUTE(AQ1665,".",""))=2,LEFT(AQ1665,vitri(".",AQ1665,2)-1),TRUE,LEFT(AQ1665,vitri(".",AQ1665,1)-1))</f>
        <v/>
      </c>
    </row>
    <row r="1666" spans="13:54" x14ac:dyDescent="0.25">
      <c r="M1666" s="377"/>
      <c r="BB1666" s="83" t="str">
        <f t="array" ref="BB1666">_xlfn.IFS(AQ1666="","",LEN(AQ1666)-LEN(SUBSTITUTE(AQ1666,".",""))=3,LEFT(AQ1666,vitri(".",AQ1666,3)-1),LEN(AQ1666)-LEN(SUBSTITUTE(AQ1666,".",""))=2,LEFT(AQ1666,vitri(".",AQ1666,2)-1),TRUE,LEFT(AQ1666,vitri(".",AQ1666,1)-1))</f>
        <v/>
      </c>
    </row>
    <row r="1667" spans="13:54" x14ac:dyDescent="0.25">
      <c r="M1667" s="377"/>
      <c r="BB1667" s="83" t="str">
        <f t="array" ref="BB1667">_xlfn.IFS(AQ1667="","",LEN(AQ1667)-LEN(SUBSTITUTE(AQ1667,".",""))=3,LEFT(AQ1667,vitri(".",AQ1667,3)-1),LEN(AQ1667)-LEN(SUBSTITUTE(AQ1667,".",""))=2,LEFT(AQ1667,vitri(".",AQ1667,2)-1),TRUE,LEFT(AQ1667,vitri(".",AQ1667,1)-1))</f>
        <v/>
      </c>
    </row>
    <row r="1668" spans="13:54" x14ac:dyDescent="0.25">
      <c r="M1668" s="377"/>
      <c r="BB1668" s="83" t="str">
        <f t="array" ref="BB1668">_xlfn.IFS(AQ1668="","",LEN(AQ1668)-LEN(SUBSTITUTE(AQ1668,".",""))=3,LEFT(AQ1668,vitri(".",AQ1668,3)-1),LEN(AQ1668)-LEN(SUBSTITUTE(AQ1668,".",""))=2,LEFT(AQ1668,vitri(".",AQ1668,2)-1),TRUE,LEFT(AQ1668,vitri(".",AQ1668,1)-1))</f>
        <v/>
      </c>
    </row>
    <row r="1669" spans="13:54" x14ac:dyDescent="0.25">
      <c r="M1669" s="377"/>
      <c r="BB1669" s="83" t="str">
        <f t="array" ref="BB1669">_xlfn.IFS(AQ1669="","",LEN(AQ1669)-LEN(SUBSTITUTE(AQ1669,".",""))=3,LEFT(AQ1669,vitri(".",AQ1669,3)-1),LEN(AQ1669)-LEN(SUBSTITUTE(AQ1669,".",""))=2,LEFT(AQ1669,vitri(".",AQ1669,2)-1),TRUE,LEFT(AQ1669,vitri(".",AQ1669,1)-1))</f>
        <v/>
      </c>
    </row>
    <row r="1670" spans="13:54" x14ac:dyDescent="0.25">
      <c r="M1670" s="377"/>
      <c r="BB1670" s="83" t="str">
        <f t="array" ref="BB1670">_xlfn.IFS(AQ1670="","",LEN(AQ1670)-LEN(SUBSTITUTE(AQ1670,".",""))=3,LEFT(AQ1670,vitri(".",AQ1670,3)-1),LEN(AQ1670)-LEN(SUBSTITUTE(AQ1670,".",""))=2,LEFT(AQ1670,vitri(".",AQ1670,2)-1),TRUE,LEFT(AQ1670,vitri(".",AQ1670,1)-1))</f>
        <v/>
      </c>
    </row>
    <row r="1671" spans="13:54" x14ac:dyDescent="0.25">
      <c r="M1671" s="377"/>
      <c r="BB1671" s="83" t="str">
        <f t="array" ref="BB1671">_xlfn.IFS(AQ1671="","",LEN(AQ1671)-LEN(SUBSTITUTE(AQ1671,".",""))=3,LEFT(AQ1671,vitri(".",AQ1671,3)-1),LEN(AQ1671)-LEN(SUBSTITUTE(AQ1671,".",""))=2,LEFT(AQ1671,vitri(".",AQ1671,2)-1),TRUE,LEFT(AQ1671,vitri(".",AQ1671,1)-1))</f>
        <v/>
      </c>
    </row>
    <row r="1672" spans="13:54" x14ac:dyDescent="0.25">
      <c r="M1672" s="377"/>
      <c r="BB1672" s="83" t="str">
        <f t="array" ref="BB1672">_xlfn.IFS(AQ1672="","",LEN(AQ1672)-LEN(SUBSTITUTE(AQ1672,".",""))=3,LEFT(AQ1672,vitri(".",AQ1672,3)-1),LEN(AQ1672)-LEN(SUBSTITUTE(AQ1672,".",""))=2,LEFT(AQ1672,vitri(".",AQ1672,2)-1),TRUE,LEFT(AQ1672,vitri(".",AQ1672,1)-1))</f>
        <v/>
      </c>
    </row>
    <row r="1673" spans="13:54" x14ac:dyDescent="0.25">
      <c r="M1673" s="377"/>
      <c r="BB1673" s="83" t="str">
        <f t="array" ref="BB1673">_xlfn.IFS(AQ1673="","",LEN(AQ1673)-LEN(SUBSTITUTE(AQ1673,".",""))=3,LEFT(AQ1673,vitri(".",AQ1673,3)-1),LEN(AQ1673)-LEN(SUBSTITUTE(AQ1673,".",""))=2,LEFT(AQ1673,vitri(".",AQ1673,2)-1),TRUE,LEFT(AQ1673,vitri(".",AQ1673,1)-1))</f>
        <v/>
      </c>
    </row>
    <row r="1674" spans="13:54" x14ac:dyDescent="0.25">
      <c r="M1674" s="377"/>
      <c r="BB1674" s="83" t="str">
        <f t="array" ref="BB1674">_xlfn.IFS(AQ1674="","",LEN(AQ1674)-LEN(SUBSTITUTE(AQ1674,".",""))=3,LEFT(AQ1674,vitri(".",AQ1674,3)-1),LEN(AQ1674)-LEN(SUBSTITUTE(AQ1674,".",""))=2,LEFT(AQ1674,vitri(".",AQ1674,2)-1),TRUE,LEFT(AQ1674,vitri(".",AQ1674,1)-1))</f>
        <v/>
      </c>
    </row>
    <row r="1675" spans="13:54" x14ac:dyDescent="0.25">
      <c r="M1675" s="377"/>
      <c r="BB1675" s="83" t="str">
        <f t="array" ref="BB1675">_xlfn.IFS(AQ1675="","",LEN(AQ1675)-LEN(SUBSTITUTE(AQ1675,".",""))=3,LEFT(AQ1675,vitri(".",AQ1675,3)-1),LEN(AQ1675)-LEN(SUBSTITUTE(AQ1675,".",""))=2,LEFT(AQ1675,vitri(".",AQ1675,2)-1),TRUE,LEFT(AQ1675,vitri(".",AQ1675,1)-1))</f>
        <v/>
      </c>
    </row>
    <row r="1676" spans="13:54" x14ac:dyDescent="0.25">
      <c r="M1676" s="377"/>
      <c r="BB1676" s="83" t="str">
        <f t="array" ref="BB1676">_xlfn.IFS(AQ1676="","",LEN(AQ1676)-LEN(SUBSTITUTE(AQ1676,".",""))=3,LEFT(AQ1676,vitri(".",AQ1676,3)-1),LEN(AQ1676)-LEN(SUBSTITUTE(AQ1676,".",""))=2,LEFT(AQ1676,vitri(".",AQ1676,2)-1),TRUE,LEFT(AQ1676,vitri(".",AQ1676,1)-1))</f>
        <v/>
      </c>
    </row>
    <row r="1677" spans="13:54" x14ac:dyDescent="0.25">
      <c r="M1677" s="377"/>
      <c r="BB1677" s="83" t="str">
        <f t="array" ref="BB1677">_xlfn.IFS(AQ1677="","",LEN(AQ1677)-LEN(SUBSTITUTE(AQ1677,".",""))=3,LEFT(AQ1677,vitri(".",AQ1677,3)-1),LEN(AQ1677)-LEN(SUBSTITUTE(AQ1677,".",""))=2,LEFT(AQ1677,vitri(".",AQ1677,2)-1),TRUE,LEFT(AQ1677,vitri(".",AQ1677,1)-1))</f>
        <v/>
      </c>
    </row>
    <row r="1678" spans="13:54" x14ac:dyDescent="0.25">
      <c r="M1678" s="377"/>
      <c r="BB1678" s="83" t="str">
        <f t="array" ref="BB1678">_xlfn.IFS(AQ1678="","",LEN(AQ1678)-LEN(SUBSTITUTE(AQ1678,".",""))=3,LEFT(AQ1678,vitri(".",AQ1678,3)-1),LEN(AQ1678)-LEN(SUBSTITUTE(AQ1678,".",""))=2,LEFT(AQ1678,vitri(".",AQ1678,2)-1),TRUE,LEFT(AQ1678,vitri(".",AQ1678,1)-1))</f>
        <v/>
      </c>
    </row>
    <row r="1679" spans="13:54" x14ac:dyDescent="0.25">
      <c r="M1679" s="377"/>
      <c r="BB1679" s="83" t="str">
        <f t="array" ref="BB1679">_xlfn.IFS(AQ1679="","",LEN(AQ1679)-LEN(SUBSTITUTE(AQ1679,".",""))=3,LEFT(AQ1679,vitri(".",AQ1679,3)-1),LEN(AQ1679)-LEN(SUBSTITUTE(AQ1679,".",""))=2,LEFT(AQ1679,vitri(".",AQ1679,2)-1),TRUE,LEFT(AQ1679,vitri(".",AQ1679,1)-1))</f>
        <v/>
      </c>
    </row>
    <row r="1680" spans="13:54" x14ac:dyDescent="0.25">
      <c r="M1680" s="377"/>
      <c r="BB1680" s="83" t="str">
        <f t="array" ref="BB1680">_xlfn.IFS(AQ1680="","",LEN(AQ1680)-LEN(SUBSTITUTE(AQ1680,".",""))=3,LEFT(AQ1680,vitri(".",AQ1680,3)-1),LEN(AQ1680)-LEN(SUBSTITUTE(AQ1680,".",""))=2,LEFT(AQ1680,vitri(".",AQ1680,2)-1),TRUE,LEFT(AQ1680,vitri(".",AQ1680,1)-1))</f>
        <v/>
      </c>
    </row>
    <row r="1681" spans="13:54" x14ac:dyDescent="0.25">
      <c r="M1681" s="377"/>
      <c r="BB1681" s="83" t="str">
        <f t="array" ref="BB1681">_xlfn.IFS(AQ1681="","",LEN(AQ1681)-LEN(SUBSTITUTE(AQ1681,".",""))=3,LEFT(AQ1681,vitri(".",AQ1681,3)-1),LEN(AQ1681)-LEN(SUBSTITUTE(AQ1681,".",""))=2,LEFT(AQ1681,vitri(".",AQ1681,2)-1),TRUE,LEFT(AQ1681,vitri(".",AQ1681,1)-1))</f>
        <v/>
      </c>
    </row>
    <row r="1682" spans="13:54" x14ac:dyDescent="0.25">
      <c r="M1682" s="377"/>
      <c r="BB1682" s="83" t="str">
        <f t="array" ref="BB1682">_xlfn.IFS(AQ1682="","",LEN(AQ1682)-LEN(SUBSTITUTE(AQ1682,".",""))=3,LEFT(AQ1682,vitri(".",AQ1682,3)-1),LEN(AQ1682)-LEN(SUBSTITUTE(AQ1682,".",""))=2,LEFT(AQ1682,vitri(".",AQ1682,2)-1),TRUE,LEFT(AQ1682,vitri(".",AQ1682,1)-1))</f>
        <v/>
      </c>
    </row>
    <row r="1683" spans="13:54" x14ac:dyDescent="0.25">
      <c r="M1683" s="377"/>
      <c r="BB1683" s="83" t="str">
        <f t="array" ref="BB1683">_xlfn.IFS(AQ1683="","",LEN(AQ1683)-LEN(SUBSTITUTE(AQ1683,".",""))=3,LEFT(AQ1683,vitri(".",AQ1683,3)-1),LEN(AQ1683)-LEN(SUBSTITUTE(AQ1683,".",""))=2,LEFT(AQ1683,vitri(".",AQ1683,2)-1),TRUE,LEFT(AQ1683,vitri(".",AQ1683,1)-1))</f>
        <v/>
      </c>
    </row>
    <row r="1684" spans="13:54" x14ac:dyDescent="0.25">
      <c r="M1684" s="377"/>
      <c r="BB1684" s="83" t="str">
        <f t="array" ref="BB1684">_xlfn.IFS(AQ1684="","",LEN(AQ1684)-LEN(SUBSTITUTE(AQ1684,".",""))=3,LEFT(AQ1684,vitri(".",AQ1684,3)-1),LEN(AQ1684)-LEN(SUBSTITUTE(AQ1684,".",""))=2,LEFT(AQ1684,vitri(".",AQ1684,2)-1),TRUE,LEFT(AQ1684,vitri(".",AQ1684,1)-1))</f>
        <v/>
      </c>
    </row>
    <row r="1685" spans="13:54" x14ac:dyDescent="0.25">
      <c r="M1685" s="377"/>
      <c r="BB1685" s="83" t="str">
        <f t="array" ref="BB1685">_xlfn.IFS(AQ1685="","",LEN(AQ1685)-LEN(SUBSTITUTE(AQ1685,".",""))=3,LEFT(AQ1685,vitri(".",AQ1685,3)-1),LEN(AQ1685)-LEN(SUBSTITUTE(AQ1685,".",""))=2,LEFT(AQ1685,vitri(".",AQ1685,2)-1),TRUE,LEFT(AQ1685,vitri(".",AQ1685,1)-1))</f>
        <v/>
      </c>
    </row>
    <row r="1686" spans="13:54" x14ac:dyDescent="0.25">
      <c r="M1686" s="377"/>
      <c r="BB1686" s="83" t="str">
        <f t="array" ref="BB1686">_xlfn.IFS(AQ1686="","",LEN(AQ1686)-LEN(SUBSTITUTE(AQ1686,".",""))=3,LEFT(AQ1686,vitri(".",AQ1686,3)-1),LEN(AQ1686)-LEN(SUBSTITUTE(AQ1686,".",""))=2,LEFT(AQ1686,vitri(".",AQ1686,2)-1),TRUE,LEFT(AQ1686,vitri(".",AQ1686,1)-1))</f>
        <v/>
      </c>
    </row>
    <row r="1687" spans="13:54" x14ac:dyDescent="0.25">
      <c r="M1687" s="377"/>
      <c r="BB1687" s="83" t="str">
        <f t="array" ref="BB1687">_xlfn.IFS(AQ1687="","",LEN(AQ1687)-LEN(SUBSTITUTE(AQ1687,".",""))=3,LEFT(AQ1687,vitri(".",AQ1687,3)-1),LEN(AQ1687)-LEN(SUBSTITUTE(AQ1687,".",""))=2,LEFT(AQ1687,vitri(".",AQ1687,2)-1),TRUE,LEFT(AQ1687,vitri(".",AQ1687,1)-1))</f>
        <v/>
      </c>
    </row>
    <row r="1688" spans="13:54" x14ac:dyDescent="0.25">
      <c r="M1688" s="377"/>
      <c r="BB1688" s="83" t="str">
        <f t="array" ref="BB1688">_xlfn.IFS(AQ1688="","",LEN(AQ1688)-LEN(SUBSTITUTE(AQ1688,".",""))=3,LEFT(AQ1688,vitri(".",AQ1688,3)-1),LEN(AQ1688)-LEN(SUBSTITUTE(AQ1688,".",""))=2,LEFT(AQ1688,vitri(".",AQ1688,2)-1),TRUE,LEFT(AQ1688,vitri(".",AQ1688,1)-1))</f>
        <v/>
      </c>
    </row>
    <row r="1689" spans="13:54" x14ac:dyDescent="0.25">
      <c r="M1689" s="377"/>
      <c r="BB1689" s="83" t="str">
        <f t="array" ref="BB1689">_xlfn.IFS(AQ1689="","",LEN(AQ1689)-LEN(SUBSTITUTE(AQ1689,".",""))=3,LEFT(AQ1689,vitri(".",AQ1689,3)-1),LEN(AQ1689)-LEN(SUBSTITUTE(AQ1689,".",""))=2,LEFT(AQ1689,vitri(".",AQ1689,2)-1),TRUE,LEFT(AQ1689,vitri(".",AQ1689,1)-1))</f>
        <v/>
      </c>
    </row>
    <row r="1690" spans="13:54" x14ac:dyDescent="0.25">
      <c r="M1690" s="377"/>
      <c r="BB1690" s="83" t="str">
        <f t="array" ref="BB1690">_xlfn.IFS(AQ1690="","",LEN(AQ1690)-LEN(SUBSTITUTE(AQ1690,".",""))=3,LEFT(AQ1690,vitri(".",AQ1690,3)-1),LEN(AQ1690)-LEN(SUBSTITUTE(AQ1690,".",""))=2,LEFT(AQ1690,vitri(".",AQ1690,2)-1),TRUE,LEFT(AQ1690,vitri(".",AQ1690,1)-1))</f>
        <v/>
      </c>
    </row>
    <row r="1691" spans="13:54" x14ac:dyDescent="0.25">
      <c r="M1691" s="377"/>
      <c r="BB1691" s="83" t="str">
        <f t="array" ref="BB1691">_xlfn.IFS(AQ1691="","",LEN(AQ1691)-LEN(SUBSTITUTE(AQ1691,".",""))=3,LEFT(AQ1691,vitri(".",AQ1691,3)-1),LEN(AQ1691)-LEN(SUBSTITUTE(AQ1691,".",""))=2,LEFT(AQ1691,vitri(".",AQ1691,2)-1),TRUE,LEFT(AQ1691,vitri(".",AQ1691,1)-1))</f>
        <v/>
      </c>
    </row>
    <row r="1692" spans="13:54" x14ac:dyDescent="0.25">
      <c r="M1692" s="377"/>
      <c r="BB1692" s="83" t="str">
        <f t="array" ref="BB1692">_xlfn.IFS(AQ1692="","",LEN(AQ1692)-LEN(SUBSTITUTE(AQ1692,".",""))=3,LEFT(AQ1692,vitri(".",AQ1692,3)-1),LEN(AQ1692)-LEN(SUBSTITUTE(AQ1692,".",""))=2,LEFT(AQ1692,vitri(".",AQ1692,2)-1),TRUE,LEFT(AQ1692,vitri(".",AQ1692,1)-1))</f>
        <v/>
      </c>
    </row>
    <row r="1693" spans="13:54" x14ac:dyDescent="0.25">
      <c r="M1693" s="377"/>
      <c r="BB1693" s="83" t="str">
        <f t="array" ref="BB1693">_xlfn.IFS(AQ1693="","",LEN(AQ1693)-LEN(SUBSTITUTE(AQ1693,".",""))=3,LEFT(AQ1693,vitri(".",AQ1693,3)-1),LEN(AQ1693)-LEN(SUBSTITUTE(AQ1693,".",""))=2,LEFT(AQ1693,vitri(".",AQ1693,2)-1),TRUE,LEFT(AQ1693,vitri(".",AQ1693,1)-1))</f>
        <v/>
      </c>
    </row>
    <row r="1694" spans="13:54" x14ac:dyDescent="0.25">
      <c r="M1694" s="377"/>
      <c r="BB1694" s="83" t="str">
        <f t="array" ref="BB1694">_xlfn.IFS(AQ1694="","",LEN(AQ1694)-LEN(SUBSTITUTE(AQ1694,".",""))=3,LEFT(AQ1694,vitri(".",AQ1694,3)-1),LEN(AQ1694)-LEN(SUBSTITUTE(AQ1694,".",""))=2,LEFT(AQ1694,vitri(".",AQ1694,2)-1),TRUE,LEFT(AQ1694,vitri(".",AQ1694,1)-1))</f>
        <v/>
      </c>
    </row>
    <row r="1695" spans="13:54" x14ac:dyDescent="0.25">
      <c r="M1695" s="377"/>
      <c r="BB1695" s="83" t="str">
        <f t="array" ref="BB1695">_xlfn.IFS(AQ1695="","",LEN(AQ1695)-LEN(SUBSTITUTE(AQ1695,".",""))=3,LEFT(AQ1695,vitri(".",AQ1695,3)-1),LEN(AQ1695)-LEN(SUBSTITUTE(AQ1695,".",""))=2,LEFT(AQ1695,vitri(".",AQ1695,2)-1),TRUE,LEFT(AQ1695,vitri(".",AQ1695,1)-1))</f>
        <v/>
      </c>
    </row>
    <row r="1696" spans="13:54" x14ac:dyDescent="0.25">
      <c r="M1696" s="377"/>
      <c r="BB1696" s="83" t="str">
        <f t="array" ref="BB1696">_xlfn.IFS(AQ1696="","",LEN(AQ1696)-LEN(SUBSTITUTE(AQ1696,".",""))=3,LEFT(AQ1696,vitri(".",AQ1696,3)-1),LEN(AQ1696)-LEN(SUBSTITUTE(AQ1696,".",""))=2,LEFT(AQ1696,vitri(".",AQ1696,2)-1),TRUE,LEFT(AQ1696,vitri(".",AQ1696,1)-1))</f>
        <v/>
      </c>
    </row>
    <row r="1697" spans="13:54" x14ac:dyDescent="0.25">
      <c r="M1697" s="377"/>
      <c r="BB1697" s="83" t="str">
        <f t="array" ref="BB1697">_xlfn.IFS(AQ1697="","",LEN(AQ1697)-LEN(SUBSTITUTE(AQ1697,".",""))=3,LEFT(AQ1697,vitri(".",AQ1697,3)-1),LEN(AQ1697)-LEN(SUBSTITUTE(AQ1697,".",""))=2,LEFT(AQ1697,vitri(".",AQ1697,2)-1),TRUE,LEFT(AQ1697,vitri(".",AQ1697,1)-1))</f>
        <v/>
      </c>
    </row>
    <row r="1698" spans="13:54" x14ac:dyDescent="0.25">
      <c r="M1698" s="377"/>
      <c r="BB1698" s="83" t="str">
        <f t="array" ref="BB1698">_xlfn.IFS(AQ1698="","",LEN(AQ1698)-LEN(SUBSTITUTE(AQ1698,".",""))=3,LEFT(AQ1698,vitri(".",AQ1698,3)-1),LEN(AQ1698)-LEN(SUBSTITUTE(AQ1698,".",""))=2,LEFT(AQ1698,vitri(".",AQ1698,2)-1),TRUE,LEFT(AQ1698,vitri(".",AQ1698,1)-1))</f>
        <v/>
      </c>
    </row>
    <row r="1699" spans="13:54" x14ac:dyDescent="0.25">
      <c r="M1699" s="377"/>
      <c r="BB1699" s="83" t="str">
        <f t="array" ref="BB1699">_xlfn.IFS(AQ1699="","",LEN(AQ1699)-LEN(SUBSTITUTE(AQ1699,".",""))=3,LEFT(AQ1699,vitri(".",AQ1699,3)-1),LEN(AQ1699)-LEN(SUBSTITUTE(AQ1699,".",""))=2,LEFT(AQ1699,vitri(".",AQ1699,2)-1),TRUE,LEFT(AQ1699,vitri(".",AQ1699,1)-1))</f>
        <v/>
      </c>
    </row>
    <row r="1700" spans="13:54" x14ac:dyDescent="0.25">
      <c r="M1700" s="377"/>
      <c r="BB1700" s="83" t="str">
        <f t="array" ref="BB1700">_xlfn.IFS(AQ1700="","",LEN(AQ1700)-LEN(SUBSTITUTE(AQ1700,".",""))=3,LEFT(AQ1700,vitri(".",AQ1700,3)-1),LEN(AQ1700)-LEN(SUBSTITUTE(AQ1700,".",""))=2,LEFT(AQ1700,vitri(".",AQ1700,2)-1),TRUE,LEFT(AQ1700,vitri(".",AQ1700,1)-1))</f>
        <v/>
      </c>
    </row>
    <row r="1701" spans="13:54" x14ac:dyDescent="0.25">
      <c r="M1701" s="377"/>
      <c r="BB1701" s="83" t="str">
        <f t="array" ref="BB1701">_xlfn.IFS(AQ1701="","",LEN(AQ1701)-LEN(SUBSTITUTE(AQ1701,".",""))=3,LEFT(AQ1701,vitri(".",AQ1701,3)-1),LEN(AQ1701)-LEN(SUBSTITUTE(AQ1701,".",""))=2,LEFT(AQ1701,vitri(".",AQ1701,2)-1),TRUE,LEFT(AQ1701,vitri(".",AQ1701,1)-1))</f>
        <v/>
      </c>
    </row>
    <row r="1702" spans="13:54" x14ac:dyDescent="0.25">
      <c r="M1702" s="377"/>
      <c r="BB1702" s="83" t="str">
        <f t="array" ref="BB1702">_xlfn.IFS(AQ1702="","",LEN(AQ1702)-LEN(SUBSTITUTE(AQ1702,".",""))=3,LEFT(AQ1702,vitri(".",AQ1702,3)-1),LEN(AQ1702)-LEN(SUBSTITUTE(AQ1702,".",""))=2,LEFT(AQ1702,vitri(".",AQ1702,2)-1),TRUE,LEFT(AQ1702,vitri(".",AQ1702,1)-1))</f>
        <v/>
      </c>
    </row>
    <row r="1703" spans="13:54" x14ac:dyDescent="0.25">
      <c r="M1703" s="377"/>
      <c r="BB1703" s="83" t="str">
        <f t="array" ref="BB1703">_xlfn.IFS(AQ1703="","",LEN(AQ1703)-LEN(SUBSTITUTE(AQ1703,".",""))=3,LEFT(AQ1703,vitri(".",AQ1703,3)-1),LEN(AQ1703)-LEN(SUBSTITUTE(AQ1703,".",""))=2,LEFT(AQ1703,vitri(".",AQ1703,2)-1),TRUE,LEFT(AQ1703,vitri(".",AQ1703,1)-1))</f>
        <v/>
      </c>
    </row>
    <row r="1704" spans="13:54" x14ac:dyDescent="0.25">
      <c r="M1704" s="377"/>
      <c r="BB1704" s="83" t="str">
        <f t="array" ref="BB1704">_xlfn.IFS(AQ1704="","",LEN(AQ1704)-LEN(SUBSTITUTE(AQ1704,".",""))=3,LEFT(AQ1704,vitri(".",AQ1704,3)-1),LEN(AQ1704)-LEN(SUBSTITUTE(AQ1704,".",""))=2,LEFT(AQ1704,vitri(".",AQ1704,2)-1),TRUE,LEFT(AQ1704,vitri(".",AQ1704,1)-1))</f>
        <v/>
      </c>
    </row>
    <row r="1705" spans="13:54" x14ac:dyDescent="0.25">
      <c r="M1705" s="377"/>
      <c r="BB1705" s="83" t="str">
        <f t="array" ref="BB1705">_xlfn.IFS(AQ1705="","",LEN(AQ1705)-LEN(SUBSTITUTE(AQ1705,".",""))=3,LEFT(AQ1705,vitri(".",AQ1705,3)-1),LEN(AQ1705)-LEN(SUBSTITUTE(AQ1705,".",""))=2,LEFT(AQ1705,vitri(".",AQ1705,2)-1),TRUE,LEFT(AQ1705,vitri(".",AQ1705,1)-1))</f>
        <v/>
      </c>
    </row>
    <row r="1706" spans="13:54" x14ac:dyDescent="0.25">
      <c r="M1706" s="377"/>
      <c r="BB1706" s="83" t="str">
        <f t="array" ref="BB1706">_xlfn.IFS(AQ1706="","",LEN(AQ1706)-LEN(SUBSTITUTE(AQ1706,".",""))=3,LEFT(AQ1706,vitri(".",AQ1706,3)-1),LEN(AQ1706)-LEN(SUBSTITUTE(AQ1706,".",""))=2,LEFT(AQ1706,vitri(".",AQ1706,2)-1),TRUE,LEFT(AQ1706,vitri(".",AQ1706,1)-1))</f>
        <v/>
      </c>
    </row>
    <row r="1707" spans="13:54" x14ac:dyDescent="0.25">
      <c r="M1707" s="377"/>
      <c r="BB1707" s="83" t="str">
        <f t="array" ref="BB1707">_xlfn.IFS(AQ1707="","",LEN(AQ1707)-LEN(SUBSTITUTE(AQ1707,".",""))=3,LEFT(AQ1707,vitri(".",AQ1707,3)-1),LEN(AQ1707)-LEN(SUBSTITUTE(AQ1707,".",""))=2,LEFT(AQ1707,vitri(".",AQ1707,2)-1),TRUE,LEFT(AQ1707,vitri(".",AQ1707,1)-1))</f>
        <v/>
      </c>
    </row>
    <row r="1708" spans="13:54" x14ac:dyDescent="0.25">
      <c r="M1708" s="377"/>
      <c r="BB1708" s="83" t="str">
        <f t="array" ref="BB1708">_xlfn.IFS(AQ1708="","",LEN(AQ1708)-LEN(SUBSTITUTE(AQ1708,".",""))=3,LEFT(AQ1708,vitri(".",AQ1708,3)-1),LEN(AQ1708)-LEN(SUBSTITUTE(AQ1708,".",""))=2,LEFT(AQ1708,vitri(".",AQ1708,2)-1),TRUE,LEFT(AQ1708,vitri(".",AQ1708,1)-1))</f>
        <v/>
      </c>
    </row>
    <row r="1709" spans="13:54" x14ac:dyDescent="0.25">
      <c r="M1709" s="377"/>
      <c r="BB1709" s="83" t="str">
        <f t="array" ref="BB1709">_xlfn.IFS(AQ1709="","",LEN(AQ1709)-LEN(SUBSTITUTE(AQ1709,".",""))=3,LEFT(AQ1709,vitri(".",AQ1709,3)-1),LEN(AQ1709)-LEN(SUBSTITUTE(AQ1709,".",""))=2,LEFT(AQ1709,vitri(".",AQ1709,2)-1),TRUE,LEFT(AQ1709,vitri(".",AQ1709,1)-1))</f>
        <v/>
      </c>
    </row>
    <row r="1710" spans="13:54" x14ac:dyDescent="0.25">
      <c r="M1710" s="377"/>
      <c r="BB1710" s="83" t="str">
        <f t="array" ref="BB1710">_xlfn.IFS(AQ1710="","",LEN(AQ1710)-LEN(SUBSTITUTE(AQ1710,".",""))=3,LEFT(AQ1710,vitri(".",AQ1710,3)-1),LEN(AQ1710)-LEN(SUBSTITUTE(AQ1710,".",""))=2,LEFT(AQ1710,vitri(".",AQ1710,2)-1),TRUE,LEFT(AQ1710,vitri(".",AQ1710,1)-1))</f>
        <v/>
      </c>
    </row>
    <row r="1711" spans="13:54" x14ac:dyDescent="0.25">
      <c r="M1711" s="377"/>
      <c r="BB1711" s="83" t="str">
        <f t="array" ref="BB1711">_xlfn.IFS(AQ1711="","",LEN(AQ1711)-LEN(SUBSTITUTE(AQ1711,".",""))=3,LEFT(AQ1711,vitri(".",AQ1711,3)-1),LEN(AQ1711)-LEN(SUBSTITUTE(AQ1711,".",""))=2,LEFT(AQ1711,vitri(".",AQ1711,2)-1),TRUE,LEFT(AQ1711,vitri(".",AQ1711,1)-1))</f>
        <v/>
      </c>
    </row>
    <row r="1712" spans="13:54" x14ac:dyDescent="0.25">
      <c r="M1712" s="377"/>
      <c r="BB1712" s="83" t="str">
        <f t="array" ref="BB1712">_xlfn.IFS(AQ1712="","",LEN(AQ1712)-LEN(SUBSTITUTE(AQ1712,".",""))=3,LEFT(AQ1712,vitri(".",AQ1712,3)-1),LEN(AQ1712)-LEN(SUBSTITUTE(AQ1712,".",""))=2,LEFT(AQ1712,vitri(".",AQ1712,2)-1),TRUE,LEFT(AQ1712,vitri(".",AQ1712,1)-1))</f>
        <v/>
      </c>
    </row>
    <row r="1713" spans="13:54" x14ac:dyDescent="0.25">
      <c r="M1713" s="377"/>
      <c r="BB1713" s="83" t="str">
        <f t="array" ref="BB1713">_xlfn.IFS(AQ1713="","",LEN(AQ1713)-LEN(SUBSTITUTE(AQ1713,".",""))=3,LEFT(AQ1713,vitri(".",AQ1713,3)-1),LEN(AQ1713)-LEN(SUBSTITUTE(AQ1713,".",""))=2,LEFT(AQ1713,vitri(".",AQ1713,2)-1),TRUE,LEFT(AQ1713,vitri(".",AQ1713,1)-1))</f>
        <v/>
      </c>
    </row>
    <row r="1714" spans="13:54" x14ac:dyDescent="0.25">
      <c r="M1714" s="377"/>
      <c r="BB1714" s="83" t="str">
        <f t="array" ref="BB1714">_xlfn.IFS(AQ1714="","",LEN(AQ1714)-LEN(SUBSTITUTE(AQ1714,".",""))=3,LEFT(AQ1714,vitri(".",AQ1714,3)-1),LEN(AQ1714)-LEN(SUBSTITUTE(AQ1714,".",""))=2,LEFT(AQ1714,vitri(".",AQ1714,2)-1),TRUE,LEFT(AQ1714,vitri(".",AQ1714,1)-1))</f>
        <v/>
      </c>
    </row>
    <row r="1715" spans="13:54" x14ac:dyDescent="0.25">
      <c r="M1715" s="377"/>
      <c r="BB1715" s="83" t="str">
        <f t="array" ref="BB1715">_xlfn.IFS(AQ1715="","",LEN(AQ1715)-LEN(SUBSTITUTE(AQ1715,".",""))=3,LEFT(AQ1715,vitri(".",AQ1715,3)-1),LEN(AQ1715)-LEN(SUBSTITUTE(AQ1715,".",""))=2,LEFT(AQ1715,vitri(".",AQ1715,2)-1),TRUE,LEFT(AQ1715,vitri(".",AQ1715,1)-1))</f>
        <v/>
      </c>
    </row>
    <row r="1716" spans="13:54" x14ac:dyDescent="0.25">
      <c r="M1716" s="377"/>
      <c r="BB1716" s="83" t="str">
        <f t="array" ref="BB1716">_xlfn.IFS(AQ1716="","",LEN(AQ1716)-LEN(SUBSTITUTE(AQ1716,".",""))=3,LEFT(AQ1716,vitri(".",AQ1716,3)-1),LEN(AQ1716)-LEN(SUBSTITUTE(AQ1716,".",""))=2,LEFT(AQ1716,vitri(".",AQ1716,2)-1),TRUE,LEFT(AQ1716,vitri(".",AQ1716,1)-1))</f>
        <v/>
      </c>
    </row>
    <row r="1717" spans="13:54" x14ac:dyDescent="0.25">
      <c r="M1717" s="377"/>
      <c r="BB1717" s="83" t="str">
        <f t="array" ref="BB1717">_xlfn.IFS(AQ1717="","",LEN(AQ1717)-LEN(SUBSTITUTE(AQ1717,".",""))=3,LEFT(AQ1717,vitri(".",AQ1717,3)-1),LEN(AQ1717)-LEN(SUBSTITUTE(AQ1717,".",""))=2,LEFT(AQ1717,vitri(".",AQ1717,2)-1),TRUE,LEFT(AQ1717,vitri(".",AQ1717,1)-1))</f>
        <v/>
      </c>
    </row>
    <row r="1718" spans="13:54" x14ac:dyDescent="0.25">
      <c r="M1718" s="377"/>
      <c r="BB1718" s="83" t="str">
        <f t="array" ref="BB1718">_xlfn.IFS(AQ1718="","",LEN(AQ1718)-LEN(SUBSTITUTE(AQ1718,".",""))=3,LEFT(AQ1718,vitri(".",AQ1718,3)-1),LEN(AQ1718)-LEN(SUBSTITUTE(AQ1718,".",""))=2,LEFT(AQ1718,vitri(".",AQ1718,2)-1),TRUE,LEFT(AQ1718,vitri(".",AQ1718,1)-1))</f>
        <v/>
      </c>
    </row>
    <row r="1719" spans="13:54" x14ac:dyDescent="0.25">
      <c r="M1719" s="377"/>
      <c r="BB1719" s="83" t="str">
        <f t="array" ref="BB1719">_xlfn.IFS(AQ1719="","",LEN(AQ1719)-LEN(SUBSTITUTE(AQ1719,".",""))=3,LEFT(AQ1719,vitri(".",AQ1719,3)-1),LEN(AQ1719)-LEN(SUBSTITUTE(AQ1719,".",""))=2,LEFT(AQ1719,vitri(".",AQ1719,2)-1),TRUE,LEFT(AQ1719,vitri(".",AQ1719,1)-1))</f>
        <v/>
      </c>
    </row>
    <row r="1720" spans="13:54" x14ac:dyDescent="0.25">
      <c r="M1720" s="377"/>
      <c r="BB1720" s="83" t="str">
        <f t="array" ref="BB1720">_xlfn.IFS(AQ1720="","",LEN(AQ1720)-LEN(SUBSTITUTE(AQ1720,".",""))=3,LEFT(AQ1720,vitri(".",AQ1720,3)-1),LEN(AQ1720)-LEN(SUBSTITUTE(AQ1720,".",""))=2,LEFT(AQ1720,vitri(".",AQ1720,2)-1),TRUE,LEFT(AQ1720,vitri(".",AQ1720,1)-1))</f>
        <v/>
      </c>
    </row>
    <row r="1721" spans="13:54" x14ac:dyDescent="0.25">
      <c r="M1721" s="377"/>
      <c r="BB1721" s="83" t="str">
        <f t="array" ref="BB1721">_xlfn.IFS(AQ1721="","",LEN(AQ1721)-LEN(SUBSTITUTE(AQ1721,".",""))=3,LEFT(AQ1721,vitri(".",AQ1721,3)-1),LEN(AQ1721)-LEN(SUBSTITUTE(AQ1721,".",""))=2,LEFT(AQ1721,vitri(".",AQ1721,2)-1),TRUE,LEFT(AQ1721,vitri(".",AQ1721,1)-1))</f>
        <v/>
      </c>
    </row>
    <row r="1722" spans="13:54" x14ac:dyDescent="0.25">
      <c r="M1722" s="377"/>
      <c r="BB1722" s="83" t="str">
        <f t="array" ref="BB1722">_xlfn.IFS(AQ1722="","",LEN(AQ1722)-LEN(SUBSTITUTE(AQ1722,".",""))=3,LEFT(AQ1722,vitri(".",AQ1722,3)-1),LEN(AQ1722)-LEN(SUBSTITUTE(AQ1722,".",""))=2,LEFT(AQ1722,vitri(".",AQ1722,2)-1),TRUE,LEFT(AQ1722,vitri(".",AQ1722,1)-1))</f>
        <v/>
      </c>
    </row>
    <row r="1723" spans="13:54" x14ac:dyDescent="0.25">
      <c r="M1723" s="377"/>
      <c r="BB1723" s="83" t="str">
        <f t="array" ref="BB1723">_xlfn.IFS(AQ1723="","",LEN(AQ1723)-LEN(SUBSTITUTE(AQ1723,".",""))=3,LEFT(AQ1723,vitri(".",AQ1723,3)-1),LEN(AQ1723)-LEN(SUBSTITUTE(AQ1723,".",""))=2,LEFT(AQ1723,vitri(".",AQ1723,2)-1),TRUE,LEFT(AQ1723,vitri(".",AQ1723,1)-1))</f>
        <v/>
      </c>
    </row>
    <row r="1724" spans="13:54" x14ac:dyDescent="0.25">
      <c r="M1724" s="377"/>
      <c r="BB1724" s="83" t="str">
        <f t="array" ref="BB1724">_xlfn.IFS(AQ1724="","",LEN(AQ1724)-LEN(SUBSTITUTE(AQ1724,".",""))=3,LEFT(AQ1724,vitri(".",AQ1724,3)-1),LEN(AQ1724)-LEN(SUBSTITUTE(AQ1724,".",""))=2,LEFT(AQ1724,vitri(".",AQ1724,2)-1),TRUE,LEFT(AQ1724,vitri(".",AQ1724,1)-1))</f>
        <v/>
      </c>
    </row>
    <row r="1725" spans="13:54" x14ac:dyDescent="0.25">
      <c r="M1725" s="377"/>
      <c r="BB1725" s="83" t="str">
        <f t="array" ref="BB1725">_xlfn.IFS(AQ1725="","",LEN(AQ1725)-LEN(SUBSTITUTE(AQ1725,".",""))=3,LEFT(AQ1725,vitri(".",AQ1725,3)-1),LEN(AQ1725)-LEN(SUBSTITUTE(AQ1725,".",""))=2,LEFT(AQ1725,vitri(".",AQ1725,2)-1),TRUE,LEFT(AQ1725,vitri(".",AQ1725,1)-1))</f>
        <v/>
      </c>
    </row>
    <row r="1726" spans="13:54" x14ac:dyDescent="0.25">
      <c r="M1726" s="377"/>
      <c r="BB1726" s="83" t="str">
        <f t="array" ref="BB1726">_xlfn.IFS(AQ1726="","",LEN(AQ1726)-LEN(SUBSTITUTE(AQ1726,".",""))=3,LEFT(AQ1726,vitri(".",AQ1726,3)-1),LEN(AQ1726)-LEN(SUBSTITUTE(AQ1726,".",""))=2,LEFT(AQ1726,vitri(".",AQ1726,2)-1),TRUE,LEFT(AQ1726,vitri(".",AQ1726,1)-1))</f>
        <v/>
      </c>
    </row>
    <row r="1727" spans="13:54" x14ac:dyDescent="0.25">
      <c r="M1727" s="377"/>
      <c r="BB1727" s="83" t="str">
        <f t="array" ref="BB1727">_xlfn.IFS(AQ1727="","",LEN(AQ1727)-LEN(SUBSTITUTE(AQ1727,".",""))=3,LEFT(AQ1727,vitri(".",AQ1727,3)-1),LEN(AQ1727)-LEN(SUBSTITUTE(AQ1727,".",""))=2,LEFT(AQ1727,vitri(".",AQ1727,2)-1),TRUE,LEFT(AQ1727,vitri(".",AQ1727,1)-1))</f>
        <v/>
      </c>
    </row>
    <row r="1728" spans="13:54" x14ac:dyDescent="0.25">
      <c r="M1728" s="377"/>
      <c r="BB1728" s="83" t="str">
        <f t="array" ref="BB1728">_xlfn.IFS(AQ1728="","",LEN(AQ1728)-LEN(SUBSTITUTE(AQ1728,".",""))=3,LEFT(AQ1728,vitri(".",AQ1728,3)-1),LEN(AQ1728)-LEN(SUBSTITUTE(AQ1728,".",""))=2,LEFT(AQ1728,vitri(".",AQ1728,2)-1),TRUE,LEFT(AQ1728,vitri(".",AQ1728,1)-1))</f>
        <v/>
      </c>
    </row>
    <row r="1729" spans="13:54" x14ac:dyDescent="0.25">
      <c r="M1729" s="377"/>
      <c r="BB1729" s="83" t="str">
        <f t="array" ref="BB1729">_xlfn.IFS(AQ1729="","",LEN(AQ1729)-LEN(SUBSTITUTE(AQ1729,".",""))=3,LEFT(AQ1729,vitri(".",AQ1729,3)-1),LEN(AQ1729)-LEN(SUBSTITUTE(AQ1729,".",""))=2,LEFT(AQ1729,vitri(".",AQ1729,2)-1),TRUE,LEFT(AQ1729,vitri(".",AQ1729,1)-1))</f>
        <v/>
      </c>
    </row>
    <row r="1730" spans="13:54" x14ac:dyDescent="0.25">
      <c r="M1730" s="377"/>
      <c r="BB1730" s="83" t="str">
        <f t="array" ref="BB1730">_xlfn.IFS(AQ1730="","",LEN(AQ1730)-LEN(SUBSTITUTE(AQ1730,".",""))=3,LEFT(AQ1730,vitri(".",AQ1730,3)-1),LEN(AQ1730)-LEN(SUBSTITUTE(AQ1730,".",""))=2,LEFT(AQ1730,vitri(".",AQ1730,2)-1),TRUE,LEFT(AQ1730,vitri(".",AQ1730,1)-1))</f>
        <v/>
      </c>
    </row>
    <row r="1731" spans="13:54" x14ac:dyDescent="0.25">
      <c r="M1731" s="377"/>
      <c r="BB1731" s="83" t="str">
        <f t="array" ref="BB1731">_xlfn.IFS(AQ1731="","",LEN(AQ1731)-LEN(SUBSTITUTE(AQ1731,".",""))=3,LEFT(AQ1731,vitri(".",AQ1731,3)-1),LEN(AQ1731)-LEN(SUBSTITUTE(AQ1731,".",""))=2,LEFT(AQ1731,vitri(".",AQ1731,2)-1),TRUE,LEFT(AQ1731,vitri(".",AQ1731,1)-1))</f>
        <v/>
      </c>
    </row>
    <row r="1732" spans="13:54" x14ac:dyDescent="0.25">
      <c r="M1732" s="377"/>
      <c r="BB1732" s="83" t="str">
        <f t="array" ref="BB1732">_xlfn.IFS(AQ1732="","",LEN(AQ1732)-LEN(SUBSTITUTE(AQ1732,".",""))=3,LEFT(AQ1732,vitri(".",AQ1732,3)-1),LEN(AQ1732)-LEN(SUBSTITUTE(AQ1732,".",""))=2,LEFT(AQ1732,vitri(".",AQ1732,2)-1),TRUE,LEFT(AQ1732,vitri(".",AQ1732,1)-1))</f>
        <v/>
      </c>
    </row>
    <row r="1733" spans="13:54" x14ac:dyDescent="0.25">
      <c r="M1733" s="377"/>
      <c r="BB1733" s="83" t="str">
        <f t="array" ref="BB1733">_xlfn.IFS(AQ1733="","",LEN(AQ1733)-LEN(SUBSTITUTE(AQ1733,".",""))=3,LEFT(AQ1733,vitri(".",AQ1733,3)-1),LEN(AQ1733)-LEN(SUBSTITUTE(AQ1733,".",""))=2,LEFT(AQ1733,vitri(".",AQ1733,2)-1),TRUE,LEFT(AQ1733,vitri(".",AQ1733,1)-1))</f>
        <v/>
      </c>
    </row>
    <row r="1734" spans="13:54" x14ac:dyDescent="0.25">
      <c r="M1734" s="377"/>
      <c r="BB1734" s="83" t="str">
        <f t="array" ref="BB1734">_xlfn.IFS(AQ1734="","",LEN(AQ1734)-LEN(SUBSTITUTE(AQ1734,".",""))=3,LEFT(AQ1734,vitri(".",AQ1734,3)-1),LEN(AQ1734)-LEN(SUBSTITUTE(AQ1734,".",""))=2,LEFT(AQ1734,vitri(".",AQ1734,2)-1),TRUE,LEFT(AQ1734,vitri(".",AQ1734,1)-1))</f>
        <v/>
      </c>
    </row>
    <row r="1735" spans="13:54" x14ac:dyDescent="0.25">
      <c r="M1735" s="377"/>
      <c r="BB1735" s="83" t="str">
        <f t="array" ref="BB1735">_xlfn.IFS(AQ1735="","",LEN(AQ1735)-LEN(SUBSTITUTE(AQ1735,".",""))=3,LEFT(AQ1735,vitri(".",AQ1735,3)-1),LEN(AQ1735)-LEN(SUBSTITUTE(AQ1735,".",""))=2,LEFT(AQ1735,vitri(".",AQ1735,2)-1),TRUE,LEFT(AQ1735,vitri(".",AQ1735,1)-1))</f>
        <v/>
      </c>
    </row>
    <row r="1736" spans="13:54" x14ac:dyDescent="0.25">
      <c r="M1736" s="377"/>
      <c r="BB1736" s="83" t="str">
        <f t="array" ref="BB1736">_xlfn.IFS(AQ1736="","",LEN(AQ1736)-LEN(SUBSTITUTE(AQ1736,".",""))=3,LEFT(AQ1736,vitri(".",AQ1736,3)-1),LEN(AQ1736)-LEN(SUBSTITUTE(AQ1736,".",""))=2,LEFT(AQ1736,vitri(".",AQ1736,2)-1),TRUE,LEFT(AQ1736,vitri(".",AQ1736,1)-1))</f>
        <v/>
      </c>
    </row>
    <row r="1737" spans="13:54" x14ac:dyDescent="0.25">
      <c r="M1737" s="377"/>
      <c r="BB1737" s="83" t="str">
        <f t="array" ref="BB1737">_xlfn.IFS(AQ1737="","",LEN(AQ1737)-LEN(SUBSTITUTE(AQ1737,".",""))=3,LEFT(AQ1737,vitri(".",AQ1737,3)-1),LEN(AQ1737)-LEN(SUBSTITUTE(AQ1737,".",""))=2,LEFT(AQ1737,vitri(".",AQ1737,2)-1),TRUE,LEFT(AQ1737,vitri(".",AQ1737,1)-1))</f>
        <v/>
      </c>
    </row>
    <row r="1738" spans="13:54" x14ac:dyDescent="0.25">
      <c r="M1738" s="377"/>
      <c r="BB1738" s="83" t="str">
        <f t="array" ref="BB1738">_xlfn.IFS(AQ1738="","",LEN(AQ1738)-LEN(SUBSTITUTE(AQ1738,".",""))=3,LEFT(AQ1738,vitri(".",AQ1738,3)-1),LEN(AQ1738)-LEN(SUBSTITUTE(AQ1738,".",""))=2,LEFT(AQ1738,vitri(".",AQ1738,2)-1),TRUE,LEFT(AQ1738,vitri(".",AQ1738,1)-1))</f>
        <v/>
      </c>
    </row>
    <row r="1739" spans="13:54" x14ac:dyDescent="0.25">
      <c r="M1739" s="377"/>
      <c r="BB1739" s="83" t="str">
        <f t="array" ref="BB1739">_xlfn.IFS(AQ1739="","",LEN(AQ1739)-LEN(SUBSTITUTE(AQ1739,".",""))=3,LEFT(AQ1739,vitri(".",AQ1739,3)-1),LEN(AQ1739)-LEN(SUBSTITUTE(AQ1739,".",""))=2,LEFT(AQ1739,vitri(".",AQ1739,2)-1),TRUE,LEFT(AQ1739,vitri(".",AQ1739,1)-1))</f>
        <v/>
      </c>
    </row>
    <row r="1740" spans="13:54" x14ac:dyDescent="0.25">
      <c r="M1740" s="377"/>
      <c r="BB1740" s="83" t="str">
        <f t="array" ref="BB1740">_xlfn.IFS(AQ1740="","",LEN(AQ1740)-LEN(SUBSTITUTE(AQ1740,".",""))=3,LEFT(AQ1740,vitri(".",AQ1740,3)-1),LEN(AQ1740)-LEN(SUBSTITUTE(AQ1740,".",""))=2,LEFT(AQ1740,vitri(".",AQ1740,2)-1),TRUE,LEFT(AQ1740,vitri(".",AQ1740,1)-1))</f>
        <v/>
      </c>
    </row>
    <row r="1741" spans="13:54" x14ac:dyDescent="0.25">
      <c r="M1741" s="377"/>
      <c r="BB1741" s="83" t="str">
        <f t="array" ref="BB1741">_xlfn.IFS(AQ1741="","",LEN(AQ1741)-LEN(SUBSTITUTE(AQ1741,".",""))=3,LEFT(AQ1741,vitri(".",AQ1741,3)-1),LEN(AQ1741)-LEN(SUBSTITUTE(AQ1741,".",""))=2,LEFT(AQ1741,vitri(".",AQ1741,2)-1),TRUE,LEFT(AQ1741,vitri(".",AQ1741,1)-1))</f>
        <v/>
      </c>
    </row>
    <row r="1742" spans="13:54" x14ac:dyDescent="0.25">
      <c r="M1742" s="377"/>
      <c r="BB1742" s="83" t="str">
        <f t="array" ref="BB1742">_xlfn.IFS(AQ1742="","",LEN(AQ1742)-LEN(SUBSTITUTE(AQ1742,".",""))=3,LEFT(AQ1742,vitri(".",AQ1742,3)-1),LEN(AQ1742)-LEN(SUBSTITUTE(AQ1742,".",""))=2,LEFT(AQ1742,vitri(".",AQ1742,2)-1),TRUE,LEFT(AQ1742,vitri(".",AQ1742,1)-1))</f>
        <v/>
      </c>
    </row>
    <row r="1743" spans="13:54" x14ac:dyDescent="0.25">
      <c r="M1743" s="377"/>
      <c r="BB1743" s="83" t="str">
        <f t="array" ref="BB1743">_xlfn.IFS(AQ1743="","",LEN(AQ1743)-LEN(SUBSTITUTE(AQ1743,".",""))=3,LEFT(AQ1743,vitri(".",AQ1743,3)-1),LEN(AQ1743)-LEN(SUBSTITUTE(AQ1743,".",""))=2,LEFT(AQ1743,vitri(".",AQ1743,2)-1),TRUE,LEFT(AQ1743,vitri(".",AQ1743,1)-1))</f>
        <v/>
      </c>
    </row>
    <row r="1744" spans="13:54" x14ac:dyDescent="0.25">
      <c r="M1744" s="377"/>
      <c r="BB1744" s="83" t="str">
        <f t="array" ref="BB1744">_xlfn.IFS(AQ1744="","",LEN(AQ1744)-LEN(SUBSTITUTE(AQ1744,".",""))=3,LEFT(AQ1744,vitri(".",AQ1744,3)-1),LEN(AQ1744)-LEN(SUBSTITUTE(AQ1744,".",""))=2,LEFT(AQ1744,vitri(".",AQ1744,2)-1),TRUE,LEFT(AQ1744,vitri(".",AQ1744,1)-1))</f>
        <v/>
      </c>
    </row>
    <row r="1745" spans="13:54" x14ac:dyDescent="0.25">
      <c r="M1745" s="377"/>
      <c r="BB1745" s="83" t="str">
        <f t="array" ref="BB1745">_xlfn.IFS(AQ1745="","",LEN(AQ1745)-LEN(SUBSTITUTE(AQ1745,".",""))=3,LEFT(AQ1745,vitri(".",AQ1745,3)-1),LEN(AQ1745)-LEN(SUBSTITUTE(AQ1745,".",""))=2,LEFT(AQ1745,vitri(".",AQ1745,2)-1),TRUE,LEFT(AQ1745,vitri(".",AQ1745,1)-1))</f>
        <v/>
      </c>
    </row>
    <row r="1746" spans="13:54" x14ac:dyDescent="0.25">
      <c r="M1746" s="377"/>
      <c r="BB1746" s="83" t="str">
        <f t="array" ref="BB1746">_xlfn.IFS(AQ1746="","",LEN(AQ1746)-LEN(SUBSTITUTE(AQ1746,".",""))=3,LEFT(AQ1746,vitri(".",AQ1746,3)-1),LEN(AQ1746)-LEN(SUBSTITUTE(AQ1746,".",""))=2,LEFT(AQ1746,vitri(".",AQ1746,2)-1),TRUE,LEFT(AQ1746,vitri(".",AQ1746,1)-1))</f>
        <v/>
      </c>
    </row>
    <row r="1747" spans="13:54" x14ac:dyDescent="0.25">
      <c r="M1747" s="377"/>
      <c r="BB1747" s="83" t="str">
        <f t="array" ref="BB1747">_xlfn.IFS(AQ1747="","",LEN(AQ1747)-LEN(SUBSTITUTE(AQ1747,".",""))=3,LEFT(AQ1747,vitri(".",AQ1747,3)-1),LEN(AQ1747)-LEN(SUBSTITUTE(AQ1747,".",""))=2,LEFT(AQ1747,vitri(".",AQ1747,2)-1),TRUE,LEFT(AQ1747,vitri(".",AQ1747,1)-1))</f>
        <v/>
      </c>
    </row>
    <row r="1748" spans="13:54" x14ac:dyDescent="0.25">
      <c r="M1748" s="377"/>
      <c r="BB1748" s="83" t="str">
        <f t="array" ref="BB1748">_xlfn.IFS(AQ1748="","",LEN(AQ1748)-LEN(SUBSTITUTE(AQ1748,".",""))=3,LEFT(AQ1748,vitri(".",AQ1748,3)-1),LEN(AQ1748)-LEN(SUBSTITUTE(AQ1748,".",""))=2,LEFT(AQ1748,vitri(".",AQ1748,2)-1),TRUE,LEFT(AQ1748,vitri(".",AQ1748,1)-1))</f>
        <v/>
      </c>
    </row>
    <row r="1749" spans="13:54" x14ac:dyDescent="0.25">
      <c r="M1749" s="377"/>
      <c r="BB1749" s="83" t="str">
        <f t="array" ref="BB1749">_xlfn.IFS(AQ1749="","",LEN(AQ1749)-LEN(SUBSTITUTE(AQ1749,".",""))=3,LEFT(AQ1749,vitri(".",AQ1749,3)-1),LEN(AQ1749)-LEN(SUBSTITUTE(AQ1749,".",""))=2,LEFT(AQ1749,vitri(".",AQ1749,2)-1),TRUE,LEFT(AQ1749,vitri(".",AQ1749,1)-1))</f>
        <v/>
      </c>
    </row>
    <row r="1750" spans="13:54" x14ac:dyDescent="0.25">
      <c r="M1750" s="377"/>
      <c r="BB1750" s="83" t="str">
        <f t="array" ref="BB1750">_xlfn.IFS(AQ1750="","",LEN(AQ1750)-LEN(SUBSTITUTE(AQ1750,".",""))=3,LEFT(AQ1750,vitri(".",AQ1750,3)-1),LEN(AQ1750)-LEN(SUBSTITUTE(AQ1750,".",""))=2,LEFT(AQ1750,vitri(".",AQ1750,2)-1),TRUE,LEFT(AQ1750,vitri(".",AQ1750,1)-1))</f>
        <v/>
      </c>
    </row>
    <row r="1751" spans="13:54" x14ac:dyDescent="0.25">
      <c r="M1751" s="377"/>
      <c r="BB1751" s="83" t="str">
        <f t="array" ref="BB1751">_xlfn.IFS(AQ1751="","",LEN(AQ1751)-LEN(SUBSTITUTE(AQ1751,".",""))=3,LEFT(AQ1751,vitri(".",AQ1751,3)-1),LEN(AQ1751)-LEN(SUBSTITUTE(AQ1751,".",""))=2,LEFT(AQ1751,vitri(".",AQ1751,2)-1),TRUE,LEFT(AQ1751,vitri(".",AQ1751,1)-1))</f>
        <v/>
      </c>
    </row>
    <row r="1752" spans="13:54" x14ac:dyDescent="0.25">
      <c r="M1752" s="377"/>
      <c r="BB1752" s="83" t="str">
        <f t="array" ref="BB1752">_xlfn.IFS(AQ1752="","",LEN(AQ1752)-LEN(SUBSTITUTE(AQ1752,".",""))=3,LEFT(AQ1752,vitri(".",AQ1752,3)-1),LEN(AQ1752)-LEN(SUBSTITUTE(AQ1752,".",""))=2,LEFT(AQ1752,vitri(".",AQ1752,2)-1),TRUE,LEFT(AQ1752,vitri(".",AQ1752,1)-1))</f>
        <v/>
      </c>
    </row>
    <row r="1753" spans="13:54" x14ac:dyDescent="0.25">
      <c r="M1753" s="377"/>
      <c r="BB1753" s="83" t="str">
        <f t="array" ref="BB1753">_xlfn.IFS(AQ1753="","",LEN(AQ1753)-LEN(SUBSTITUTE(AQ1753,".",""))=3,LEFT(AQ1753,vitri(".",AQ1753,3)-1),LEN(AQ1753)-LEN(SUBSTITUTE(AQ1753,".",""))=2,LEFT(AQ1753,vitri(".",AQ1753,2)-1),TRUE,LEFT(AQ1753,vitri(".",AQ1753,1)-1))</f>
        <v/>
      </c>
    </row>
    <row r="1754" spans="13:54" x14ac:dyDescent="0.25">
      <c r="M1754" s="377"/>
      <c r="BB1754" s="83" t="str">
        <f t="array" ref="BB1754">_xlfn.IFS(AQ1754="","",LEN(AQ1754)-LEN(SUBSTITUTE(AQ1754,".",""))=3,LEFT(AQ1754,vitri(".",AQ1754,3)-1),LEN(AQ1754)-LEN(SUBSTITUTE(AQ1754,".",""))=2,LEFT(AQ1754,vitri(".",AQ1754,2)-1),TRUE,LEFT(AQ1754,vitri(".",AQ1754,1)-1))</f>
        <v/>
      </c>
    </row>
    <row r="1755" spans="13:54" x14ac:dyDescent="0.25">
      <c r="M1755" s="377"/>
      <c r="BB1755" s="83" t="str">
        <f t="array" ref="BB1755">_xlfn.IFS(AQ1755="","",LEN(AQ1755)-LEN(SUBSTITUTE(AQ1755,".",""))=3,LEFT(AQ1755,vitri(".",AQ1755,3)-1),LEN(AQ1755)-LEN(SUBSTITUTE(AQ1755,".",""))=2,LEFT(AQ1755,vitri(".",AQ1755,2)-1),TRUE,LEFT(AQ1755,vitri(".",AQ1755,1)-1))</f>
        <v/>
      </c>
    </row>
    <row r="1756" spans="13:54" x14ac:dyDescent="0.25">
      <c r="M1756" s="377"/>
      <c r="BB1756" s="83" t="str">
        <f t="array" ref="BB1756">_xlfn.IFS(AQ1756="","",LEN(AQ1756)-LEN(SUBSTITUTE(AQ1756,".",""))=3,LEFT(AQ1756,vitri(".",AQ1756,3)-1),LEN(AQ1756)-LEN(SUBSTITUTE(AQ1756,".",""))=2,LEFT(AQ1756,vitri(".",AQ1756,2)-1),TRUE,LEFT(AQ1756,vitri(".",AQ1756,1)-1))</f>
        <v/>
      </c>
    </row>
    <row r="1757" spans="13:54" x14ac:dyDescent="0.25">
      <c r="M1757" s="377"/>
      <c r="BB1757" s="83" t="str">
        <f t="array" ref="BB1757">_xlfn.IFS(AQ1757="","",LEN(AQ1757)-LEN(SUBSTITUTE(AQ1757,".",""))=3,LEFT(AQ1757,vitri(".",AQ1757,3)-1),LEN(AQ1757)-LEN(SUBSTITUTE(AQ1757,".",""))=2,LEFT(AQ1757,vitri(".",AQ1757,2)-1),TRUE,LEFT(AQ1757,vitri(".",AQ1757,1)-1))</f>
        <v/>
      </c>
    </row>
    <row r="1758" spans="13:54" x14ac:dyDescent="0.25">
      <c r="M1758" s="377"/>
      <c r="BB1758" s="83" t="str">
        <f t="array" ref="BB1758">_xlfn.IFS(AQ1758="","",LEN(AQ1758)-LEN(SUBSTITUTE(AQ1758,".",""))=3,LEFT(AQ1758,vitri(".",AQ1758,3)-1),LEN(AQ1758)-LEN(SUBSTITUTE(AQ1758,".",""))=2,LEFT(AQ1758,vitri(".",AQ1758,2)-1),TRUE,LEFT(AQ1758,vitri(".",AQ1758,1)-1))</f>
        <v/>
      </c>
    </row>
    <row r="1759" spans="13:54" x14ac:dyDescent="0.25">
      <c r="M1759" s="377"/>
      <c r="BB1759" s="83" t="str">
        <f t="array" ref="BB1759">_xlfn.IFS(AQ1759="","",LEN(AQ1759)-LEN(SUBSTITUTE(AQ1759,".",""))=3,LEFT(AQ1759,vitri(".",AQ1759,3)-1),LEN(AQ1759)-LEN(SUBSTITUTE(AQ1759,".",""))=2,LEFT(AQ1759,vitri(".",AQ1759,2)-1),TRUE,LEFT(AQ1759,vitri(".",AQ1759,1)-1))</f>
        <v/>
      </c>
    </row>
    <row r="1760" spans="13:54" x14ac:dyDescent="0.25">
      <c r="M1760" s="377"/>
      <c r="BB1760" s="83" t="str">
        <f t="array" ref="BB1760">_xlfn.IFS(AQ1760="","",LEN(AQ1760)-LEN(SUBSTITUTE(AQ1760,".",""))=3,LEFT(AQ1760,vitri(".",AQ1760,3)-1),LEN(AQ1760)-LEN(SUBSTITUTE(AQ1760,".",""))=2,LEFT(AQ1760,vitri(".",AQ1760,2)-1),TRUE,LEFT(AQ1760,vitri(".",AQ1760,1)-1))</f>
        <v/>
      </c>
    </row>
    <row r="1761" spans="13:54" x14ac:dyDescent="0.25">
      <c r="M1761" s="377"/>
      <c r="BB1761" s="83" t="str">
        <f t="array" ref="BB1761">_xlfn.IFS(AQ1761="","",LEN(AQ1761)-LEN(SUBSTITUTE(AQ1761,".",""))=3,LEFT(AQ1761,vitri(".",AQ1761,3)-1),LEN(AQ1761)-LEN(SUBSTITUTE(AQ1761,".",""))=2,LEFT(AQ1761,vitri(".",AQ1761,2)-1),TRUE,LEFT(AQ1761,vitri(".",AQ1761,1)-1))</f>
        <v/>
      </c>
    </row>
    <row r="1762" spans="13:54" x14ac:dyDescent="0.25">
      <c r="M1762" s="377"/>
      <c r="BB1762" s="83" t="str">
        <f t="array" ref="BB1762">_xlfn.IFS(AQ1762="","",LEN(AQ1762)-LEN(SUBSTITUTE(AQ1762,".",""))=3,LEFT(AQ1762,vitri(".",AQ1762,3)-1),LEN(AQ1762)-LEN(SUBSTITUTE(AQ1762,".",""))=2,LEFT(AQ1762,vitri(".",AQ1762,2)-1),TRUE,LEFT(AQ1762,vitri(".",AQ1762,1)-1))</f>
        <v/>
      </c>
    </row>
    <row r="1763" spans="13:54" x14ac:dyDescent="0.25">
      <c r="M1763" s="377"/>
      <c r="BB1763" s="83" t="str">
        <f t="array" ref="BB1763">_xlfn.IFS(AQ1763="","",LEN(AQ1763)-LEN(SUBSTITUTE(AQ1763,".",""))=3,LEFT(AQ1763,vitri(".",AQ1763,3)-1),LEN(AQ1763)-LEN(SUBSTITUTE(AQ1763,".",""))=2,LEFT(AQ1763,vitri(".",AQ1763,2)-1),TRUE,LEFT(AQ1763,vitri(".",AQ1763,1)-1))</f>
        <v/>
      </c>
    </row>
    <row r="1764" spans="13:54" x14ac:dyDescent="0.25">
      <c r="M1764" s="377"/>
      <c r="BB1764" s="83" t="str">
        <f t="array" ref="BB1764">_xlfn.IFS(AQ1764="","",LEN(AQ1764)-LEN(SUBSTITUTE(AQ1764,".",""))=3,LEFT(AQ1764,vitri(".",AQ1764,3)-1),LEN(AQ1764)-LEN(SUBSTITUTE(AQ1764,".",""))=2,LEFT(AQ1764,vitri(".",AQ1764,2)-1),TRUE,LEFT(AQ1764,vitri(".",AQ1764,1)-1))</f>
        <v/>
      </c>
    </row>
    <row r="1765" spans="13:54" x14ac:dyDescent="0.25">
      <c r="M1765" s="377"/>
      <c r="BB1765" s="83" t="str">
        <f t="array" ref="BB1765">_xlfn.IFS(AQ1765="","",LEN(AQ1765)-LEN(SUBSTITUTE(AQ1765,".",""))=3,LEFT(AQ1765,vitri(".",AQ1765,3)-1),LEN(AQ1765)-LEN(SUBSTITUTE(AQ1765,".",""))=2,LEFT(AQ1765,vitri(".",AQ1765,2)-1),TRUE,LEFT(AQ1765,vitri(".",AQ1765,1)-1))</f>
        <v/>
      </c>
    </row>
    <row r="1766" spans="13:54" x14ac:dyDescent="0.25">
      <c r="M1766" s="377"/>
      <c r="BB1766" s="83" t="str">
        <f t="array" ref="BB1766">_xlfn.IFS(AQ1766="","",LEN(AQ1766)-LEN(SUBSTITUTE(AQ1766,".",""))=3,LEFT(AQ1766,vitri(".",AQ1766,3)-1),LEN(AQ1766)-LEN(SUBSTITUTE(AQ1766,".",""))=2,LEFT(AQ1766,vitri(".",AQ1766,2)-1),TRUE,LEFT(AQ1766,vitri(".",AQ1766,1)-1))</f>
        <v/>
      </c>
    </row>
    <row r="1767" spans="13:54" x14ac:dyDescent="0.25">
      <c r="M1767" s="377"/>
      <c r="BB1767" s="83" t="str">
        <f t="array" ref="BB1767">_xlfn.IFS(AQ1767="","",LEN(AQ1767)-LEN(SUBSTITUTE(AQ1767,".",""))=3,LEFT(AQ1767,vitri(".",AQ1767,3)-1),LEN(AQ1767)-LEN(SUBSTITUTE(AQ1767,".",""))=2,LEFT(AQ1767,vitri(".",AQ1767,2)-1),TRUE,LEFT(AQ1767,vitri(".",AQ1767,1)-1))</f>
        <v/>
      </c>
    </row>
    <row r="1768" spans="13:54" x14ac:dyDescent="0.25">
      <c r="M1768" s="377"/>
      <c r="BB1768" s="83" t="str">
        <f t="array" ref="BB1768">_xlfn.IFS(AQ1768="","",LEN(AQ1768)-LEN(SUBSTITUTE(AQ1768,".",""))=3,LEFT(AQ1768,vitri(".",AQ1768,3)-1),LEN(AQ1768)-LEN(SUBSTITUTE(AQ1768,".",""))=2,LEFT(AQ1768,vitri(".",AQ1768,2)-1),TRUE,LEFT(AQ1768,vitri(".",AQ1768,1)-1))</f>
        <v/>
      </c>
    </row>
    <row r="1769" spans="13:54" x14ac:dyDescent="0.25">
      <c r="M1769" s="377"/>
      <c r="BB1769" s="83" t="str">
        <f t="array" ref="BB1769">_xlfn.IFS(AQ1769="","",LEN(AQ1769)-LEN(SUBSTITUTE(AQ1769,".",""))=3,LEFT(AQ1769,vitri(".",AQ1769,3)-1),LEN(AQ1769)-LEN(SUBSTITUTE(AQ1769,".",""))=2,LEFT(AQ1769,vitri(".",AQ1769,2)-1),TRUE,LEFT(AQ1769,vitri(".",AQ1769,1)-1))</f>
        <v/>
      </c>
    </row>
    <row r="1770" spans="13:54" x14ac:dyDescent="0.25">
      <c r="M1770" s="377"/>
      <c r="BB1770" s="83" t="str">
        <f t="array" ref="BB1770">_xlfn.IFS(AQ1770="","",LEN(AQ1770)-LEN(SUBSTITUTE(AQ1770,".",""))=3,LEFT(AQ1770,vitri(".",AQ1770,3)-1),LEN(AQ1770)-LEN(SUBSTITUTE(AQ1770,".",""))=2,LEFT(AQ1770,vitri(".",AQ1770,2)-1),TRUE,LEFT(AQ1770,vitri(".",AQ1770,1)-1))</f>
        <v/>
      </c>
    </row>
    <row r="1771" spans="13:54" x14ac:dyDescent="0.25">
      <c r="M1771" s="377"/>
      <c r="BB1771" s="83" t="str">
        <f t="array" ref="BB1771">_xlfn.IFS(AQ1771="","",LEN(AQ1771)-LEN(SUBSTITUTE(AQ1771,".",""))=3,LEFT(AQ1771,vitri(".",AQ1771,3)-1),LEN(AQ1771)-LEN(SUBSTITUTE(AQ1771,".",""))=2,LEFT(AQ1771,vitri(".",AQ1771,2)-1),TRUE,LEFT(AQ1771,vitri(".",AQ1771,1)-1))</f>
        <v/>
      </c>
    </row>
    <row r="1772" spans="13:54" x14ac:dyDescent="0.25">
      <c r="M1772" s="377"/>
      <c r="BB1772" s="83" t="str">
        <f t="array" ref="BB1772">_xlfn.IFS(AQ1772="","",LEN(AQ1772)-LEN(SUBSTITUTE(AQ1772,".",""))=3,LEFT(AQ1772,vitri(".",AQ1772,3)-1),LEN(AQ1772)-LEN(SUBSTITUTE(AQ1772,".",""))=2,LEFT(AQ1772,vitri(".",AQ1772,2)-1),TRUE,LEFT(AQ1772,vitri(".",AQ1772,1)-1))</f>
        <v/>
      </c>
    </row>
    <row r="1773" spans="13:54" x14ac:dyDescent="0.25">
      <c r="M1773" s="377"/>
      <c r="BB1773" s="83" t="str">
        <f t="array" ref="BB1773">_xlfn.IFS(AQ1773="","",LEN(AQ1773)-LEN(SUBSTITUTE(AQ1773,".",""))=3,LEFT(AQ1773,vitri(".",AQ1773,3)-1),LEN(AQ1773)-LEN(SUBSTITUTE(AQ1773,".",""))=2,LEFT(AQ1773,vitri(".",AQ1773,2)-1),TRUE,LEFT(AQ1773,vitri(".",AQ1773,1)-1))</f>
        <v/>
      </c>
    </row>
    <row r="1774" spans="13:54" x14ac:dyDescent="0.25">
      <c r="M1774" s="377"/>
      <c r="BB1774" s="83" t="str">
        <f t="array" ref="BB1774">_xlfn.IFS(AQ1774="","",LEN(AQ1774)-LEN(SUBSTITUTE(AQ1774,".",""))=3,LEFT(AQ1774,vitri(".",AQ1774,3)-1),LEN(AQ1774)-LEN(SUBSTITUTE(AQ1774,".",""))=2,LEFT(AQ1774,vitri(".",AQ1774,2)-1),TRUE,LEFT(AQ1774,vitri(".",AQ1774,1)-1))</f>
        <v/>
      </c>
    </row>
    <row r="1775" spans="13:54" x14ac:dyDescent="0.25">
      <c r="M1775" s="377"/>
      <c r="BB1775" s="83" t="str">
        <f t="array" ref="BB1775">_xlfn.IFS(AQ1775="","",LEN(AQ1775)-LEN(SUBSTITUTE(AQ1775,".",""))=3,LEFT(AQ1775,vitri(".",AQ1775,3)-1),LEN(AQ1775)-LEN(SUBSTITUTE(AQ1775,".",""))=2,LEFT(AQ1775,vitri(".",AQ1775,2)-1),TRUE,LEFT(AQ1775,vitri(".",AQ1775,1)-1))</f>
        <v/>
      </c>
    </row>
    <row r="1776" spans="13:54" x14ac:dyDescent="0.25">
      <c r="M1776" s="377"/>
      <c r="BB1776" s="83" t="str">
        <f t="array" ref="BB1776">_xlfn.IFS(AQ1776="","",LEN(AQ1776)-LEN(SUBSTITUTE(AQ1776,".",""))=3,LEFT(AQ1776,vitri(".",AQ1776,3)-1),LEN(AQ1776)-LEN(SUBSTITUTE(AQ1776,".",""))=2,LEFT(AQ1776,vitri(".",AQ1776,2)-1),TRUE,LEFT(AQ1776,vitri(".",AQ1776,1)-1))</f>
        <v/>
      </c>
    </row>
    <row r="1777" spans="13:54" x14ac:dyDescent="0.25">
      <c r="M1777" s="377"/>
      <c r="BB1777" s="83" t="str">
        <f t="array" ref="BB1777">_xlfn.IFS(AQ1777="","",LEN(AQ1777)-LEN(SUBSTITUTE(AQ1777,".",""))=3,LEFT(AQ1777,vitri(".",AQ1777,3)-1),LEN(AQ1777)-LEN(SUBSTITUTE(AQ1777,".",""))=2,LEFT(AQ1777,vitri(".",AQ1777,2)-1),TRUE,LEFT(AQ1777,vitri(".",AQ1777,1)-1))</f>
        <v/>
      </c>
    </row>
    <row r="1778" spans="13:54" x14ac:dyDescent="0.25">
      <c r="M1778" s="377"/>
      <c r="BB1778" s="83" t="str">
        <f t="array" ref="BB1778">_xlfn.IFS(AQ1778="","",LEN(AQ1778)-LEN(SUBSTITUTE(AQ1778,".",""))=3,LEFT(AQ1778,vitri(".",AQ1778,3)-1),LEN(AQ1778)-LEN(SUBSTITUTE(AQ1778,".",""))=2,LEFT(AQ1778,vitri(".",AQ1778,2)-1),TRUE,LEFT(AQ1778,vitri(".",AQ1778,1)-1))</f>
        <v/>
      </c>
    </row>
    <row r="1779" spans="13:54" x14ac:dyDescent="0.25">
      <c r="M1779" s="377"/>
      <c r="BB1779" s="83" t="str">
        <f t="array" ref="BB1779">_xlfn.IFS(AQ1779="","",LEN(AQ1779)-LEN(SUBSTITUTE(AQ1779,".",""))=3,LEFT(AQ1779,vitri(".",AQ1779,3)-1),LEN(AQ1779)-LEN(SUBSTITUTE(AQ1779,".",""))=2,LEFT(AQ1779,vitri(".",AQ1779,2)-1),TRUE,LEFT(AQ1779,vitri(".",AQ1779,1)-1))</f>
        <v/>
      </c>
    </row>
    <row r="1780" spans="13:54" x14ac:dyDescent="0.25">
      <c r="M1780" s="377"/>
      <c r="BB1780" s="83" t="str">
        <f t="array" ref="BB1780">_xlfn.IFS(AQ1780="","",LEN(AQ1780)-LEN(SUBSTITUTE(AQ1780,".",""))=3,LEFT(AQ1780,vitri(".",AQ1780,3)-1),LEN(AQ1780)-LEN(SUBSTITUTE(AQ1780,".",""))=2,LEFT(AQ1780,vitri(".",AQ1780,2)-1),TRUE,LEFT(AQ1780,vitri(".",AQ1780,1)-1))</f>
        <v/>
      </c>
    </row>
    <row r="1781" spans="13:54" x14ac:dyDescent="0.25">
      <c r="M1781" s="377"/>
      <c r="BB1781" s="83" t="str">
        <f t="array" ref="BB1781">_xlfn.IFS(AQ1781="","",LEN(AQ1781)-LEN(SUBSTITUTE(AQ1781,".",""))=3,LEFT(AQ1781,vitri(".",AQ1781,3)-1),LEN(AQ1781)-LEN(SUBSTITUTE(AQ1781,".",""))=2,LEFT(AQ1781,vitri(".",AQ1781,2)-1),TRUE,LEFT(AQ1781,vitri(".",AQ1781,1)-1))</f>
        <v/>
      </c>
    </row>
    <row r="1782" spans="13:54" x14ac:dyDescent="0.25">
      <c r="M1782" s="377"/>
      <c r="BB1782" s="83" t="str">
        <f t="array" ref="BB1782">_xlfn.IFS(AQ1782="","",LEN(AQ1782)-LEN(SUBSTITUTE(AQ1782,".",""))=3,LEFT(AQ1782,vitri(".",AQ1782,3)-1),LEN(AQ1782)-LEN(SUBSTITUTE(AQ1782,".",""))=2,LEFT(AQ1782,vitri(".",AQ1782,2)-1),TRUE,LEFT(AQ1782,vitri(".",AQ1782,1)-1))</f>
        <v/>
      </c>
    </row>
    <row r="1783" spans="13:54" x14ac:dyDescent="0.25">
      <c r="M1783" s="377"/>
      <c r="BB1783" s="83" t="str">
        <f t="array" ref="BB1783">_xlfn.IFS(AQ1783="","",LEN(AQ1783)-LEN(SUBSTITUTE(AQ1783,".",""))=3,LEFT(AQ1783,vitri(".",AQ1783,3)-1),LEN(AQ1783)-LEN(SUBSTITUTE(AQ1783,".",""))=2,LEFT(AQ1783,vitri(".",AQ1783,2)-1),TRUE,LEFT(AQ1783,vitri(".",AQ1783,1)-1))</f>
        <v/>
      </c>
    </row>
    <row r="1784" spans="13:54" x14ac:dyDescent="0.25">
      <c r="M1784" s="377"/>
      <c r="BB1784" s="83" t="str">
        <f t="array" ref="BB1784">_xlfn.IFS(AQ1784="","",LEN(AQ1784)-LEN(SUBSTITUTE(AQ1784,".",""))=3,LEFT(AQ1784,vitri(".",AQ1784,3)-1),LEN(AQ1784)-LEN(SUBSTITUTE(AQ1784,".",""))=2,LEFT(AQ1784,vitri(".",AQ1784,2)-1),TRUE,LEFT(AQ1784,vitri(".",AQ1784,1)-1))</f>
        <v/>
      </c>
    </row>
    <row r="1785" spans="13:54" x14ac:dyDescent="0.25">
      <c r="M1785" s="377"/>
      <c r="BB1785" s="83" t="str">
        <f t="array" ref="BB1785">_xlfn.IFS(AQ1785="","",LEN(AQ1785)-LEN(SUBSTITUTE(AQ1785,".",""))=3,LEFT(AQ1785,vitri(".",AQ1785,3)-1),LEN(AQ1785)-LEN(SUBSTITUTE(AQ1785,".",""))=2,LEFT(AQ1785,vitri(".",AQ1785,2)-1),TRUE,LEFT(AQ1785,vitri(".",AQ1785,1)-1))</f>
        <v/>
      </c>
    </row>
    <row r="1786" spans="13:54" x14ac:dyDescent="0.25">
      <c r="M1786" s="377"/>
      <c r="BB1786" s="83" t="str">
        <f t="array" ref="BB1786">_xlfn.IFS(AQ1786="","",LEN(AQ1786)-LEN(SUBSTITUTE(AQ1786,".",""))=3,LEFT(AQ1786,vitri(".",AQ1786,3)-1),LEN(AQ1786)-LEN(SUBSTITUTE(AQ1786,".",""))=2,LEFT(AQ1786,vitri(".",AQ1786,2)-1),TRUE,LEFT(AQ1786,vitri(".",AQ1786,1)-1))</f>
        <v/>
      </c>
    </row>
    <row r="1787" spans="13:54" x14ac:dyDescent="0.25">
      <c r="M1787" s="377"/>
      <c r="BB1787" s="83" t="str">
        <f t="array" ref="BB1787">_xlfn.IFS(AQ1787="","",LEN(AQ1787)-LEN(SUBSTITUTE(AQ1787,".",""))=3,LEFT(AQ1787,vitri(".",AQ1787,3)-1),LEN(AQ1787)-LEN(SUBSTITUTE(AQ1787,".",""))=2,LEFT(AQ1787,vitri(".",AQ1787,2)-1),TRUE,LEFT(AQ1787,vitri(".",AQ1787,1)-1))</f>
        <v/>
      </c>
    </row>
    <row r="1788" spans="13:54" x14ac:dyDescent="0.25">
      <c r="M1788" s="377"/>
      <c r="BB1788" s="83" t="str">
        <f t="array" ref="BB1788">_xlfn.IFS(AQ1788="","",LEN(AQ1788)-LEN(SUBSTITUTE(AQ1788,".",""))=3,LEFT(AQ1788,vitri(".",AQ1788,3)-1),LEN(AQ1788)-LEN(SUBSTITUTE(AQ1788,".",""))=2,LEFT(AQ1788,vitri(".",AQ1788,2)-1),TRUE,LEFT(AQ1788,vitri(".",AQ1788,1)-1))</f>
        <v/>
      </c>
    </row>
    <row r="1789" spans="13:54" x14ac:dyDescent="0.25">
      <c r="M1789" s="377"/>
      <c r="BB1789" s="83" t="str">
        <f t="array" ref="BB1789">_xlfn.IFS(AQ1789="","",LEN(AQ1789)-LEN(SUBSTITUTE(AQ1789,".",""))=3,LEFT(AQ1789,vitri(".",AQ1789,3)-1),LEN(AQ1789)-LEN(SUBSTITUTE(AQ1789,".",""))=2,LEFT(AQ1789,vitri(".",AQ1789,2)-1),TRUE,LEFT(AQ1789,vitri(".",AQ1789,1)-1))</f>
        <v/>
      </c>
    </row>
    <row r="1790" spans="13:54" x14ac:dyDescent="0.25">
      <c r="M1790" s="377"/>
      <c r="BB1790" s="83" t="str">
        <f t="array" ref="BB1790">_xlfn.IFS(AQ1790="","",LEN(AQ1790)-LEN(SUBSTITUTE(AQ1790,".",""))=3,LEFT(AQ1790,vitri(".",AQ1790,3)-1),LEN(AQ1790)-LEN(SUBSTITUTE(AQ1790,".",""))=2,LEFT(AQ1790,vitri(".",AQ1790,2)-1),TRUE,LEFT(AQ1790,vitri(".",AQ1790,1)-1))</f>
        <v/>
      </c>
    </row>
    <row r="1791" spans="13:54" x14ac:dyDescent="0.25">
      <c r="M1791" s="377"/>
      <c r="BB1791" s="83" t="str">
        <f t="array" ref="BB1791">_xlfn.IFS(AQ1791="","",LEN(AQ1791)-LEN(SUBSTITUTE(AQ1791,".",""))=3,LEFT(AQ1791,vitri(".",AQ1791,3)-1),LEN(AQ1791)-LEN(SUBSTITUTE(AQ1791,".",""))=2,LEFT(AQ1791,vitri(".",AQ1791,2)-1),TRUE,LEFT(AQ1791,vitri(".",AQ1791,1)-1))</f>
        <v/>
      </c>
    </row>
    <row r="1792" spans="13:54" x14ac:dyDescent="0.25">
      <c r="M1792" s="377"/>
      <c r="BB1792" s="83" t="str">
        <f t="array" ref="BB1792">_xlfn.IFS(AQ1792="","",LEN(AQ1792)-LEN(SUBSTITUTE(AQ1792,".",""))=3,LEFT(AQ1792,vitri(".",AQ1792,3)-1),LEN(AQ1792)-LEN(SUBSTITUTE(AQ1792,".",""))=2,LEFT(AQ1792,vitri(".",AQ1792,2)-1),TRUE,LEFT(AQ1792,vitri(".",AQ1792,1)-1))</f>
        <v/>
      </c>
    </row>
    <row r="1793" spans="13:54" x14ac:dyDescent="0.25">
      <c r="M1793" s="377"/>
      <c r="BB1793" s="83" t="str">
        <f t="array" ref="BB1793">_xlfn.IFS(AQ1793="","",LEN(AQ1793)-LEN(SUBSTITUTE(AQ1793,".",""))=3,LEFT(AQ1793,vitri(".",AQ1793,3)-1),LEN(AQ1793)-LEN(SUBSTITUTE(AQ1793,".",""))=2,LEFT(AQ1793,vitri(".",AQ1793,2)-1),TRUE,LEFT(AQ1793,vitri(".",AQ1793,1)-1))</f>
        <v/>
      </c>
    </row>
    <row r="1794" spans="13:54" x14ac:dyDescent="0.25">
      <c r="M1794" s="377"/>
      <c r="BB1794" s="83" t="str">
        <f t="array" ref="BB1794">_xlfn.IFS(AQ1794="","",LEN(AQ1794)-LEN(SUBSTITUTE(AQ1794,".",""))=3,LEFT(AQ1794,vitri(".",AQ1794,3)-1),LEN(AQ1794)-LEN(SUBSTITUTE(AQ1794,".",""))=2,LEFT(AQ1794,vitri(".",AQ1794,2)-1),TRUE,LEFT(AQ1794,vitri(".",AQ1794,1)-1))</f>
        <v/>
      </c>
    </row>
    <row r="1795" spans="13:54" x14ac:dyDescent="0.25">
      <c r="M1795" s="377"/>
      <c r="BB1795" s="83" t="str">
        <f t="array" ref="BB1795">_xlfn.IFS(AQ1795="","",LEN(AQ1795)-LEN(SUBSTITUTE(AQ1795,".",""))=3,LEFT(AQ1795,vitri(".",AQ1795,3)-1),LEN(AQ1795)-LEN(SUBSTITUTE(AQ1795,".",""))=2,LEFT(AQ1795,vitri(".",AQ1795,2)-1),TRUE,LEFT(AQ1795,vitri(".",AQ1795,1)-1))</f>
        <v/>
      </c>
    </row>
    <row r="1796" spans="13:54" x14ac:dyDescent="0.25">
      <c r="M1796" s="377"/>
      <c r="BB1796" s="83" t="str">
        <f t="array" ref="BB1796">_xlfn.IFS(AQ1796="","",LEN(AQ1796)-LEN(SUBSTITUTE(AQ1796,".",""))=3,LEFT(AQ1796,vitri(".",AQ1796,3)-1),LEN(AQ1796)-LEN(SUBSTITUTE(AQ1796,".",""))=2,LEFT(AQ1796,vitri(".",AQ1796,2)-1),TRUE,LEFT(AQ1796,vitri(".",AQ1796,1)-1))</f>
        <v/>
      </c>
    </row>
    <row r="1797" spans="13:54" x14ac:dyDescent="0.25">
      <c r="M1797" s="377"/>
      <c r="BB1797" s="83" t="str">
        <f t="array" ref="BB1797">_xlfn.IFS(AQ1797="","",LEN(AQ1797)-LEN(SUBSTITUTE(AQ1797,".",""))=3,LEFT(AQ1797,vitri(".",AQ1797,3)-1),LEN(AQ1797)-LEN(SUBSTITUTE(AQ1797,".",""))=2,LEFT(AQ1797,vitri(".",AQ1797,2)-1),TRUE,LEFT(AQ1797,vitri(".",AQ1797,1)-1))</f>
        <v/>
      </c>
    </row>
    <row r="1798" spans="13:54" x14ac:dyDescent="0.25">
      <c r="M1798" s="377"/>
      <c r="BB1798" s="83" t="str">
        <f t="array" ref="BB1798">_xlfn.IFS(AQ1798="","",LEN(AQ1798)-LEN(SUBSTITUTE(AQ1798,".",""))=3,LEFT(AQ1798,vitri(".",AQ1798,3)-1),LEN(AQ1798)-LEN(SUBSTITUTE(AQ1798,".",""))=2,LEFT(AQ1798,vitri(".",AQ1798,2)-1),TRUE,LEFT(AQ1798,vitri(".",AQ1798,1)-1))</f>
        <v/>
      </c>
    </row>
    <row r="1799" spans="13:54" x14ac:dyDescent="0.25">
      <c r="M1799" s="377"/>
      <c r="BB1799" s="83" t="str">
        <f t="array" ref="BB1799">_xlfn.IFS(AQ1799="","",LEN(AQ1799)-LEN(SUBSTITUTE(AQ1799,".",""))=3,LEFT(AQ1799,vitri(".",AQ1799,3)-1),LEN(AQ1799)-LEN(SUBSTITUTE(AQ1799,".",""))=2,LEFT(AQ1799,vitri(".",AQ1799,2)-1),TRUE,LEFT(AQ1799,vitri(".",AQ1799,1)-1))</f>
        <v/>
      </c>
    </row>
    <row r="1800" spans="13:54" x14ac:dyDescent="0.25">
      <c r="M1800" s="377"/>
      <c r="BB1800" s="83" t="str">
        <f t="array" ref="BB1800">_xlfn.IFS(AQ1800="","",LEN(AQ1800)-LEN(SUBSTITUTE(AQ1800,".",""))=3,LEFT(AQ1800,vitri(".",AQ1800,3)-1),LEN(AQ1800)-LEN(SUBSTITUTE(AQ1800,".",""))=2,LEFT(AQ1800,vitri(".",AQ1800,2)-1),TRUE,LEFT(AQ1800,vitri(".",AQ1800,1)-1))</f>
        <v/>
      </c>
    </row>
    <row r="1801" spans="13:54" x14ac:dyDescent="0.25">
      <c r="M1801" s="377"/>
      <c r="BB1801" s="83" t="str">
        <f t="array" ref="BB1801">_xlfn.IFS(AQ1801="","",LEN(AQ1801)-LEN(SUBSTITUTE(AQ1801,".",""))=3,LEFT(AQ1801,vitri(".",AQ1801,3)-1),LEN(AQ1801)-LEN(SUBSTITUTE(AQ1801,".",""))=2,LEFT(AQ1801,vitri(".",AQ1801,2)-1),TRUE,LEFT(AQ1801,vitri(".",AQ1801,1)-1))</f>
        <v/>
      </c>
    </row>
    <row r="1802" spans="13:54" x14ac:dyDescent="0.25">
      <c r="M1802" s="377"/>
      <c r="BB1802" s="83" t="str">
        <f t="array" ref="BB1802">_xlfn.IFS(AQ1802="","",LEN(AQ1802)-LEN(SUBSTITUTE(AQ1802,".",""))=3,LEFT(AQ1802,vitri(".",AQ1802,3)-1),LEN(AQ1802)-LEN(SUBSTITUTE(AQ1802,".",""))=2,LEFT(AQ1802,vitri(".",AQ1802,2)-1),TRUE,LEFT(AQ1802,vitri(".",AQ1802,1)-1))</f>
        <v/>
      </c>
    </row>
    <row r="1803" spans="13:54" x14ac:dyDescent="0.25">
      <c r="M1803" s="377"/>
      <c r="BB1803" s="83" t="str">
        <f t="array" ref="BB1803">_xlfn.IFS(AQ1803="","",LEN(AQ1803)-LEN(SUBSTITUTE(AQ1803,".",""))=3,LEFT(AQ1803,vitri(".",AQ1803,3)-1),LEN(AQ1803)-LEN(SUBSTITUTE(AQ1803,".",""))=2,LEFT(AQ1803,vitri(".",AQ1803,2)-1),TRUE,LEFT(AQ1803,vitri(".",AQ1803,1)-1))</f>
        <v/>
      </c>
    </row>
    <row r="1804" spans="13:54" x14ac:dyDescent="0.25">
      <c r="M1804" s="377"/>
      <c r="BB1804" s="83" t="str">
        <f t="array" ref="BB1804">_xlfn.IFS(AQ1804="","",LEN(AQ1804)-LEN(SUBSTITUTE(AQ1804,".",""))=3,LEFT(AQ1804,vitri(".",AQ1804,3)-1),LEN(AQ1804)-LEN(SUBSTITUTE(AQ1804,".",""))=2,LEFT(AQ1804,vitri(".",AQ1804,2)-1),TRUE,LEFT(AQ1804,vitri(".",AQ1804,1)-1))</f>
        <v/>
      </c>
    </row>
    <row r="1805" spans="13:54" x14ac:dyDescent="0.25">
      <c r="M1805" s="377"/>
      <c r="BB1805" s="83" t="str">
        <f t="array" ref="BB1805">_xlfn.IFS(AQ1805="","",LEN(AQ1805)-LEN(SUBSTITUTE(AQ1805,".",""))=3,LEFT(AQ1805,vitri(".",AQ1805,3)-1),LEN(AQ1805)-LEN(SUBSTITUTE(AQ1805,".",""))=2,LEFT(AQ1805,vitri(".",AQ1805,2)-1),TRUE,LEFT(AQ1805,vitri(".",AQ1805,1)-1))</f>
        <v/>
      </c>
    </row>
    <row r="1806" spans="13:54" x14ac:dyDescent="0.25">
      <c r="M1806" s="377"/>
      <c r="BB1806" s="83" t="str">
        <f t="array" ref="BB1806">_xlfn.IFS(AQ1806="","",LEN(AQ1806)-LEN(SUBSTITUTE(AQ1806,".",""))=3,LEFT(AQ1806,vitri(".",AQ1806,3)-1),LEN(AQ1806)-LEN(SUBSTITUTE(AQ1806,".",""))=2,LEFT(AQ1806,vitri(".",AQ1806,2)-1),TRUE,LEFT(AQ1806,vitri(".",AQ1806,1)-1))</f>
        <v/>
      </c>
    </row>
    <row r="1807" spans="13:54" x14ac:dyDescent="0.25">
      <c r="M1807" s="377"/>
      <c r="BB1807" s="83" t="str">
        <f t="array" ref="BB1807">_xlfn.IFS(AQ1807="","",LEN(AQ1807)-LEN(SUBSTITUTE(AQ1807,".",""))=3,LEFT(AQ1807,vitri(".",AQ1807,3)-1),LEN(AQ1807)-LEN(SUBSTITUTE(AQ1807,".",""))=2,LEFT(AQ1807,vitri(".",AQ1807,2)-1),TRUE,LEFT(AQ1807,vitri(".",AQ1807,1)-1))</f>
        <v/>
      </c>
    </row>
    <row r="1808" spans="13:54" x14ac:dyDescent="0.25">
      <c r="M1808" s="377"/>
      <c r="BB1808" s="83" t="str">
        <f t="array" ref="BB1808">_xlfn.IFS(AQ1808="","",LEN(AQ1808)-LEN(SUBSTITUTE(AQ1808,".",""))=3,LEFT(AQ1808,vitri(".",AQ1808,3)-1),LEN(AQ1808)-LEN(SUBSTITUTE(AQ1808,".",""))=2,LEFT(AQ1808,vitri(".",AQ1808,2)-1),TRUE,LEFT(AQ1808,vitri(".",AQ1808,1)-1))</f>
        <v/>
      </c>
    </row>
    <row r="1809" spans="13:54" x14ac:dyDescent="0.25">
      <c r="M1809" s="377"/>
      <c r="BB1809" s="83" t="str">
        <f t="array" ref="BB1809">_xlfn.IFS(AQ1809="","",LEN(AQ1809)-LEN(SUBSTITUTE(AQ1809,".",""))=3,LEFT(AQ1809,vitri(".",AQ1809,3)-1),LEN(AQ1809)-LEN(SUBSTITUTE(AQ1809,".",""))=2,LEFT(AQ1809,vitri(".",AQ1809,2)-1),TRUE,LEFT(AQ1809,vitri(".",AQ1809,1)-1))</f>
        <v/>
      </c>
    </row>
    <row r="1810" spans="13:54" x14ac:dyDescent="0.25">
      <c r="M1810" s="377"/>
      <c r="BB1810" s="83" t="str">
        <f t="array" ref="BB1810">_xlfn.IFS(AQ1810="","",LEN(AQ1810)-LEN(SUBSTITUTE(AQ1810,".",""))=3,LEFT(AQ1810,vitri(".",AQ1810,3)-1),LEN(AQ1810)-LEN(SUBSTITUTE(AQ1810,".",""))=2,LEFT(AQ1810,vitri(".",AQ1810,2)-1),TRUE,LEFT(AQ1810,vitri(".",AQ1810,1)-1))</f>
        <v/>
      </c>
    </row>
    <row r="1811" spans="13:54" x14ac:dyDescent="0.25">
      <c r="M1811" s="377"/>
      <c r="BB1811" s="83" t="str">
        <f t="array" ref="BB1811">_xlfn.IFS(AQ1811="","",LEN(AQ1811)-LEN(SUBSTITUTE(AQ1811,".",""))=3,LEFT(AQ1811,vitri(".",AQ1811,3)-1),LEN(AQ1811)-LEN(SUBSTITUTE(AQ1811,".",""))=2,LEFT(AQ1811,vitri(".",AQ1811,2)-1),TRUE,LEFT(AQ1811,vitri(".",AQ1811,1)-1))</f>
        <v/>
      </c>
    </row>
    <row r="1812" spans="13:54" x14ac:dyDescent="0.25">
      <c r="M1812" s="377"/>
      <c r="BB1812" s="83" t="str">
        <f t="array" ref="BB1812">_xlfn.IFS(AQ1812="","",LEN(AQ1812)-LEN(SUBSTITUTE(AQ1812,".",""))=3,LEFT(AQ1812,vitri(".",AQ1812,3)-1),LEN(AQ1812)-LEN(SUBSTITUTE(AQ1812,".",""))=2,LEFT(AQ1812,vitri(".",AQ1812,2)-1),TRUE,LEFT(AQ1812,vitri(".",AQ1812,1)-1))</f>
        <v/>
      </c>
    </row>
    <row r="1813" spans="13:54" x14ac:dyDescent="0.25">
      <c r="M1813" s="377"/>
      <c r="BB1813" s="83" t="str">
        <f t="array" ref="BB1813">_xlfn.IFS(AQ1813="","",LEN(AQ1813)-LEN(SUBSTITUTE(AQ1813,".",""))=3,LEFT(AQ1813,vitri(".",AQ1813,3)-1),LEN(AQ1813)-LEN(SUBSTITUTE(AQ1813,".",""))=2,LEFT(AQ1813,vitri(".",AQ1813,2)-1),TRUE,LEFT(AQ1813,vitri(".",AQ1813,1)-1))</f>
        <v/>
      </c>
    </row>
    <row r="1814" spans="13:54" x14ac:dyDescent="0.25">
      <c r="M1814" s="377"/>
      <c r="BB1814" s="83" t="str">
        <f t="array" ref="BB1814">_xlfn.IFS(AQ1814="","",LEN(AQ1814)-LEN(SUBSTITUTE(AQ1814,".",""))=3,LEFT(AQ1814,vitri(".",AQ1814,3)-1),LEN(AQ1814)-LEN(SUBSTITUTE(AQ1814,".",""))=2,LEFT(AQ1814,vitri(".",AQ1814,2)-1),TRUE,LEFT(AQ1814,vitri(".",AQ1814,1)-1))</f>
        <v/>
      </c>
    </row>
    <row r="1815" spans="13:54" x14ac:dyDescent="0.25">
      <c r="M1815" s="377"/>
      <c r="BB1815" s="83" t="str">
        <f t="array" ref="BB1815">_xlfn.IFS(AQ1815="","",LEN(AQ1815)-LEN(SUBSTITUTE(AQ1815,".",""))=3,LEFT(AQ1815,vitri(".",AQ1815,3)-1),LEN(AQ1815)-LEN(SUBSTITUTE(AQ1815,".",""))=2,LEFT(AQ1815,vitri(".",AQ1815,2)-1),TRUE,LEFT(AQ1815,vitri(".",AQ1815,1)-1))</f>
        <v/>
      </c>
    </row>
    <row r="1816" spans="13:54" x14ac:dyDescent="0.25">
      <c r="M1816" s="377"/>
      <c r="BB1816" s="83" t="str">
        <f t="array" ref="BB1816">_xlfn.IFS(AQ1816="","",LEN(AQ1816)-LEN(SUBSTITUTE(AQ1816,".",""))=3,LEFT(AQ1816,vitri(".",AQ1816,3)-1),LEN(AQ1816)-LEN(SUBSTITUTE(AQ1816,".",""))=2,LEFT(AQ1816,vitri(".",AQ1816,2)-1),TRUE,LEFT(AQ1816,vitri(".",AQ1816,1)-1))</f>
        <v/>
      </c>
    </row>
    <row r="1817" spans="13:54" x14ac:dyDescent="0.25">
      <c r="M1817" s="377"/>
      <c r="BB1817" s="83" t="str">
        <f t="array" ref="BB1817">_xlfn.IFS(AQ1817="","",LEN(AQ1817)-LEN(SUBSTITUTE(AQ1817,".",""))=3,LEFT(AQ1817,vitri(".",AQ1817,3)-1),LEN(AQ1817)-LEN(SUBSTITUTE(AQ1817,".",""))=2,LEFT(AQ1817,vitri(".",AQ1817,2)-1),TRUE,LEFT(AQ1817,vitri(".",AQ1817,1)-1))</f>
        <v/>
      </c>
    </row>
    <row r="1818" spans="13:54" x14ac:dyDescent="0.25">
      <c r="M1818" s="377"/>
      <c r="BB1818" s="83" t="str">
        <f t="array" ref="BB1818">_xlfn.IFS(AQ1818="","",LEN(AQ1818)-LEN(SUBSTITUTE(AQ1818,".",""))=3,LEFT(AQ1818,vitri(".",AQ1818,3)-1),LEN(AQ1818)-LEN(SUBSTITUTE(AQ1818,".",""))=2,LEFT(AQ1818,vitri(".",AQ1818,2)-1),TRUE,LEFT(AQ1818,vitri(".",AQ1818,1)-1))</f>
        <v/>
      </c>
    </row>
    <row r="1819" spans="13:54" x14ac:dyDescent="0.25">
      <c r="M1819" s="377"/>
      <c r="BB1819" s="83" t="str">
        <f t="array" ref="BB1819">_xlfn.IFS(AQ1819="","",LEN(AQ1819)-LEN(SUBSTITUTE(AQ1819,".",""))=3,LEFT(AQ1819,vitri(".",AQ1819,3)-1),LEN(AQ1819)-LEN(SUBSTITUTE(AQ1819,".",""))=2,LEFT(AQ1819,vitri(".",AQ1819,2)-1),TRUE,LEFT(AQ1819,vitri(".",AQ1819,1)-1))</f>
        <v/>
      </c>
    </row>
    <row r="1820" spans="13:54" x14ac:dyDescent="0.25">
      <c r="M1820" s="377"/>
      <c r="BB1820" s="83" t="str">
        <f t="array" ref="BB1820">_xlfn.IFS(AQ1820="","",LEN(AQ1820)-LEN(SUBSTITUTE(AQ1820,".",""))=3,LEFT(AQ1820,vitri(".",AQ1820,3)-1),LEN(AQ1820)-LEN(SUBSTITUTE(AQ1820,".",""))=2,LEFT(AQ1820,vitri(".",AQ1820,2)-1),TRUE,LEFT(AQ1820,vitri(".",AQ1820,1)-1))</f>
        <v/>
      </c>
    </row>
    <row r="1821" spans="13:54" x14ac:dyDescent="0.25">
      <c r="M1821" s="377"/>
      <c r="BB1821" s="83" t="str">
        <f t="array" ref="BB1821">_xlfn.IFS(AQ1821="","",LEN(AQ1821)-LEN(SUBSTITUTE(AQ1821,".",""))=3,LEFT(AQ1821,vitri(".",AQ1821,3)-1),LEN(AQ1821)-LEN(SUBSTITUTE(AQ1821,".",""))=2,LEFT(AQ1821,vitri(".",AQ1821,2)-1),TRUE,LEFT(AQ1821,vitri(".",AQ1821,1)-1))</f>
        <v/>
      </c>
    </row>
    <row r="1822" spans="13:54" x14ac:dyDescent="0.25">
      <c r="M1822" s="377"/>
      <c r="BB1822" s="83" t="str">
        <f t="array" ref="BB1822">_xlfn.IFS(AQ1822="","",LEN(AQ1822)-LEN(SUBSTITUTE(AQ1822,".",""))=3,LEFT(AQ1822,vitri(".",AQ1822,3)-1),LEN(AQ1822)-LEN(SUBSTITUTE(AQ1822,".",""))=2,LEFT(AQ1822,vitri(".",AQ1822,2)-1),TRUE,LEFT(AQ1822,vitri(".",AQ1822,1)-1))</f>
        <v/>
      </c>
    </row>
    <row r="1823" spans="13:54" x14ac:dyDescent="0.25">
      <c r="M1823" s="377"/>
      <c r="BB1823" s="83" t="str">
        <f t="array" ref="BB1823">_xlfn.IFS(AQ1823="","",LEN(AQ1823)-LEN(SUBSTITUTE(AQ1823,".",""))=3,LEFT(AQ1823,vitri(".",AQ1823,3)-1),LEN(AQ1823)-LEN(SUBSTITUTE(AQ1823,".",""))=2,LEFT(AQ1823,vitri(".",AQ1823,2)-1),TRUE,LEFT(AQ1823,vitri(".",AQ1823,1)-1))</f>
        <v/>
      </c>
    </row>
    <row r="1824" spans="13:54" x14ac:dyDescent="0.25">
      <c r="M1824" s="377"/>
      <c r="BB1824" s="83" t="str">
        <f t="array" ref="BB1824">_xlfn.IFS(AQ1824="","",LEN(AQ1824)-LEN(SUBSTITUTE(AQ1824,".",""))=3,LEFT(AQ1824,vitri(".",AQ1824,3)-1),LEN(AQ1824)-LEN(SUBSTITUTE(AQ1824,".",""))=2,LEFT(AQ1824,vitri(".",AQ1824,2)-1),TRUE,LEFT(AQ1824,vitri(".",AQ1824,1)-1))</f>
        <v/>
      </c>
    </row>
    <row r="1825" spans="13:54" x14ac:dyDescent="0.25">
      <c r="M1825" s="377"/>
      <c r="BB1825" s="83" t="str">
        <f t="array" ref="BB1825">_xlfn.IFS(AQ1825="","",LEN(AQ1825)-LEN(SUBSTITUTE(AQ1825,".",""))=3,LEFT(AQ1825,vitri(".",AQ1825,3)-1),LEN(AQ1825)-LEN(SUBSTITUTE(AQ1825,".",""))=2,LEFT(AQ1825,vitri(".",AQ1825,2)-1),TRUE,LEFT(AQ1825,vitri(".",AQ1825,1)-1))</f>
        <v/>
      </c>
    </row>
    <row r="1826" spans="13:54" x14ac:dyDescent="0.25">
      <c r="M1826" s="377"/>
      <c r="BB1826" s="83" t="str">
        <f t="array" ref="BB1826">_xlfn.IFS(AQ1826="","",LEN(AQ1826)-LEN(SUBSTITUTE(AQ1826,".",""))=3,LEFT(AQ1826,vitri(".",AQ1826,3)-1),LEN(AQ1826)-LEN(SUBSTITUTE(AQ1826,".",""))=2,LEFT(AQ1826,vitri(".",AQ1826,2)-1),TRUE,LEFT(AQ1826,vitri(".",AQ1826,1)-1))</f>
        <v/>
      </c>
    </row>
    <row r="1827" spans="13:54" x14ac:dyDescent="0.25">
      <c r="M1827" s="377"/>
      <c r="BB1827" s="83" t="str">
        <f t="array" ref="BB1827">_xlfn.IFS(AQ1827="","",LEN(AQ1827)-LEN(SUBSTITUTE(AQ1827,".",""))=3,LEFT(AQ1827,vitri(".",AQ1827,3)-1),LEN(AQ1827)-LEN(SUBSTITUTE(AQ1827,".",""))=2,LEFT(AQ1827,vitri(".",AQ1827,2)-1),TRUE,LEFT(AQ1827,vitri(".",AQ1827,1)-1))</f>
        <v/>
      </c>
    </row>
    <row r="1828" spans="13:54" x14ac:dyDescent="0.25">
      <c r="M1828" s="377"/>
      <c r="BB1828" s="83" t="str">
        <f t="array" ref="BB1828">_xlfn.IFS(AQ1828="","",LEN(AQ1828)-LEN(SUBSTITUTE(AQ1828,".",""))=3,LEFT(AQ1828,vitri(".",AQ1828,3)-1),LEN(AQ1828)-LEN(SUBSTITUTE(AQ1828,".",""))=2,LEFT(AQ1828,vitri(".",AQ1828,2)-1),TRUE,LEFT(AQ1828,vitri(".",AQ1828,1)-1))</f>
        <v/>
      </c>
    </row>
    <row r="1829" spans="13:54" x14ac:dyDescent="0.25">
      <c r="M1829" s="377"/>
      <c r="BB1829" s="83" t="str">
        <f t="array" ref="BB1829">_xlfn.IFS(AQ1829="","",LEN(AQ1829)-LEN(SUBSTITUTE(AQ1829,".",""))=3,LEFT(AQ1829,vitri(".",AQ1829,3)-1),LEN(AQ1829)-LEN(SUBSTITUTE(AQ1829,".",""))=2,LEFT(AQ1829,vitri(".",AQ1829,2)-1),TRUE,LEFT(AQ1829,vitri(".",AQ1829,1)-1))</f>
        <v/>
      </c>
    </row>
    <row r="1830" spans="13:54" x14ac:dyDescent="0.25">
      <c r="M1830" s="377"/>
      <c r="BB1830" s="83" t="str">
        <f t="array" ref="BB1830">_xlfn.IFS(AQ1830="","",LEN(AQ1830)-LEN(SUBSTITUTE(AQ1830,".",""))=3,LEFT(AQ1830,vitri(".",AQ1830,3)-1),LEN(AQ1830)-LEN(SUBSTITUTE(AQ1830,".",""))=2,LEFT(AQ1830,vitri(".",AQ1830,2)-1),TRUE,LEFT(AQ1830,vitri(".",AQ1830,1)-1))</f>
        <v/>
      </c>
    </row>
    <row r="1831" spans="13:54" x14ac:dyDescent="0.25">
      <c r="M1831" s="377"/>
      <c r="BB1831" s="83" t="str">
        <f t="array" ref="BB1831">_xlfn.IFS(AQ1831="","",LEN(AQ1831)-LEN(SUBSTITUTE(AQ1831,".",""))=3,LEFT(AQ1831,vitri(".",AQ1831,3)-1),LEN(AQ1831)-LEN(SUBSTITUTE(AQ1831,".",""))=2,LEFT(AQ1831,vitri(".",AQ1831,2)-1),TRUE,LEFT(AQ1831,vitri(".",AQ1831,1)-1))</f>
        <v/>
      </c>
    </row>
    <row r="1832" spans="13:54" x14ac:dyDescent="0.25">
      <c r="M1832" s="377"/>
      <c r="BB1832" s="83" t="str">
        <f t="array" ref="BB1832">_xlfn.IFS(AQ1832="","",LEN(AQ1832)-LEN(SUBSTITUTE(AQ1832,".",""))=3,LEFT(AQ1832,vitri(".",AQ1832,3)-1),LEN(AQ1832)-LEN(SUBSTITUTE(AQ1832,".",""))=2,LEFT(AQ1832,vitri(".",AQ1832,2)-1),TRUE,LEFT(AQ1832,vitri(".",AQ1832,1)-1))</f>
        <v/>
      </c>
    </row>
    <row r="1833" spans="13:54" x14ac:dyDescent="0.25">
      <c r="M1833" s="377"/>
      <c r="BB1833" s="83" t="str">
        <f t="array" ref="BB1833">_xlfn.IFS(AQ1833="","",LEN(AQ1833)-LEN(SUBSTITUTE(AQ1833,".",""))=3,LEFT(AQ1833,vitri(".",AQ1833,3)-1),LEN(AQ1833)-LEN(SUBSTITUTE(AQ1833,".",""))=2,LEFT(AQ1833,vitri(".",AQ1833,2)-1),TRUE,LEFT(AQ1833,vitri(".",AQ1833,1)-1))</f>
        <v/>
      </c>
    </row>
    <row r="1834" spans="13:54" x14ac:dyDescent="0.25">
      <c r="M1834" s="377"/>
      <c r="BB1834" s="83" t="str">
        <f t="array" ref="BB1834">_xlfn.IFS(AQ1834="","",LEN(AQ1834)-LEN(SUBSTITUTE(AQ1834,".",""))=3,LEFT(AQ1834,vitri(".",AQ1834,3)-1),LEN(AQ1834)-LEN(SUBSTITUTE(AQ1834,".",""))=2,LEFT(AQ1834,vitri(".",AQ1834,2)-1),TRUE,LEFT(AQ1834,vitri(".",AQ1834,1)-1))</f>
        <v/>
      </c>
    </row>
    <row r="1835" spans="13:54" x14ac:dyDescent="0.25">
      <c r="M1835" s="377"/>
      <c r="BB1835" s="83" t="str">
        <f t="array" ref="BB1835">_xlfn.IFS(AQ1835="","",LEN(AQ1835)-LEN(SUBSTITUTE(AQ1835,".",""))=3,LEFT(AQ1835,vitri(".",AQ1835,3)-1),LEN(AQ1835)-LEN(SUBSTITUTE(AQ1835,".",""))=2,LEFT(AQ1835,vitri(".",AQ1835,2)-1),TRUE,LEFT(AQ1835,vitri(".",AQ1835,1)-1))</f>
        <v/>
      </c>
    </row>
    <row r="1836" spans="13:54" x14ac:dyDescent="0.25">
      <c r="M1836" s="377"/>
      <c r="BB1836" s="83" t="str">
        <f t="array" ref="BB1836">_xlfn.IFS(AQ1836="","",LEN(AQ1836)-LEN(SUBSTITUTE(AQ1836,".",""))=3,LEFT(AQ1836,vitri(".",AQ1836,3)-1),LEN(AQ1836)-LEN(SUBSTITUTE(AQ1836,".",""))=2,LEFT(AQ1836,vitri(".",AQ1836,2)-1),TRUE,LEFT(AQ1836,vitri(".",AQ1836,1)-1))</f>
        <v/>
      </c>
    </row>
    <row r="1837" spans="13:54" x14ac:dyDescent="0.25">
      <c r="M1837" s="377"/>
      <c r="BB1837" s="83" t="str">
        <f t="array" ref="BB1837">_xlfn.IFS(AQ1837="","",LEN(AQ1837)-LEN(SUBSTITUTE(AQ1837,".",""))=3,LEFT(AQ1837,vitri(".",AQ1837,3)-1),LEN(AQ1837)-LEN(SUBSTITUTE(AQ1837,".",""))=2,LEFT(AQ1837,vitri(".",AQ1837,2)-1),TRUE,LEFT(AQ1837,vitri(".",AQ1837,1)-1))</f>
        <v/>
      </c>
    </row>
    <row r="1838" spans="13:54" x14ac:dyDescent="0.25">
      <c r="M1838" s="377"/>
      <c r="BB1838" s="83" t="str">
        <f t="array" ref="BB1838">_xlfn.IFS(AQ1838="","",LEN(AQ1838)-LEN(SUBSTITUTE(AQ1838,".",""))=3,LEFT(AQ1838,vitri(".",AQ1838,3)-1),LEN(AQ1838)-LEN(SUBSTITUTE(AQ1838,".",""))=2,LEFT(AQ1838,vitri(".",AQ1838,2)-1),TRUE,LEFT(AQ1838,vitri(".",AQ1838,1)-1))</f>
        <v/>
      </c>
    </row>
    <row r="1839" spans="13:54" x14ac:dyDescent="0.25">
      <c r="M1839" s="377"/>
      <c r="BB1839" s="83" t="str">
        <f t="array" ref="BB1839">_xlfn.IFS(AQ1839="","",LEN(AQ1839)-LEN(SUBSTITUTE(AQ1839,".",""))=3,LEFT(AQ1839,vitri(".",AQ1839,3)-1),LEN(AQ1839)-LEN(SUBSTITUTE(AQ1839,".",""))=2,LEFT(AQ1839,vitri(".",AQ1839,2)-1),TRUE,LEFT(AQ1839,vitri(".",AQ1839,1)-1))</f>
        <v/>
      </c>
    </row>
    <row r="1840" spans="13:54" x14ac:dyDescent="0.25">
      <c r="M1840" s="377"/>
      <c r="BB1840" s="83" t="str">
        <f t="array" ref="BB1840">_xlfn.IFS(AQ1840="","",LEN(AQ1840)-LEN(SUBSTITUTE(AQ1840,".",""))=3,LEFT(AQ1840,vitri(".",AQ1840,3)-1),LEN(AQ1840)-LEN(SUBSTITUTE(AQ1840,".",""))=2,LEFT(AQ1840,vitri(".",AQ1840,2)-1),TRUE,LEFT(AQ1840,vitri(".",AQ1840,1)-1))</f>
        <v/>
      </c>
    </row>
    <row r="1841" spans="13:54" x14ac:dyDescent="0.25">
      <c r="M1841" s="377"/>
      <c r="BB1841" s="83" t="str">
        <f t="array" ref="BB1841">_xlfn.IFS(AQ1841="","",LEN(AQ1841)-LEN(SUBSTITUTE(AQ1841,".",""))=3,LEFT(AQ1841,vitri(".",AQ1841,3)-1),LEN(AQ1841)-LEN(SUBSTITUTE(AQ1841,".",""))=2,LEFT(AQ1841,vitri(".",AQ1841,2)-1),TRUE,LEFT(AQ1841,vitri(".",AQ1841,1)-1))</f>
        <v/>
      </c>
    </row>
    <row r="1842" spans="13:54" x14ac:dyDescent="0.25">
      <c r="M1842" s="377"/>
      <c r="BB1842" s="83" t="str">
        <f t="array" ref="BB1842">_xlfn.IFS(AQ1842="","",LEN(AQ1842)-LEN(SUBSTITUTE(AQ1842,".",""))=3,LEFT(AQ1842,vitri(".",AQ1842,3)-1),LEN(AQ1842)-LEN(SUBSTITUTE(AQ1842,".",""))=2,LEFT(AQ1842,vitri(".",AQ1842,2)-1),TRUE,LEFT(AQ1842,vitri(".",AQ1842,1)-1))</f>
        <v/>
      </c>
    </row>
    <row r="1843" spans="13:54" x14ac:dyDescent="0.25">
      <c r="M1843" s="377"/>
      <c r="BB1843" s="83" t="str">
        <f t="array" ref="BB1843">_xlfn.IFS(AQ1843="","",LEN(AQ1843)-LEN(SUBSTITUTE(AQ1843,".",""))=3,LEFT(AQ1843,vitri(".",AQ1843,3)-1),LEN(AQ1843)-LEN(SUBSTITUTE(AQ1843,".",""))=2,LEFT(AQ1843,vitri(".",AQ1843,2)-1),TRUE,LEFT(AQ1843,vitri(".",AQ1843,1)-1))</f>
        <v/>
      </c>
    </row>
    <row r="1844" spans="13:54" x14ac:dyDescent="0.25">
      <c r="M1844" s="377"/>
      <c r="BB1844" s="83" t="str">
        <f t="array" ref="BB1844">_xlfn.IFS(AQ1844="","",LEN(AQ1844)-LEN(SUBSTITUTE(AQ1844,".",""))=3,LEFT(AQ1844,vitri(".",AQ1844,3)-1),LEN(AQ1844)-LEN(SUBSTITUTE(AQ1844,".",""))=2,LEFT(AQ1844,vitri(".",AQ1844,2)-1),TRUE,LEFT(AQ1844,vitri(".",AQ1844,1)-1))</f>
        <v/>
      </c>
    </row>
    <row r="1845" spans="13:54" x14ac:dyDescent="0.25">
      <c r="M1845" s="377"/>
      <c r="BB1845" s="83" t="str">
        <f t="array" ref="BB1845">_xlfn.IFS(AQ1845="","",LEN(AQ1845)-LEN(SUBSTITUTE(AQ1845,".",""))=3,LEFT(AQ1845,vitri(".",AQ1845,3)-1),LEN(AQ1845)-LEN(SUBSTITUTE(AQ1845,".",""))=2,LEFT(AQ1845,vitri(".",AQ1845,2)-1),TRUE,LEFT(AQ1845,vitri(".",AQ1845,1)-1))</f>
        <v/>
      </c>
    </row>
    <row r="1846" spans="13:54" x14ac:dyDescent="0.25">
      <c r="M1846" s="377"/>
      <c r="BB1846" s="83" t="str">
        <f t="array" ref="BB1846">_xlfn.IFS(AQ1846="","",LEN(AQ1846)-LEN(SUBSTITUTE(AQ1846,".",""))=3,LEFT(AQ1846,vitri(".",AQ1846,3)-1),LEN(AQ1846)-LEN(SUBSTITUTE(AQ1846,".",""))=2,LEFT(AQ1846,vitri(".",AQ1846,2)-1),TRUE,LEFT(AQ1846,vitri(".",AQ1846,1)-1))</f>
        <v/>
      </c>
    </row>
    <row r="1847" spans="13:54" x14ac:dyDescent="0.25">
      <c r="M1847" s="377"/>
      <c r="BB1847" s="83" t="str">
        <f t="array" ref="BB1847">_xlfn.IFS(AQ1847="","",LEN(AQ1847)-LEN(SUBSTITUTE(AQ1847,".",""))=3,LEFT(AQ1847,vitri(".",AQ1847,3)-1),LEN(AQ1847)-LEN(SUBSTITUTE(AQ1847,".",""))=2,LEFT(AQ1847,vitri(".",AQ1847,2)-1),TRUE,LEFT(AQ1847,vitri(".",AQ1847,1)-1))</f>
        <v/>
      </c>
    </row>
    <row r="1848" spans="13:54" x14ac:dyDescent="0.25">
      <c r="M1848" s="377"/>
      <c r="BB1848" s="83" t="str">
        <f t="array" ref="BB1848">_xlfn.IFS(AQ1848="","",LEN(AQ1848)-LEN(SUBSTITUTE(AQ1848,".",""))=3,LEFT(AQ1848,vitri(".",AQ1848,3)-1),LEN(AQ1848)-LEN(SUBSTITUTE(AQ1848,".",""))=2,LEFT(AQ1848,vitri(".",AQ1848,2)-1),TRUE,LEFT(AQ1848,vitri(".",AQ1848,1)-1))</f>
        <v/>
      </c>
    </row>
    <row r="1849" spans="13:54" x14ac:dyDescent="0.25">
      <c r="M1849" s="377"/>
      <c r="BB1849" s="83" t="str">
        <f t="array" ref="BB1849">_xlfn.IFS(AQ1849="","",LEN(AQ1849)-LEN(SUBSTITUTE(AQ1849,".",""))=3,LEFT(AQ1849,vitri(".",AQ1849,3)-1),LEN(AQ1849)-LEN(SUBSTITUTE(AQ1849,".",""))=2,LEFT(AQ1849,vitri(".",AQ1849,2)-1),TRUE,LEFT(AQ1849,vitri(".",AQ1849,1)-1))</f>
        <v/>
      </c>
    </row>
    <row r="1850" spans="13:54" x14ac:dyDescent="0.25">
      <c r="M1850" s="377"/>
      <c r="BB1850" s="83" t="str">
        <f t="array" ref="BB1850">_xlfn.IFS(AQ1850="","",LEN(AQ1850)-LEN(SUBSTITUTE(AQ1850,".",""))=3,LEFT(AQ1850,vitri(".",AQ1850,3)-1),LEN(AQ1850)-LEN(SUBSTITUTE(AQ1850,".",""))=2,LEFT(AQ1850,vitri(".",AQ1850,2)-1),TRUE,LEFT(AQ1850,vitri(".",AQ1850,1)-1))</f>
        <v/>
      </c>
    </row>
    <row r="1851" spans="13:54" x14ac:dyDescent="0.25">
      <c r="M1851" s="377"/>
      <c r="BB1851" s="83" t="str">
        <f t="array" ref="BB1851">_xlfn.IFS(AQ1851="","",LEN(AQ1851)-LEN(SUBSTITUTE(AQ1851,".",""))=3,LEFT(AQ1851,vitri(".",AQ1851,3)-1),LEN(AQ1851)-LEN(SUBSTITUTE(AQ1851,".",""))=2,LEFT(AQ1851,vitri(".",AQ1851,2)-1),TRUE,LEFT(AQ1851,vitri(".",AQ1851,1)-1))</f>
        <v/>
      </c>
    </row>
    <row r="1852" spans="13:54" x14ac:dyDescent="0.25">
      <c r="M1852" s="377"/>
      <c r="BB1852" s="83" t="str">
        <f t="array" ref="BB1852">_xlfn.IFS(AQ1852="","",LEN(AQ1852)-LEN(SUBSTITUTE(AQ1852,".",""))=3,LEFT(AQ1852,vitri(".",AQ1852,3)-1),LEN(AQ1852)-LEN(SUBSTITUTE(AQ1852,".",""))=2,LEFT(AQ1852,vitri(".",AQ1852,2)-1),TRUE,LEFT(AQ1852,vitri(".",AQ1852,1)-1))</f>
        <v/>
      </c>
    </row>
    <row r="1853" spans="13:54" x14ac:dyDescent="0.25">
      <c r="M1853" s="377"/>
      <c r="BB1853" s="83" t="str">
        <f t="array" ref="BB1853">_xlfn.IFS(AQ1853="","",LEN(AQ1853)-LEN(SUBSTITUTE(AQ1853,".",""))=3,LEFT(AQ1853,vitri(".",AQ1853,3)-1),LEN(AQ1853)-LEN(SUBSTITUTE(AQ1853,".",""))=2,LEFT(AQ1853,vitri(".",AQ1853,2)-1),TRUE,LEFT(AQ1853,vitri(".",AQ1853,1)-1))</f>
        <v/>
      </c>
    </row>
    <row r="1854" spans="13:54" x14ac:dyDescent="0.25">
      <c r="M1854" s="377"/>
      <c r="BB1854" s="83" t="str">
        <f t="array" ref="BB1854">_xlfn.IFS(AQ1854="","",LEN(AQ1854)-LEN(SUBSTITUTE(AQ1854,".",""))=3,LEFT(AQ1854,vitri(".",AQ1854,3)-1),LEN(AQ1854)-LEN(SUBSTITUTE(AQ1854,".",""))=2,LEFT(AQ1854,vitri(".",AQ1854,2)-1),TRUE,LEFT(AQ1854,vitri(".",AQ1854,1)-1))</f>
        <v/>
      </c>
    </row>
    <row r="1855" spans="13:54" x14ac:dyDescent="0.25">
      <c r="M1855" s="377"/>
      <c r="BB1855" s="83" t="str">
        <f t="array" ref="BB1855">_xlfn.IFS(AQ1855="","",LEN(AQ1855)-LEN(SUBSTITUTE(AQ1855,".",""))=3,LEFT(AQ1855,vitri(".",AQ1855,3)-1),LEN(AQ1855)-LEN(SUBSTITUTE(AQ1855,".",""))=2,LEFT(AQ1855,vitri(".",AQ1855,2)-1),TRUE,LEFT(AQ1855,vitri(".",AQ1855,1)-1))</f>
        <v/>
      </c>
    </row>
    <row r="1856" spans="13:54" x14ac:dyDescent="0.25">
      <c r="M1856" s="377"/>
      <c r="BB1856" s="83" t="str">
        <f t="array" ref="BB1856">_xlfn.IFS(AQ1856="","",LEN(AQ1856)-LEN(SUBSTITUTE(AQ1856,".",""))=3,LEFT(AQ1856,vitri(".",AQ1856,3)-1),LEN(AQ1856)-LEN(SUBSTITUTE(AQ1856,".",""))=2,LEFT(AQ1856,vitri(".",AQ1856,2)-1),TRUE,LEFT(AQ1856,vitri(".",AQ1856,1)-1))</f>
        <v/>
      </c>
    </row>
    <row r="1857" spans="13:54" x14ac:dyDescent="0.25">
      <c r="M1857" s="377"/>
      <c r="BB1857" s="83" t="str">
        <f t="array" ref="BB1857">_xlfn.IFS(AQ1857="","",LEN(AQ1857)-LEN(SUBSTITUTE(AQ1857,".",""))=3,LEFT(AQ1857,vitri(".",AQ1857,3)-1),LEN(AQ1857)-LEN(SUBSTITUTE(AQ1857,".",""))=2,LEFT(AQ1857,vitri(".",AQ1857,2)-1),TRUE,LEFT(AQ1857,vitri(".",AQ1857,1)-1))</f>
        <v/>
      </c>
    </row>
    <row r="1858" spans="13:54" x14ac:dyDescent="0.25">
      <c r="M1858" s="377"/>
      <c r="BB1858" s="83" t="str">
        <f t="array" ref="BB1858">_xlfn.IFS(AQ1858="","",LEN(AQ1858)-LEN(SUBSTITUTE(AQ1858,".",""))=3,LEFT(AQ1858,vitri(".",AQ1858,3)-1),LEN(AQ1858)-LEN(SUBSTITUTE(AQ1858,".",""))=2,LEFT(AQ1858,vitri(".",AQ1858,2)-1),TRUE,LEFT(AQ1858,vitri(".",AQ1858,1)-1))</f>
        <v/>
      </c>
    </row>
    <row r="1859" spans="13:54" x14ac:dyDescent="0.25">
      <c r="M1859" s="377"/>
      <c r="BB1859" s="83" t="str">
        <f t="array" ref="BB1859">_xlfn.IFS(AQ1859="","",LEN(AQ1859)-LEN(SUBSTITUTE(AQ1859,".",""))=3,LEFT(AQ1859,vitri(".",AQ1859,3)-1),LEN(AQ1859)-LEN(SUBSTITUTE(AQ1859,".",""))=2,LEFT(AQ1859,vitri(".",AQ1859,2)-1),TRUE,LEFT(AQ1859,vitri(".",AQ1859,1)-1))</f>
        <v/>
      </c>
    </row>
    <row r="1860" spans="13:54" x14ac:dyDescent="0.25">
      <c r="M1860" s="377"/>
      <c r="BB1860" s="83" t="str">
        <f t="array" ref="BB1860">_xlfn.IFS(AQ1860="","",LEN(AQ1860)-LEN(SUBSTITUTE(AQ1860,".",""))=3,LEFT(AQ1860,vitri(".",AQ1860,3)-1),LEN(AQ1860)-LEN(SUBSTITUTE(AQ1860,".",""))=2,LEFT(AQ1860,vitri(".",AQ1860,2)-1),TRUE,LEFT(AQ1860,vitri(".",AQ1860,1)-1))</f>
        <v/>
      </c>
    </row>
    <row r="1861" spans="13:54" x14ac:dyDescent="0.25">
      <c r="M1861" s="377"/>
      <c r="BB1861" s="83" t="str">
        <f t="array" ref="BB1861">_xlfn.IFS(AQ1861="","",LEN(AQ1861)-LEN(SUBSTITUTE(AQ1861,".",""))=3,LEFT(AQ1861,vitri(".",AQ1861,3)-1),LEN(AQ1861)-LEN(SUBSTITUTE(AQ1861,".",""))=2,LEFT(AQ1861,vitri(".",AQ1861,2)-1),TRUE,LEFT(AQ1861,vitri(".",AQ1861,1)-1))</f>
        <v/>
      </c>
    </row>
    <row r="1862" spans="13:54" x14ac:dyDescent="0.25">
      <c r="M1862" s="377"/>
      <c r="BB1862" s="83" t="str">
        <f t="array" ref="BB1862">_xlfn.IFS(AQ1862="","",LEN(AQ1862)-LEN(SUBSTITUTE(AQ1862,".",""))=3,LEFT(AQ1862,vitri(".",AQ1862,3)-1),LEN(AQ1862)-LEN(SUBSTITUTE(AQ1862,".",""))=2,LEFT(AQ1862,vitri(".",AQ1862,2)-1),TRUE,LEFT(AQ1862,vitri(".",AQ1862,1)-1))</f>
        <v/>
      </c>
    </row>
    <row r="1863" spans="13:54" x14ac:dyDescent="0.25">
      <c r="M1863" s="377"/>
      <c r="BB1863" s="83" t="str">
        <f t="array" ref="BB1863">_xlfn.IFS(AQ1863="","",LEN(AQ1863)-LEN(SUBSTITUTE(AQ1863,".",""))=3,LEFT(AQ1863,vitri(".",AQ1863,3)-1),LEN(AQ1863)-LEN(SUBSTITUTE(AQ1863,".",""))=2,LEFT(AQ1863,vitri(".",AQ1863,2)-1),TRUE,LEFT(AQ1863,vitri(".",AQ1863,1)-1))</f>
        <v/>
      </c>
    </row>
    <row r="1864" spans="13:54" x14ac:dyDescent="0.25">
      <c r="M1864" s="377"/>
      <c r="BB1864" s="83" t="str">
        <f t="array" ref="BB1864">_xlfn.IFS(AQ1864="","",LEN(AQ1864)-LEN(SUBSTITUTE(AQ1864,".",""))=3,LEFT(AQ1864,vitri(".",AQ1864,3)-1),LEN(AQ1864)-LEN(SUBSTITUTE(AQ1864,".",""))=2,LEFT(AQ1864,vitri(".",AQ1864,2)-1),TRUE,LEFT(AQ1864,vitri(".",AQ1864,1)-1))</f>
        <v/>
      </c>
    </row>
    <row r="1865" spans="13:54" x14ac:dyDescent="0.25">
      <c r="M1865" s="377"/>
      <c r="BB1865" s="83" t="str">
        <f t="array" ref="BB1865">_xlfn.IFS(AQ1865="","",LEN(AQ1865)-LEN(SUBSTITUTE(AQ1865,".",""))=3,LEFT(AQ1865,vitri(".",AQ1865,3)-1),LEN(AQ1865)-LEN(SUBSTITUTE(AQ1865,".",""))=2,LEFT(AQ1865,vitri(".",AQ1865,2)-1),TRUE,LEFT(AQ1865,vitri(".",AQ1865,1)-1))</f>
        <v/>
      </c>
    </row>
    <row r="1866" spans="13:54" x14ac:dyDescent="0.25">
      <c r="M1866" s="377"/>
      <c r="BB1866" s="83" t="str">
        <f t="array" ref="BB1866">_xlfn.IFS(AQ1866="","",LEN(AQ1866)-LEN(SUBSTITUTE(AQ1866,".",""))=3,LEFT(AQ1866,vitri(".",AQ1866,3)-1),LEN(AQ1866)-LEN(SUBSTITUTE(AQ1866,".",""))=2,LEFT(AQ1866,vitri(".",AQ1866,2)-1),TRUE,LEFT(AQ1866,vitri(".",AQ1866,1)-1))</f>
        <v/>
      </c>
    </row>
    <row r="1867" spans="13:54" x14ac:dyDescent="0.25">
      <c r="M1867" s="377"/>
      <c r="BB1867" s="83" t="str">
        <f t="array" ref="BB1867">_xlfn.IFS(AQ1867="","",LEN(AQ1867)-LEN(SUBSTITUTE(AQ1867,".",""))=3,LEFT(AQ1867,vitri(".",AQ1867,3)-1),LEN(AQ1867)-LEN(SUBSTITUTE(AQ1867,".",""))=2,LEFT(AQ1867,vitri(".",AQ1867,2)-1),TRUE,LEFT(AQ1867,vitri(".",AQ1867,1)-1))</f>
        <v/>
      </c>
    </row>
    <row r="1868" spans="13:54" x14ac:dyDescent="0.25">
      <c r="M1868" s="377"/>
      <c r="BB1868" s="83" t="str">
        <f t="array" ref="BB1868">_xlfn.IFS(AQ1868="","",LEN(AQ1868)-LEN(SUBSTITUTE(AQ1868,".",""))=3,LEFT(AQ1868,vitri(".",AQ1868,3)-1),LEN(AQ1868)-LEN(SUBSTITUTE(AQ1868,".",""))=2,LEFT(AQ1868,vitri(".",AQ1868,2)-1),TRUE,LEFT(AQ1868,vitri(".",AQ1868,1)-1))</f>
        <v/>
      </c>
    </row>
    <row r="1869" spans="13:54" x14ac:dyDescent="0.25">
      <c r="M1869" s="377"/>
      <c r="BB1869" s="83" t="str">
        <f t="array" ref="BB1869">_xlfn.IFS(AQ1869="","",LEN(AQ1869)-LEN(SUBSTITUTE(AQ1869,".",""))=3,LEFT(AQ1869,vitri(".",AQ1869,3)-1),LEN(AQ1869)-LEN(SUBSTITUTE(AQ1869,".",""))=2,LEFT(AQ1869,vitri(".",AQ1869,2)-1),TRUE,LEFT(AQ1869,vitri(".",AQ1869,1)-1))</f>
        <v/>
      </c>
    </row>
    <row r="1870" spans="13:54" x14ac:dyDescent="0.25">
      <c r="M1870" s="377"/>
      <c r="BB1870" s="83" t="str">
        <f t="array" ref="BB1870">_xlfn.IFS(AQ1870="","",LEN(AQ1870)-LEN(SUBSTITUTE(AQ1870,".",""))=3,LEFT(AQ1870,vitri(".",AQ1870,3)-1),LEN(AQ1870)-LEN(SUBSTITUTE(AQ1870,".",""))=2,LEFT(AQ1870,vitri(".",AQ1870,2)-1),TRUE,LEFT(AQ1870,vitri(".",AQ1870,1)-1))</f>
        <v/>
      </c>
    </row>
    <row r="1871" spans="13:54" x14ac:dyDescent="0.25">
      <c r="M1871" s="377"/>
      <c r="BB1871" s="83" t="str">
        <f t="array" ref="BB1871">_xlfn.IFS(AQ1871="","",LEN(AQ1871)-LEN(SUBSTITUTE(AQ1871,".",""))=3,LEFT(AQ1871,vitri(".",AQ1871,3)-1),LEN(AQ1871)-LEN(SUBSTITUTE(AQ1871,".",""))=2,LEFT(AQ1871,vitri(".",AQ1871,2)-1),TRUE,LEFT(AQ1871,vitri(".",AQ1871,1)-1))</f>
        <v/>
      </c>
    </row>
    <row r="1872" spans="13:54" x14ac:dyDescent="0.25">
      <c r="M1872" s="377"/>
      <c r="BB1872" s="83" t="str">
        <f t="array" ref="BB1872">_xlfn.IFS(AQ1872="","",LEN(AQ1872)-LEN(SUBSTITUTE(AQ1872,".",""))=3,LEFT(AQ1872,vitri(".",AQ1872,3)-1),LEN(AQ1872)-LEN(SUBSTITUTE(AQ1872,".",""))=2,LEFT(AQ1872,vitri(".",AQ1872,2)-1),TRUE,LEFT(AQ1872,vitri(".",AQ1872,1)-1))</f>
        <v/>
      </c>
    </row>
    <row r="1873" spans="13:54" x14ac:dyDescent="0.25">
      <c r="M1873" s="377"/>
      <c r="BB1873" s="83" t="str">
        <f t="array" ref="BB1873">_xlfn.IFS(AQ1873="","",LEN(AQ1873)-LEN(SUBSTITUTE(AQ1873,".",""))=3,LEFT(AQ1873,vitri(".",AQ1873,3)-1),LEN(AQ1873)-LEN(SUBSTITUTE(AQ1873,".",""))=2,LEFT(AQ1873,vitri(".",AQ1873,2)-1),TRUE,LEFT(AQ1873,vitri(".",AQ1873,1)-1))</f>
        <v/>
      </c>
    </row>
    <row r="1874" spans="13:54" x14ac:dyDescent="0.25">
      <c r="M1874" s="377"/>
      <c r="BB1874" s="83" t="str">
        <f t="array" ref="BB1874">_xlfn.IFS(AQ1874="","",LEN(AQ1874)-LEN(SUBSTITUTE(AQ1874,".",""))=3,LEFT(AQ1874,vitri(".",AQ1874,3)-1),LEN(AQ1874)-LEN(SUBSTITUTE(AQ1874,".",""))=2,LEFT(AQ1874,vitri(".",AQ1874,2)-1),TRUE,LEFT(AQ1874,vitri(".",AQ1874,1)-1))</f>
        <v/>
      </c>
    </row>
    <row r="1875" spans="13:54" x14ac:dyDescent="0.25">
      <c r="M1875" s="377"/>
      <c r="BB1875" s="83" t="str">
        <f t="array" ref="BB1875">_xlfn.IFS(AQ1875="","",LEN(AQ1875)-LEN(SUBSTITUTE(AQ1875,".",""))=3,LEFT(AQ1875,vitri(".",AQ1875,3)-1),LEN(AQ1875)-LEN(SUBSTITUTE(AQ1875,".",""))=2,LEFT(AQ1875,vitri(".",AQ1875,2)-1),TRUE,LEFT(AQ1875,vitri(".",AQ1875,1)-1))</f>
        <v/>
      </c>
    </row>
    <row r="1876" spans="13:54" x14ac:dyDescent="0.25">
      <c r="M1876" s="377"/>
      <c r="BB1876" s="83" t="str">
        <f t="array" ref="BB1876">_xlfn.IFS(AQ1876="","",LEN(AQ1876)-LEN(SUBSTITUTE(AQ1876,".",""))=3,LEFT(AQ1876,vitri(".",AQ1876,3)-1),LEN(AQ1876)-LEN(SUBSTITUTE(AQ1876,".",""))=2,LEFT(AQ1876,vitri(".",AQ1876,2)-1),TRUE,LEFT(AQ1876,vitri(".",AQ1876,1)-1))</f>
        <v/>
      </c>
    </row>
    <row r="1877" spans="13:54" x14ac:dyDescent="0.25">
      <c r="M1877" s="377"/>
      <c r="BB1877" s="83" t="str">
        <f t="array" ref="BB1877">_xlfn.IFS(AQ1877="","",LEN(AQ1877)-LEN(SUBSTITUTE(AQ1877,".",""))=3,LEFT(AQ1877,vitri(".",AQ1877,3)-1),LEN(AQ1877)-LEN(SUBSTITUTE(AQ1877,".",""))=2,LEFT(AQ1877,vitri(".",AQ1877,2)-1),TRUE,LEFT(AQ1877,vitri(".",AQ1877,1)-1))</f>
        <v/>
      </c>
    </row>
    <row r="1878" spans="13:54" x14ac:dyDescent="0.25">
      <c r="M1878" s="377"/>
      <c r="BB1878" s="83" t="str">
        <f t="array" ref="BB1878">_xlfn.IFS(AQ1878="","",LEN(AQ1878)-LEN(SUBSTITUTE(AQ1878,".",""))=3,LEFT(AQ1878,vitri(".",AQ1878,3)-1),LEN(AQ1878)-LEN(SUBSTITUTE(AQ1878,".",""))=2,LEFT(AQ1878,vitri(".",AQ1878,2)-1),TRUE,LEFT(AQ1878,vitri(".",AQ1878,1)-1))</f>
        <v/>
      </c>
    </row>
    <row r="1879" spans="13:54" x14ac:dyDescent="0.25">
      <c r="M1879" s="377"/>
      <c r="BB1879" s="83" t="str">
        <f t="array" ref="BB1879">_xlfn.IFS(AQ1879="","",LEN(AQ1879)-LEN(SUBSTITUTE(AQ1879,".",""))=3,LEFT(AQ1879,vitri(".",AQ1879,3)-1),LEN(AQ1879)-LEN(SUBSTITUTE(AQ1879,".",""))=2,LEFT(AQ1879,vitri(".",AQ1879,2)-1),TRUE,LEFT(AQ1879,vitri(".",AQ1879,1)-1))</f>
        <v/>
      </c>
    </row>
    <row r="1880" spans="13:54" x14ac:dyDescent="0.25">
      <c r="M1880" s="377"/>
      <c r="BB1880" s="83" t="str">
        <f t="array" ref="BB1880">_xlfn.IFS(AQ1880="","",LEN(AQ1880)-LEN(SUBSTITUTE(AQ1880,".",""))=3,LEFT(AQ1880,vitri(".",AQ1880,3)-1),LEN(AQ1880)-LEN(SUBSTITUTE(AQ1880,".",""))=2,LEFT(AQ1880,vitri(".",AQ1880,2)-1),TRUE,LEFT(AQ1880,vitri(".",AQ1880,1)-1))</f>
        <v/>
      </c>
    </row>
    <row r="1881" spans="13:54" x14ac:dyDescent="0.25">
      <c r="M1881" s="377"/>
      <c r="BB1881" s="83" t="str">
        <f t="array" ref="BB1881">_xlfn.IFS(AQ1881="","",LEN(AQ1881)-LEN(SUBSTITUTE(AQ1881,".",""))=3,LEFT(AQ1881,vitri(".",AQ1881,3)-1),LEN(AQ1881)-LEN(SUBSTITUTE(AQ1881,".",""))=2,LEFT(AQ1881,vitri(".",AQ1881,2)-1),TRUE,LEFT(AQ1881,vitri(".",AQ1881,1)-1))</f>
        <v/>
      </c>
    </row>
    <row r="1882" spans="13:54" x14ac:dyDescent="0.25">
      <c r="M1882" s="377"/>
      <c r="BB1882" s="83" t="str">
        <f t="array" ref="BB1882">_xlfn.IFS(AQ1882="","",LEN(AQ1882)-LEN(SUBSTITUTE(AQ1882,".",""))=3,LEFT(AQ1882,vitri(".",AQ1882,3)-1),LEN(AQ1882)-LEN(SUBSTITUTE(AQ1882,".",""))=2,LEFT(AQ1882,vitri(".",AQ1882,2)-1),TRUE,LEFT(AQ1882,vitri(".",AQ1882,1)-1))</f>
        <v/>
      </c>
    </row>
    <row r="1883" spans="13:54" x14ac:dyDescent="0.25">
      <c r="M1883" s="377"/>
      <c r="BB1883" s="83" t="str">
        <f t="array" ref="BB1883">_xlfn.IFS(AQ1883="","",LEN(AQ1883)-LEN(SUBSTITUTE(AQ1883,".",""))=3,LEFT(AQ1883,vitri(".",AQ1883,3)-1),LEN(AQ1883)-LEN(SUBSTITUTE(AQ1883,".",""))=2,LEFT(AQ1883,vitri(".",AQ1883,2)-1),TRUE,LEFT(AQ1883,vitri(".",AQ1883,1)-1))</f>
        <v/>
      </c>
    </row>
    <row r="1884" spans="13:54" x14ac:dyDescent="0.25">
      <c r="M1884" s="377"/>
      <c r="BB1884" s="83" t="str">
        <f t="array" ref="BB1884">_xlfn.IFS(AQ1884="","",LEN(AQ1884)-LEN(SUBSTITUTE(AQ1884,".",""))=3,LEFT(AQ1884,vitri(".",AQ1884,3)-1),LEN(AQ1884)-LEN(SUBSTITUTE(AQ1884,".",""))=2,LEFT(AQ1884,vitri(".",AQ1884,2)-1),TRUE,LEFT(AQ1884,vitri(".",AQ1884,1)-1))</f>
        <v/>
      </c>
    </row>
    <row r="1885" spans="13:54" x14ac:dyDescent="0.25">
      <c r="M1885" s="377"/>
      <c r="BB1885" s="83" t="str">
        <f t="array" ref="BB1885">_xlfn.IFS(AQ1885="","",LEN(AQ1885)-LEN(SUBSTITUTE(AQ1885,".",""))=3,LEFT(AQ1885,vitri(".",AQ1885,3)-1),LEN(AQ1885)-LEN(SUBSTITUTE(AQ1885,".",""))=2,LEFT(AQ1885,vitri(".",AQ1885,2)-1),TRUE,LEFT(AQ1885,vitri(".",AQ1885,1)-1))</f>
        <v/>
      </c>
    </row>
    <row r="1886" spans="13:54" x14ac:dyDescent="0.25">
      <c r="M1886" s="377"/>
      <c r="BB1886" s="83" t="str">
        <f t="array" ref="BB1886">_xlfn.IFS(AQ1886="","",LEN(AQ1886)-LEN(SUBSTITUTE(AQ1886,".",""))=3,LEFT(AQ1886,vitri(".",AQ1886,3)-1),LEN(AQ1886)-LEN(SUBSTITUTE(AQ1886,".",""))=2,LEFT(AQ1886,vitri(".",AQ1886,2)-1),TRUE,LEFT(AQ1886,vitri(".",AQ1886,1)-1))</f>
        <v/>
      </c>
    </row>
    <row r="1887" spans="13:54" x14ac:dyDescent="0.25">
      <c r="M1887" s="377"/>
      <c r="BB1887" s="83" t="str">
        <f t="array" ref="BB1887">_xlfn.IFS(AQ1887="","",LEN(AQ1887)-LEN(SUBSTITUTE(AQ1887,".",""))=3,LEFT(AQ1887,vitri(".",AQ1887,3)-1),LEN(AQ1887)-LEN(SUBSTITUTE(AQ1887,".",""))=2,LEFT(AQ1887,vitri(".",AQ1887,2)-1),TRUE,LEFT(AQ1887,vitri(".",AQ1887,1)-1))</f>
        <v/>
      </c>
    </row>
    <row r="1888" spans="13:54" x14ac:dyDescent="0.25">
      <c r="M1888" s="377"/>
      <c r="BB1888" s="83" t="str">
        <f t="array" ref="BB1888">_xlfn.IFS(AQ1888="","",LEN(AQ1888)-LEN(SUBSTITUTE(AQ1888,".",""))=3,LEFT(AQ1888,vitri(".",AQ1888,3)-1),LEN(AQ1888)-LEN(SUBSTITUTE(AQ1888,".",""))=2,LEFT(AQ1888,vitri(".",AQ1888,2)-1),TRUE,LEFT(AQ1888,vitri(".",AQ1888,1)-1))</f>
        <v/>
      </c>
    </row>
    <row r="1889" spans="13:54" x14ac:dyDescent="0.25">
      <c r="M1889" s="377"/>
      <c r="BB1889" s="83" t="str">
        <f t="array" ref="BB1889">_xlfn.IFS(AQ1889="","",LEN(AQ1889)-LEN(SUBSTITUTE(AQ1889,".",""))=3,LEFT(AQ1889,vitri(".",AQ1889,3)-1),LEN(AQ1889)-LEN(SUBSTITUTE(AQ1889,".",""))=2,LEFT(AQ1889,vitri(".",AQ1889,2)-1),TRUE,LEFT(AQ1889,vitri(".",AQ1889,1)-1))</f>
        <v/>
      </c>
    </row>
    <row r="1890" spans="13:54" x14ac:dyDescent="0.25">
      <c r="M1890" s="377"/>
      <c r="BB1890" s="83" t="str">
        <f t="array" ref="BB1890">_xlfn.IFS(AQ1890="","",LEN(AQ1890)-LEN(SUBSTITUTE(AQ1890,".",""))=3,LEFT(AQ1890,vitri(".",AQ1890,3)-1),LEN(AQ1890)-LEN(SUBSTITUTE(AQ1890,".",""))=2,LEFT(AQ1890,vitri(".",AQ1890,2)-1),TRUE,LEFT(AQ1890,vitri(".",AQ1890,1)-1))</f>
        <v/>
      </c>
    </row>
    <row r="1891" spans="13:54" x14ac:dyDescent="0.25">
      <c r="M1891" s="377"/>
      <c r="BB1891" s="83" t="str">
        <f t="array" ref="BB1891">_xlfn.IFS(AQ1891="","",LEN(AQ1891)-LEN(SUBSTITUTE(AQ1891,".",""))=3,LEFT(AQ1891,vitri(".",AQ1891,3)-1),LEN(AQ1891)-LEN(SUBSTITUTE(AQ1891,".",""))=2,LEFT(AQ1891,vitri(".",AQ1891,2)-1),TRUE,LEFT(AQ1891,vitri(".",AQ1891,1)-1))</f>
        <v/>
      </c>
    </row>
    <row r="1892" spans="13:54" x14ac:dyDescent="0.25">
      <c r="M1892" s="377"/>
      <c r="BB1892" s="83" t="str">
        <f t="array" ref="BB1892">_xlfn.IFS(AQ1892="","",LEN(AQ1892)-LEN(SUBSTITUTE(AQ1892,".",""))=3,LEFT(AQ1892,vitri(".",AQ1892,3)-1),LEN(AQ1892)-LEN(SUBSTITUTE(AQ1892,".",""))=2,LEFT(AQ1892,vitri(".",AQ1892,2)-1),TRUE,LEFT(AQ1892,vitri(".",AQ1892,1)-1))</f>
        <v/>
      </c>
    </row>
    <row r="1893" spans="13:54" x14ac:dyDescent="0.25">
      <c r="M1893" s="377"/>
      <c r="BB1893" s="83" t="str">
        <f t="array" ref="BB1893">_xlfn.IFS(AQ1893="","",LEN(AQ1893)-LEN(SUBSTITUTE(AQ1893,".",""))=3,LEFT(AQ1893,vitri(".",AQ1893,3)-1),LEN(AQ1893)-LEN(SUBSTITUTE(AQ1893,".",""))=2,LEFT(AQ1893,vitri(".",AQ1893,2)-1),TRUE,LEFT(AQ1893,vitri(".",AQ1893,1)-1))</f>
        <v/>
      </c>
    </row>
    <row r="1894" spans="13:54" x14ac:dyDescent="0.25">
      <c r="M1894" s="377"/>
      <c r="BB1894" s="83" t="str">
        <f t="array" ref="BB1894">_xlfn.IFS(AQ1894="","",LEN(AQ1894)-LEN(SUBSTITUTE(AQ1894,".",""))=3,LEFT(AQ1894,vitri(".",AQ1894,3)-1),LEN(AQ1894)-LEN(SUBSTITUTE(AQ1894,".",""))=2,LEFT(AQ1894,vitri(".",AQ1894,2)-1),TRUE,LEFT(AQ1894,vitri(".",AQ1894,1)-1))</f>
        <v/>
      </c>
    </row>
    <row r="1895" spans="13:54" x14ac:dyDescent="0.25">
      <c r="M1895" s="377"/>
      <c r="BB1895" s="83" t="str">
        <f t="array" ref="BB1895">_xlfn.IFS(AQ1895="","",LEN(AQ1895)-LEN(SUBSTITUTE(AQ1895,".",""))=3,LEFT(AQ1895,vitri(".",AQ1895,3)-1),LEN(AQ1895)-LEN(SUBSTITUTE(AQ1895,".",""))=2,LEFT(AQ1895,vitri(".",AQ1895,2)-1),TRUE,LEFT(AQ1895,vitri(".",AQ1895,1)-1))</f>
        <v/>
      </c>
    </row>
    <row r="1896" spans="13:54" x14ac:dyDescent="0.25">
      <c r="M1896" s="377"/>
      <c r="BB1896" s="83" t="str">
        <f t="array" ref="BB1896">_xlfn.IFS(AQ1896="","",LEN(AQ1896)-LEN(SUBSTITUTE(AQ1896,".",""))=3,LEFT(AQ1896,vitri(".",AQ1896,3)-1),LEN(AQ1896)-LEN(SUBSTITUTE(AQ1896,".",""))=2,LEFT(AQ1896,vitri(".",AQ1896,2)-1),TRUE,LEFT(AQ1896,vitri(".",AQ1896,1)-1))</f>
        <v/>
      </c>
    </row>
    <row r="1897" spans="13:54" x14ac:dyDescent="0.25">
      <c r="M1897" s="377"/>
      <c r="BB1897" s="83" t="str">
        <f t="array" ref="BB1897">_xlfn.IFS(AQ1897="","",LEN(AQ1897)-LEN(SUBSTITUTE(AQ1897,".",""))=3,LEFT(AQ1897,vitri(".",AQ1897,3)-1),LEN(AQ1897)-LEN(SUBSTITUTE(AQ1897,".",""))=2,LEFT(AQ1897,vitri(".",AQ1897,2)-1),TRUE,LEFT(AQ1897,vitri(".",AQ1897,1)-1))</f>
        <v/>
      </c>
    </row>
    <row r="1898" spans="13:54" x14ac:dyDescent="0.25">
      <c r="M1898" s="377"/>
      <c r="BB1898" s="83" t="str">
        <f t="array" ref="BB1898">_xlfn.IFS(AQ1898="","",LEN(AQ1898)-LEN(SUBSTITUTE(AQ1898,".",""))=3,LEFT(AQ1898,vitri(".",AQ1898,3)-1),LEN(AQ1898)-LEN(SUBSTITUTE(AQ1898,".",""))=2,LEFT(AQ1898,vitri(".",AQ1898,2)-1),TRUE,LEFT(AQ1898,vitri(".",AQ1898,1)-1))</f>
        <v/>
      </c>
    </row>
    <row r="1899" spans="13:54" x14ac:dyDescent="0.25">
      <c r="M1899" s="377"/>
      <c r="BB1899" s="83" t="str">
        <f t="array" ref="BB1899">_xlfn.IFS(AQ1899="","",LEN(AQ1899)-LEN(SUBSTITUTE(AQ1899,".",""))=3,LEFT(AQ1899,vitri(".",AQ1899,3)-1),LEN(AQ1899)-LEN(SUBSTITUTE(AQ1899,".",""))=2,LEFT(AQ1899,vitri(".",AQ1899,2)-1),TRUE,LEFT(AQ1899,vitri(".",AQ1899,1)-1))</f>
        <v/>
      </c>
    </row>
    <row r="1900" spans="13:54" x14ac:dyDescent="0.25">
      <c r="M1900" s="377"/>
      <c r="BB1900" s="83" t="str">
        <f t="array" ref="BB1900">_xlfn.IFS(AQ1900="","",LEN(AQ1900)-LEN(SUBSTITUTE(AQ1900,".",""))=3,LEFT(AQ1900,vitri(".",AQ1900,3)-1),LEN(AQ1900)-LEN(SUBSTITUTE(AQ1900,".",""))=2,LEFT(AQ1900,vitri(".",AQ1900,2)-1),TRUE,LEFT(AQ1900,vitri(".",AQ1900,1)-1))</f>
        <v/>
      </c>
    </row>
    <row r="1901" spans="13:54" x14ac:dyDescent="0.25">
      <c r="M1901" s="377"/>
      <c r="BB1901" s="83" t="str">
        <f t="array" ref="BB1901">_xlfn.IFS(AQ1901="","",LEN(AQ1901)-LEN(SUBSTITUTE(AQ1901,".",""))=3,LEFT(AQ1901,vitri(".",AQ1901,3)-1),LEN(AQ1901)-LEN(SUBSTITUTE(AQ1901,".",""))=2,LEFT(AQ1901,vitri(".",AQ1901,2)-1),TRUE,LEFT(AQ1901,vitri(".",AQ1901,1)-1))</f>
        <v/>
      </c>
    </row>
    <row r="1902" spans="13:54" x14ac:dyDescent="0.25">
      <c r="M1902" s="377"/>
      <c r="BB1902" s="83" t="str">
        <f t="array" ref="BB1902">_xlfn.IFS(AQ1902="","",LEN(AQ1902)-LEN(SUBSTITUTE(AQ1902,".",""))=3,LEFT(AQ1902,vitri(".",AQ1902,3)-1),LEN(AQ1902)-LEN(SUBSTITUTE(AQ1902,".",""))=2,LEFT(AQ1902,vitri(".",AQ1902,2)-1),TRUE,LEFT(AQ1902,vitri(".",AQ1902,1)-1))</f>
        <v/>
      </c>
    </row>
    <row r="1903" spans="13:54" x14ac:dyDescent="0.25">
      <c r="M1903" s="377"/>
      <c r="BB1903" s="83" t="str">
        <f t="array" ref="BB1903">_xlfn.IFS(AQ1903="","",LEN(AQ1903)-LEN(SUBSTITUTE(AQ1903,".",""))=3,LEFT(AQ1903,vitri(".",AQ1903,3)-1),LEN(AQ1903)-LEN(SUBSTITUTE(AQ1903,".",""))=2,LEFT(AQ1903,vitri(".",AQ1903,2)-1),TRUE,LEFT(AQ1903,vitri(".",AQ1903,1)-1))</f>
        <v/>
      </c>
    </row>
    <row r="1904" spans="13:54" x14ac:dyDescent="0.25">
      <c r="M1904" s="377"/>
      <c r="BB1904" s="83" t="str">
        <f t="array" ref="BB1904">_xlfn.IFS(AQ1904="","",LEN(AQ1904)-LEN(SUBSTITUTE(AQ1904,".",""))=3,LEFT(AQ1904,vitri(".",AQ1904,3)-1),LEN(AQ1904)-LEN(SUBSTITUTE(AQ1904,".",""))=2,LEFT(AQ1904,vitri(".",AQ1904,2)-1),TRUE,LEFT(AQ1904,vitri(".",AQ1904,1)-1))</f>
        <v/>
      </c>
    </row>
    <row r="1905" spans="13:54" x14ac:dyDescent="0.25">
      <c r="M1905" s="377"/>
      <c r="BB1905" s="83" t="str">
        <f t="array" ref="BB1905">_xlfn.IFS(AQ1905="","",LEN(AQ1905)-LEN(SUBSTITUTE(AQ1905,".",""))=3,LEFT(AQ1905,vitri(".",AQ1905,3)-1),LEN(AQ1905)-LEN(SUBSTITUTE(AQ1905,".",""))=2,LEFT(AQ1905,vitri(".",AQ1905,2)-1),TRUE,LEFT(AQ1905,vitri(".",AQ1905,1)-1))</f>
        <v/>
      </c>
    </row>
    <row r="1906" spans="13:54" x14ac:dyDescent="0.25">
      <c r="M1906" s="377"/>
      <c r="BB1906" s="83" t="str">
        <f t="array" ref="BB1906">_xlfn.IFS(AQ1906="","",LEN(AQ1906)-LEN(SUBSTITUTE(AQ1906,".",""))=3,LEFT(AQ1906,vitri(".",AQ1906,3)-1),LEN(AQ1906)-LEN(SUBSTITUTE(AQ1906,".",""))=2,LEFT(AQ1906,vitri(".",AQ1906,2)-1),TRUE,LEFT(AQ1906,vitri(".",AQ1906,1)-1))</f>
        <v/>
      </c>
    </row>
    <row r="1907" spans="13:54" x14ac:dyDescent="0.25">
      <c r="M1907" s="377"/>
      <c r="BB1907" s="83" t="str">
        <f t="array" ref="BB1907">_xlfn.IFS(AQ1907="","",LEN(AQ1907)-LEN(SUBSTITUTE(AQ1907,".",""))=3,LEFT(AQ1907,vitri(".",AQ1907,3)-1),LEN(AQ1907)-LEN(SUBSTITUTE(AQ1907,".",""))=2,LEFT(AQ1907,vitri(".",AQ1907,2)-1),TRUE,LEFT(AQ1907,vitri(".",AQ1907,1)-1))</f>
        <v/>
      </c>
    </row>
    <row r="1908" spans="13:54" x14ac:dyDescent="0.25">
      <c r="M1908" s="377"/>
      <c r="BB1908" s="83" t="str">
        <f t="array" ref="BB1908">_xlfn.IFS(AQ1908="","",LEN(AQ1908)-LEN(SUBSTITUTE(AQ1908,".",""))=3,LEFT(AQ1908,vitri(".",AQ1908,3)-1),LEN(AQ1908)-LEN(SUBSTITUTE(AQ1908,".",""))=2,LEFT(AQ1908,vitri(".",AQ1908,2)-1),TRUE,LEFT(AQ1908,vitri(".",AQ1908,1)-1))</f>
        <v/>
      </c>
    </row>
    <row r="1909" spans="13:54" x14ac:dyDescent="0.25">
      <c r="M1909" s="377"/>
      <c r="BB1909" s="83" t="str">
        <f t="array" ref="BB1909">_xlfn.IFS(AQ1909="","",LEN(AQ1909)-LEN(SUBSTITUTE(AQ1909,".",""))=3,LEFT(AQ1909,vitri(".",AQ1909,3)-1),LEN(AQ1909)-LEN(SUBSTITUTE(AQ1909,".",""))=2,LEFT(AQ1909,vitri(".",AQ1909,2)-1),TRUE,LEFT(AQ1909,vitri(".",AQ1909,1)-1))</f>
        <v/>
      </c>
    </row>
    <row r="1910" spans="13:54" x14ac:dyDescent="0.25">
      <c r="M1910" s="377"/>
      <c r="BB1910" s="83" t="str">
        <f t="array" ref="BB1910">_xlfn.IFS(AQ1910="","",LEN(AQ1910)-LEN(SUBSTITUTE(AQ1910,".",""))=3,LEFT(AQ1910,vitri(".",AQ1910,3)-1),LEN(AQ1910)-LEN(SUBSTITUTE(AQ1910,".",""))=2,LEFT(AQ1910,vitri(".",AQ1910,2)-1),TRUE,LEFT(AQ1910,vitri(".",AQ1910,1)-1))</f>
        <v/>
      </c>
    </row>
    <row r="1911" spans="13:54" x14ac:dyDescent="0.25">
      <c r="M1911" s="377"/>
      <c r="BB1911" s="83" t="str">
        <f t="array" ref="BB1911">_xlfn.IFS(AQ1911="","",LEN(AQ1911)-LEN(SUBSTITUTE(AQ1911,".",""))=3,LEFT(AQ1911,vitri(".",AQ1911,3)-1),LEN(AQ1911)-LEN(SUBSTITUTE(AQ1911,".",""))=2,LEFT(AQ1911,vitri(".",AQ1911,2)-1),TRUE,LEFT(AQ1911,vitri(".",AQ1911,1)-1))</f>
        <v/>
      </c>
    </row>
    <row r="1912" spans="13:54" x14ac:dyDescent="0.25">
      <c r="M1912" s="377"/>
      <c r="BB1912" s="83" t="str">
        <f t="array" ref="BB1912">_xlfn.IFS(AQ1912="","",LEN(AQ1912)-LEN(SUBSTITUTE(AQ1912,".",""))=3,LEFT(AQ1912,vitri(".",AQ1912,3)-1),LEN(AQ1912)-LEN(SUBSTITUTE(AQ1912,".",""))=2,LEFT(AQ1912,vitri(".",AQ1912,2)-1),TRUE,LEFT(AQ1912,vitri(".",AQ1912,1)-1))</f>
        <v/>
      </c>
    </row>
    <row r="1913" spans="13:54" x14ac:dyDescent="0.25">
      <c r="M1913" s="377"/>
      <c r="BB1913" s="83" t="str">
        <f t="array" ref="BB1913">_xlfn.IFS(AQ1913="","",LEN(AQ1913)-LEN(SUBSTITUTE(AQ1913,".",""))=3,LEFT(AQ1913,vitri(".",AQ1913,3)-1),LEN(AQ1913)-LEN(SUBSTITUTE(AQ1913,".",""))=2,LEFT(AQ1913,vitri(".",AQ1913,2)-1),TRUE,LEFT(AQ1913,vitri(".",AQ1913,1)-1))</f>
        <v/>
      </c>
    </row>
    <row r="1914" spans="13:54" x14ac:dyDescent="0.25">
      <c r="M1914" s="377"/>
      <c r="BB1914" s="83" t="str">
        <f t="array" ref="BB1914">_xlfn.IFS(AQ1914="","",LEN(AQ1914)-LEN(SUBSTITUTE(AQ1914,".",""))=3,LEFT(AQ1914,vitri(".",AQ1914,3)-1),LEN(AQ1914)-LEN(SUBSTITUTE(AQ1914,".",""))=2,LEFT(AQ1914,vitri(".",AQ1914,2)-1),TRUE,LEFT(AQ1914,vitri(".",AQ1914,1)-1))</f>
        <v/>
      </c>
    </row>
    <row r="1915" spans="13:54" x14ac:dyDescent="0.25">
      <c r="M1915" s="377"/>
      <c r="BB1915" s="83" t="str">
        <f t="array" ref="BB1915">_xlfn.IFS(AQ1915="","",LEN(AQ1915)-LEN(SUBSTITUTE(AQ1915,".",""))=3,LEFT(AQ1915,vitri(".",AQ1915,3)-1),LEN(AQ1915)-LEN(SUBSTITUTE(AQ1915,".",""))=2,LEFT(AQ1915,vitri(".",AQ1915,2)-1),TRUE,LEFT(AQ1915,vitri(".",AQ1915,1)-1))</f>
        <v/>
      </c>
    </row>
    <row r="1916" spans="13:54" x14ac:dyDescent="0.25">
      <c r="M1916" s="377"/>
      <c r="BB1916" s="83" t="str">
        <f t="array" ref="BB1916">_xlfn.IFS(AQ1916="","",LEN(AQ1916)-LEN(SUBSTITUTE(AQ1916,".",""))=3,LEFT(AQ1916,vitri(".",AQ1916,3)-1),LEN(AQ1916)-LEN(SUBSTITUTE(AQ1916,".",""))=2,LEFT(AQ1916,vitri(".",AQ1916,2)-1),TRUE,LEFT(AQ1916,vitri(".",AQ1916,1)-1))</f>
        <v/>
      </c>
    </row>
    <row r="1917" spans="13:54" x14ac:dyDescent="0.25">
      <c r="M1917" s="377"/>
      <c r="BB1917" s="83" t="str">
        <f t="array" ref="BB1917">_xlfn.IFS(AQ1917="","",LEN(AQ1917)-LEN(SUBSTITUTE(AQ1917,".",""))=3,LEFT(AQ1917,vitri(".",AQ1917,3)-1),LEN(AQ1917)-LEN(SUBSTITUTE(AQ1917,".",""))=2,LEFT(AQ1917,vitri(".",AQ1917,2)-1),TRUE,LEFT(AQ1917,vitri(".",AQ1917,1)-1))</f>
        <v/>
      </c>
    </row>
    <row r="1918" spans="13:54" x14ac:dyDescent="0.25">
      <c r="M1918" s="377"/>
      <c r="BB1918" s="83" t="str">
        <f t="array" ref="BB1918">_xlfn.IFS(AQ1918="","",LEN(AQ1918)-LEN(SUBSTITUTE(AQ1918,".",""))=3,LEFT(AQ1918,vitri(".",AQ1918,3)-1),LEN(AQ1918)-LEN(SUBSTITUTE(AQ1918,".",""))=2,LEFT(AQ1918,vitri(".",AQ1918,2)-1),TRUE,LEFT(AQ1918,vitri(".",AQ1918,1)-1))</f>
        <v/>
      </c>
    </row>
    <row r="1919" spans="13:54" x14ac:dyDescent="0.25">
      <c r="M1919" s="377"/>
      <c r="BB1919" s="83" t="str">
        <f t="array" ref="BB1919">_xlfn.IFS(AQ1919="","",LEN(AQ1919)-LEN(SUBSTITUTE(AQ1919,".",""))=3,LEFT(AQ1919,vitri(".",AQ1919,3)-1),LEN(AQ1919)-LEN(SUBSTITUTE(AQ1919,".",""))=2,LEFT(AQ1919,vitri(".",AQ1919,2)-1),TRUE,LEFT(AQ1919,vitri(".",AQ1919,1)-1))</f>
        <v/>
      </c>
    </row>
    <row r="1920" spans="13:54" x14ac:dyDescent="0.25">
      <c r="M1920" s="377"/>
      <c r="BB1920" s="83" t="str">
        <f t="array" ref="BB1920">_xlfn.IFS(AQ1920="","",LEN(AQ1920)-LEN(SUBSTITUTE(AQ1920,".",""))=3,LEFT(AQ1920,vitri(".",AQ1920,3)-1),LEN(AQ1920)-LEN(SUBSTITUTE(AQ1920,".",""))=2,LEFT(AQ1920,vitri(".",AQ1920,2)-1),TRUE,LEFT(AQ1920,vitri(".",AQ1920,1)-1))</f>
        <v/>
      </c>
    </row>
    <row r="1921" spans="13:54" x14ac:dyDescent="0.25">
      <c r="M1921" s="377"/>
      <c r="BB1921" s="83" t="str">
        <f t="array" ref="BB1921">_xlfn.IFS(AQ1921="","",LEN(AQ1921)-LEN(SUBSTITUTE(AQ1921,".",""))=3,LEFT(AQ1921,vitri(".",AQ1921,3)-1),LEN(AQ1921)-LEN(SUBSTITUTE(AQ1921,".",""))=2,LEFT(AQ1921,vitri(".",AQ1921,2)-1),TRUE,LEFT(AQ1921,vitri(".",AQ1921,1)-1))</f>
        <v/>
      </c>
    </row>
    <row r="1922" spans="13:54" x14ac:dyDescent="0.25">
      <c r="M1922" s="377"/>
      <c r="BB1922" s="83" t="str">
        <f t="array" ref="BB1922">_xlfn.IFS(AQ1922="","",LEN(AQ1922)-LEN(SUBSTITUTE(AQ1922,".",""))=3,LEFT(AQ1922,vitri(".",AQ1922,3)-1),LEN(AQ1922)-LEN(SUBSTITUTE(AQ1922,".",""))=2,LEFT(AQ1922,vitri(".",AQ1922,2)-1),TRUE,LEFT(AQ1922,vitri(".",AQ1922,1)-1))</f>
        <v/>
      </c>
    </row>
    <row r="1923" spans="13:54" x14ac:dyDescent="0.25">
      <c r="M1923" s="377"/>
      <c r="BB1923" s="83" t="str">
        <f t="array" ref="BB1923">_xlfn.IFS(AQ1923="","",LEN(AQ1923)-LEN(SUBSTITUTE(AQ1923,".",""))=3,LEFT(AQ1923,vitri(".",AQ1923,3)-1),LEN(AQ1923)-LEN(SUBSTITUTE(AQ1923,".",""))=2,LEFT(AQ1923,vitri(".",AQ1923,2)-1),TRUE,LEFT(AQ1923,vitri(".",AQ1923,1)-1))</f>
        <v/>
      </c>
    </row>
    <row r="1924" spans="13:54" x14ac:dyDescent="0.25">
      <c r="M1924" s="377"/>
      <c r="BB1924" s="83" t="str">
        <f t="array" ref="BB1924">_xlfn.IFS(AQ1924="","",LEN(AQ1924)-LEN(SUBSTITUTE(AQ1924,".",""))=3,LEFT(AQ1924,vitri(".",AQ1924,3)-1),LEN(AQ1924)-LEN(SUBSTITUTE(AQ1924,".",""))=2,LEFT(AQ1924,vitri(".",AQ1924,2)-1),TRUE,LEFT(AQ1924,vitri(".",AQ1924,1)-1))</f>
        <v/>
      </c>
    </row>
    <row r="1925" spans="13:54" x14ac:dyDescent="0.25">
      <c r="M1925" s="377"/>
      <c r="BB1925" s="83" t="str">
        <f t="array" ref="BB1925">_xlfn.IFS(AQ1925="","",LEN(AQ1925)-LEN(SUBSTITUTE(AQ1925,".",""))=3,LEFT(AQ1925,vitri(".",AQ1925,3)-1),LEN(AQ1925)-LEN(SUBSTITUTE(AQ1925,".",""))=2,LEFT(AQ1925,vitri(".",AQ1925,2)-1),TRUE,LEFT(AQ1925,vitri(".",AQ1925,1)-1))</f>
        <v/>
      </c>
    </row>
    <row r="1926" spans="13:54" x14ac:dyDescent="0.25">
      <c r="M1926" s="377"/>
      <c r="BB1926" s="83" t="str">
        <f t="array" ref="BB1926">_xlfn.IFS(AQ1926="","",LEN(AQ1926)-LEN(SUBSTITUTE(AQ1926,".",""))=3,LEFT(AQ1926,vitri(".",AQ1926,3)-1),LEN(AQ1926)-LEN(SUBSTITUTE(AQ1926,".",""))=2,LEFT(AQ1926,vitri(".",AQ1926,2)-1),TRUE,LEFT(AQ1926,vitri(".",AQ1926,1)-1))</f>
        <v/>
      </c>
    </row>
    <row r="1927" spans="13:54" x14ac:dyDescent="0.25">
      <c r="M1927" s="377"/>
      <c r="BB1927" s="83" t="str">
        <f t="array" ref="BB1927">_xlfn.IFS(AQ1927="","",LEN(AQ1927)-LEN(SUBSTITUTE(AQ1927,".",""))=3,LEFT(AQ1927,vitri(".",AQ1927,3)-1),LEN(AQ1927)-LEN(SUBSTITUTE(AQ1927,".",""))=2,LEFT(AQ1927,vitri(".",AQ1927,2)-1),TRUE,LEFT(AQ1927,vitri(".",AQ1927,1)-1))</f>
        <v/>
      </c>
    </row>
    <row r="1928" spans="13:54" x14ac:dyDescent="0.25">
      <c r="M1928" s="377"/>
      <c r="BB1928" s="83" t="str">
        <f t="array" ref="BB1928">_xlfn.IFS(AQ1928="","",LEN(AQ1928)-LEN(SUBSTITUTE(AQ1928,".",""))=3,LEFT(AQ1928,vitri(".",AQ1928,3)-1),LEN(AQ1928)-LEN(SUBSTITUTE(AQ1928,".",""))=2,LEFT(AQ1928,vitri(".",AQ1928,2)-1),TRUE,LEFT(AQ1928,vitri(".",AQ1928,1)-1))</f>
        <v/>
      </c>
    </row>
    <row r="1929" spans="13:54" x14ac:dyDescent="0.25">
      <c r="M1929" s="377"/>
      <c r="BB1929" s="83" t="str">
        <f t="array" ref="BB1929">_xlfn.IFS(AQ1929="","",LEN(AQ1929)-LEN(SUBSTITUTE(AQ1929,".",""))=3,LEFT(AQ1929,vitri(".",AQ1929,3)-1),LEN(AQ1929)-LEN(SUBSTITUTE(AQ1929,".",""))=2,LEFT(AQ1929,vitri(".",AQ1929,2)-1),TRUE,LEFT(AQ1929,vitri(".",AQ1929,1)-1))</f>
        <v/>
      </c>
    </row>
    <row r="1930" spans="13:54" x14ac:dyDescent="0.25">
      <c r="M1930" s="377"/>
      <c r="BB1930" s="83" t="str">
        <f t="array" ref="BB1930">_xlfn.IFS(AQ1930="","",LEN(AQ1930)-LEN(SUBSTITUTE(AQ1930,".",""))=3,LEFT(AQ1930,vitri(".",AQ1930,3)-1),LEN(AQ1930)-LEN(SUBSTITUTE(AQ1930,".",""))=2,LEFT(AQ1930,vitri(".",AQ1930,2)-1),TRUE,LEFT(AQ1930,vitri(".",AQ1930,1)-1))</f>
        <v/>
      </c>
    </row>
    <row r="1931" spans="13:54" x14ac:dyDescent="0.25">
      <c r="M1931" s="377"/>
      <c r="BB1931" s="83" t="str">
        <f t="array" ref="BB1931">_xlfn.IFS(AQ1931="","",LEN(AQ1931)-LEN(SUBSTITUTE(AQ1931,".",""))=3,LEFT(AQ1931,vitri(".",AQ1931,3)-1),LEN(AQ1931)-LEN(SUBSTITUTE(AQ1931,".",""))=2,LEFT(AQ1931,vitri(".",AQ1931,2)-1),TRUE,LEFT(AQ1931,vitri(".",AQ1931,1)-1))</f>
        <v/>
      </c>
    </row>
    <row r="1932" spans="13:54" x14ac:dyDescent="0.25">
      <c r="M1932" s="377"/>
      <c r="BB1932" s="83" t="str">
        <f t="array" ref="BB1932">_xlfn.IFS(AQ1932="","",LEN(AQ1932)-LEN(SUBSTITUTE(AQ1932,".",""))=3,LEFT(AQ1932,vitri(".",AQ1932,3)-1),LEN(AQ1932)-LEN(SUBSTITUTE(AQ1932,".",""))=2,LEFT(AQ1932,vitri(".",AQ1932,2)-1),TRUE,LEFT(AQ1932,vitri(".",AQ1932,1)-1))</f>
        <v/>
      </c>
    </row>
    <row r="1933" spans="13:54" x14ac:dyDescent="0.25">
      <c r="M1933" s="377"/>
      <c r="BB1933" s="83" t="str">
        <f t="array" ref="BB1933">_xlfn.IFS(AQ1933="","",LEN(AQ1933)-LEN(SUBSTITUTE(AQ1933,".",""))=3,LEFT(AQ1933,vitri(".",AQ1933,3)-1),LEN(AQ1933)-LEN(SUBSTITUTE(AQ1933,".",""))=2,LEFT(AQ1933,vitri(".",AQ1933,2)-1),TRUE,LEFT(AQ1933,vitri(".",AQ1933,1)-1))</f>
        <v/>
      </c>
    </row>
    <row r="1934" spans="13:54" x14ac:dyDescent="0.25">
      <c r="M1934" s="377"/>
      <c r="BB1934" s="83" t="str">
        <f t="array" ref="BB1934">_xlfn.IFS(AQ1934="","",LEN(AQ1934)-LEN(SUBSTITUTE(AQ1934,".",""))=3,LEFT(AQ1934,vitri(".",AQ1934,3)-1),LEN(AQ1934)-LEN(SUBSTITUTE(AQ1934,".",""))=2,LEFT(AQ1934,vitri(".",AQ1934,2)-1),TRUE,LEFT(AQ1934,vitri(".",AQ1934,1)-1))</f>
        <v/>
      </c>
    </row>
    <row r="1935" spans="13:54" x14ac:dyDescent="0.25">
      <c r="M1935" s="377"/>
      <c r="BB1935" s="83" t="str">
        <f t="array" ref="BB1935">_xlfn.IFS(AQ1935="","",LEN(AQ1935)-LEN(SUBSTITUTE(AQ1935,".",""))=3,LEFT(AQ1935,vitri(".",AQ1935,3)-1),LEN(AQ1935)-LEN(SUBSTITUTE(AQ1935,".",""))=2,LEFT(AQ1935,vitri(".",AQ1935,2)-1),TRUE,LEFT(AQ1935,vitri(".",AQ1935,1)-1))</f>
        <v/>
      </c>
    </row>
    <row r="1936" spans="13:54" x14ac:dyDescent="0.25">
      <c r="M1936" s="377"/>
      <c r="BB1936" s="83" t="str">
        <f t="array" ref="BB1936">_xlfn.IFS(AQ1936="","",LEN(AQ1936)-LEN(SUBSTITUTE(AQ1936,".",""))=3,LEFT(AQ1936,vitri(".",AQ1936,3)-1),LEN(AQ1936)-LEN(SUBSTITUTE(AQ1936,".",""))=2,LEFT(AQ1936,vitri(".",AQ1936,2)-1),TRUE,LEFT(AQ1936,vitri(".",AQ1936,1)-1))</f>
        <v/>
      </c>
    </row>
    <row r="1937" spans="13:54" x14ac:dyDescent="0.25">
      <c r="M1937" s="377"/>
      <c r="BB1937" s="83" t="str">
        <f t="array" ref="BB1937">_xlfn.IFS(AQ1937="","",LEN(AQ1937)-LEN(SUBSTITUTE(AQ1937,".",""))=3,LEFT(AQ1937,vitri(".",AQ1937,3)-1),LEN(AQ1937)-LEN(SUBSTITUTE(AQ1937,".",""))=2,LEFT(AQ1937,vitri(".",AQ1937,2)-1),TRUE,LEFT(AQ1937,vitri(".",AQ1937,1)-1))</f>
        <v/>
      </c>
    </row>
    <row r="1938" spans="13:54" x14ac:dyDescent="0.25">
      <c r="M1938" s="377"/>
      <c r="BB1938" s="83" t="str">
        <f t="array" ref="BB1938">_xlfn.IFS(AQ1938="","",LEN(AQ1938)-LEN(SUBSTITUTE(AQ1938,".",""))=3,LEFT(AQ1938,vitri(".",AQ1938,3)-1),LEN(AQ1938)-LEN(SUBSTITUTE(AQ1938,".",""))=2,LEFT(AQ1938,vitri(".",AQ1938,2)-1),TRUE,LEFT(AQ1938,vitri(".",AQ1938,1)-1))</f>
        <v/>
      </c>
    </row>
    <row r="1939" spans="13:54" x14ac:dyDescent="0.25">
      <c r="M1939" s="377"/>
      <c r="BB1939" s="83" t="str">
        <f t="array" ref="BB1939">_xlfn.IFS(AQ1939="","",LEN(AQ1939)-LEN(SUBSTITUTE(AQ1939,".",""))=3,LEFT(AQ1939,vitri(".",AQ1939,3)-1),LEN(AQ1939)-LEN(SUBSTITUTE(AQ1939,".",""))=2,LEFT(AQ1939,vitri(".",AQ1939,2)-1),TRUE,LEFT(AQ1939,vitri(".",AQ1939,1)-1))</f>
        <v/>
      </c>
    </row>
    <row r="1940" spans="13:54" x14ac:dyDescent="0.25">
      <c r="M1940" s="377"/>
      <c r="BB1940" s="83" t="str">
        <f t="array" ref="BB1940">_xlfn.IFS(AQ1940="","",LEN(AQ1940)-LEN(SUBSTITUTE(AQ1940,".",""))=3,LEFT(AQ1940,vitri(".",AQ1940,3)-1),LEN(AQ1940)-LEN(SUBSTITUTE(AQ1940,".",""))=2,LEFT(AQ1940,vitri(".",AQ1940,2)-1),TRUE,LEFT(AQ1940,vitri(".",AQ1940,1)-1))</f>
        <v/>
      </c>
    </row>
    <row r="1941" spans="13:54" x14ac:dyDescent="0.25">
      <c r="M1941" s="377"/>
      <c r="BB1941" s="83" t="str">
        <f t="array" ref="BB1941">_xlfn.IFS(AQ1941="","",LEN(AQ1941)-LEN(SUBSTITUTE(AQ1941,".",""))=3,LEFT(AQ1941,vitri(".",AQ1941,3)-1),LEN(AQ1941)-LEN(SUBSTITUTE(AQ1941,".",""))=2,LEFT(AQ1941,vitri(".",AQ1941,2)-1),TRUE,LEFT(AQ1941,vitri(".",AQ1941,1)-1))</f>
        <v/>
      </c>
    </row>
    <row r="1942" spans="13:54" x14ac:dyDescent="0.25">
      <c r="M1942" s="377"/>
      <c r="BB1942" s="83" t="str">
        <f t="array" ref="BB1942">_xlfn.IFS(AQ1942="","",LEN(AQ1942)-LEN(SUBSTITUTE(AQ1942,".",""))=3,LEFT(AQ1942,vitri(".",AQ1942,3)-1),LEN(AQ1942)-LEN(SUBSTITUTE(AQ1942,".",""))=2,LEFT(AQ1942,vitri(".",AQ1942,2)-1),TRUE,LEFT(AQ1942,vitri(".",AQ1942,1)-1))</f>
        <v/>
      </c>
    </row>
    <row r="1943" spans="13:54" x14ac:dyDescent="0.25">
      <c r="M1943" s="377"/>
      <c r="BB1943" s="83" t="str">
        <f t="array" ref="BB1943">_xlfn.IFS(AQ1943="","",LEN(AQ1943)-LEN(SUBSTITUTE(AQ1943,".",""))=3,LEFT(AQ1943,vitri(".",AQ1943,3)-1),LEN(AQ1943)-LEN(SUBSTITUTE(AQ1943,".",""))=2,LEFT(AQ1943,vitri(".",AQ1943,2)-1),TRUE,LEFT(AQ1943,vitri(".",AQ1943,1)-1))</f>
        <v/>
      </c>
    </row>
    <row r="1944" spans="13:54" x14ac:dyDescent="0.25">
      <c r="M1944" s="377"/>
      <c r="BB1944" s="83" t="str">
        <f t="array" ref="BB1944">_xlfn.IFS(AQ1944="","",LEN(AQ1944)-LEN(SUBSTITUTE(AQ1944,".",""))=3,LEFT(AQ1944,vitri(".",AQ1944,3)-1),LEN(AQ1944)-LEN(SUBSTITUTE(AQ1944,".",""))=2,LEFT(AQ1944,vitri(".",AQ1944,2)-1),TRUE,LEFT(AQ1944,vitri(".",AQ1944,1)-1))</f>
        <v/>
      </c>
    </row>
    <row r="1945" spans="13:54" x14ac:dyDescent="0.25">
      <c r="M1945" s="377"/>
      <c r="BB1945" s="83" t="str">
        <f t="array" ref="BB1945">_xlfn.IFS(AQ1945="","",LEN(AQ1945)-LEN(SUBSTITUTE(AQ1945,".",""))=3,LEFT(AQ1945,vitri(".",AQ1945,3)-1),LEN(AQ1945)-LEN(SUBSTITUTE(AQ1945,".",""))=2,LEFT(AQ1945,vitri(".",AQ1945,2)-1),TRUE,LEFT(AQ1945,vitri(".",AQ1945,1)-1))</f>
        <v/>
      </c>
    </row>
    <row r="1946" spans="13:54" x14ac:dyDescent="0.25">
      <c r="M1946" s="377"/>
      <c r="BB1946" s="83" t="str">
        <f t="array" ref="BB1946">_xlfn.IFS(AQ1946="","",LEN(AQ1946)-LEN(SUBSTITUTE(AQ1946,".",""))=3,LEFT(AQ1946,vitri(".",AQ1946,3)-1),LEN(AQ1946)-LEN(SUBSTITUTE(AQ1946,".",""))=2,LEFT(AQ1946,vitri(".",AQ1946,2)-1),TRUE,LEFT(AQ1946,vitri(".",AQ1946,1)-1))</f>
        <v/>
      </c>
    </row>
    <row r="1947" spans="13:54" x14ac:dyDescent="0.25">
      <c r="M1947" s="377"/>
      <c r="BB1947" s="83" t="str">
        <f t="array" ref="BB1947">_xlfn.IFS(AQ1947="","",LEN(AQ1947)-LEN(SUBSTITUTE(AQ1947,".",""))=3,LEFT(AQ1947,vitri(".",AQ1947,3)-1),LEN(AQ1947)-LEN(SUBSTITUTE(AQ1947,".",""))=2,LEFT(AQ1947,vitri(".",AQ1947,2)-1),TRUE,LEFT(AQ1947,vitri(".",AQ1947,1)-1))</f>
        <v/>
      </c>
    </row>
    <row r="1948" spans="13:54" x14ac:dyDescent="0.25">
      <c r="M1948" s="377"/>
      <c r="BB1948" s="83" t="str">
        <f t="array" ref="BB1948">_xlfn.IFS(AQ1948="","",LEN(AQ1948)-LEN(SUBSTITUTE(AQ1948,".",""))=3,LEFT(AQ1948,vitri(".",AQ1948,3)-1),LEN(AQ1948)-LEN(SUBSTITUTE(AQ1948,".",""))=2,LEFT(AQ1948,vitri(".",AQ1948,2)-1),TRUE,LEFT(AQ1948,vitri(".",AQ1948,1)-1))</f>
        <v/>
      </c>
    </row>
    <row r="1949" spans="13:54" x14ac:dyDescent="0.25">
      <c r="M1949" s="377"/>
      <c r="BB1949" s="83" t="str">
        <f t="array" ref="BB1949">_xlfn.IFS(AQ1949="","",LEN(AQ1949)-LEN(SUBSTITUTE(AQ1949,".",""))=3,LEFT(AQ1949,vitri(".",AQ1949,3)-1),LEN(AQ1949)-LEN(SUBSTITUTE(AQ1949,".",""))=2,LEFT(AQ1949,vitri(".",AQ1949,2)-1),TRUE,LEFT(AQ1949,vitri(".",AQ1949,1)-1))</f>
        <v/>
      </c>
    </row>
    <row r="1950" spans="13:54" x14ac:dyDescent="0.25">
      <c r="M1950" s="377"/>
      <c r="BB1950" s="83" t="str">
        <f t="array" ref="BB1950">_xlfn.IFS(AQ1950="","",LEN(AQ1950)-LEN(SUBSTITUTE(AQ1950,".",""))=3,LEFT(AQ1950,vitri(".",AQ1950,3)-1),LEN(AQ1950)-LEN(SUBSTITUTE(AQ1950,".",""))=2,LEFT(AQ1950,vitri(".",AQ1950,2)-1),TRUE,LEFT(AQ1950,vitri(".",AQ1950,1)-1))</f>
        <v/>
      </c>
    </row>
    <row r="1951" spans="13:54" x14ac:dyDescent="0.25">
      <c r="M1951" s="377"/>
      <c r="BB1951" s="83" t="str">
        <f t="array" ref="BB1951">_xlfn.IFS(AQ1951="","",LEN(AQ1951)-LEN(SUBSTITUTE(AQ1951,".",""))=3,LEFT(AQ1951,vitri(".",AQ1951,3)-1),LEN(AQ1951)-LEN(SUBSTITUTE(AQ1951,".",""))=2,LEFT(AQ1951,vitri(".",AQ1951,2)-1),TRUE,LEFT(AQ1951,vitri(".",AQ1951,1)-1))</f>
        <v/>
      </c>
    </row>
    <row r="1952" spans="13:54" x14ac:dyDescent="0.25">
      <c r="M1952" s="377"/>
      <c r="BB1952" s="83" t="str">
        <f t="array" ref="BB1952">_xlfn.IFS(AQ1952="","",LEN(AQ1952)-LEN(SUBSTITUTE(AQ1952,".",""))=3,LEFT(AQ1952,vitri(".",AQ1952,3)-1),LEN(AQ1952)-LEN(SUBSTITUTE(AQ1952,".",""))=2,LEFT(AQ1952,vitri(".",AQ1952,2)-1),TRUE,LEFT(AQ1952,vitri(".",AQ1952,1)-1))</f>
        <v/>
      </c>
    </row>
    <row r="1953" spans="13:54" x14ac:dyDescent="0.25">
      <c r="M1953" s="377"/>
      <c r="BB1953" s="83" t="str">
        <f t="array" ref="BB1953">_xlfn.IFS(AQ1953="","",LEN(AQ1953)-LEN(SUBSTITUTE(AQ1953,".",""))=3,LEFT(AQ1953,vitri(".",AQ1953,3)-1),LEN(AQ1953)-LEN(SUBSTITUTE(AQ1953,".",""))=2,LEFT(AQ1953,vitri(".",AQ1953,2)-1),TRUE,LEFT(AQ1953,vitri(".",AQ1953,1)-1))</f>
        <v/>
      </c>
    </row>
    <row r="1954" spans="13:54" x14ac:dyDescent="0.25">
      <c r="M1954" s="377"/>
      <c r="BB1954" s="83" t="str">
        <f t="array" ref="BB1954">_xlfn.IFS(AQ1954="","",LEN(AQ1954)-LEN(SUBSTITUTE(AQ1954,".",""))=3,LEFT(AQ1954,vitri(".",AQ1954,3)-1),LEN(AQ1954)-LEN(SUBSTITUTE(AQ1954,".",""))=2,LEFT(AQ1954,vitri(".",AQ1954,2)-1),TRUE,LEFT(AQ1954,vitri(".",AQ1954,1)-1))</f>
        <v/>
      </c>
    </row>
    <row r="1955" spans="13:54" x14ac:dyDescent="0.25">
      <c r="M1955" s="377"/>
      <c r="BB1955" s="83" t="str">
        <f t="array" ref="BB1955">_xlfn.IFS(AQ1955="","",LEN(AQ1955)-LEN(SUBSTITUTE(AQ1955,".",""))=3,LEFT(AQ1955,vitri(".",AQ1955,3)-1),LEN(AQ1955)-LEN(SUBSTITUTE(AQ1955,".",""))=2,LEFT(AQ1955,vitri(".",AQ1955,2)-1),TRUE,LEFT(AQ1955,vitri(".",AQ1955,1)-1))</f>
        <v/>
      </c>
    </row>
    <row r="1956" spans="13:54" x14ac:dyDescent="0.25">
      <c r="M1956" s="377"/>
      <c r="BB1956" s="83" t="str">
        <f t="array" ref="BB1956">_xlfn.IFS(AQ1956="","",LEN(AQ1956)-LEN(SUBSTITUTE(AQ1956,".",""))=3,LEFT(AQ1956,vitri(".",AQ1956,3)-1),LEN(AQ1956)-LEN(SUBSTITUTE(AQ1956,".",""))=2,LEFT(AQ1956,vitri(".",AQ1956,2)-1),TRUE,LEFT(AQ1956,vitri(".",AQ1956,1)-1))</f>
        <v/>
      </c>
    </row>
    <row r="1957" spans="13:54" x14ac:dyDescent="0.25">
      <c r="M1957" s="377"/>
      <c r="BB1957" s="83" t="str">
        <f t="array" ref="BB1957">_xlfn.IFS(AQ1957="","",LEN(AQ1957)-LEN(SUBSTITUTE(AQ1957,".",""))=3,LEFT(AQ1957,vitri(".",AQ1957,3)-1),LEN(AQ1957)-LEN(SUBSTITUTE(AQ1957,".",""))=2,LEFT(AQ1957,vitri(".",AQ1957,2)-1),TRUE,LEFT(AQ1957,vitri(".",AQ1957,1)-1))</f>
        <v/>
      </c>
    </row>
    <row r="1958" spans="13:54" x14ac:dyDescent="0.25">
      <c r="M1958" s="377"/>
      <c r="BB1958" s="83" t="str">
        <f t="array" ref="BB1958">_xlfn.IFS(AQ1958="","",LEN(AQ1958)-LEN(SUBSTITUTE(AQ1958,".",""))=3,LEFT(AQ1958,vitri(".",AQ1958,3)-1),LEN(AQ1958)-LEN(SUBSTITUTE(AQ1958,".",""))=2,LEFT(AQ1958,vitri(".",AQ1958,2)-1),TRUE,LEFT(AQ1958,vitri(".",AQ1958,1)-1))</f>
        <v/>
      </c>
    </row>
    <row r="1959" spans="13:54" x14ac:dyDescent="0.25">
      <c r="M1959" s="377"/>
      <c r="BB1959" s="83" t="str">
        <f t="array" ref="BB1959">_xlfn.IFS(AQ1959="","",LEN(AQ1959)-LEN(SUBSTITUTE(AQ1959,".",""))=3,LEFT(AQ1959,vitri(".",AQ1959,3)-1),LEN(AQ1959)-LEN(SUBSTITUTE(AQ1959,".",""))=2,LEFT(AQ1959,vitri(".",AQ1959,2)-1),TRUE,LEFT(AQ1959,vitri(".",AQ1959,1)-1))</f>
        <v/>
      </c>
    </row>
    <row r="1960" spans="13:54" x14ac:dyDescent="0.25">
      <c r="M1960" s="377"/>
      <c r="BB1960" s="83" t="str">
        <f t="array" ref="BB1960">_xlfn.IFS(AQ1960="","",LEN(AQ1960)-LEN(SUBSTITUTE(AQ1960,".",""))=3,LEFT(AQ1960,vitri(".",AQ1960,3)-1),LEN(AQ1960)-LEN(SUBSTITUTE(AQ1960,".",""))=2,LEFT(AQ1960,vitri(".",AQ1960,2)-1),TRUE,LEFT(AQ1960,vitri(".",AQ1960,1)-1))</f>
        <v/>
      </c>
    </row>
    <row r="1961" spans="13:54" x14ac:dyDescent="0.25">
      <c r="M1961" s="377"/>
      <c r="BB1961" s="83" t="str">
        <f t="array" ref="BB1961">_xlfn.IFS(AQ1961="","",LEN(AQ1961)-LEN(SUBSTITUTE(AQ1961,".",""))=3,LEFT(AQ1961,vitri(".",AQ1961,3)-1),LEN(AQ1961)-LEN(SUBSTITUTE(AQ1961,".",""))=2,LEFT(AQ1961,vitri(".",AQ1961,2)-1),TRUE,LEFT(AQ1961,vitri(".",AQ1961,1)-1))</f>
        <v/>
      </c>
    </row>
    <row r="1962" spans="13:54" x14ac:dyDescent="0.25">
      <c r="M1962" s="377"/>
      <c r="BB1962" s="83" t="str">
        <f t="array" ref="BB1962">_xlfn.IFS(AQ1962="","",LEN(AQ1962)-LEN(SUBSTITUTE(AQ1962,".",""))=3,LEFT(AQ1962,vitri(".",AQ1962,3)-1),LEN(AQ1962)-LEN(SUBSTITUTE(AQ1962,".",""))=2,LEFT(AQ1962,vitri(".",AQ1962,2)-1),TRUE,LEFT(AQ1962,vitri(".",AQ1962,1)-1))</f>
        <v/>
      </c>
    </row>
    <row r="1963" spans="13:54" x14ac:dyDescent="0.25">
      <c r="M1963" s="377"/>
      <c r="BB1963" s="83" t="str">
        <f t="array" ref="BB1963">_xlfn.IFS(AQ1963="","",LEN(AQ1963)-LEN(SUBSTITUTE(AQ1963,".",""))=3,LEFT(AQ1963,vitri(".",AQ1963,3)-1),LEN(AQ1963)-LEN(SUBSTITUTE(AQ1963,".",""))=2,LEFT(AQ1963,vitri(".",AQ1963,2)-1),TRUE,LEFT(AQ1963,vitri(".",AQ1963,1)-1))</f>
        <v/>
      </c>
    </row>
    <row r="1964" spans="13:54" x14ac:dyDescent="0.25">
      <c r="M1964" s="377"/>
      <c r="BB1964" s="83" t="str">
        <f t="array" ref="BB1964">_xlfn.IFS(AQ1964="","",LEN(AQ1964)-LEN(SUBSTITUTE(AQ1964,".",""))=3,LEFT(AQ1964,vitri(".",AQ1964,3)-1),LEN(AQ1964)-LEN(SUBSTITUTE(AQ1964,".",""))=2,LEFT(AQ1964,vitri(".",AQ1964,2)-1),TRUE,LEFT(AQ1964,vitri(".",AQ1964,1)-1))</f>
        <v/>
      </c>
    </row>
    <row r="1965" spans="13:54" x14ac:dyDescent="0.25">
      <c r="M1965" s="377"/>
      <c r="BB1965" s="83" t="str">
        <f t="array" ref="BB1965">_xlfn.IFS(AQ1965="","",LEN(AQ1965)-LEN(SUBSTITUTE(AQ1965,".",""))=3,LEFT(AQ1965,vitri(".",AQ1965,3)-1),LEN(AQ1965)-LEN(SUBSTITUTE(AQ1965,".",""))=2,LEFT(AQ1965,vitri(".",AQ1965,2)-1),TRUE,LEFT(AQ1965,vitri(".",AQ1965,1)-1))</f>
        <v/>
      </c>
    </row>
    <row r="1966" spans="13:54" x14ac:dyDescent="0.25">
      <c r="M1966" s="377"/>
      <c r="BB1966" s="83" t="str">
        <f t="array" ref="BB1966">_xlfn.IFS(AQ1966="","",LEN(AQ1966)-LEN(SUBSTITUTE(AQ1966,".",""))=3,LEFT(AQ1966,vitri(".",AQ1966,3)-1),LEN(AQ1966)-LEN(SUBSTITUTE(AQ1966,".",""))=2,LEFT(AQ1966,vitri(".",AQ1966,2)-1),TRUE,LEFT(AQ1966,vitri(".",AQ1966,1)-1))</f>
        <v/>
      </c>
    </row>
    <row r="1967" spans="13:54" x14ac:dyDescent="0.25">
      <c r="M1967" s="377"/>
      <c r="BB1967" s="83" t="str">
        <f t="array" ref="BB1967">_xlfn.IFS(AQ1967="","",LEN(AQ1967)-LEN(SUBSTITUTE(AQ1967,".",""))=3,LEFT(AQ1967,vitri(".",AQ1967,3)-1),LEN(AQ1967)-LEN(SUBSTITUTE(AQ1967,".",""))=2,LEFT(AQ1967,vitri(".",AQ1967,2)-1),TRUE,LEFT(AQ1967,vitri(".",AQ1967,1)-1))</f>
        <v/>
      </c>
    </row>
    <row r="1968" spans="13:54" x14ac:dyDescent="0.25">
      <c r="M1968" s="377"/>
      <c r="BB1968" s="83" t="str">
        <f t="array" ref="BB1968">_xlfn.IFS(AQ1968="","",LEN(AQ1968)-LEN(SUBSTITUTE(AQ1968,".",""))=3,LEFT(AQ1968,vitri(".",AQ1968,3)-1),LEN(AQ1968)-LEN(SUBSTITUTE(AQ1968,".",""))=2,LEFT(AQ1968,vitri(".",AQ1968,2)-1),TRUE,LEFT(AQ1968,vitri(".",AQ1968,1)-1))</f>
        <v/>
      </c>
    </row>
    <row r="1969" spans="13:54" x14ac:dyDescent="0.25">
      <c r="M1969" s="377"/>
      <c r="BB1969" s="83" t="str">
        <f t="array" ref="BB1969">_xlfn.IFS(AQ1969="","",LEN(AQ1969)-LEN(SUBSTITUTE(AQ1969,".",""))=3,LEFT(AQ1969,vitri(".",AQ1969,3)-1),LEN(AQ1969)-LEN(SUBSTITUTE(AQ1969,".",""))=2,LEFT(AQ1969,vitri(".",AQ1969,2)-1),TRUE,LEFT(AQ1969,vitri(".",AQ1969,1)-1))</f>
        <v/>
      </c>
    </row>
    <row r="1970" spans="13:54" x14ac:dyDescent="0.25">
      <c r="M1970" s="377"/>
      <c r="BB1970" s="83" t="str">
        <f t="array" ref="BB1970">_xlfn.IFS(AQ1970="","",LEN(AQ1970)-LEN(SUBSTITUTE(AQ1970,".",""))=3,LEFT(AQ1970,vitri(".",AQ1970,3)-1),LEN(AQ1970)-LEN(SUBSTITUTE(AQ1970,".",""))=2,LEFT(AQ1970,vitri(".",AQ1970,2)-1),TRUE,LEFT(AQ1970,vitri(".",AQ1970,1)-1))</f>
        <v/>
      </c>
    </row>
    <row r="1971" spans="13:54" x14ac:dyDescent="0.25">
      <c r="M1971" s="377"/>
      <c r="BB1971" s="83" t="str">
        <f t="array" ref="BB1971">_xlfn.IFS(AQ1971="","",LEN(AQ1971)-LEN(SUBSTITUTE(AQ1971,".",""))=3,LEFT(AQ1971,vitri(".",AQ1971,3)-1),LEN(AQ1971)-LEN(SUBSTITUTE(AQ1971,".",""))=2,LEFT(AQ1971,vitri(".",AQ1971,2)-1),TRUE,LEFT(AQ1971,vitri(".",AQ1971,1)-1))</f>
        <v/>
      </c>
    </row>
    <row r="1972" spans="13:54" x14ac:dyDescent="0.25">
      <c r="M1972" s="377"/>
      <c r="BB1972" s="83" t="str">
        <f t="array" ref="BB1972">_xlfn.IFS(AQ1972="","",LEN(AQ1972)-LEN(SUBSTITUTE(AQ1972,".",""))=3,LEFT(AQ1972,vitri(".",AQ1972,3)-1),LEN(AQ1972)-LEN(SUBSTITUTE(AQ1972,".",""))=2,LEFT(AQ1972,vitri(".",AQ1972,2)-1),TRUE,LEFT(AQ1972,vitri(".",AQ1972,1)-1))</f>
        <v/>
      </c>
    </row>
    <row r="1973" spans="13:54" x14ac:dyDescent="0.25">
      <c r="M1973" s="377"/>
      <c r="BB1973" s="83" t="str">
        <f t="array" ref="BB1973">_xlfn.IFS(AQ1973="","",LEN(AQ1973)-LEN(SUBSTITUTE(AQ1973,".",""))=3,LEFT(AQ1973,vitri(".",AQ1973,3)-1),LEN(AQ1973)-LEN(SUBSTITUTE(AQ1973,".",""))=2,LEFT(AQ1973,vitri(".",AQ1973,2)-1),TRUE,LEFT(AQ1973,vitri(".",AQ1973,1)-1))</f>
        <v/>
      </c>
    </row>
    <row r="1974" spans="13:54" x14ac:dyDescent="0.25">
      <c r="M1974" s="377"/>
      <c r="BB1974" s="83" t="str">
        <f t="array" ref="BB1974">_xlfn.IFS(AQ1974="","",LEN(AQ1974)-LEN(SUBSTITUTE(AQ1974,".",""))=3,LEFT(AQ1974,vitri(".",AQ1974,3)-1),LEN(AQ1974)-LEN(SUBSTITUTE(AQ1974,".",""))=2,LEFT(AQ1974,vitri(".",AQ1974,2)-1),TRUE,LEFT(AQ1974,vitri(".",AQ1974,1)-1))</f>
        <v/>
      </c>
    </row>
    <row r="1975" spans="13:54" x14ac:dyDescent="0.25">
      <c r="M1975" s="377"/>
      <c r="BB1975" s="83" t="str">
        <f t="array" ref="BB1975">_xlfn.IFS(AQ1975="","",LEN(AQ1975)-LEN(SUBSTITUTE(AQ1975,".",""))=3,LEFT(AQ1975,vitri(".",AQ1975,3)-1),LEN(AQ1975)-LEN(SUBSTITUTE(AQ1975,".",""))=2,LEFT(AQ1975,vitri(".",AQ1975,2)-1),TRUE,LEFT(AQ1975,vitri(".",AQ1975,1)-1))</f>
        <v/>
      </c>
    </row>
    <row r="1976" spans="13:54" x14ac:dyDescent="0.25">
      <c r="M1976" s="377"/>
      <c r="BB1976" s="83" t="str">
        <f t="array" ref="BB1976">_xlfn.IFS(AQ1976="","",LEN(AQ1976)-LEN(SUBSTITUTE(AQ1976,".",""))=3,LEFT(AQ1976,vitri(".",AQ1976,3)-1),LEN(AQ1976)-LEN(SUBSTITUTE(AQ1976,".",""))=2,LEFT(AQ1976,vitri(".",AQ1976,2)-1),TRUE,LEFT(AQ1976,vitri(".",AQ1976,1)-1))</f>
        <v/>
      </c>
    </row>
    <row r="1977" spans="13:54" x14ac:dyDescent="0.25">
      <c r="M1977" s="377"/>
      <c r="BB1977" s="83" t="str">
        <f t="array" ref="BB1977">_xlfn.IFS(AQ1977="","",LEN(AQ1977)-LEN(SUBSTITUTE(AQ1977,".",""))=3,LEFT(AQ1977,vitri(".",AQ1977,3)-1),LEN(AQ1977)-LEN(SUBSTITUTE(AQ1977,".",""))=2,LEFT(AQ1977,vitri(".",AQ1977,2)-1),TRUE,LEFT(AQ1977,vitri(".",AQ1977,1)-1))</f>
        <v/>
      </c>
    </row>
    <row r="1978" spans="13:54" x14ac:dyDescent="0.25">
      <c r="M1978" s="377"/>
      <c r="BB1978" s="83" t="str">
        <f t="array" ref="BB1978">_xlfn.IFS(AQ1978="","",LEN(AQ1978)-LEN(SUBSTITUTE(AQ1978,".",""))=3,LEFT(AQ1978,vitri(".",AQ1978,3)-1),LEN(AQ1978)-LEN(SUBSTITUTE(AQ1978,".",""))=2,LEFT(AQ1978,vitri(".",AQ1978,2)-1),TRUE,LEFT(AQ1978,vitri(".",AQ1978,1)-1))</f>
        <v/>
      </c>
    </row>
    <row r="1979" spans="13:54" x14ac:dyDescent="0.25">
      <c r="M1979" s="377"/>
      <c r="BB1979" s="83" t="str">
        <f t="array" ref="BB1979">_xlfn.IFS(AQ1979="","",LEN(AQ1979)-LEN(SUBSTITUTE(AQ1979,".",""))=3,LEFT(AQ1979,vitri(".",AQ1979,3)-1),LEN(AQ1979)-LEN(SUBSTITUTE(AQ1979,".",""))=2,LEFT(AQ1979,vitri(".",AQ1979,2)-1),TRUE,LEFT(AQ1979,vitri(".",AQ1979,1)-1))</f>
        <v/>
      </c>
    </row>
    <row r="1980" spans="13:54" x14ac:dyDescent="0.25">
      <c r="M1980" s="377"/>
      <c r="BB1980" s="83" t="str">
        <f t="array" ref="BB1980">_xlfn.IFS(AQ1980="","",LEN(AQ1980)-LEN(SUBSTITUTE(AQ1980,".",""))=3,LEFT(AQ1980,vitri(".",AQ1980,3)-1),LEN(AQ1980)-LEN(SUBSTITUTE(AQ1980,".",""))=2,LEFT(AQ1980,vitri(".",AQ1980,2)-1),TRUE,LEFT(AQ1980,vitri(".",AQ1980,1)-1))</f>
        <v/>
      </c>
    </row>
    <row r="1981" spans="13:54" x14ac:dyDescent="0.25">
      <c r="M1981" s="377"/>
      <c r="BB1981" s="83" t="str">
        <f t="array" ref="BB1981">_xlfn.IFS(AQ1981="","",LEN(AQ1981)-LEN(SUBSTITUTE(AQ1981,".",""))=3,LEFT(AQ1981,vitri(".",AQ1981,3)-1),LEN(AQ1981)-LEN(SUBSTITUTE(AQ1981,".",""))=2,LEFT(AQ1981,vitri(".",AQ1981,2)-1),TRUE,LEFT(AQ1981,vitri(".",AQ1981,1)-1))</f>
        <v/>
      </c>
    </row>
    <row r="1982" spans="13:54" x14ac:dyDescent="0.25">
      <c r="M1982" s="377"/>
      <c r="BB1982" s="83" t="str">
        <f t="array" ref="BB1982">_xlfn.IFS(AQ1982="","",LEN(AQ1982)-LEN(SUBSTITUTE(AQ1982,".",""))=3,LEFT(AQ1982,vitri(".",AQ1982,3)-1),LEN(AQ1982)-LEN(SUBSTITUTE(AQ1982,".",""))=2,LEFT(AQ1982,vitri(".",AQ1982,2)-1),TRUE,LEFT(AQ1982,vitri(".",AQ1982,1)-1))</f>
        <v/>
      </c>
    </row>
    <row r="1983" spans="13:54" x14ac:dyDescent="0.25">
      <c r="M1983" s="377"/>
      <c r="BB1983" s="83" t="str">
        <f t="array" ref="BB1983">_xlfn.IFS(AQ1983="","",LEN(AQ1983)-LEN(SUBSTITUTE(AQ1983,".",""))=3,LEFT(AQ1983,vitri(".",AQ1983,3)-1),LEN(AQ1983)-LEN(SUBSTITUTE(AQ1983,".",""))=2,LEFT(AQ1983,vitri(".",AQ1983,2)-1),TRUE,LEFT(AQ1983,vitri(".",AQ1983,1)-1))</f>
        <v/>
      </c>
    </row>
    <row r="1984" spans="13:54" x14ac:dyDescent="0.25">
      <c r="M1984" s="377"/>
      <c r="BB1984" s="83" t="str">
        <f t="array" ref="BB1984">_xlfn.IFS(AQ1984="","",LEN(AQ1984)-LEN(SUBSTITUTE(AQ1984,".",""))=3,LEFT(AQ1984,vitri(".",AQ1984,3)-1),LEN(AQ1984)-LEN(SUBSTITUTE(AQ1984,".",""))=2,LEFT(AQ1984,vitri(".",AQ1984,2)-1),TRUE,LEFT(AQ1984,vitri(".",AQ1984,1)-1))</f>
        <v/>
      </c>
    </row>
    <row r="1985" spans="13:54" x14ac:dyDescent="0.25">
      <c r="M1985" s="377"/>
      <c r="BB1985" s="83" t="str">
        <f t="array" ref="BB1985">_xlfn.IFS(AQ1985="","",LEN(AQ1985)-LEN(SUBSTITUTE(AQ1985,".",""))=3,LEFT(AQ1985,vitri(".",AQ1985,3)-1),LEN(AQ1985)-LEN(SUBSTITUTE(AQ1985,".",""))=2,LEFT(AQ1985,vitri(".",AQ1985,2)-1),TRUE,LEFT(AQ1985,vitri(".",AQ1985,1)-1))</f>
        <v/>
      </c>
    </row>
    <row r="1986" spans="13:54" x14ac:dyDescent="0.25">
      <c r="M1986" s="377"/>
      <c r="BB1986" s="83" t="str">
        <f t="array" ref="BB1986">_xlfn.IFS(AQ1986="","",LEN(AQ1986)-LEN(SUBSTITUTE(AQ1986,".",""))=3,LEFT(AQ1986,vitri(".",AQ1986,3)-1),LEN(AQ1986)-LEN(SUBSTITUTE(AQ1986,".",""))=2,LEFT(AQ1986,vitri(".",AQ1986,2)-1),TRUE,LEFT(AQ1986,vitri(".",AQ1986,1)-1))</f>
        <v/>
      </c>
    </row>
    <row r="1987" spans="13:54" x14ac:dyDescent="0.25">
      <c r="M1987" s="377"/>
      <c r="BB1987" s="83" t="str">
        <f t="array" ref="BB1987">_xlfn.IFS(AQ1987="","",LEN(AQ1987)-LEN(SUBSTITUTE(AQ1987,".",""))=3,LEFT(AQ1987,vitri(".",AQ1987,3)-1),LEN(AQ1987)-LEN(SUBSTITUTE(AQ1987,".",""))=2,LEFT(AQ1987,vitri(".",AQ1987,2)-1),TRUE,LEFT(AQ1987,vitri(".",AQ1987,1)-1))</f>
        <v/>
      </c>
    </row>
    <row r="1988" spans="13:54" x14ac:dyDescent="0.25">
      <c r="M1988" s="377"/>
      <c r="BB1988" s="83" t="str">
        <f t="array" ref="BB1988">_xlfn.IFS(AQ1988="","",LEN(AQ1988)-LEN(SUBSTITUTE(AQ1988,".",""))=3,LEFT(AQ1988,vitri(".",AQ1988,3)-1),LEN(AQ1988)-LEN(SUBSTITUTE(AQ1988,".",""))=2,LEFT(AQ1988,vitri(".",AQ1988,2)-1),TRUE,LEFT(AQ1988,vitri(".",AQ1988,1)-1))</f>
        <v/>
      </c>
    </row>
    <row r="1989" spans="13:54" x14ac:dyDescent="0.25">
      <c r="M1989" s="377"/>
      <c r="BB1989" s="83" t="str">
        <f t="array" ref="BB1989">_xlfn.IFS(AQ1989="","",LEN(AQ1989)-LEN(SUBSTITUTE(AQ1989,".",""))=3,LEFT(AQ1989,vitri(".",AQ1989,3)-1),LEN(AQ1989)-LEN(SUBSTITUTE(AQ1989,".",""))=2,LEFT(AQ1989,vitri(".",AQ1989,2)-1),TRUE,LEFT(AQ1989,vitri(".",AQ1989,1)-1))</f>
        <v/>
      </c>
    </row>
    <row r="1990" spans="13:54" x14ac:dyDescent="0.25">
      <c r="M1990" s="377"/>
      <c r="BB1990" s="83" t="str">
        <f t="array" ref="BB1990">_xlfn.IFS(AQ1990="","",LEN(AQ1990)-LEN(SUBSTITUTE(AQ1990,".",""))=3,LEFT(AQ1990,vitri(".",AQ1990,3)-1),LEN(AQ1990)-LEN(SUBSTITUTE(AQ1990,".",""))=2,LEFT(AQ1990,vitri(".",AQ1990,2)-1),TRUE,LEFT(AQ1990,vitri(".",AQ1990,1)-1))</f>
        <v/>
      </c>
    </row>
    <row r="1991" spans="13:54" x14ac:dyDescent="0.25">
      <c r="M1991" s="377"/>
      <c r="BB1991" s="83" t="str">
        <f t="array" ref="BB1991">_xlfn.IFS(AQ1991="","",LEN(AQ1991)-LEN(SUBSTITUTE(AQ1991,".",""))=3,LEFT(AQ1991,vitri(".",AQ1991,3)-1),LEN(AQ1991)-LEN(SUBSTITUTE(AQ1991,".",""))=2,LEFT(AQ1991,vitri(".",AQ1991,2)-1),TRUE,LEFT(AQ1991,vitri(".",AQ1991,1)-1))</f>
        <v/>
      </c>
    </row>
    <row r="1992" spans="13:54" x14ac:dyDescent="0.25">
      <c r="M1992" s="377"/>
      <c r="BB1992" s="83" t="str">
        <f t="array" ref="BB1992">_xlfn.IFS(AQ1992="","",LEN(AQ1992)-LEN(SUBSTITUTE(AQ1992,".",""))=3,LEFT(AQ1992,vitri(".",AQ1992,3)-1),LEN(AQ1992)-LEN(SUBSTITUTE(AQ1992,".",""))=2,LEFT(AQ1992,vitri(".",AQ1992,2)-1),TRUE,LEFT(AQ1992,vitri(".",AQ1992,1)-1))</f>
        <v/>
      </c>
    </row>
    <row r="1993" spans="13:54" x14ac:dyDescent="0.25">
      <c r="M1993" s="377"/>
      <c r="BB1993" s="83" t="str">
        <f t="array" ref="BB1993">_xlfn.IFS(AQ1993="","",LEN(AQ1993)-LEN(SUBSTITUTE(AQ1993,".",""))=3,LEFT(AQ1993,vitri(".",AQ1993,3)-1),LEN(AQ1993)-LEN(SUBSTITUTE(AQ1993,".",""))=2,LEFT(AQ1993,vitri(".",AQ1993,2)-1),TRUE,LEFT(AQ1993,vitri(".",AQ1993,1)-1))</f>
        <v/>
      </c>
    </row>
    <row r="1994" spans="13:54" x14ac:dyDescent="0.25">
      <c r="M1994" s="377"/>
      <c r="BB1994" s="83" t="str">
        <f t="array" ref="BB1994">_xlfn.IFS(AQ1994="","",LEN(AQ1994)-LEN(SUBSTITUTE(AQ1994,".",""))=3,LEFT(AQ1994,vitri(".",AQ1994,3)-1),LEN(AQ1994)-LEN(SUBSTITUTE(AQ1994,".",""))=2,LEFT(AQ1994,vitri(".",AQ1994,2)-1),TRUE,LEFT(AQ1994,vitri(".",AQ1994,1)-1))</f>
        <v/>
      </c>
    </row>
    <row r="1995" spans="13:54" x14ac:dyDescent="0.25">
      <c r="M1995" s="377"/>
      <c r="BB1995" s="83" t="str">
        <f t="array" ref="BB1995">_xlfn.IFS(AQ1995="","",LEN(AQ1995)-LEN(SUBSTITUTE(AQ1995,".",""))=3,LEFT(AQ1995,vitri(".",AQ1995,3)-1),LEN(AQ1995)-LEN(SUBSTITUTE(AQ1995,".",""))=2,LEFT(AQ1995,vitri(".",AQ1995,2)-1),TRUE,LEFT(AQ1995,vitri(".",AQ1995,1)-1))</f>
        <v/>
      </c>
    </row>
    <row r="1996" spans="13:54" x14ac:dyDescent="0.25">
      <c r="M1996" s="377"/>
      <c r="BB1996" s="83" t="str">
        <f t="array" ref="BB1996">_xlfn.IFS(AQ1996="","",LEN(AQ1996)-LEN(SUBSTITUTE(AQ1996,".",""))=3,LEFT(AQ1996,vitri(".",AQ1996,3)-1),LEN(AQ1996)-LEN(SUBSTITUTE(AQ1996,".",""))=2,LEFT(AQ1996,vitri(".",AQ1996,2)-1),TRUE,LEFT(AQ1996,vitri(".",AQ1996,1)-1))</f>
        <v/>
      </c>
    </row>
    <row r="1997" spans="13:54" x14ac:dyDescent="0.25">
      <c r="M1997" s="377"/>
      <c r="BB1997" s="83" t="str">
        <f t="array" ref="BB1997">_xlfn.IFS(AQ1997="","",LEN(AQ1997)-LEN(SUBSTITUTE(AQ1997,".",""))=3,LEFT(AQ1997,vitri(".",AQ1997,3)-1),LEN(AQ1997)-LEN(SUBSTITUTE(AQ1997,".",""))=2,LEFT(AQ1997,vitri(".",AQ1997,2)-1),TRUE,LEFT(AQ1997,vitri(".",AQ1997,1)-1))</f>
        <v/>
      </c>
    </row>
    <row r="1998" spans="13:54" x14ac:dyDescent="0.25">
      <c r="M1998" s="377"/>
      <c r="BB1998" s="83" t="str">
        <f t="array" ref="BB1998">_xlfn.IFS(AQ1998="","",LEN(AQ1998)-LEN(SUBSTITUTE(AQ1998,".",""))=3,LEFT(AQ1998,vitri(".",AQ1998,3)-1),LEN(AQ1998)-LEN(SUBSTITUTE(AQ1998,".",""))=2,LEFT(AQ1998,vitri(".",AQ1998,2)-1),TRUE,LEFT(AQ1998,vitri(".",AQ1998,1)-1))</f>
        <v/>
      </c>
    </row>
    <row r="1999" spans="13:54" x14ac:dyDescent="0.25">
      <c r="M1999" s="377"/>
      <c r="BB1999" s="83" t="str">
        <f t="array" ref="BB1999">_xlfn.IFS(AQ1999="","",LEN(AQ1999)-LEN(SUBSTITUTE(AQ1999,".",""))=3,LEFT(AQ1999,vitri(".",AQ1999,3)-1),LEN(AQ1999)-LEN(SUBSTITUTE(AQ1999,".",""))=2,LEFT(AQ1999,vitri(".",AQ1999,2)-1),TRUE,LEFT(AQ1999,vitri(".",AQ1999,1)-1))</f>
        <v/>
      </c>
    </row>
    <row r="2000" spans="13:54" x14ac:dyDescent="0.25">
      <c r="M2000" s="377"/>
      <c r="BB2000" s="83" t="str">
        <f t="array" ref="BB2000">_xlfn.IFS(AQ2000="","",LEN(AQ2000)-LEN(SUBSTITUTE(AQ2000,".",""))=3,LEFT(AQ2000,vitri(".",AQ2000,3)-1),LEN(AQ2000)-LEN(SUBSTITUTE(AQ2000,".",""))=2,LEFT(AQ2000,vitri(".",AQ2000,2)-1),TRUE,LEFT(AQ2000,vitri(".",AQ2000,1)-1))</f>
        <v/>
      </c>
    </row>
  </sheetData>
  <sheetProtection algorithmName="SHA-512" hashValue="sa3ke7+Buaks37ud+uOqQ9QRpSEDhynFYJZMFbzCh/2DzSQhVYrGUZPlbXpDQhqwtNT+ftCJQoZ5hZlHEUlPSA==" saltValue="lwH3unm9Sv9+l5QfZNeouQ==" spinCount="100000" sheet="1" objects="1" scenarios="1" selectLockedCells="1" selectUnlockedCells="1"/>
  <sortState xmlns:xlrd2="http://schemas.microsoft.com/office/spreadsheetml/2017/richdata2" ref="AQ4:AQ6">
    <sortCondition ref="AQ4:AQ6"/>
  </sortState>
  <phoneticPr fontId="1" type="noConversion"/>
  <conditionalFormatting sqref="Y5:Y6">
    <cfRule type="expression" dxfId="85" priority="19">
      <formula>MOD(ROW(),2)&gt;0</formula>
    </cfRule>
  </conditionalFormatting>
  <conditionalFormatting sqref="AA4:AA62">
    <cfRule type="expression" dxfId="84" priority="18">
      <formula>MOD(ROW(),2)&gt;0</formula>
    </cfRule>
  </conditionalFormatting>
  <conditionalFormatting sqref="AL5:AL6">
    <cfRule type="expression" dxfId="83" priority="17">
      <formula>MOD(ROW(),2)&gt;0</formula>
    </cfRule>
  </conditionalFormatting>
  <conditionalFormatting sqref="AN4:AN62">
    <cfRule type="expression" dxfId="82" priority="16">
      <formula>MOD(ROW(),2)&gt;0</formula>
    </cfRule>
  </conditionalFormatting>
  <conditionalFormatting sqref="M4:M60">
    <cfRule type="duplicateValues" dxfId="81" priority="6"/>
    <cfRule type="duplicateValues" dxfId="80" priority="8"/>
    <cfRule type="duplicateValues" dxfId="79" priority="10"/>
    <cfRule type="duplicateValues" dxfId="78" priority="12"/>
    <cfRule type="duplicateValues" dxfId="77" priority="14"/>
    <cfRule type="duplicateValues" dxfId="76" priority="4"/>
    <cfRule type="duplicateValues" dxfId="75" priority="2"/>
  </conditionalFormatting>
  <conditionalFormatting sqref="K4:K60">
    <cfRule type="duplicateValues" dxfId="74" priority="5"/>
    <cfRule type="duplicateValues" dxfId="73" priority="7"/>
    <cfRule type="duplicateValues" dxfId="72" priority="9"/>
    <cfRule type="duplicateValues" dxfId="71" priority="11"/>
    <cfRule type="duplicateValues" dxfId="70" priority="13"/>
    <cfRule type="duplicateValues" dxfId="69" priority="3"/>
    <cfRule type="duplicateValues" dxfId="68" priority="1"/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1"/>
  <dimension ref="A1:M71"/>
  <sheetViews>
    <sheetView zoomScaleNormal="100" zoomScaleSheetLayoutView="100" workbookViewId="0">
      <pane xSplit="1" ySplit="3" topLeftCell="B4" activePane="bottomRight" state="frozen"/>
      <selection activeCell="I16" sqref="I16"/>
      <selection pane="topRight" activeCell="I16" sqref="I16"/>
      <selection pane="bottomLeft" activeCell="I16" sqref="I16"/>
      <selection pane="bottomRight" activeCell="B16" sqref="B16:C16"/>
    </sheetView>
  </sheetViews>
  <sheetFormatPr defaultColWidth="9.140625" defaultRowHeight="15" x14ac:dyDescent="0.25"/>
  <cols>
    <col min="1" max="1" width="8" style="1" customWidth="1"/>
    <col min="2" max="2" width="21.85546875" style="1" customWidth="1"/>
    <col min="3" max="3" width="18.7109375" style="3" customWidth="1"/>
    <col min="4" max="4" width="6.85546875" style="152" customWidth="1"/>
    <col min="5" max="5" width="32.5703125" style="1" customWidth="1"/>
    <col min="6" max="6" width="21" style="2" customWidth="1"/>
    <col min="7" max="7" width="6.85546875" style="152" customWidth="1"/>
    <col min="8" max="8" width="26.42578125" style="1" customWidth="1"/>
    <col min="9" max="9" width="16.7109375" style="2" customWidth="1"/>
    <col min="10" max="10" width="7" style="2" customWidth="1"/>
    <col min="11" max="11" width="22.28515625" style="1" customWidth="1"/>
    <col min="12" max="12" width="14" style="2" customWidth="1"/>
    <col min="13" max="13" width="16.140625" style="72" customWidth="1"/>
    <col min="14" max="16384" width="9.140625" style="72"/>
  </cols>
  <sheetData>
    <row r="1" spans="1:13" s="7" customFormat="1" ht="16.5" customHeight="1" x14ac:dyDescent="0.25">
      <c r="C1" s="80"/>
      <c r="D1" s="150"/>
      <c r="E1" s="81"/>
      <c r="G1" s="150"/>
      <c r="H1" s="24"/>
      <c r="K1" s="24"/>
    </row>
    <row r="2" spans="1:13" s="7" customFormat="1" ht="16.5" customHeight="1" x14ac:dyDescent="0.25">
      <c r="C2" s="80"/>
      <c r="D2" s="150"/>
      <c r="E2" s="81"/>
      <c r="F2" s="7" t="str">
        <f>IFERROR(VLOOKUP(E2,E4:F1002,2,FALSE),"")</f>
        <v/>
      </c>
      <c r="G2" s="150"/>
      <c r="H2" s="24" t="str">
        <f>IFERROR(VLOOKUP(G2,G4:H1002,2,FALSE),"")</f>
        <v/>
      </c>
      <c r="K2" s="24"/>
      <c r="M2" s="123" t="s">
        <v>185</v>
      </c>
    </row>
    <row r="3" spans="1:13" s="78" customFormat="1" ht="18" customHeight="1" x14ac:dyDescent="0.25">
      <c r="A3" s="134"/>
      <c r="B3" s="134" t="s">
        <v>7</v>
      </c>
      <c r="C3" s="291" t="s">
        <v>510</v>
      </c>
      <c r="D3" s="151"/>
      <c r="E3" s="134" t="s">
        <v>58</v>
      </c>
      <c r="F3" s="291" t="s">
        <v>495</v>
      </c>
      <c r="G3" s="151"/>
      <c r="H3" s="134" t="s">
        <v>492</v>
      </c>
      <c r="I3" s="291" t="s">
        <v>496</v>
      </c>
      <c r="J3" s="135"/>
      <c r="K3" s="134" t="s">
        <v>493</v>
      </c>
      <c r="L3" s="291" t="s">
        <v>497</v>
      </c>
      <c r="M3" s="123" t="s">
        <v>184</v>
      </c>
    </row>
    <row r="4" spans="1:13" ht="15" customHeight="1" x14ac:dyDescent="0.25">
      <c r="B4" s="1" t="s">
        <v>4</v>
      </c>
      <c r="C4" s="3" t="s">
        <v>5</v>
      </c>
      <c r="E4" s="1" t="s">
        <v>449</v>
      </c>
      <c r="F4" s="2" t="s">
        <v>450</v>
      </c>
      <c r="H4" s="1" t="s">
        <v>491</v>
      </c>
      <c r="I4" s="2" t="s">
        <v>448</v>
      </c>
      <c r="K4" s="126" t="s">
        <v>89</v>
      </c>
      <c r="L4" s="280" t="s">
        <v>90</v>
      </c>
    </row>
    <row r="5" spans="1:13" ht="15" customHeight="1" x14ac:dyDescent="0.25">
      <c r="B5" s="1" t="s">
        <v>405</v>
      </c>
      <c r="C5" s="3" t="s">
        <v>5</v>
      </c>
      <c r="E5" s="1" t="s">
        <v>455</v>
      </c>
      <c r="F5" s="2" t="s">
        <v>456</v>
      </c>
      <c r="H5" s="126" t="s">
        <v>453</v>
      </c>
      <c r="I5" s="280" t="s">
        <v>454</v>
      </c>
      <c r="K5" s="126" t="s">
        <v>91</v>
      </c>
      <c r="L5" s="280" t="s">
        <v>92</v>
      </c>
    </row>
    <row r="6" spans="1:13" ht="15" customHeight="1" x14ac:dyDescent="0.25">
      <c r="B6" s="1" t="s">
        <v>409</v>
      </c>
      <c r="C6" s="3" t="s">
        <v>5</v>
      </c>
      <c r="E6" s="1" t="s">
        <v>451</v>
      </c>
      <c r="F6" s="2" t="s">
        <v>452</v>
      </c>
      <c r="H6" s="126" t="s">
        <v>126</v>
      </c>
      <c r="I6" s="280" t="s">
        <v>127</v>
      </c>
      <c r="K6" s="126" t="s">
        <v>87</v>
      </c>
      <c r="L6" s="280" t="s">
        <v>88</v>
      </c>
    </row>
    <row r="7" spans="1:13" ht="15" customHeight="1" x14ac:dyDescent="0.25">
      <c r="B7" s="1" t="s">
        <v>408</v>
      </c>
      <c r="C7" s="3" t="s">
        <v>5</v>
      </c>
      <c r="E7" s="1" t="s">
        <v>35</v>
      </c>
      <c r="F7" s="2" t="s">
        <v>36</v>
      </c>
      <c r="H7" s="126" t="s">
        <v>552</v>
      </c>
      <c r="I7" s="280" t="s">
        <v>540</v>
      </c>
      <c r="K7" s="126" t="s">
        <v>425</v>
      </c>
      <c r="L7" s="280" t="s">
        <v>511</v>
      </c>
    </row>
    <row r="8" spans="1:13" ht="15" customHeight="1" x14ac:dyDescent="0.25">
      <c r="B8" s="1" t="s">
        <v>124</v>
      </c>
      <c r="C8" s="3" t="s">
        <v>125</v>
      </c>
      <c r="E8" s="1" t="s">
        <v>551</v>
      </c>
      <c r="F8" s="2" t="s">
        <v>551</v>
      </c>
      <c r="H8" s="126" t="s">
        <v>417</v>
      </c>
      <c r="I8" s="280" t="s">
        <v>418</v>
      </c>
      <c r="K8" s="126"/>
      <c r="L8" s="280"/>
    </row>
    <row r="9" spans="1:13" ht="15" customHeight="1" x14ac:dyDescent="0.25">
      <c r="B9" s="126" t="s">
        <v>63</v>
      </c>
      <c r="C9" s="280" t="s">
        <v>105</v>
      </c>
      <c r="E9" s="1" t="s">
        <v>416</v>
      </c>
      <c r="F9" s="2" t="s">
        <v>490</v>
      </c>
      <c r="H9" s="126" t="s">
        <v>72</v>
      </c>
      <c r="I9" s="280" t="s">
        <v>75</v>
      </c>
      <c r="K9" s="126"/>
      <c r="L9" s="280"/>
    </row>
    <row r="10" spans="1:13" ht="15" customHeight="1" x14ac:dyDescent="0.25">
      <c r="B10" s="126" t="s">
        <v>64</v>
      </c>
      <c r="C10" s="280" t="s">
        <v>108</v>
      </c>
      <c r="E10" s="126" t="s">
        <v>411</v>
      </c>
      <c r="F10" s="280" t="s">
        <v>168</v>
      </c>
      <c r="H10" s="126" t="s">
        <v>73</v>
      </c>
      <c r="I10" s="280" t="s">
        <v>76</v>
      </c>
      <c r="K10"/>
      <c r="L10" s="281"/>
    </row>
    <row r="11" spans="1:13" ht="15" customHeight="1" x14ac:dyDescent="0.25">
      <c r="B11" s="126" t="s">
        <v>542</v>
      </c>
      <c r="C11" s="280" t="s">
        <v>545</v>
      </c>
      <c r="E11" s="126" t="s">
        <v>71</v>
      </c>
      <c r="F11" s="280" t="s">
        <v>74</v>
      </c>
      <c r="H11" s="126" t="s">
        <v>69</v>
      </c>
      <c r="I11" s="280" t="s">
        <v>70</v>
      </c>
      <c r="K11"/>
      <c r="L11" s="281"/>
    </row>
    <row r="12" spans="1:13" ht="15" customHeight="1" x14ac:dyDescent="0.25">
      <c r="B12" s="126" t="s">
        <v>548</v>
      </c>
      <c r="C12" s="280" t="s">
        <v>549</v>
      </c>
      <c r="E12" s="126" t="s">
        <v>65</v>
      </c>
      <c r="F12" s="280" t="s">
        <v>66</v>
      </c>
      <c r="H12" s="126" t="s">
        <v>106</v>
      </c>
      <c r="I12" s="280" t="s">
        <v>107</v>
      </c>
      <c r="K12"/>
      <c r="L12" s="281"/>
    </row>
    <row r="13" spans="1:13" ht="15" customHeight="1" x14ac:dyDescent="0.25">
      <c r="B13" s="126" t="s">
        <v>547</v>
      </c>
      <c r="C13" s="280" t="s">
        <v>550</v>
      </c>
      <c r="E13" s="126" t="s">
        <v>414</v>
      </c>
      <c r="F13" s="280" t="s">
        <v>415</v>
      </c>
      <c r="H13" s="126" t="s">
        <v>67</v>
      </c>
      <c r="I13" s="280" t="s">
        <v>68</v>
      </c>
      <c r="K13"/>
      <c r="L13" s="281"/>
    </row>
    <row r="14" spans="1:13" ht="15" customHeight="1" x14ac:dyDescent="0.25">
      <c r="B14" s="126" t="s">
        <v>457</v>
      </c>
      <c r="C14" s="280" t="s">
        <v>168</v>
      </c>
      <c r="E14" s="1" t="s">
        <v>19</v>
      </c>
      <c r="F14" s="2" t="s">
        <v>20</v>
      </c>
      <c r="H14" s="126" t="s">
        <v>83</v>
      </c>
      <c r="I14" s="280" t="s">
        <v>86</v>
      </c>
      <c r="K14"/>
      <c r="L14" s="281"/>
    </row>
    <row r="15" spans="1:13" ht="15" customHeight="1" x14ac:dyDescent="0.25">
      <c r="B15" s="126" t="s">
        <v>62</v>
      </c>
      <c r="C15" s="280" t="s">
        <v>123</v>
      </c>
      <c r="E15" s="126" t="s">
        <v>21</v>
      </c>
      <c r="F15" s="280" t="s">
        <v>22</v>
      </c>
      <c r="H15" s="126" t="s">
        <v>82</v>
      </c>
      <c r="I15" s="280" t="s">
        <v>85</v>
      </c>
      <c r="K15"/>
      <c r="L15" s="281"/>
    </row>
    <row r="16" spans="1:13" ht="15" customHeight="1" x14ac:dyDescent="0.25">
      <c r="B16" s="126"/>
      <c r="C16" s="280"/>
      <c r="E16" s="126" t="s">
        <v>412</v>
      </c>
      <c r="F16" s="280" t="s">
        <v>413</v>
      </c>
      <c r="H16" s="126" t="s">
        <v>109</v>
      </c>
      <c r="I16" s="280" t="s">
        <v>110</v>
      </c>
      <c r="K16"/>
      <c r="L16" s="281"/>
    </row>
    <row r="17" spans="2:12" ht="15" customHeight="1" x14ac:dyDescent="0.25">
      <c r="B17"/>
      <c r="C17" s="281"/>
      <c r="E17" s="126" t="s">
        <v>79</v>
      </c>
      <c r="F17" s="280" t="s">
        <v>80</v>
      </c>
      <c r="H17" s="126" t="s">
        <v>81</v>
      </c>
      <c r="I17" s="280" t="s">
        <v>84</v>
      </c>
      <c r="K17"/>
      <c r="L17" s="281"/>
    </row>
    <row r="18" spans="2:12" ht="15" customHeight="1" x14ac:dyDescent="0.25">
      <c r="B18"/>
      <c r="C18" s="281"/>
      <c r="E18" s="126" t="s">
        <v>77</v>
      </c>
      <c r="F18" s="280" t="s">
        <v>78</v>
      </c>
      <c r="H18" s="126" t="s">
        <v>423</v>
      </c>
      <c r="I18" s="280" t="s">
        <v>424</v>
      </c>
      <c r="K18"/>
      <c r="L18" s="281"/>
    </row>
    <row r="19" spans="2:12" ht="15" customHeight="1" x14ac:dyDescent="0.25">
      <c r="B19"/>
      <c r="C19" s="281"/>
      <c r="E19" s="126" t="s">
        <v>544</v>
      </c>
      <c r="F19" s="280" t="s">
        <v>546</v>
      </c>
      <c r="H19" s="126" t="s">
        <v>426</v>
      </c>
      <c r="I19" s="280" t="s">
        <v>182</v>
      </c>
      <c r="K19"/>
      <c r="L19" s="281"/>
    </row>
    <row r="20" spans="2:12" ht="15" customHeight="1" x14ac:dyDescent="0.25">
      <c r="B20"/>
      <c r="C20" s="281"/>
      <c r="E20" s="126" t="s">
        <v>543</v>
      </c>
      <c r="F20" s="280" t="s">
        <v>546</v>
      </c>
      <c r="H20" s="126" t="s">
        <v>431</v>
      </c>
      <c r="I20" s="280" t="s">
        <v>432</v>
      </c>
      <c r="K20"/>
      <c r="L20" s="281"/>
    </row>
    <row r="21" spans="2:12" ht="15" customHeight="1" x14ac:dyDescent="0.25">
      <c r="B21"/>
      <c r="C21" s="281"/>
      <c r="E21" s="126" t="s">
        <v>458</v>
      </c>
      <c r="F21" s="280" t="s">
        <v>157</v>
      </c>
      <c r="H21" t="s">
        <v>512</v>
      </c>
      <c r="I21" s="281" t="s">
        <v>513</v>
      </c>
      <c r="K21"/>
      <c r="L21" s="281"/>
    </row>
    <row r="22" spans="2:12" ht="15" customHeight="1" x14ac:dyDescent="0.25">
      <c r="B22"/>
      <c r="C22" s="281"/>
      <c r="E22" s="126" t="s">
        <v>443</v>
      </c>
      <c r="F22" s="280" t="s">
        <v>444</v>
      </c>
      <c r="H22"/>
      <c r="I22" s="281"/>
      <c r="K22"/>
      <c r="L22" s="281"/>
    </row>
    <row r="23" spans="2:12" ht="15" customHeight="1" x14ac:dyDescent="0.25">
      <c r="B23"/>
      <c r="C23" s="281"/>
      <c r="E23" s="126" t="s">
        <v>427</v>
      </c>
      <c r="F23" s="280" t="s">
        <v>428</v>
      </c>
      <c r="H23"/>
      <c r="I23" s="281"/>
      <c r="K23"/>
      <c r="L23" s="281"/>
    </row>
    <row r="24" spans="2:12" ht="15" customHeight="1" x14ac:dyDescent="0.25">
      <c r="B24"/>
      <c r="C24" s="281"/>
      <c r="E24" s="126" t="s">
        <v>301</v>
      </c>
      <c r="F24" s="280" t="s">
        <v>445</v>
      </c>
      <c r="H24"/>
      <c r="I24" s="281"/>
      <c r="K24"/>
      <c r="L24" s="281"/>
    </row>
    <row r="25" spans="2:12" ht="15" customHeight="1" x14ac:dyDescent="0.25">
      <c r="B25"/>
      <c r="C25" s="281"/>
      <c r="E25" s="126" t="s">
        <v>441</v>
      </c>
      <c r="F25" s="280" t="s">
        <v>442</v>
      </c>
      <c r="H25"/>
      <c r="I25" s="281"/>
      <c r="K25"/>
      <c r="L25" s="281"/>
    </row>
    <row r="26" spans="2:12" ht="15" customHeight="1" x14ac:dyDescent="0.25">
      <c r="B26"/>
      <c r="C26" s="281"/>
      <c r="E26" s="126" t="s">
        <v>421</v>
      </c>
      <c r="F26" s="280" t="s">
        <v>422</v>
      </c>
      <c r="H26"/>
      <c r="I26" s="281"/>
      <c r="K26"/>
      <c r="L26" s="281"/>
    </row>
    <row r="27" spans="2:12" ht="15" customHeight="1" x14ac:dyDescent="0.25">
      <c r="B27"/>
      <c r="C27" s="281"/>
      <c r="E27" s="126" t="s">
        <v>433</v>
      </c>
      <c r="F27" s="280" t="s">
        <v>434</v>
      </c>
      <c r="H27"/>
      <c r="I27" s="281"/>
      <c r="K27"/>
      <c r="L27" s="281"/>
    </row>
    <row r="28" spans="2:12" ht="15" customHeight="1" x14ac:dyDescent="0.25">
      <c r="B28"/>
      <c r="C28" s="281"/>
      <c r="E28" s="126" t="s">
        <v>446</v>
      </c>
      <c r="F28" s="280" t="s">
        <v>447</v>
      </c>
      <c r="H28"/>
      <c r="I28" s="281"/>
      <c r="K28"/>
      <c r="L28" s="281"/>
    </row>
    <row r="29" spans="2:12" ht="15" customHeight="1" x14ac:dyDescent="0.25">
      <c r="B29"/>
      <c r="C29" s="281"/>
      <c r="E29" s="126" t="s">
        <v>419</v>
      </c>
      <c r="F29" s="280" t="s">
        <v>420</v>
      </c>
      <c r="H29"/>
      <c r="I29" s="281"/>
      <c r="K29"/>
      <c r="L29" s="281"/>
    </row>
    <row r="30" spans="2:12" ht="15" customHeight="1" x14ac:dyDescent="0.25">
      <c r="B30"/>
      <c r="C30" s="281"/>
      <c r="E30" s="126" t="s">
        <v>435</v>
      </c>
      <c r="F30" s="280" t="s">
        <v>436</v>
      </c>
      <c r="H30"/>
      <c r="I30" s="281"/>
      <c r="K30"/>
      <c r="L30" s="281"/>
    </row>
    <row r="31" spans="2:12" ht="15" customHeight="1" x14ac:dyDescent="0.25">
      <c r="B31"/>
      <c r="C31" s="281"/>
      <c r="E31" s="126" t="s">
        <v>439</v>
      </c>
      <c r="F31" s="280" t="s">
        <v>440</v>
      </c>
      <c r="H31"/>
      <c r="I31" s="281"/>
      <c r="K31"/>
      <c r="L31" s="281"/>
    </row>
    <row r="32" spans="2:12" ht="15" customHeight="1" x14ac:dyDescent="0.25">
      <c r="B32"/>
      <c r="C32" s="281"/>
      <c r="E32" s="126" t="s">
        <v>437</v>
      </c>
      <c r="F32" s="280" t="s">
        <v>438</v>
      </c>
      <c r="H32"/>
      <c r="I32" s="281"/>
      <c r="K32"/>
      <c r="L32" s="281"/>
    </row>
    <row r="33" spans="2:12" ht="15" customHeight="1" x14ac:dyDescent="0.25">
      <c r="B33"/>
      <c r="C33" s="281"/>
      <c r="E33" t="s">
        <v>429</v>
      </c>
      <c r="F33" s="281" t="s">
        <v>430</v>
      </c>
      <c r="H33"/>
      <c r="I33" s="281"/>
      <c r="K33"/>
      <c r="L33" s="281"/>
    </row>
    <row r="34" spans="2:12" ht="15" customHeight="1" x14ac:dyDescent="0.25">
      <c r="B34"/>
      <c r="C34" s="281"/>
      <c r="E34" s="126"/>
      <c r="F34" s="280"/>
      <c r="H34"/>
      <c r="I34" s="281"/>
      <c r="K34"/>
      <c r="L34" s="281"/>
    </row>
    <row r="35" spans="2:12" ht="15" customHeight="1" x14ac:dyDescent="0.25">
      <c r="B35"/>
      <c r="C35" s="281"/>
      <c r="E35"/>
      <c r="F35" s="281"/>
      <c r="H35"/>
      <c r="I35" s="281"/>
      <c r="K35"/>
      <c r="L35" s="281"/>
    </row>
    <row r="36" spans="2:12" ht="15" customHeight="1" x14ac:dyDescent="0.25">
      <c r="B36"/>
      <c r="C36" s="281"/>
      <c r="E36"/>
      <c r="F36" s="281"/>
      <c r="H36"/>
      <c r="I36" s="281"/>
      <c r="K36"/>
      <c r="L36" s="281"/>
    </row>
    <row r="37" spans="2:12" ht="15.75" customHeight="1" x14ac:dyDescent="0.25">
      <c r="B37"/>
      <c r="C37" s="281"/>
      <c r="E37"/>
      <c r="F37" s="281"/>
      <c r="H37"/>
      <c r="I37" s="281"/>
      <c r="K37"/>
      <c r="L37" s="281"/>
    </row>
    <row r="38" spans="2:12" ht="15.75" customHeight="1" x14ac:dyDescent="0.25">
      <c r="B38"/>
      <c r="C38" s="281"/>
      <c r="E38"/>
      <c r="F38" s="281"/>
      <c r="H38"/>
      <c r="I38" s="281"/>
      <c r="K38"/>
      <c r="L38" s="281"/>
    </row>
    <row r="39" spans="2:12" ht="15.75" customHeight="1" x14ac:dyDescent="0.25">
      <c r="B39"/>
      <c r="C39" s="281"/>
      <c r="E39"/>
      <c r="F39" s="281"/>
      <c r="H39"/>
      <c r="I39" s="281"/>
      <c r="K39"/>
      <c r="L39" s="281"/>
    </row>
    <row r="40" spans="2:12" ht="15.75" customHeight="1" x14ac:dyDescent="0.25">
      <c r="B40"/>
      <c r="C40" s="281"/>
      <c r="E40"/>
      <c r="F40" s="281"/>
      <c r="H40"/>
      <c r="I40" s="281"/>
      <c r="K40"/>
      <c r="L40" s="281"/>
    </row>
    <row r="41" spans="2:12" ht="15.75" customHeight="1" x14ac:dyDescent="0.25">
      <c r="B41"/>
      <c r="C41" s="281"/>
      <c r="E41"/>
      <c r="F41" s="281"/>
      <c r="H41"/>
      <c r="I41" s="281"/>
      <c r="K41"/>
      <c r="L41" s="281"/>
    </row>
    <row r="42" spans="2:12" ht="15.75" customHeight="1" x14ac:dyDescent="0.25">
      <c r="B42"/>
      <c r="C42" s="281"/>
      <c r="E42"/>
      <c r="F42" s="281"/>
      <c r="H42"/>
      <c r="I42" s="281"/>
      <c r="K42"/>
      <c r="L42" s="281"/>
    </row>
    <row r="43" spans="2:12" ht="15.75" customHeight="1" x14ac:dyDescent="0.25">
      <c r="B43"/>
      <c r="C43" s="281"/>
      <c r="E43"/>
      <c r="F43" s="281"/>
      <c r="H43"/>
      <c r="I43" s="281"/>
      <c r="K43"/>
      <c r="L43" s="281"/>
    </row>
    <row r="44" spans="2:12" ht="15.75" customHeight="1" x14ac:dyDescent="0.25">
      <c r="B44"/>
      <c r="C44" s="281"/>
      <c r="E44"/>
      <c r="F44" s="281"/>
      <c r="H44"/>
      <c r="I44" s="281"/>
      <c r="K44"/>
      <c r="L44" s="281"/>
    </row>
    <row r="45" spans="2:12" ht="15.75" customHeight="1" x14ac:dyDescent="0.25">
      <c r="B45"/>
      <c r="C45" s="281"/>
      <c r="E45"/>
      <c r="F45" s="281"/>
      <c r="H45"/>
      <c r="I45" s="281"/>
      <c r="K45"/>
      <c r="L45" s="281"/>
    </row>
    <row r="46" spans="2:12" ht="15.75" customHeight="1" x14ac:dyDescent="0.25">
      <c r="B46"/>
      <c r="C46" s="281"/>
      <c r="E46"/>
      <c r="F46" s="281"/>
      <c r="H46"/>
      <c r="I46" s="281"/>
      <c r="K46"/>
      <c r="L46" s="281"/>
    </row>
    <row r="47" spans="2:12" ht="15.75" customHeight="1" x14ac:dyDescent="0.25">
      <c r="B47"/>
      <c r="C47" s="281"/>
      <c r="E47"/>
      <c r="F47" s="281"/>
      <c r="H47"/>
      <c r="I47" s="281"/>
      <c r="K47"/>
      <c r="L47" s="281"/>
    </row>
    <row r="48" spans="2:12" ht="15.75" customHeight="1" x14ac:dyDescent="0.25">
      <c r="B48"/>
      <c r="C48" s="281"/>
      <c r="E48"/>
      <c r="F48" s="281"/>
      <c r="H48"/>
      <c r="I48" s="281"/>
      <c r="K48"/>
      <c r="L48" s="281"/>
    </row>
    <row r="49" spans="2:12" ht="15.75" customHeight="1" x14ac:dyDescent="0.25">
      <c r="B49" s="1" t="s">
        <v>62</v>
      </c>
      <c r="C49" s="3" t="s">
        <v>123</v>
      </c>
      <c r="E49" s="1" t="s">
        <v>429</v>
      </c>
      <c r="F49" s="2" t="s">
        <v>430</v>
      </c>
      <c r="H49" s="1" t="s">
        <v>512</v>
      </c>
      <c r="I49" s="2" t="s">
        <v>513</v>
      </c>
      <c r="K49" s="1" t="s">
        <v>5</v>
      </c>
      <c r="L49" s="2" t="s">
        <v>5</v>
      </c>
    </row>
    <row r="50" spans="2:12" ht="15.75" customHeight="1" x14ac:dyDescent="0.25"/>
    <row r="53" spans="2:12" ht="15.75" customHeight="1" x14ac:dyDescent="0.25"/>
    <row r="54" spans="2:12" ht="15.75" customHeight="1" x14ac:dyDescent="0.25"/>
    <row r="55" spans="2:12" ht="15.75" customHeight="1" x14ac:dyDescent="0.25"/>
    <row r="56" spans="2:12" ht="15.75" customHeight="1" x14ac:dyDescent="0.25"/>
    <row r="57" spans="2:12" ht="15.75" customHeight="1" x14ac:dyDescent="0.25"/>
    <row r="60" spans="2:12" ht="15.75" customHeight="1" x14ac:dyDescent="0.25"/>
    <row r="61" spans="2:12" ht="15.75" customHeight="1" x14ac:dyDescent="0.25"/>
    <row r="62" spans="2:12" ht="15.75" customHeight="1" x14ac:dyDescent="0.25"/>
    <row r="63" spans="2:12" ht="15.75" customHeight="1" x14ac:dyDescent="0.25"/>
    <row r="64" spans="2:1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"/>
  <dimension ref="A1:BP2000"/>
  <sheetViews>
    <sheetView zoomScaleNormal="100" zoomScaleSheetLayoutView="100" workbookViewId="0">
      <pane ySplit="3" topLeftCell="A4" activePane="bottomLeft" state="frozen"/>
      <selection pane="bottomLeft" activeCell="M4" sqref="M4:M2000"/>
    </sheetView>
  </sheetViews>
  <sheetFormatPr defaultColWidth="9.140625" defaultRowHeight="15.75" x14ac:dyDescent="0.25"/>
  <cols>
    <col min="1" max="1" width="5.5703125" style="20" customWidth="1"/>
    <col min="2" max="2" width="12.42578125" style="108" customWidth="1"/>
    <col min="3" max="3" width="25.85546875" style="1" customWidth="1"/>
    <col min="4" max="4" width="14.85546875" style="159" customWidth="1"/>
    <col min="5" max="5" width="42.140625" style="1" customWidth="1"/>
    <col min="6" max="6" width="14.42578125" style="1" customWidth="1"/>
    <col min="7" max="7" width="23.7109375" style="1" customWidth="1"/>
    <col min="8" max="8" width="12.42578125" style="1" customWidth="1"/>
    <col min="9" max="9" width="24.140625" style="1" customWidth="1"/>
    <col min="10" max="10" width="11.28515625" style="1" customWidth="1"/>
    <col min="11" max="11" width="35.140625" style="204" customWidth="1"/>
    <col min="12" max="12" width="8.7109375" style="160" customWidth="1"/>
    <col min="13" max="13" width="8.7109375" style="368" customWidth="1"/>
    <col min="14" max="14" width="11.85546875" style="210" customWidth="1"/>
    <col min="15" max="15" width="27.42578125" style="210" customWidth="1"/>
    <col min="16" max="16" width="13.5703125" style="298" customWidth="1"/>
    <col min="17" max="17" width="21.85546875" style="226" customWidth="1"/>
    <col min="18" max="18" width="10.28515625" style="238" customWidth="1"/>
    <col min="19" max="19" width="39.85546875" style="226" customWidth="1"/>
    <col min="20" max="20" width="12.140625" style="210" customWidth="1"/>
    <col min="21" max="21" width="23.85546875" style="226" customWidth="1"/>
    <col min="22" max="22" width="16.140625" style="210" customWidth="1"/>
    <col min="23" max="23" width="21.42578125" style="227" customWidth="1"/>
    <col min="24" max="24" width="10.42578125" style="210" customWidth="1"/>
    <col min="25" max="25" width="32.5703125" style="230" customWidth="1"/>
    <col min="26" max="26" width="8.7109375" style="240" customWidth="1"/>
    <col min="27" max="27" width="8.7109375" style="231" customWidth="1"/>
    <col min="28" max="28" width="9.140625" style="210"/>
    <col min="29" max="29" width="13.5703125" style="143" customWidth="1"/>
    <col min="30" max="30" width="21.85546875" style="77" customWidth="1"/>
    <col min="31" max="31" width="10.28515625" style="128" customWidth="1"/>
    <col min="32" max="32" width="39.85546875" style="77" customWidth="1"/>
    <col min="33" max="33" width="12.140625" style="77" customWidth="1"/>
    <col min="34" max="34" width="23.85546875" style="77" customWidth="1"/>
    <col min="35" max="35" width="16.140625" style="77" customWidth="1"/>
    <col min="36" max="36" width="21.42578125" style="77" customWidth="1"/>
    <col min="37" max="37" width="10.42578125" style="77" customWidth="1"/>
    <col min="38" max="38" width="32.5703125" style="95" customWidth="1"/>
    <col min="39" max="40" width="8.7109375" style="144" customWidth="1"/>
    <col min="41" max="41" width="9.140625" style="63"/>
    <col min="42" max="42" width="8" style="210" customWidth="1"/>
    <col min="43" max="43" width="43.7109375" style="226" customWidth="1"/>
    <col min="44" max="44" width="9.140625" style="210"/>
    <col min="45" max="45" width="28" style="210" customWidth="1"/>
    <col min="46" max="46" width="9.140625" style="210"/>
    <col min="47" max="47" width="27" style="226" customWidth="1"/>
    <col min="48" max="48" width="9.140625" style="210"/>
    <col min="49" max="49" width="9.140625" style="63"/>
    <col min="50" max="53" width="9.140625" style="206"/>
    <col min="54" max="54" width="28.42578125" style="206" customWidth="1"/>
    <col min="55" max="16384" width="9.140625" style="206"/>
  </cols>
  <sheetData>
    <row r="1" spans="1:68" s="63" customFormat="1" ht="16.5" customHeight="1" x14ac:dyDescent="0.25">
      <c r="A1" s="79"/>
      <c r="B1" s="106"/>
      <c r="C1" s="24"/>
      <c r="D1" s="153"/>
      <c r="E1" s="132"/>
      <c r="F1" s="24"/>
      <c r="G1" s="24"/>
      <c r="H1" s="24"/>
      <c r="I1" s="24"/>
      <c r="J1" s="24"/>
      <c r="K1" s="89"/>
      <c r="L1" s="154"/>
      <c r="M1" s="154"/>
      <c r="N1" s="311">
        <f>MAX(AB4:AB2000)</f>
        <v>33</v>
      </c>
      <c r="O1" s="236"/>
      <c r="P1" s="236">
        <v>16</v>
      </c>
      <c r="Q1" s="232">
        <v>17</v>
      </c>
      <c r="R1" s="232">
        <v>18</v>
      </c>
      <c r="S1" s="237">
        <v>19</v>
      </c>
      <c r="T1" s="232">
        <v>20</v>
      </c>
      <c r="U1" s="232">
        <v>21</v>
      </c>
      <c r="V1" s="232">
        <v>22</v>
      </c>
      <c r="W1" s="232">
        <v>23</v>
      </c>
      <c r="X1" s="232">
        <v>24</v>
      </c>
      <c r="Y1" s="232"/>
      <c r="Z1" s="207"/>
      <c r="AA1" s="224"/>
      <c r="AB1" s="232"/>
      <c r="AC1" s="136"/>
      <c r="AD1" s="131"/>
      <c r="AE1" s="131"/>
      <c r="AF1" s="129"/>
      <c r="AG1" s="131"/>
      <c r="AH1" s="131"/>
      <c r="AI1" s="131"/>
      <c r="AJ1" s="131"/>
      <c r="AK1" s="131"/>
      <c r="AL1" s="131"/>
      <c r="AM1" s="121"/>
      <c r="AN1" s="121"/>
      <c r="AO1" s="47"/>
      <c r="AP1" s="207">
        <v>42</v>
      </c>
      <c r="AQ1" s="207"/>
      <c r="AR1" s="207">
        <v>44</v>
      </c>
      <c r="AS1" s="207">
        <v>45</v>
      </c>
      <c r="AT1" s="207">
        <v>46</v>
      </c>
      <c r="AU1" s="258"/>
      <c r="AV1" s="259" t="s">
        <v>1496</v>
      </c>
      <c r="AW1" s="47"/>
      <c r="BO1" s="63" t="s">
        <v>571</v>
      </c>
      <c r="BP1" s="63" t="s">
        <v>606</v>
      </c>
    </row>
    <row r="2" spans="1:68" s="63" customFormat="1" ht="0.95" customHeight="1" x14ac:dyDescent="0.25">
      <c r="A2" s="79"/>
      <c r="B2" s="107"/>
      <c r="C2" s="53" t="s">
        <v>64</v>
      </c>
      <c r="D2" s="53" t="str">
        <f>IFERROR(VLOOKUP(C2,C4:D1002,2,FALSE),"")</f>
        <v>DUF</v>
      </c>
      <c r="E2" s="53" t="s">
        <v>21</v>
      </c>
      <c r="F2" s="54" t="str">
        <f>IFERROR(VLOOKUP(E2,E4:F1002,2,FALSE),"")</f>
        <v/>
      </c>
      <c r="G2" s="53" t="s">
        <v>81</v>
      </c>
      <c r="H2" s="54" t="str">
        <f>IFERROR(VLOOKUP(G2,G4:H1002,2,FALSE),"")</f>
        <v/>
      </c>
      <c r="I2" s="53" t="s">
        <v>87</v>
      </c>
      <c r="J2" s="54" t="str">
        <f>IFERROR(VLOOKUP(I2,I4:J1002,2,FALSE),"")</f>
        <v/>
      </c>
      <c r="K2" s="252"/>
      <c r="L2" s="155"/>
      <c r="M2" s="155"/>
      <c r="N2" s="210">
        <f>COUNTA(AA4:AA2000)</f>
        <v>108</v>
      </c>
      <c r="O2" s="225" t="s">
        <v>510</v>
      </c>
      <c r="P2" s="298"/>
      <c r="Q2" s="210"/>
      <c r="R2" s="238"/>
      <c r="S2" s="239"/>
      <c r="T2" s="210"/>
      <c r="U2" s="226"/>
      <c r="V2" s="210"/>
      <c r="W2" s="227"/>
      <c r="X2" s="210"/>
      <c r="Y2" s="230"/>
      <c r="Z2" s="240"/>
      <c r="AA2" s="231"/>
      <c r="AB2" s="210"/>
      <c r="AC2" s="106"/>
      <c r="AD2" s="243" t="s">
        <v>64</v>
      </c>
      <c r="AE2" s="248" t="s">
        <v>108</v>
      </c>
      <c r="AF2" s="243" t="s">
        <v>21</v>
      </c>
      <c r="AG2" s="243" t="s">
        <v>503</v>
      </c>
      <c r="AH2" s="243" t="s">
        <v>81</v>
      </c>
      <c r="AI2" s="243" t="s">
        <v>503</v>
      </c>
      <c r="AJ2" s="243" t="s">
        <v>87</v>
      </c>
      <c r="AK2" s="243" t="s">
        <v>503</v>
      </c>
      <c r="AL2" s="89"/>
      <c r="AM2" s="137"/>
      <c r="AN2" s="137"/>
      <c r="AP2" s="225">
        <f>COUNT(AP4:AP1000)</f>
        <v>0</v>
      </c>
      <c r="AQ2" s="226"/>
      <c r="AR2" s="210"/>
      <c r="AS2" s="210"/>
      <c r="AT2" s="210"/>
      <c r="AU2" s="226"/>
      <c r="AV2" s="227" t="str">
        <f>AV1&amp;"\"&amp;AS4</f>
        <v>E:\Shared drives\02.Collabo\01.Project Level\0000.Potential Projects\BIM 4D-5D\01. WIP\2D-3D\03. MEP\05. Families\P\Plumbing Fixtures_done\</v>
      </c>
      <c r="BO2" s="63" t="s">
        <v>604</v>
      </c>
    </row>
    <row r="3" spans="1:68" s="78" customFormat="1" ht="18" customHeight="1" x14ac:dyDescent="0.25">
      <c r="A3" s="101"/>
      <c r="B3" s="156" t="s">
        <v>475</v>
      </c>
      <c r="C3" s="100" t="s">
        <v>7</v>
      </c>
      <c r="D3" s="157" t="s">
        <v>510</v>
      </c>
      <c r="E3" s="100" t="s">
        <v>555</v>
      </c>
      <c r="F3" s="157" t="s">
        <v>495</v>
      </c>
      <c r="G3" s="100" t="s">
        <v>560</v>
      </c>
      <c r="H3" s="157" t="s">
        <v>496</v>
      </c>
      <c r="I3" s="100" t="s">
        <v>561</v>
      </c>
      <c r="J3" s="157" t="s">
        <v>497</v>
      </c>
      <c r="K3" s="100" t="s">
        <v>9</v>
      </c>
      <c r="L3" s="158" t="s">
        <v>499</v>
      </c>
      <c r="M3" s="367" t="s">
        <v>498</v>
      </c>
      <c r="N3" s="312">
        <f>MAX(M:M)</f>
        <v>149</v>
      </c>
      <c r="O3" s="225"/>
      <c r="P3" s="325" t="s">
        <v>475</v>
      </c>
      <c r="Q3" s="230" t="s">
        <v>7</v>
      </c>
      <c r="R3" s="233" t="s">
        <v>510</v>
      </c>
      <c r="S3" s="230" t="s">
        <v>555</v>
      </c>
      <c r="T3" s="233" t="s">
        <v>495</v>
      </c>
      <c r="U3" s="230" t="s">
        <v>560</v>
      </c>
      <c r="V3" s="233" t="s">
        <v>496</v>
      </c>
      <c r="W3" s="230" t="s">
        <v>561</v>
      </c>
      <c r="X3" s="233" t="s">
        <v>497</v>
      </c>
      <c r="Y3" s="230" t="s">
        <v>9</v>
      </c>
      <c r="Z3" s="234" t="s">
        <v>499</v>
      </c>
      <c r="AA3" s="234" t="s">
        <v>498</v>
      </c>
      <c r="AB3" s="210"/>
      <c r="AC3" s="138" t="s">
        <v>475</v>
      </c>
      <c r="AD3" s="134" t="s">
        <v>7</v>
      </c>
      <c r="AE3" s="135" t="s">
        <v>510</v>
      </c>
      <c r="AF3" s="134" t="s">
        <v>555</v>
      </c>
      <c r="AG3" s="135" t="s">
        <v>495</v>
      </c>
      <c r="AH3" s="134" t="s">
        <v>560</v>
      </c>
      <c r="AI3" s="135" t="s">
        <v>496</v>
      </c>
      <c r="AJ3" s="134" t="s">
        <v>561</v>
      </c>
      <c r="AK3" s="135" t="s">
        <v>497</v>
      </c>
      <c r="AL3" s="134" t="s">
        <v>9</v>
      </c>
      <c r="AM3" s="139" t="s">
        <v>499</v>
      </c>
      <c r="AN3" s="139" t="s">
        <v>498</v>
      </c>
      <c r="AO3" s="83"/>
      <c r="AP3" s="260"/>
      <c r="AQ3" s="260"/>
      <c r="AR3" s="260" t="s">
        <v>498</v>
      </c>
      <c r="AS3" s="225" t="s">
        <v>505</v>
      </c>
      <c r="AT3" s="260" t="s">
        <v>498</v>
      </c>
      <c r="AU3" s="230" t="s">
        <v>504</v>
      </c>
      <c r="AV3" s="227" t="str">
        <f>AV1&amp;"\"&amp;AU4</f>
        <v>E:\Shared drives\02.Collabo\01.Project Level\0000.Potential Projects\BIM 4D-5D\01. WIP\2D-3D\03. MEP\05. Families\P\Plumbing Fixtures_done\</v>
      </c>
      <c r="AW3" s="83"/>
      <c r="BO3" s="78" t="s">
        <v>572</v>
      </c>
    </row>
    <row r="4" spans="1:68" ht="15" customHeight="1" x14ac:dyDescent="0.25">
      <c r="A4" s="74"/>
      <c r="B4" s="108" t="s">
        <v>185</v>
      </c>
      <c r="C4" s="1" t="s">
        <v>407</v>
      </c>
      <c r="D4" s="159" t="s">
        <v>5</v>
      </c>
      <c r="E4" s="1" t="s">
        <v>5</v>
      </c>
      <c r="F4" s="1" t="s">
        <v>5</v>
      </c>
      <c r="G4" s="1" t="s">
        <v>5</v>
      </c>
      <c r="H4" s="1" t="s">
        <v>5</v>
      </c>
      <c r="I4" s="1" t="s">
        <v>5</v>
      </c>
      <c r="J4" s="1" t="s">
        <v>5</v>
      </c>
      <c r="K4" s="204" t="s">
        <v>407</v>
      </c>
      <c r="L4" s="160" t="s">
        <v>254</v>
      </c>
      <c r="M4" s="379">
        <v>2</v>
      </c>
      <c r="N4" s="225"/>
      <c r="O4" s="225" t="s">
        <v>515</v>
      </c>
      <c r="P4" s="297" t="s">
        <v>185</v>
      </c>
      <c r="Q4" s="241" t="s">
        <v>407</v>
      </c>
      <c r="R4" s="317" t="s">
        <v>5</v>
      </c>
      <c r="S4" s="241" t="s">
        <v>5</v>
      </c>
      <c r="T4" s="241" t="s">
        <v>5</v>
      </c>
      <c r="U4" s="241" t="s">
        <v>5</v>
      </c>
      <c r="V4" s="241" t="s">
        <v>5</v>
      </c>
      <c r="W4" s="241" t="s">
        <v>5</v>
      </c>
      <c r="X4" s="241" t="s">
        <v>5</v>
      </c>
      <c r="Y4" s="257" t="s">
        <v>407</v>
      </c>
      <c r="Z4" s="318" t="s">
        <v>254</v>
      </c>
      <c r="AA4" s="380">
        <v>2</v>
      </c>
      <c r="AB4" s="210">
        <f>IF(Z4="","",Z4*1)</f>
        <v>2</v>
      </c>
      <c r="AC4" s="140" t="s">
        <v>185</v>
      </c>
      <c r="AD4" s="147" t="s">
        <v>407</v>
      </c>
      <c r="AE4" s="90" t="s">
        <v>5</v>
      </c>
      <c r="AF4" s="90" t="s">
        <v>5</v>
      </c>
      <c r="AG4" s="90" t="s">
        <v>5</v>
      </c>
      <c r="AH4" s="90" t="s">
        <v>5</v>
      </c>
      <c r="AI4" s="90" t="s">
        <v>5</v>
      </c>
      <c r="AJ4" s="90" t="s">
        <v>5</v>
      </c>
      <c r="AK4" s="90" t="s">
        <v>5</v>
      </c>
      <c r="AL4" s="91" t="s">
        <v>407</v>
      </c>
      <c r="AM4" s="141" t="s">
        <v>254</v>
      </c>
      <c r="AN4" s="205">
        <v>2</v>
      </c>
      <c r="AO4" s="83"/>
      <c r="AP4" s="210" t="str">
        <f>IF(AQ4="","",AP3+1)</f>
        <v/>
      </c>
      <c r="AQ4" s="266"/>
      <c r="AR4" s="210" t="str">
        <f>AP4</f>
        <v/>
      </c>
      <c r="AS4" s="267"/>
      <c r="AT4" s="210">
        <v>1</v>
      </c>
      <c r="AU4" s="266"/>
      <c r="AV4" s="227" t="str">
        <f>AV1&amp;"\"&amp;AS5</f>
        <v>E:\Shared drives\02.Collabo\01.Project Level\0000.Potential Projects\BIM 4D-5D\01. WIP\2D-3D\03. MEP\05. Families\P\Plumbing Fixtures_done\M_DUF_CEA_ROD_28.rfa</v>
      </c>
      <c r="AW4" s="83"/>
      <c r="BB4" s="206" t="str">
        <f t="array" ref="BB4">_xlfn.IFS(AQ4="","",LEN(AQ4)-LEN(SUBSTITUTE(AQ4,".",""))=3,LEFT(AQ4,vitri(".",AQ4,3)-1),LEN(AQ4)-LEN(SUBSTITUTE(AQ4,".",""))=2,LEFT(AQ4,vitri(".",AQ4,2)-1),TRUE,LEFT(AQ4,vitri(".",AQ4,1)-1))</f>
        <v/>
      </c>
      <c r="BO4" s="206" t="s">
        <v>607</v>
      </c>
    </row>
    <row r="5" spans="1:68" ht="15" customHeight="1" x14ac:dyDescent="0.25">
      <c r="A5" s="74"/>
      <c r="B5" s="108" t="s">
        <v>185</v>
      </c>
      <c r="C5" s="1" t="s">
        <v>4</v>
      </c>
      <c r="D5" s="159" t="s">
        <v>5</v>
      </c>
      <c r="E5" s="1" t="s">
        <v>5</v>
      </c>
      <c r="F5" s="1" t="s">
        <v>5</v>
      </c>
      <c r="G5" s="1" t="s">
        <v>5</v>
      </c>
      <c r="H5" s="1" t="s">
        <v>5</v>
      </c>
      <c r="I5" s="1" t="s">
        <v>5</v>
      </c>
      <c r="J5" s="1" t="s">
        <v>5</v>
      </c>
      <c r="K5" s="204" t="s">
        <v>404</v>
      </c>
      <c r="L5" s="160" t="s">
        <v>253</v>
      </c>
      <c r="M5" s="379">
        <v>1</v>
      </c>
      <c r="P5" s="297" t="s">
        <v>185</v>
      </c>
      <c r="Q5" s="241" t="s">
        <v>4</v>
      </c>
      <c r="R5" s="317" t="s">
        <v>5</v>
      </c>
      <c r="S5" s="241" t="s">
        <v>5</v>
      </c>
      <c r="T5" s="241" t="s">
        <v>5</v>
      </c>
      <c r="U5" s="241" t="s">
        <v>5</v>
      </c>
      <c r="V5" s="241" t="s">
        <v>5</v>
      </c>
      <c r="W5" s="241" t="s">
        <v>5</v>
      </c>
      <c r="X5" s="241" t="s">
        <v>5</v>
      </c>
      <c r="Y5" s="257" t="s">
        <v>404</v>
      </c>
      <c r="Z5" s="318" t="s">
        <v>253</v>
      </c>
      <c r="AA5" s="380">
        <v>1</v>
      </c>
      <c r="AB5" s="210">
        <f t="shared" ref="AB5:AB68" si="0">IF(Z5="","",Z5*1)</f>
        <v>1</v>
      </c>
      <c r="AC5" s="143" t="s">
        <v>185</v>
      </c>
      <c r="AD5" s="77" t="s">
        <v>4</v>
      </c>
      <c r="AE5" s="92" t="s">
        <v>5</v>
      </c>
      <c r="AF5" s="92" t="s">
        <v>5</v>
      </c>
      <c r="AG5" s="92" t="s">
        <v>5</v>
      </c>
      <c r="AH5" s="92" t="s">
        <v>5</v>
      </c>
      <c r="AI5" s="92" t="s">
        <v>5</v>
      </c>
      <c r="AJ5" s="92" t="s">
        <v>5</v>
      </c>
      <c r="AK5" s="92" t="s">
        <v>5</v>
      </c>
      <c r="AL5" s="93" t="s">
        <v>404</v>
      </c>
      <c r="AM5" s="144" t="s">
        <v>253</v>
      </c>
      <c r="AN5" s="149">
        <v>1</v>
      </c>
      <c r="AP5" s="210" t="str">
        <f>IF(AQ5="","",AP4+1)</f>
        <v/>
      </c>
      <c r="AQ5" s="263"/>
      <c r="AR5" s="210">
        <v>2</v>
      </c>
      <c r="AS5" s="217" t="s">
        <v>1485</v>
      </c>
      <c r="AT5" s="210">
        <v>2</v>
      </c>
      <c r="AU5" s="263" t="s">
        <v>1484</v>
      </c>
      <c r="AV5" s="227" t="str">
        <f>AV1&amp;"\"&amp;AU5</f>
        <v>E:\Shared drives\02.Collabo\01.Project Level\0000.Potential Projects\BIM 4D-5D\01. WIP\2D-3D\03. MEP\05. Families\P\Plumbing Fixtures_done\M_DUF_CAE_ROD_28.rfa</v>
      </c>
      <c r="BB5" s="206" t="str">
        <f t="array" ref="BB5">_xlfn.IFS(AQ5="","",LEN(AQ5)-LEN(SUBSTITUTE(AQ5,".",""))=3,LEFT(AQ5,vitri(".",AQ5,3)-1),LEN(AQ5)-LEN(SUBSTITUTE(AQ5,".",""))=2,LEFT(AQ5,vitri(".",AQ5,2)-1),TRUE,LEFT(AQ5,vitri(".",AQ5,1)-1))</f>
        <v/>
      </c>
      <c r="BO5" s="206" t="s">
        <v>573</v>
      </c>
    </row>
    <row r="6" spans="1:68" ht="15" customHeight="1" x14ac:dyDescent="0.25">
      <c r="A6" s="74"/>
      <c r="B6" s="108" t="s">
        <v>185</v>
      </c>
      <c r="C6" s="1" t="s">
        <v>405</v>
      </c>
      <c r="D6" s="159" t="s">
        <v>5</v>
      </c>
      <c r="E6" s="1" t="s">
        <v>5</v>
      </c>
      <c r="F6" s="1" t="s">
        <v>5</v>
      </c>
      <c r="G6" s="1" t="s">
        <v>5</v>
      </c>
      <c r="H6" s="1" t="s">
        <v>5</v>
      </c>
      <c r="I6" s="1" t="s">
        <v>5</v>
      </c>
      <c r="J6" s="1" t="s">
        <v>5</v>
      </c>
      <c r="K6" s="204" t="s">
        <v>406</v>
      </c>
      <c r="L6" s="160" t="s">
        <v>255</v>
      </c>
      <c r="M6" s="379">
        <v>3</v>
      </c>
      <c r="N6" s="240"/>
      <c r="P6" s="297" t="s">
        <v>185</v>
      </c>
      <c r="Q6" s="241" t="s">
        <v>405</v>
      </c>
      <c r="R6" s="317" t="s">
        <v>5</v>
      </c>
      <c r="S6" s="241" t="s">
        <v>5</v>
      </c>
      <c r="T6" s="241" t="s">
        <v>5</v>
      </c>
      <c r="U6" s="241" t="s">
        <v>5</v>
      </c>
      <c r="V6" s="241" t="s">
        <v>5</v>
      </c>
      <c r="W6" s="241" t="s">
        <v>5</v>
      </c>
      <c r="X6" s="241" t="s">
        <v>5</v>
      </c>
      <c r="Y6" s="257" t="s">
        <v>406</v>
      </c>
      <c r="Z6" s="318" t="s">
        <v>255</v>
      </c>
      <c r="AA6" s="380">
        <v>3</v>
      </c>
      <c r="AB6" s="210">
        <f t="shared" si="0"/>
        <v>3</v>
      </c>
      <c r="AC6" s="143" t="s">
        <v>185</v>
      </c>
      <c r="AD6" s="77" t="s">
        <v>405</v>
      </c>
      <c r="AE6" s="128" t="s">
        <v>5</v>
      </c>
      <c r="AF6" s="77" t="s">
        <v>5</v>
      </c>
      <c r="AG6" s="77" t="s">
        <v>5</v>
      </c>
      <c r="AH6" s="77" t="s">
        <v>5</v>
      </c>
      <c r="AI6" s="77" t="s">
        <v>5</v>
      </c>
      <c r="AJ6" s="77" t="s">
        <v>5</v>
      </c>
      <c r="AK6" s="77" t="s">
        <v>5</v>
      </c>
      <c r="AL6" s="94" t="s">
        <v>406</v>
      </c>
      <c r="AM6" s="144" t="s">
        <v>255</v>
      </c>
      <c r="AN6" s="149">
        <v>3</v>
      </c>
      <c r="AP6" s="210" t="str">
        <f t="shared" ref="AP6:AP69" si="1">IF(AQ6="","",AP5+1)</f>
        <v/>
      </c>
      <c r="AQ6" s="263"/>
      <c r="AR6" s="210" t="str">
        <f t="shared" ref="AR6:AR69" si="2">IF(AP6="","",AP6)</f>
        <v/>
      </c>
      <c r="AS6" s="217"/>
      <c r="AU6" s="263"/>
      <c r="AV6" s="217"/>
      <c r="BB6" s="206" t="str">
        <f t="array" ref="BB6">_xlfn.IFS(AQ6="","",LEN(AQ6)-LEN(SUBSTITUTE(AQ6,".",""))=3,LEFT(AQ6,vitri(".",AQ6,3)-1),LEN(AQ6)-LEN(SUBSTITUTE(AQ6,".",""))=2,LEFT(AQ6,vitri(".",AQ6,2)-1),TRUE,LEFT(AQ6,vitri(".",AQ6,1)-1))</f>
        <v/>
      </c>
      <c r="BO6" s="206" t="s">
        <v>605</v>
      </c>
    </row>
    <row r="7" spans="1:68" ht="15" customHeight="1" x14ac:dyDescent="0.25">
      <c r="A7" s="74"/>
      <c r="B7" s="108" t="s">
        <v>185</v>
      </c>
      <c r="C7" s="1" t="s">
        <v>409</v>
      </c>
      <c r="D7" s="159" t="s">
        <v>5</v>
      </c>
      <c r="E7" s="1" t="s">
        <v>5</v>
      </c>
      <c r="F7" s="1" t="s">
        <v>5</v>
      </c>
      <c r="G7" s="1" t="s">
        <v>5</v>
      </c>
      <c r="H7" s="1" t="s">
        <v>5</v>
      </c>
      <c r="I7" s="1" t="s">
        <v>5</v>
      </c>
      <c r="J7" s="1" t="s">
        <v>5</v>
      </c>
      <c r="K7" s="94" t="s">
        <v>410</v>
      </c>
      <c r="L7" s="160" t="s">
        <v>257</v>
      </c>
      <c r="M7" s="379">
        <v>5</v>
      </c>
      <c r="O7" s="230" t="str">
        <f>K3</f>
        <v>Falimy Name</v>
      </c>
      <c r="P7" s="297" t="s">
        <v>185</v>
      </c>
      <c r="Q7" s="241" t="s">
        <v>409</v>
      </c>
      <c r="R7" s="317" t="s">
        <v>5</v>
      </c>
      <c r="S7" s="241" t="s">
        <v>5</v>
      </c>
      <c r="T7" s="241" t="s">
        <v>5</v>
      </c>
      <c r="U7" s="241" t="s">
        <v>5</v>
      </c>
      <c r="V7" s="241" t="s">
        <v>5</v>
      </c>
      <c r="W7" s="241" t="s">
        <v>5</v>
      </c>
      <c r="X7" s="241" t="s">
        <v>5</v>
      </c>
      <c r="Y7" s="215" t="s">
        <v>410</v>
      </c>
      <c r="Z7" s="318" t="s">
        <v>257</v>
      </c>
      <c r="AA7" s="380">
        <v>5</v>
      </c>
      <c r="AB7" s="210">
        <f t="shared" si="0"/>
        <v>5</v>
      </c>
      <c r="AC7" s="143" t="s">
        <v>185</v>
      </c>
      <c r="AD7" s="77" t="s">
        <v>409</v>
      </c>
      <c r="AE7" s="128" t="s">
        <v>5</v>
      </c>
      <c r="AF7" s="77" t="s">
        <v>5</v>
      </c>
      <c r="AG7" s="77" t="s">
        <v>5</v>
      </c>
      <c r="AH7" s="77" t="s">
        <v>5</v>
      </c>
      <c r="AI7" s="77" t="s">
        <v>5</v>
      </c>
      <c r="AJ7" s="77" t="s">
        <v>5</v>
      </c>
      <c r="AK7" s="77" t="s">
        <v>5</v>
      </c>
      <c r="AL7" s="94" t="s">
        <v>410</v>
      </c>
      <c r="AM7" s="144" t="s">
        <v>257</v>
      </c>
      <c r="AN7" s="149">
        <v>5</v>
      </c>
      <c r="AP7" s="210" t="str">
        <f t="shared" si="1"/>
        <v/>
      </c>
      <c r="AQ7" s="266"/>
      <c r="AR7" s="210" t="str">
        <f t="shared" si="2"/>
        <v/>
      </c>
      <c r="AS7" s="217"/>
      <c r="AU7" s="263"/>
      <c r="AV7" s="217"/>
      <c r="BB7" s="206" t="str">
        <f t="array" ref="BB7">_xlfn.IFS(AQ7="","",LEN(AQ7)-LEN(SUBSTITUTE(AQ7,".",""))=3,LEFT(AQ7,vitri(".",AQ7,3)-1),LEN(AQ7)-LEN(SUBSTITUTE(AQ7,".",""))=2,LEFT(AQ7,vitri(".",AQ7,2)-1),TRUE,LEFT(AQ7,vitri(".",AQ7,1)-1))</f>
        <v/>
      </c>
      <c r="BO7" s="206" t="s">
        <v>574</v>
      </c>
    </row>
    <row r="8" spans="1:68" ht="15" customHeight="1" x14ac:dyDescent="0.25">
      <c r="A8" s="74"/>
      <c r="B8" s="108" t="s">
        <v>185</v>
      </c>
      <c r="C8" s="1" t="s">
        <v>408</v>
      </c>
      <c r="D8" s="159" t="s">
        <v>5</v>
      </c>
      <c r="E8" s="1" t="s">
        <v>5</v>
      </c>
      <c r="F8" s="1" t="s">
        <v>5</v>
      </c>
      <c r="G8" s="1" t="s">
        <v>5</v>
      </c>
      <c r="H8" s="1" t="s">
        <v>5</v>
      </c>
      <c r="I8" s="1" t="s">
        <v>5</v>
      </c>
      <c r="J8" s="1" t="s">
        <v>5</v>
      </c>
      <c r="K8" s="94" t="s">
        <v>128</v>
      </c>
      <c r="L8" s="160" t="s">
        <v>256</v>
      </c>
      <c r="M8" s="379">
        <v>4</v>
      </c>
      <c r="O8" s="233" t="str">
        <f>C3</f>
        <v>Categories</v>
      </c>
      <c r="P8" s="297" t="s">
        <v>185</v>
      </c>
      <c r="Q8" s="241" t="s">
        <v>408</v>
      </c>
      <c r="R8" s="317" t="s">
        <v>5</v>
      </c>
      <c r="S8" s="241" t="s">
        <v>5</v>
      </c>
      <c r="T8" s="241" t="s">
        <v>5</v>
      </c>
      <c r="U8" s="241" t="s">
        <v>5</v>
      </c>
      <c r="V8" s="241" t="s">
        <v>5</v>
      </c>
      <c r="W8" s="241" t="s">
        <v>5</v>
      </c>
      <c r="X8" s="241" t="s">
        <v>5</v>
      </c>
      <c r="Y8" s="215" t="s">
        <v>128</v>
      </c>
      <c r="Z8" s="318" t="s">
        <v>256</v>
      </c>
      <c r="AA8" s="380">
        <v>4</v>
      </c>
      <c r="AB8" s="210">
        <f t="shared" si="0"/>
        <v>4</v>
      </c>
      <c r="AC8" s="143" t="s">
        <v>185</v>
      </c>
      <c r="AD8" s="77" t="s">
        <v>408</v>
      </c>
      <c r="AE8" s="128" t="s">
        <v>5</v>
      </c>
      <c r="AF8" s="77" t="s">
        <v>5</v>
      </c>
      <c r="AG8" s="77" t="s">
        <v>5</v>
      </c>
      <c r="AH8" s="77" t="s">
        <v>5</v>
      </c>
      <c r="AI8" s="77" t="s">
        <v>5</v>
      </c>
      <c r="AJ8" s="77" t="s">
        <v>5</v>
      </c>
      <c r="AK8" s="77" t="s">
        <v>5</v>
      </c>
      <c r="AL8" s="94" t="s">
        <v>128</v>
      </c>
      <c r="AM8" s="144" t="s">
        <v>256</v>
      </c>
      <c r="AN8" s="149">
        <v>4</v>
      </c>
      <c r="AP8" s="210" t="str">
        <f t="shared" si="1"/>
        <v/>
      </c>
      <c r="AQ8" s="263"/>
      <c r="AR8" s="210" t="str">
        <f t="shared" si="2"/>
        <v/>
      </c>
      <c r="AS8" s="217"/>
      <c r="AU8" s="263"/>
      <c r="AV8" s="217"/>
      <c r="BB8" s="206" t="str">
        <f t="array" ref="BB8">_xlfn.IFS(AQ8="","",LEN(AQ8)-LEN(SUBSTITUTE(AQ8,".",""))=3,LEFT(AQ8,vitri(".",AQ8,3)-1),LEN(AQ8)-LEN(SUBSTITUTE(AQ8,".",""))=2,LEFT(AQ8,vitri(".",AQ8,2)-1),TRUE,LEFT(AQ8,vitri(".",AQ8,1)-1))</f>
        <v/>
      </c>
      <c r="BO8" s="206" t="s">
        <v>606</v>
      </c>
    </row>
    <row r="9" spans="1:68" ht="15" customHeight="1" x14ac:dyDescent="0.25">
      <c r="A9" s="74"/>
      <c r="B9" s="108" t="s">
        <v>184</v>
      </c>
      <c r="C9" s="1" t="s">
        <v>124</v>
      </c>
      <c r="D9" s="159" t="s">
        <v>125</v>
      </c>
      <c r="E9" s="1" t="s">
        <v>449</v>
      </c>
      <c r="F9" s="1" t="s">
        <v>450</v>
      </c>
      <c r="G9" s="1" t="s">
        <v>1092</v>
      </c>
      <c r="H9" s="1" t="s">
        <v>1093</v>
      </c>
      <c r="I9" s="1" t="s">
        <v>1094</v>
      </c>
      <c r="J9" s="1" t="s">
        <v>1095</v>
      </c>
      <c r="K9" s="94" t="str">
        <f t="shared" ref="K9:K72" si="3">IF(OR(J9="-",J9=""),IF(OR(H9="-",H9=""),CONCATENATE("M","_",D9,"_",F9,"_",TEXT(L9,"00")),CONCATENATE("M","_",D9,"_",F9,"_",H9,"_",TEXT(L9,"00"))),CONCATENATE("M","_",D9,"_",F9,"_",H9,"_",J9,"_",TEXT(L9,"00")))</f>
        <v>M_AIT_EAG_1REC_FAC_17</v>
      </c>
      <c r="L9" s="160" t="s">
        <v>610</v>
      </c>
      <c r="M9" s="379">
        <v>80</v>
      </c>
      <c r="O9" s="230" t="str">
        <f>E3</f>
        <v>Types</v>
      </c>
      <c r="P9" s="297" t="s">
        <v>184</v>
      </c>
      <c r="Q9" s="241" t="s">
        <v>124</v>
      </c>
      <c r="R9" s="317" t="s">
        <v>125</v>
      </c>
      <c r="S9" s="241" t="s">
        <v>449</v>
      </c>
      <c r="T9" s="241" t="s">
        <v>450</v>
      </c>
      <c r="U9" s="241" t="s">
        <v>1092</v>
      </c>
      <c r="V9" s="241" t="s">
        <v>1093</v>
      </c>
      <c r="W9" s="241" t="s">
        <v>1094</v>
      </c>
      <c r="X9" s="241" t="s">
        <v>1095</v>
      </c>
      <c r="Y9" s="215" t="s">
        <v>1248</v>
      </c>
      <c r="Z9" s="318" t="s">
        <v>610</v>
      </c>
      <c r="AA9" s="380">
        <v>80</v>
      </c>
      <c r="AB9" s="210">
        <f t="shared" si="0"/>
        <v>17</v>
      </c>
      <c r="AC9" s="143" t="s">
        <v>184</v>
      </c>
      <c r="AD9" s="77" t="s">
        <v>124</v>
      </c>
      <c r="AE9" s="128" t="s">
        <v>125</v>
      </c>
      <c r="AF9" s="77" t="s">
        <v>449</v>
      </c>
      <c r="AG9" s="77" t="s">
        <v>450</v>
      </c>
      <c r="AH9" s="77" t="s">
        <v>1092</v>
      </c>
      <c r="AI9" s="77" t="s">
        <v>1093</v>
      </c>
      <c r="AJ9" s="77" t="s">
        <v>1094</v>
      </c>
      <c r="AK9" s="77" t="s">
        <v>1095</v>
      </c>
      <c r="AL9" s="94" t="s">
        <v>1248</v>
      </c>
      <c r="AM9" s="144" t="s">
        <v>610</v>
      </c>
      <c r="AN9" s="149">
        <v>80</v>
      </c>
      <c r="AP9" s="210" t="str">
        <f t="shared" si="1"/>
        <v/>
      </c>
      <c r="AQ9" s="266"/>
      <c r="AR9" s="210" t="str">
        <f t="shared" si="2"/>
        <v/>
      </c>
      <c r="AS9" s="217"/>
      <c r="AU9" s="263"/>
      <c r="AV9" s="217"/>
      <c r="BB9" s="206" t="str">
        <f t="array" ref="BB9">_xlfn.IFS(AQ9="","",LEN(AQ9)-LEN(SUBSTITUTE(AQ9,".",""))=3,LEFT(AQ9,vitri(".",AQ9,3)-1),LEN(AQ9)-LEN(SUBSTITUTE(AQ9,".",""))=2,LEFT(AQ9,vitri(".",AQ9,2)-1),TRUE,LEFT(AQ9,vitri(".",AQ9,1)-1))</f>
        <v/>
      </c>
      <c r="BO9" s="206" t="s">
        <v>575</v>
      </c>
    </row>
    <row r="10" spans="1:68" ht="15" customHeight="1" x14ac:dyDescent="0.25">
      <c r="A10" s="74"/>
      <c r="B10" s="108" t="s">
        <v>184</v>
      </c>
      <c r="C10" s="1" t="s">
        <v>124</v>
      </c>
      <c r="D10" s="159" t="s">
        <v>125</v>
      </c>
      <c r="E10" s="1" t="s">
        <v>449</v>
      </c>
      <c r="F10" s="1" t="s">
        <v>450</v>
      </c>
      <c r="G10" s="1" t="s">
        <v>1096</v>
      </c>
      <c r="H10" s="1" t="s">
        <v>1097</v>
      </c>
      <c r="I10" s="1" t="s">
        <v>1098</v>
      </c>
      <c r="J10" s="1" t="s">
        <v>1099</v>
      </c>
      <c r="K10" s="94" t="str">
        <f t="shared" si="3"/>
        <v>M_AIT_EAG_1ROC_HOZ_01</v>
      </c>
      <c r="L10" s="160" t="s">
        <v>253</v>
      </c>
      <c r="M10" s="379">
        <v>64</v>
      </c>
      <c r="O10" s="230" t="str">
        <f>G3</f>
        <v>Subtypes 1</v>
      </c>
      <c r="P10" s="297" t="s">
        <v>184</v>
      </c>
      <c r="Q10" s="241" t="s">
        <v>124</v>
      </c>
      <c r="R10" s="317" t="s">
        <v>125</v>
      </c>
      <c r="S10" s="241" t="s">
        <v>449</v>
      </c>
      <c r="T10" s="241" t="s">
        <v>450</v>
      </c>
      <c r="U10" s="241" t="s">
        <v>1096</v>
      </c>
      <c r="V10" s="241" t="s">
        <v>1097</v>
      </c>
      <c r="W10" s="241" t="s">
        <v>1098</v>
      </c>
      <c r="X10" s="241" t="s">
        <v>1099</v>
      </c>
      <c r="Y10" s="215" t="s">
        <v>1249</v>
      </c>
      <c r="Z10" s="318" t="s">
        <v>253</v>
      </c>
      <c r="AA10" s="380">
        <v>64</v>
      </c>
      <c r="AB10" s="210">
        <f t="shared" si="0"/>
        <v>1</v>
      </c>
      <c r="AC10" s="143" t="s">
        <v>184</v>
      </c>
      <c r="AD10" s="77" t="s">
        <v>124</v>
      </c>
      <c r="AE10" s="128" t="s">
        <v>125</v>
      </c>
      <c r="AF10" s="77" t="s">
        <v>449</v>
      </c>
      <c r="AG10" s="77" t="s">
        <v>450</v>
      </c>
      <c r="AH10" s="77" t="s">
        <v>1096</v>
      </c>
      <c r="AI10" s="77" t="s">
        <v>1097</v>
      </c>
      <c r="AJ10" s="77" t="s">
        <v>1098</v>
      </c>
      <c r="AK10" s="77" t="s">
        <v>1099</v>
      </c>
      <c r="AL10" s="94" t="s">
        <v>1249</v>
      </c>
      <c r="AM10" s="144" t="s">
        <v>253</v>
      </c>
      <c r="AN10" s="149">
        <v>64</v>
      </c>
      <c r="AP10" s="210" t="str">
        <f t="shared" si="1"/>
        <v/>
      </c>
      <c r="AQ10" s="263"/>
      <c r="AR10" s="210" t="str">
        <f t="shared" si="2"/>
        <v/>
      </c>
      <c r="AS10" s="217"/>
      <c r="AU10" s="263"/>
      <c r="AV10" s="217"/>
      <c r="BB10" s="206" t="str">
        <f t="array" ref="BB10">_xlfn.IFS(AQ10="","",LEN(AQ10)-LEN(SUBSTITUTE(AQ10,".",""))=3,LEFT(AQ10,vitri(".",AQ10,3)-1),LEN(AQ10)-LEN(SUBSTITUTE(AQ10,".",""))=2,LEFT(AQ10,vitri(".",AQ10,2)-1),TRUE,LEFT(AQ10,vitri(".",AQ10,1)-1))</f>
        <v/>
      </c>
      <c r="BO10" s="206" t="s">
        <v>608</v>
      </c>
    </row>
    <row r="11" spans="1:68" ht="15" customHeight="1" x14ac:dyDescent="0.25">
      <c r="A11" s="74"/>
      <c r="B11" s="108" t="s">
        <v>184</v>
      </c>
      <c r="C11" s="1" t="s">
        <v>124</v>
      </c>
      <c r="D11" s="159" t="s">
        <v>125</v>
      </c>
      <c r="E11" s="1" t="s">
        <v>449</v>
      </c>
      <c r="F11" s="1" t="s">
        <v>450</v>
      </c>
      <c r="G11" s="1" t="s">
        <v>1096</v>
      </c>
      <c r="H11" s="1" t="s">
        <v>1097</v>
      </c>
      <c r="I11" s="1" t="s">
        <v>996</v>
      </c>
      <c r="J11" s="1" t="s">
        <v>997</v>
      </c>
      <c r="K11" s="94" t="str">
        <f t="shared" si="3"/>
        <v>M_AIT_EAG_1ROC_VER_02</v>
      </c>
      <c r="L11" s="160" t="s">
        <v>254</v>
      </c>
      <c r="M11" s="379">
        <v>65</v>
      </c>
      <c r="O11" s="230" t="str">
        <f>I3</f>
        <v>Subtypes 2</v>
      </c>
      <c r="P11" s="297" t="s">
        <v>184</v>
      </c>
      <c r="Q11" s="241" t="s">
        <v>124</v>
      </c>
      <c r="R11" s="317" t="s">
        <v>125</v>
      </c>
      <c r="S11" s="241" t="s">
        <v>449</v>
      </c>
      <c r="T11" s="241" t="s">
        <v>450</v>
      </c>
      <c r="U11" s="241" t="s">
        <v>1096</v>
      </c>
      <c r="V11" s="241" t="s">
        <v>1097</v>
      </c>
      <c r="W11" s="241" t="s">
        <v>996</v>
      </c>
      <c r="X11" s="241" t="s">
        <v>997</v>
      </c>
      <c r="Y11" s="215" t="s">
        <v>1250</v>
      </c>
      <c r="Z11" s="318" t="s">
        <v>254</v>
      </c>
      <c r="AA11" s="380">
        <v>65</v>
      </c>
      <c r="AB11" s="210">
        <f t="shared" si="0"/>
        <v>2</v>
      </c>
      <c r="AC11" s="143" t="s">
        <v>184</v>
      </c>
      <c r="AD11" s="77" t="s">
        <v>124</v>
      </c>
      <c r="AE11" s="128" t="s">
        <v>125</v>
      </c>
      <c r="AF11" s="77" t="s">
        <v>449</v>
      </c>
      <c r="AG11" s="77" t="s">
        <v>450</v>
      </c>
      <c r="AH11" s="77" t="s">
        <v>1096</v>
      </c>
      <c r="AI11" s="77" t="s">
        <v>1097</v>
      </c>
      <c r="AJ11" s="77" t="s">
        <v>996</v>
      </c>
      <c r="AK11" s="77" t="s">
        <v>997</v>
      </c>
      <c r="AL11" s="94" t="s">
        <v>1250</v>
      </c>
      <c r="AM11" s="144" t="s">
        <v>254</v>
      </c>
      <c r="AN11" s="149">
        <v>65</v>
      </c>
      <c r="AP11" s="210" t="str">
        <f t="shared" si="1"/>
        <v/>
      </c>
      <c r="AQ11" s="263"/>
      <c r="AR11" s="210" t="str">
        <f t="shared" si="2"/>
        <v/>
      </c>
      <c r="AS11" s="217"/>
      <c r="AU11" s="263"/>
      <c r="AV11" s="217"/>
      <c r="BB11" s="206" t="str">
        <f t="array" ref="BB11">_xlfn.IFS(AQ11="","",LEN(AQ11)-LEN(SUBSTITUTE(AQ11,".",""))=3,LEFT(AQ11,vitri(".",AQ11,3)-1),LEN(AQ11)-LEN(SUBSTITUTE(AQ11,".",""))=2,LEFT(AQ11,vitri(".",AQ11,2)-1),TRUE,LEFT(AQ11,vitri(".",AQ11,1)-1))</f>
        <v/>
      </c>
      <c r="BO11" s="206" t="s">
        <v>576</v>
      </c>
    </row>
    <row r="12" spans="1:68" ht="15" customHeight="1" x14ac:dyDescent="0.25">
      <c r="A12" s="74"/>
      <c r="B12" s="108" t="s">
        <v>184</v>
      </c>
      <c r="C12" s="1" t="s">
        <v>124</v>
      </c>
      <c r="D12" s="159" t="s">
        <v>125</v>
      </c>
      <c r="E12" s="1" t="s">
        <v>1100</v>
      </c>
      <c r="F12" s="1" t="s">
        <v>1101</v>
      </c>
      <c r="G12" s="1" t="s">
        <v>1092</v>
      </c>
      <c r="H12" s="1" t="s">
        <v>1093</v>
      </c>
      <c r="I12" s="1" t="s">
        <v>1094</v>
      </c>
      <c r="J12" s="1" t="s">
        <v>1095</v>
      </c>
      <c r="K12" s="94" t="str">
        <f t="shared" si="3"/>
        <v>M_AIT_PAG_1REC_FAC_03</v>
      </c>
      <c r="L12" s="160" t="s">
        <v>255</v>
      </c>
      <c r="M12" s="379">
        <v>66</v>
      </c>
      <c r="O12" s="233" t="str">
        <f>D3</f>
        <v>Abbr Categories</v>
      </c>
      <c r="P12" s="297" t="s">
        <v>184</v>
      </c>
      <c r="Q12" s="241" t="s">
        <v>124</v>
      </c>
      <c r="R12" s="317" t="s">
        <v>125</v>
      </c>
      <c r="S12" s="241" t="s">
        <v>1100</v>
      </c>
      <c r="T12" s="241" t="s">
        <v>1101</v>
      </c>
      <c r="U12" s="241" t="s">
        <v>1092</v>
      </c>
      <c r="V12" s="241" t="s">
        <v>1093</v>
      </c>
      <c r="W12" s="241" t="s">
        <v>1094</v>
      </c>
      <c r="X12" s="241" t="s">
        <v>1095</v>
      </c>
      <c r="Y12" s="215" t="s">
        <v>1251</v>
      </c>
      <c r="Z12" s="318" t="s">
        <v>255</v>
      </c>
      <c r="AA12" s="380">
        <v>66</v>
      </c>
      <c r="AB12" s="210">
        <f t="shared" si="0"/>
        <v>3</v>
      </c>
      <c r="AC12" s="143" t="s">
        <v>184</v>
      </c>
      <c r="AD12" s="77" t="s">
        <v>124</v>
      </c>
      <c r="AE12" s="128" t="s">
        <v>125</v>
      </c>
      <c r="AF12" s="77" t="s">
        <v>1100</v>
      </c>
      <c r="AG12" s="77" t="s">
        <v>1101</v>
      </c>
      <c r="AH12" s="77" t="s">
        <v>1092</v>
      </c>
      <c r="AI12" s="77" t="s">
        <v>1093</v>
      </c>
      <c r="AJ12" s="77" t="s">
        <v>1094</v>
      </c>
      <c r="AK12" s="77" t="s">
        <v>1095</v>
      </c>
      <c r="AL12" s="94" t="s">
        <v>1251</v>
      </c>
      <c r="AM12" s="144" t="s">
        <v>255</v>
      </c>
      <c r="AN12" s="149">
        <v>66</v>
      </c>
      <c r="AP12" s="210" t="str">
        <f t="shared" si="1"/>
        <v/>
      </c>
      <c r="AQ12" s="266"/>
      <c r="AR12" s="210" t="str">
        <f t="shared" si="2"/>
        <v/>
      </c>
      <c r="AS12" s="217"/>
      <c r="AU12" s="263"/>
      <c r="AV12" s="217"/>
      <c r="BB12" s="206" t="str">
        <f t="array" ref="BB12">_xlfn.IFS(AQ12="","",LEN(AQ12)-LEN(SUBSTITUTE(AQ12,".",""))=3,LEFT(AQ12,vitri(".",AQ12,3)-1),LEN(AQ12)-LEN(SUBSTITUTE(AQ12,".",""))=2,LEFT(AQ12,vitri(".",AQ12,2)-1),TRUE,LEFT(AQ12,vitri(".",AQ12,1)-1))</f>
        <v/>
      </c>
      <c r="BO12" s="206" t="s">
        <v>577</v>
      </c>
    </row>
    <row r="13" spans="1:68" ht="15" customHeight="1" x14ac:dyDescent="0.25">
      <c r="A13" s="74"/>
      <c r="B13" s="108" t="s">
        <v>184</v>
      </c>
      <c r="C13" s="1" t="s">
        <v>124</v>
      </c>
      <c r="D13" s="159" t="s">
        <v>125</v>
      </c>
      <c r="E13" s="1" t="s">
        <v>1102</v>
      </c>
      <c r="F13" s="1" t="s">
        <v>1103</v>
      </c>
      <c r="G13" s="1" t="s">
        <v>1096</v>
      </c>
      <c r="H13" s="1" t="s">
        <v>1097</v>
      </c>
      <c r="I13" s="1" t="s">
        <v>1098</v>
      </c>
      <c r="J13" s="1" t="s">
        <v>1099</v>
      </c>
      <c r="K13" s="94" t="str">
        <f t="shared" si="3"/>
        <v>M_AIT_RAG_1ROC_HOZ_05</v>
      </c>
      <c r="L13" s="160" t="s">
        <v>257</v>
      </c>
      <c r="M13" s="379">
        <v>68</v>
      </c>
      <c r="O13" s="233" t="str">
        <f>F3</f>
        <v>Abbr Types</v>
      </c>
      <c r="P13" s="297" t="s">
        <v>184</v>
      </c>
      <c r="Q13" s="241" t="s">
        <v>124</v>
      </c>
      <c r="R13" s="317" t="s">
        <v>125</v>
      </c>
      <c r="S13" s="241" t="s">
        <v>1102</v>
      </c>
      <c r="T13" s="241" t="s">
        <v>1103</v>
      </c>
      <c r="U13" s="241" t="s">
        <v>1096</v>
      </c>
      <c r="V13" s="241" t="s">
        <v>1097</v>
      </c>
      <c r="W13" s="241" t="s">
        <v>1098</v>
      </c>
      <c r="X13" s="241" t="s">
        <v>1099</v>
      </c>
      <c r="Y13" s="215" t="s">
        <v>1252</v>
      </c>
      <c r="Z13" s="318" t="s">
        <v>257</v>
      </c>
      <c r="AA13" s="380">
        <v>68</v>
      </c>
      <c r="AB13" s="210">
        <f t="shared" si="0"/>
        <v>5</v>
      </c>
      <c r="AC13" s="143" t="s">
        <v>184</v>
      </c>
      <c r="AD13" s="77" t="s">
        <v>124</v>
      </c>
      <c r="AE13" s="128" t="s">
        <v>125</v>
      </c>
      <c r="AF13" s="77" t="s">
        <v>1102</v>
      </c>
      <c r="AG13" s="77" t="s">
        <v>1103</v>
      </c>
      <c r="AH13" s="77" t="s">
        <v>1096</v>
      </c>
      <c r="AI13" s="77" t="s">
        <v>1097</v>
      </c>
      <c r="AJ13" s="77" t="s">
        <v>1098</v>
      </c>
      <c r="AK13" s="77" t="s">
        <v>1099</v>
      </c>
      <c r="AL13" s="94" t="s">
        <v>1252</v>
      </c>
      <c r="AM13" s="144" t="s">
        <v>257</v>
      </c>
      <c r="AN13" s="149">
        <v>68</v>
      </c>
      <c r="AP13" s="210" t="str">
        <f t="shared" si="1"/>
        <v/>
      </c>
      <c r="AQ13" s="263"/>
      <c r="AR13" s="210" t="str">
        <f t="shared" si="2"/>
        <v/>
      </c>
      <c r="AS13" s="217"/>
      <c r="AU13" s="263"/>
      <c r="AV13" s="217"/>
      <c r="BB13" s="206" t="str">
        <f t="array" ref="BB13">_xlfn.IFS(AQ13="","",LEN(AQ13)-LEN(SUBSTITUTE(AQ13,".",""))=3,LEFT(AQ13,vitri(".",AQ13,3)-1),LEN(AQ13)-LEN(SUBSTITUTE(AQ13,".",""))=2,LEFT(AQ13,vitri(".",AQ13,2)-1),TRUE,LEFT(AQ13,vitri(".",AQ13,1)-1))</f>
        <v/>
      </c>
      <c r="BO13" s="206" t="s">
        <v>1495</v>
      </c>
    </row>
    <row r="14" spans="1:68" ht="15" customHeight="1" x14ac:dyDescent="0.25">
      <c r="A14" s="97"/>
      <c r="B14" s="108" t="s">
        <v>184</v>
      </c>
      <c r="C14" s="1" t="s">
        <v>124</v>
      </c>
      <c r="D14" s="159" t="s">
        <v>125</v>
      </c>
      <c r="E14" s="1" t="s">
        <v>1102</v>
      </c>
      <c r="F14" s="1" t="s">
        <v>1103</v>
      </c>
      <c r="G14" s="1" t="s">
        <v>1096</v>
      </c>
      <c r="H14" s="1" t="s">
        <v>1097</v>
      </c>
      <c r="I14" s="1" t="s">
        <v>996</v>
      </c>
      <c r="J14" s="1" t="s">
        <v>997</v>
      </c>
      <c r="K14" s="94" t="str">
        <f t="shared" si="3"/>
        <v>M_AIT_RAG_1ROC_VER_04</v>
      </c>
      <c r="L14" s="160" t="s">
        <v>256</v>
      </c>
      <c r="M14" s="379">
        <v>67</v>
      </c>
      <c r="O14" s="233" t="str">
        <f>H3</f>
        <v>Abbr Sub 1</v>
      </c>
      <c r="P14" s="297" t="s">
        <v>184</v>
      </c>
      <c r="Q14" s="241" t="s">
        <v>124</v>
      </c>
      <c r="R14" s="317" t="s">
        <v>125</v>
      </c>
      <c r="S14" s="241" t="s">
        <v>1102</v>
      </c>
      <c r="T14" s="241" t="s">
        <v>1103</v>
      </c>
      <c r="U14" s="241" t="s">
        <v>1096</v>
      </c>
      <c r="V14" s="241" t="s">
        <v>1097</v>
      </c>
      <c r="W14" s="241" t="s">
        <v>996</v>
      </c>
      <c r="X14" s="241" t="s">
        <v>997</v>
      </c>
      <c r="Y14" s="215" t="s">
        <v>1253</v>
      </c>
      <c r="Z14" s="318" t="s">
        <v>256</v>
      </c>
      <c r="AA14" s="380">
        <v>67</v>
      </c>
      <c r="AB14" s="210">
        <f t="shared" si="0"/>
        <v>4</v>
      </c>
      <c r="AC14" s="143" t="s">
        <v>184</v>
      </c>
      <c r="AD14" s="77" t="s">
        <v>124</v>
      </c>
      <c r="AE14" s="128" t="s">
        <v>125</v>
      </c>
      <c r="AF14" s="77" t="s">
        <v>1102</v>
      </c>
      <c r="AG14" s="77" t="s">
        <v>1103</v>
      </c>
      <c r="AH14" s="77" t="s">
        <v>1096</v>
      </c>
      <c r="AI14" s="77" t="s">
        <v>1097</v>
      </c>
      <c r="AJ14" s="77" t="s">
        <v>996</v>
      </c>
      <c r="AK14" s="77" t="s">
        <v>997</v>
      </c>
      <c r="AL14" s="94" t="s">
        <v>1253</v>
      </c>
      <c r="AM14" s="144" t="s">
        <v>256</v>
      </c>
      <c r="AN14" s="149">
        <v>67</v>
      </c>
      <c r="AP14" s="210" t="str">
        <f t="shared" si="1"/>
        <v/>
      </c>
      <c r="AQ14" s="263"/>
      <c r="AR14" s="210" t="str">
        <f t="shared" si="2"/>
        <v/>
      </c>
      <c r="AS14" s="217"/>
      <c r="AU14" s="263"/>
      <c r="AV14" s="217"/>
      <c r="BB14" s="206" t="str">
        <f t="array" ref="BB14">_xlfn.IFS(AQ14="","",LEN(AQ14)-LEN(SUBSTITUTE(AQ14,".",""))=3,LEFT(AQ14,vitri(".",AQ14,3)-1),LEN(AQ14)-LEN(SUBSTITUTE(AQ14,".",""))=2,LEFT(AQ14,vitri(".",AQ14,2)-1),TRUE,LEFT(AQ14,vitri(".",AQ14,1)-1))</f>
        <v/>
      </c>
    </row>
    <row r="15" spans="1:68" ht="15" customHeight="1" x14ac:dyDescent="0.25">
      <c r="A15" s="74"/>
      <c r="B15" s="108" t="s">
        <v>184</v>
      </c>
      <c r="C15" s="1" t="s">
        <v>124</v>
      </c>
      <c r="D15" s="159" t="s">
        <v>125</v>
      </c>
      <c r="E15" s="1" t="s">
        <v>1102</v>
      </c>
      <c r="F15" s="1" t="s">
        <v>1103</v>
      </c>
      <c r="G15" s="1" t="s">
        <v>1104</v>
      </c>
      <c r="H15" s="1" t="s">
        <v>1105</v>
      </c>
      <c r="I15" s="1" t="s">
        <v>1106</v>
      </c>
      <c r="J15" s="1" t="s">
        <v>1107</v>
      </c>
      <c r="K15" s="94" t="str">
        <f t="shared" si="3"/>
        <v>M_AIT_RAG_2ROC_1H1V_06</v>
      </c>
      <c r="L15" s="160" t="s">
        <v>258</v>
      </c>
      <c r="M15" s="379">
        <v>69</v>
      </c>
      <c r="O15" s="233" t="str">
        <f>J3</f>
        <v>Abbr Sub 2</v>
      </c>
      <c r="P15" s="297" t="s">
        <v>184</v>
      </c>
      <c r="Q15" s="241" t="s">
        <v>124</v>
      </c>
      <c r="R15" s="317" t="s">
        <v>125</v>
      </c>
      <c r="S15" s="241" t="s">
        <v>1102</v>
      </c>
      <c r="T15" s="241" t="s">
        <v>1103</v>
      </c>
      <c r="U15" s="241" t="s">
        <v>1104</v>
      </c>
      <c r="V15" s="241" t="s">
        <v>1105</v>
      </c>
      <c r="W15" s="241" t="s">
        <v>1106</v>
      </c>
      <c r="X15" s="241" t="s">
        <v>1107</v>
      </c>
      <c r="Y15" s="215" t="s">
        <v>1254</v>
      </c>
      <c r="Z15" s="318" t="s">
        <v>258</v>
      </c>
      <c r="AA15" s="380">
        <v>69</v>
      </c>
      <c r="AB15" s="210">
        <f t="shared" si="0"/>
        <v>6</v>
      </c>
      <c r="AC15" s="143" t="s">
        <v>184</v>
      </c>
      <c r="AD15" s="77" t="s">
        <v>124</v>
      </c>
      <c r="AE15" s="128" t="s">
        <v>125</v>
      </c>
      <c r="AF15" s="77" t="s">
        <v>1102</v>
      </c>
      <c r="AG15" s="77" t="s">
        <v>1103</v>
      </c>
      <c r="AH15" s="77" t="s">
        <v>1104</v>
      </c>
      <c r="AI15" s="77" t="s">
        <v>1105</v>
      </c>
      <c r="AJ15" s="77" t="s">
        <v>1106</v>
      </c>
      <c r="AK15" s="77" t="s">
        <v>1107</v>
      </c>
      <c r="AL15" s="94" t="s">
        <v>1254</v>
      </c>
      <c r="AM15" s="144" t="s">
        <v>258</v>
      </c>
      <c r="AN15" s="149">
        <v>69</v>
      </c>
      <c r="AP15" s="210" t="str">
        <f t="shared" si="1"/>
        <v/>
      </c>
      <c r="AQ15" s="263"/>
      <c r="AR15" s="210" t="str">
        <f t="shared" si="2"/>
        <v/>
      </c>
      <c r="AS15" s="217"/>
      <c r="AT15" s="210" t="s">
        <v>503</v>
      </c>
      <c r="AU15" s="263"/>
      <c r="AV15" s="217"/>
      <c r="BB15" s="206" t="str">
        <f t="array" ref="BB15">_xlfn.IFS(AQ15="","",LEN(AQ15)-LEN(SUBSTITUTE(AQ15,".",""))=3,LEFT(AQ15,vitri(".",AQ15,3)-1),LEN(AQ15)-LEN(SUBSTITUTE(AQ15,".",""))=2,LEFT(AQ15,vitri(".",AQ15,2)-1),TRUE,LEFT(AQ15,vitri(".",AQ15,1)-1))</f>
        <v/>
      </c>
    </row>
    <row r="16" spans="1:68" ht="15" customHeight="1" x14ac:dyDescent="0.25">
      <c r="A16" s="74"/>
      <c r="B16" s="108" t="s">
        <v>184</v>
      </c>
      <c r="C16" s="1" t="s">
        <v>124</v>
      </c>
      <c r="D16" s="159" t="s">
        <v>125</v>
      </c>
      <c r="E16" s="1" t="s">
        <v>1102</v>
      </c>
      <c r="F16" s="1" t="s">
        <v>1103</v>
      </c>
      <c r="G16" s="1" t="s">
        <v>1104</v>
      </c>
      <c r="H16" s="1" t="s">
        <v>1105</v>
      </c>
      <c r="I16" s="1" t="s">
        <v>1108</v>
      </c>
      <c r="J16" s="1" t="s">
        <v>1109</v>
      </c>
      <c r="K16" s="94" t="str">
        <f t="shared" si="3"/>
        <v>M_AIT_RAG_2ROC_1R1O_08</v>
      </c>
      <c r="L16" s="160" t="s">
        <v>260</v>
      </c>
      <c r="M16" s="379">
        <v>71</v>
      </c>
      <c r="P16" s="297" t="s">
        <v>184</v>
      </c>
      <c r="Q16" s="241" t="s">
        <v>124</v>
      </c>
      <c r="R16" s="317" t="s">
        <v>125</v>
      </c>
      <c r="S16" s="241" t="s">
        <v>1102</v>
      </c>
      <c r="T16" s="241" t="s">
        <v>1103</v>
      </c>
      <c r="U16" s="241" t="s">
        <v>1104</v>
      </c>
      <c r="V16" s="241" t="s">
        <v>1105</v>
      </c>
      <c r="W16" s="241" t="s">
        <v>1108</v>
      </c>
      <c r="X16" s="241" t="s">
        <v>1109</v>
      </c>
      <c r="Y16" s="215" t="s">
        <v>1255</v>
      </c>
      <c r="Z16" s="318" t="s">
        <v>260</v>
      </c>
      <c r="AA16" s="380">
        <v>71</v>
      </c>
      <c r="AB16" s="210">
        <f t="shared" si="0"/>
        <v>8</v>
      </c>
      <c r="AC16" s="143" t="s">
        <v>184</v>
      </c>
      <c r="AD16" s="77" t="s">
        <v>124</v>
      </c>
      <c r="AE16" s="128" t="s">
        <v>125</v>
      </c>
      <c r="AF16" s="77" t="s">
        <v>1102</v>
      </c>
      <c r="AG16" s="77" t="s">
        <v>1103</v>
      </c>
      <c r="AH16" s="77" t="s">
        <v>1104</v>
      </c>
      <c r="AI16" s="77" t="s">
        <v>1105</v>
      </c>
      <c r="AJ16" s="77" t="s">
        <v>1108</v>
      </c>
      <c r="AK16" s="77" t="s">
        <v>1109</v>
      </c>
      <c r="AL16" s="94" t="s">
        <v>1255</v>
      </c>
      <c r="AM16" s="144" t="s">
        <v>260</v>
      </c>
      <c r="AN16" s="149">
        <v>71</v>
      </c>
      <c r="AP16" s="210" t="str">
        <f t="shared" si="1"/>
        <v/>
      </c>
      <c r="AQ16" s="263"/>
      <c r="AR16" s="210" t="str">
        <f t="shared" si="2"/>
        <v/>
      </c>
      <c r="AS16" s="217"/>
      <c r="AT16" s="210" t="s">
        <v>503</v>
      </c>
      <c r="AU16" s="263"/>
      <c r="AV16" s="217"/>
      <c r="BB16" s="206" t="str">
        <f t="array" ref="BB16">_xlfn.IFS(AQ16="","",LEN(AQ16)-LEN(SUBSTITUTE(AQ16,".",""))=3,LEFT(AQ16,vitri(".",AQ16,3)-1),LEN(AQ16)-LEN(SUBSTITUTE(AQ16,".",""))=2,LEFT(AQ16,vitri(".",AQ16,2)-1),TRUE,LEFT(AQ16,vitri(".",AQ16,1)-1))</f>
        <v/>
      </c>
    </row>
    <row r="17" spans="1:54" ht="15" customHeight="1" x14ac:dyDescent="0.25">
      <c r="A17" s="74"/>
      <c r="B17" s="108" t="s">
        <v>184</v>
      </c>
      <c r="C17" s="1" t="s">
        <v>124</v>
      </c>
      <c r="D17" s="159" t="s">
        <v>125</v>
      </c>
      <c r="E17" s="1" t="s">
        <v>1102</v>
      </c>
      <c r="F17" s="1" t="s">
        <v>1103</v>
      </c>
      <c r="G17" s="1" t="s">
        <v>1104</v>
      </c>
      <c r="H17" s="1" t="s">
        <v>1105</v>
      </c>
      <c r="I17" s="1" t="s">
        <v>1110</v>
      </c>
      <c r="J17" s="1" t="s">
        <v>1111</v>
      </c>
      <c r="K17" s="94" t="str">
        <f t="shared" si="3"/>
        <v>M_AIT_RAG_2ROC_2RV_09</v>
      </c>
      <c r="L17" s="160" t="s">
        <v>261</v>
      </c>
      <c r="M17" s="379">
        <v>72</v>
      </c>
      <c r="P17" s="297" t="s">
        <v>184</v>
      </c>
      <c r="Q17" s="241" t="s">
        <v>124</v>
      </c>
      <c r="R17" s="317" t="s">
        <v>125</v>
      </c>
      <c r="S17" s="241" t="s">
        <v>1102</v>
      </c>
      <c r="T17" s="241" t="s">
        <v>1103</v>
      </c>
      <c r="U17" s="241" t="s">
        <v>1104</v>
      </c>
      <c r="V17" s="241" t="s">
        <v>1105</v>
      </c>
      <c r="W17" s="241" t="s">
        <v>1110</v>
      </c>
      <c r="X17" s="241" t="s">
        <v>1111</v>
      </c>
      <c r="Y17" s="215" t="s">
        <v>1256</v>
      </c>
      <c r="Z17" s="318" t="s">
        <v>261</v>
      </c>
      <c r="AA17" s="380">
        <v>72</v>
      </c>
      <c r="AB17" s="210">
        <f t="shared" si="0"/>
        <v>9</v>
      </c>
      <c r="AC17" s="143" t="s">
        <v>184</v>
      </c>
      <c r="AD17" s="77" t="s">
        <v>124</v>
      </c>
      <c r="AE17" s="128" t="s">
        <v>125</v>
      </c>
      <c r="AF17" s="77" t="s">
        <v>1102</v>
      </c>
      <c r="AG17" s="77" t="s">
        <v>1103</v>
      </c>
      <c r="AH17" s="77" t="s">
        <v>1104</v>
      </c>
      <c r="AI17" s="77" t="s">
        <v>1105</v>
      </c>
      <c r="AJ17" s="77" t="s">
        <v>1110</v>
      </c>
      <c r="AK17" s="77" t="s">
        <v>1111</v>
      </c>
      <c r="AL17" s="94" t="s">
        <v>1256</v>
      </c>
      <c r="AM17" s="144" t="s">
        <v>261</v>
      </c>
      <c r="AN17" s="149">
        <v>72</v>
      </c>
      <c r="AP17" s="210" t="str">
        <f t="shared" si="1"/>
        <v/>
      </c>
      <c r="AQ17" s="263"/>
      <c r="AR17" s="210" t="str">
        <f t="shared" si="2"/>
        <v/>
      </c>
      <c r="AS17" s="217"/>
      <c r="AT17" s="210" t="s">
        <v>503</v>
      </c>
      <c r="AU17" s="263"/>
      <c r="AV17" s="217"/>
      <c r="BB17" s="206" t="str">
        <f t="array" ref="BB17">_xlfn.IFS(AQ17="","",LEN(AQ17)-LEN(SUBSTITUTE(AQ17,".",""))=3,LEFT(AQ17,vitri(".",AQ17,3)-1),LEN(AQ17)-LEN(SUBSTITUTE(AQ17,".",""))=2,LEFT(AQ17,vitri(".",AQ17,2)-1),TRUE,LEFT(AQ17,vitri(".",AQ17,1)-1))</f>
        <v/>
      </c>
    </row>
    <row r="18" spans="1:54" ht="15" customHeight="1" x14ac:dyDescent="0.25">
      <c r="A18" s="74"/>
      <c r="B18" s="108" t="s">
        <v>184</v>
      </c>
      <c r="C18" s="1" t="s">
        <v>124</v>
      </c>
      <c r="D18" s="159" t="s">
        <v>125</v>
      </c>
      <c r="E18" s="1" t="s">
        <v>1102</v>
      </c>
      <c r="F18" s="1" t="s">
        <v>1103</v>
      </c>
      <c r="G18" s="1" t="s">
        <v>1104</v>
      </c>
      <c r="H18" s="1" t="s">
        <v>1105</v>
      </c>
      <c r="I18" s="1" t="s">
        <v>996</v>
      </c>
      <c r="J18" s="1" t="s">
        <v>997</v>
      </c>
      <c r="K18" s="94" t="str">
        <f t="shared" si="3"/>
        <v>M_AIT_RAG_2ROC_VER_07</v>
      </c>
      <c r="L18" s="160" t="s">
        <v>259</v>
      </c>
      <c r="M18" s="379">
        <v>70</v>
      </c>
      <c r="P18" s="297" t="s">
        <v>184</v>
      </c>
      <c r="Q18" s="241" t="s">
        <v>124</v>
      </c>
      <c r="R18" s="317" t="s">
        <v>125</v>
      </c>
      <c r="S18" s="241" t="s">
        <v>1102</v>
      </c>
      <c r="T18" s="241" t="s">
        <v>1103</v>
      </c>
      <c r="U18" s="241" t="s">
        <v>1104</v>
      </c>
      <c r="V18" s="241" t="s">
        <v>1105</v>
      </c>
      <c r="W18" s="241" t="s">
        <v>996</v>
      </c>
      <c r="X18" s="241" t="s">
        <v>997</v>
      </c>
      <c r="Y18" s="215" t="s">
        <v>1257</v>
      </c>
      <c r="Z18" s="318" t="s">
        <v>259</v>
      </c>
      <c r="AA18" s="380">
        <v>70</v>
      </c>
      <c r="AB18" s="210">
        <f t="shared" si="0"/>
        <v>7</v>
      </c>
      <c r="AC18" s="143" t="s">
        <v>184</v>
      </c>
      <c r="AD18" s="77" t="s">
        <v>124</v>
      </c>
      <c r="AE18" s="128" t="s">
        <v>125</v>
      </c>
      <c r="AF18" s="77" t="s">
        <v>1102</v>
      </c>
      <c r="AG18" s="77" t="s">
        <v>1103</v>
      </c>
      <c r="AH18" s="77" t="s">
        <v>1104</v>
      </c>
      <c r="AI18" s="77" t="s">
        <v>1105</v>
      </c>
      <c r="AJ18" s="77" t="s">
        <v>996</v>
      </c>
      <c r="AK18" s="77" t="s">
        <v>997</v>
      </c>
      <c r="AL18" s="94" t="s">
        <v>1257</v>
      </c>
      <c r="AM18" s="144" t="s">
        <v>259</v>
      </c>
      <c r="AN18" s="149">
        <v>70</v>
      </c>
      <c r="AP18" s="210" t="str">
        <f t="shared" si="1"/>
        <v/>
      </c>
      <c r="AQ18" s="263"/>
      <c r="AR18" s="210" t="str">
        <f t="shared" si="2"/>
        <v/>
      </c>
      <c r="AS18" s="217"/>
      <c r="AT18" s="210" t="s">
        <v>503</v>
      </c>
      <c r="AU18" s="263"/>
      <c r="AV18" s="217"/>
      <c r="BB18" s="206" t="str">
        <f t="array" ref="BB18">_xlfn.IFS(AQ18="","",LEN(AQ18)-LEN(SUBSTITUTE(AQ18,".",""))=3,LEFT(AQ18,vitri(".",AQ18,3)-1),LEN(AQ18)-LEN(SUBSTITUTE(AQ18,".",""))=2,LEFT(AQ18,vitri(".",AQ18,2)-1),TRUE,LEFT(AQ18,vitri(".",AQ18,1)-1))</f>
        <v/>
      </c>
    </row>
    <row r="19" spans="1:54" ht="15" customHeight="1" x14ac:dyDescent="0.25">
      <c r="A19" s="74"/>
      <c r="B19" s="108" t="s">
        <v>184</v>
      </c>
      <c r="C19" s="1" t="s">
        <v>124</v>
      </c>
      <c r="D19" s="159" t="s">
        <v>125</v>
      </c>
      <c r="E19" s="1" t="s">
        <v>1112</v>
      </c>
      <c r="F19" s="1" t="s">
        <v>1113</v>
      </c>
      <c r="G19" s="1" t="s">
        <v>1114</v>
      </c>
      <c r="H19" s="1" t="s">
        <v>1115</v>
      </c>
      <c r="I19" s="1" t="s">
        <v>996</v>
      </c>
      <c r="J19" s="1" t="s">
        <v>997</v>
      </c>
      <c r="K19" s="94" t="str">
        <f t="shared" si="3"/>
        <v>M_AIT_RASL_3ROC_VER_10</v>
      </c>
      <c r="L19" s="160" t="s">
        <v>262</v>
      </c>
      <c r="M19" s="379">
        <v>73</v>
      </c>
      <c r="P19" s="297" t="s">
        <v>184</v>
      </c>
      <c r="Q19" s="241" t="s">
        <v>124</v>
      </c>
      <c r="R19" s="317" t="s">
        <v>125</v>
      </c>
      <c r="S19" s="241" t="s">
        <v>1112</v>
      </c>
      <c r="T19" s="241" t="s">
        <v>1113</v>
      </c>
      <c r="U19" s="241" t="s">
        <v>1114</v>
      </c>
      <c r="V19" s="241" t="s">
        <v>1115</v>
      </c>
      <c r="W19" s="241" t="s">
        <v>996</v>
      </c>
      <c r="X19" s="241" t="s">
        <v>997</v>
      </c>
      <c r="Y19" s="215" t="s">
        <v>1258</v>
      </c>
      <c r="Z19" s="318" t="s">
        <v>262</v>
      </c>
      <c r="AA19" s="380">
        <v>73</v>
      </c>
      <c r="AB19" s="210">
        <f t="shared" si="0"/>
        <v>10</v>
      </c>
      <c r="AC19" s="143" t="s">
        <v>184</v>
      </c>
      <c r="AD19" s="77" t="s">
        <v>124</v>
      </c>
      <c r="AE19" s="128" t="s">
        <v>125</v>
      </c>
      <c r="AF19" s="77" t="s">
        <v>1112</v>
      </c>
      <c r="AG19" s="77" t="s">
        <v>1113</v>
      </c>
      <c r="AH19" s="77" t="s">
        <v>1114</v>
      </c>
      <c r="AI19" s="77" t="s">
        <v>1115</v>
      </c>
      <c r="AJ19" s="77" t="s">
        <v>996</v>
      </c>
      <c r="AK19" s="77" t="s">
        <v>997</v>
      </c>
      <c r="AL19" s="94" t="s">
        <v>1258</v>
      </c>
      <c r="AM19" s="144" t="s">
        <v>262</v>
      </c>
      <c r="AN19" s="149">
        <v>73</v>
      </c>
      <c r="AP19" s="210" t="str">
        <f t="shared" si="1"/>
        <v/>
      </c>
      <c r="AQ19" s="263"/>
      <c r="AR19" s="210" t="str">
        <f t="shared" si="2"/>
        <v/>
      </c>
      <c r="AS19" s="217"/>
      <c r="AT19" s="210" t="s">
        <v>503</v>
      </c>
      <c r="AU19" s="263"/>
      <c r="AV19" s="217"/>
      <c r="BB19" s="206" t="str">
        <f t="array" ref="BB19">_xlfn.IFS(AQ19="","",LEN(AQ19)-LEN(SUBSTITUTE(AQ19,".",""))=3,LEFT(AQ19,vitri(".",AQ19,3)-1),LEN(AQ19)-LEN(SUBSTITUTE(AQ19,".",""))=2,LEFT(AQ19,vitri(".",AQ19,2)-1),TRUE,LEFT(AQ19,vitri(".",AQ19,1)-1))</f>
        <v/>
      </c>
    </row>
    <row r="20" spans="1:54" ht="15" customHeight="1" x14ac:dyDescent="0.25">
      <c r="A20" s="74"/>
      <c r="B20" s="108" t="s">
        <v>184</v>
      </c>
      <c r="C20" s="1" t="s">
        <v>124</v>
      </c>
      <c r="D20" s="159" t="s">
        <v>125</v>
      </c>
      <c r="E20" s="1" t="s">
        <v>1116</v>
      </c>
      <c r="F20" s="1" t="s">
        <v>1117</v>
      </c>
      <c r="G20" s="1" t="s">
        <v>1096</v>
      </c>
      <c r="H20" s="1" t="s">
        <v>1097</v>
      </c>
      <c r="I20" s="1" t="s">
        <v>1098</v>
      </c>
      <c r="J20" s="1" t="s">
        <v>1099</v>
      </c>
      <c r="K20" s="94" t="str">
        <f t="shared" si="3"/>
        <v>M_AIT_SAD_1ROC_HOZ_11</v>
      </c>
      <c r="L20" s="160" t="s">
        <v>263</v>
      </c>
      <c r="M20" s="379">
        <v>74</v>
      </c>
      <c r="P20" s="297" t="s">
        <v>184</v>
      </c>
      <c r="Q20" s="241" t="s">
        <v>124</v>
      </c>
      <c r="R20" s="317" t="s">
        <v>125</v>
      </c>
      <c r="S20" s="241" t="s">
        <v>1116</v>
      </c>
      <c r="T20" s="241" t="s">
        <v>1117</v>
      </c>
      <c r="U20" s="241" t="s">
        <v>1096</v>
      </c>
      <c r="V20" s="241" t="s">
        <v>1097</v>
      </c>
      <c r="W20" s="241" t="s">
        <v>1098</v>
      </c>
      <c r="X20" s="241" t="s">
        <v>1099</v>
      </c>
      <c r="Y20" s="215" t="s">
        <v>1259</v>
      </c>
      <c r="Z20" s="318" t="s">
        <v>263</v>
      </c>
      <c r="AA20" s="380">
        <v>74</v>
      </c>
      <c r="AB20" s="210">
        <f t="shared" si="0"/>
        <v>11</v>
      </c>
      <c r="AC20" s="143" t="s">
        <v>184</v>
      </c>
      <c r="AD20" s="77" t="s">
        <v>124</v>
      </c>
      <c r="AE20" s="128" t="s">
        <v>125</v>
      </c>
      <c r="AF20" s="77" t="s">
        <v>1116</v>
      </c>
      <c r="AG20" s="77" t="s">
        <v>1117</v>
      </c>
      <c r="AH20" s="77" t="s">
        <v>1096</v>
      </c>
      <c r="AI20" s="77" t="s">
        <v>1097</v>
      </c>
      <c r="AJ20" s="77" t="s">
        <v>1098</v>
      </c>
      <c r="AK20" s="77" t="s">
        <v>1099</v>
      </c>
      <c r="AL20" s="94" t="s">
        <v>1259</v>
      </c>
      <c r="AM20" s="144" t="s">
        <v>263</v>
      </c>
      <c r="AN20" s="149">
        <v>74</v>
      </c>
      <c r="AP20" s="210" t="str">
        <f t="shared" si="1"/>
        <v/>
      </c>
      <c r="AQ20" s="263"/>
      <c r="AR20" s="210" t="str">
        <f t="shared" si="2"/>
        <v/>
      </c>
      <c r="AS20" s="217"/>
      <c r="AT20" s="210" t="s">
        <v>503</v>
      </c>
      <c r="AU20" s="263"/>
      <c r="AV20" s="217"/>
      <c r="BB20" s="206" t="str">
        <f t="array" ref="BB20">_xlfn.IFS(AQ20="","",LEN(AQ20)-LEN(SUBSTITUTE(AQ20,".",""))=3,LEFT(AQ20,vitri(".",AQ20,3)-1),LEN(AQ20)-LEN(SUBSTITUTE(AQ20,".",""))=2,LEFT(AQ20,vitri(".",AQ20,2)-1),TRUE,LEFT(AQ20,vitri(".",AQ20,1)-1))</f>
        <v/>
      </c>
    </row>
    <row r="21" spans="1:54" ht="15" customHeight="1" x14ac:dyDescent="0.25">
      <c r="A21" s="74"/>
      <c r="B21" s="108" t="s">
        <v>184</v>
      </c>
      <c r="C21" s="1" t="s">
        <v>124</v>
      </c>
      <c r="D21" s="159" t="s">
        <v>125</v>
      </c>
      <c r="E21" s="1" t="s">
        <v>1116</v>
      </c>
      <c r="F21" s="1" t="s">
        <v>1117</v>
      </c>
      <c r="G21" s="1" t="s">
        <v>1096</v>
      </c>
      <c r="H21" s="1" t="s">
        <v>1097</v>
      </c>
      <c r="I21" s="1" t="s">
        <v>996</v>
      </c>
      <c r="J21" s="1" t="s">
        <v>997</v>
      </c>
      <c r="K21" s="204" t="str">
        <f t="shared" si="3"/>
        <v>M_AIT_SAD_1ROC_VER_12</v>
      </c>
      <c r="L21" s="160" t="s">
        <v>264</v>
      </c>
      <c r="M21" s="379">
        <v>75</v>
      </c>
      <c r="P21" s="297" t="s">
        <v>184</v>
      </c>
      <c r="Q21" s="241" t="s">
        <v>124</v>
      </c>
      <c r="R21" s="317" t="s">
        <v>125</v>
      </c>
      <c r="S21" s="241" t="s">
        <v>1116</v>
      </c>
      <c r="T21" s="241" t="s">
        <v>1117</v>
      </c>
      <c r="U21" s="241" t="s">
        <v>1096</v>
      </c>
      <c r="V21" s="241" t="s">
        <v>1097</v>
      </c>
      <c r="W21" s="241" t="s">
        <v>996</v>
      </c>
      <c r="X21" s="241" t="s">
        <v>997</v>
      </c>
      <c r="Y21" s="257" t="s">
        <v>1260</v>
      </c>
      <c r="Z21" s="318" t="s">
        <v>264</v>
      </c>
      <c r="AA21" s="380">
        <v>75</v>
      </c>
      <c r="AB21" s="210">
        <f t="shared" si="0"/>
        <v>12</v>
      </c>
      <c r="AC21" s="143" t="s">
        <v>184</v>
      </c>
      <c r="AD21" s="77" t="s">
        <v>124</v>
      </c>
      <c r="AE21" s="128" t="s">
        <v>125</v>
      </c>
      <c r="AF21" s="77" t="s">
        <v>1116</v>
      </c>
      <c r="AG21" s="77" t="s">
        <v>1117</v>
      </c>
      <c r="AH21" s="77" t="s">
        <v>1096</v>
      </c>
      <c r="AI21" s="77" t="s">
        <v>1097</v>
      </c>
      <c r="AJ21" s="77" t="s">
        <v>996</v>
      </c>
      <c r="AK21" s="77" t="s">
        <v>997</v>
      </c>
      <c r="AL21" s="94" t="s">
        <v>1260</v>
      </c>
      <c r="AM21" s="144" t="s">
        <v>264</v>
      </c>
      <c r="AN21" s="149">
        <v>75</v>
      </c>
      <c r="AP21" s="210" t="str">
        <f t="shared" si="1"/>
        <v/>
      </c>
      <c r="AQ21" s="263"/>
      <c r="AR21" s="210" t="str">
        <f t="shared" si="2"/>
        <v/>
      </c>
      <c r="AS21" s="217"/>
      <c r="AT21" s="210" t="s">
        <v>503</v>
      </c>
      <c r="AU21" s="263"/>
      <c r="AV21" s="217"/>
      <c r="BB21" s="206" t="str">
        <f t="array" ref="BB21">_xlfn.IFS(AQ21="","",LEN(AQ21)-LEN(SUBSTITUTE(AQ21,".",""))=3,LEFT(AQ21,vitri(".",AQ21,3)-1),LEN(AQ21)-LEN(SUBSTITUTE(AQ21,".",""))=2,LEFT(AQ21,vitri(".",AQ21,2)-1),TRUE,LEFT(AQ21,vitri(".",AQ21,1)-1))</f>
        <v/>
      </c>
    </row>
    <row r="22" spans="1:54" ht="15" customHeight="1" x14ac:dyDescent="0.25">
      <c r="A22" s="74"/>
      <c r="B22" s="108" t="s">
        <v>184</v>
      </c>
      <c r="C22" s="1" t="s">
        <v>124</v>
      </c>
      <c r="D22" s="159" t="s">
        <v>125</v>
      </c>
      <c r="E22" s="1" t="s">
        <v>1118</v>
      </c>
      <c r="F22" s="1" t="s">
        <v>1119</v>
      </c>
      <c r="G22" s="1" t="s">
        <v>1096</v>
      </c>
      <c r="H22" s="1" t="s">
        <v>1097</v>
      </c>
      <c r="I22" s="1" t="s">
        <v>1098</v>
      </c>
      <c r="J22" s="1" t="s">
        <v>1099</v>
      </c>
      <c r="K22" s="204" t="str">
        <f t="shared" si="3"/>
        <v>M_AIT_SAG_1ROC_HOZ_13</v>
      </c>
      <c r="L22" s="160" t="s">
        <v>265</v>
      </c>
      <c r="M22" s="379">
        <v>76</v>
      </c>
      <c r="P22" s="297" t="s">
        <v>184</v>
      </c>
      <c r="Q22" s="241" t="s">
        <v>124</v>
      </c>
      <c r="R22" s="317" t="s">
        <v>125</v>
      </c>
      <c r="S22" s="241" t="s">
        <v>1118</v>
      </c>
      <c r="T22" s="241" t="s">
        <v>1119</v>
      </c>
      <c r="U22" s="241" t="s">
        <v>1096</v>
      </c>
      <c r="V22" s="241" t="s">
        <v>1097</v>
      </c>
      <c r="W22" s="241" t="s">
        <v>1098</v>
      </c>
      <c r="X22" s="241" t="s">
        <v>1099</v>
      </c>
      <c r="Y22" s="257" t="s">
        <v>1261</v>
      </c>
      <c r="Z22" s="318" t="s">
        <v>265</v>
      </c>
      <c r="AA22" s="380">
        <v>76</v>
      </c>
      <c r="AB22" s="210">
        <f t="shared" si="0"/>
        <v>13</v>
      </c>
      <c r="AC22" s="143" t="s">
        <v>184</v>
      </c>
      <c r="AD22" s="77" t="s">
        <v>124</v>
      </c>
      <c r="AE22" s="128" t="s">
        <v>125</v>
      </c>
      <c r="AF22" s="77" t="s">
        <v>1118</v>
      </c>
      <c r="AG22" s="77" t="s">
        <v>1119</v>
      </c>
      <c r="AH22" s="77" t="s">
        <v>1096</v>
      </c>
      <c r="AI22" s="77" t="s">
        <v>1097</v>
      </c>
      <c r="AJ22" s="77" t="s">
        <v>1098</v>
      </c>
      <c r="AK22" s="77" t="s">
        <v>1099</v>
      </c>
      <c r="AL22" s="94" t="s">
        <v>1261</v>
      </c>
      <c r="AM22" s="144" t="s">
        <v>265</v>
      </c>
      <c r="AN22" s="149">
        <v>76</v>
      </c>
      <c r="AP22" s="210" t="str">
        <f t="shared" si="1"/>
        <v/>
      </c>
      <c r="AQ22" s="263"/>
      <c r="AR22" s="210" t="str">
        <f t="shared" si="2"/>
        <v/>
      </c>
      <c r="AS22" s="217"/>
      <c r="AT22" s="210" t="s">
        <v>503</v>
      </c>
      <c r="AU22" s="263"/>
      <c r="AV22" s="217"/>
      <c r="BB22" s="206" t="str">
        <f t="array" ref="BB22">_xlfn.IFS(AQ22="","",LEN(AQ22)-LEN(SUBSTITUTE(AQ22,".",""))=3,LEFT(AQ22,vitri(".",AQ22,3)-1),LEN(AQ22)-LEN(SUBSTITUTE(AQ22,".",""))=2,LEFT(AQ22,vitri(".",AQ22,2)-1),TRUE,LEFT(AQ22,vitri(".",AQ22,1)-1))</f>
        <v/>
      </c>
    </row>
    <row r="23" spans="1:54" ht="15" customHeight="1" x14ac:dyDescent="0.25">
      <c r="A23" s="74"/>
      <c r="B23" s="108" t="s">
        <v>184</v>
      </c>
      <c r="C23" s="1" t="s">
        <v>124</v>
      </c>
      <c r="D23" s="159" t="s">
        <v>125</v>
      </c>
      <c r="E23" s="1" t="s">
        <v>1118</v>
      </c>
      <c r="F23" s="1" t="s">
        <v>1119</v>
      </c>
      <c r="G23" s="1" t="s">
        <v>1096</v>
      </c>
      <c r="H23" s="1" t="s">
        <v>1097</v>
      </c>
      <c r="I23" s="1" t="s">
        <v>996</v>
      </c>
      <c r="J23" s="1" t="s">
        <v>997</v>
      </c>
      <c r="K23" s="204" t="str">
        <f t="shared" si="3"/>
        <v>M_AIT_SAG_1ROC_VER_14</v>
      </c>
      <c r="L23" s="160" t="s">
        <v>266</v>
      </c>
      <c r="M23" s="379">
        <v>77</v>
      </c>
      <c r="P23" s="297" t="s">
        <v>184</v>
      </c>
      <c r="Q23" s="241" t="s">
        <v>124</v>
      </c>
      <c r="R23" s="317" t="s">
        <v>125</v>
      </c>
      <c r="S23" s="241" t="s">
        <v>1118</v>
      </c>
      <c r="T23" s="241" t="s">
        <v>1119</v>
      </c>
      <c r="U23" s="241" t="s">
        <v>1096</v>
      </c>
      <c r="V23" s="241" t="s">
        <v>1097</v>
      </c>
      <c r="W23" s="241" t="s">
        <v>996</v>
      </c>
      <c r="X23" s="241" t="s">
        <v>997</v>
      </c>
      <c r="Y23" s="257" t="s">
        <v>1262</v>
      </c>
      <c r="Z23" s="318" t="s">
        <v>266</v>
      </c>
      <c r="AA23" s="380">
        <v>77</v>
      </c>
      <c r="AB23" s="210">
        <f t="shared" si="0"/>
        <v>14</v>
      </c>
      <c r="AC23" s="143" t="s">
        <v>184</v>
      </c>
      <c r="AD23" s="77" t="s">
        <v>124</v>
      </c>
      <c r="AE23" s="128" t="s">
        <v>125</v>
      </c>
      <c r="AF23" s="77" t="s">
        <v>1118</v>
      </c>
      <c r="AG23" s="77" t="s">
        <v>1119</v>
      </c>
      <c r="AH23" s="77" t="s">
        <v>1096</v>
      </c>
      <c r="AI23" s="77" t="s">
        <v>1097</v>
      </c>
      <c r="AJ23" s="77" t="s">
        <v>996</v>
      </c>
      <c r="AK23" s="77" t="s">
        <v>997</v>
      </c>
      <c r="AL23" s="94" t="s">
        <v>1262</v>
      </c>
      <c r="AM23" s="144" t="s">
        <v>266</v>
      </c>
      <c r="AN23" s="149">
        <v>77</v>
      </c>
      <c r="AP23" s="210" t="str">
        <f t="shared" si="1"/>
        <v/>
      </c>
      <c r="AQ23" s="266"/>
      <c r="AR23" s="210" t="str">
        <f t="shared" si="2"/>
        <v/>
      </c>
      <c r="AS23" s="217"/>
      <c r="AT23" s="210" t="s">
        <v>503</v>
      </c>
      <c r="AU23" s="263"/>
      <c r="AV23" s="217"/>
      <c r="BB23" s="206" t="str">
        <f t="array" ref="BB23">_xlfn.IFS(AQ23="","",LEN(AQ23)-LEN(SUBSTITUTE(AQ23,".",""))=3,LEFT(AQ23,vitri(".",AQ23,3)-1),LEN(AQ23)-LEN(SUBSTITUTE(AQ23,".",""))=2,LEFT(AQ23,vitri(".",AQ23,2)-1),TRUE,LEFT(AQ23,vitri(".",AQ23,1)-1))</f>
        <v/>
      </c>
    </row>
    <row r="24" spans="1:54" ht="15" customHeight="1" x14ac:dyDescent="0.25">
      <c r="A24" s="74"/>
      <c r="B24" s="108" t="s">
        <v>184</v>
      </c>
      <c r="C24" s="1" t="s">
        <v>124</v>
      </c>
      <c r="D24" s="159" t="s">
        <v>125</v>
      </c>
      <c r="E24" s="1" t="s">
        <v>1118</v>
      </c>
      <c r="F24" s="1" t="s">
        <v>1119</v>
      </c>
      <c r="G24" s="1" t="s">
        <v>1104</v>
      </c>
      <c r="H24" s="1" t="s">
        <v>1105</v>
      </c>
      <c r="I24" s="1" t="s">
        <v>996</v>
      </c>
      <c r="J24" s="1" t="s">
        <v>997</v>
      </c>
      <c r="K24" s="204" t="str">
        <f t="shared" si="3"/>
        <v>M_AIT_SAG_2ROC_VER_15</v>
      </c>
      <c r="L24" s="160" t="s">
        <v>267</v>
      </c>
      <c r="M24" s="379">
        <v>78</v>
      </c>
      <c r="P24" s="297" t="s">
        <v>184</v>
      </c>
      <c r="Q24" s="241" t="s">
        <v>124</v>
      </c>
      <c r="R24" s="317" t="s">
        <v>125</v>
      </c>
      <c r="S24" s="241" t="s">
        <v>1118</v>
      </c>
      <c r="T24" s="241" t="s">
        <v>1119</v>
      </c>
      <c r="U24" s="241" t="s">
        <v>1104</v>
      </c>
      <c r="V24" s="241" t="s">
        <v>1105</v>
      </c>
      <c r="W24" s="241" t="s">
        <v>996</v>
      </c>
      <c r="X24" s="241" t="s">
        <v>997</v>
      </c>
      <c r="Y24" s="257" t="s">
        <v>1263</v>
      </c>
      <c r="Z24" s="318" t="s">
        <v>267</v>
      </c>
      <c r="AA24" s="380">
        <v>78</v>
      </c>
      <c r="AB24" s="210">
        <f t="shared" si="0"/>
        <v>15</v>
      </c>
      <c r="AC24" s="143" t="s">
        <v>184</v>
      </c>
      <c r="AD24" s="77" t="s">
        <v>124</v>
      </c>
      <c r="AE24" s="128" t="s">
        <v>125</v>
      </c>
      <c r="AF24" s="77" t="s">
        <v>1118</v>
      </c>
      <c r="AG24" s="77" t="s">
        <v>1119</v>
      </c>
      <c r="AH24" s="77" t="s">
        <v>1104</v>
      </c>
      <c r="AI24" s="77" t="s">
        <v>1105</v>
      </c>
      <c r="AJ24" s="77" t="s">
        <v>996</v>
      </c>
      <c r="AK24" s="77" t="s">
        <v>997</v>
      </c>
      <c r="AL24" s="94" t="s">
        <v>1263</v>
      </c>
      <c r="AM24" s="144" t="s">
        <v>267</v>
      </c>
      <c r="AN24" s="149">
        <v>78</v>
      </c>
      <c r="AP24" s="210" t="str">
        <f t="shared" si="1"/>
        <v/>
      </c>
      <c r="AQ24" s="263"/>
      <c r="AR24" s="210" t="str">
        <f t="shared" si="2"/>
        <v/>
      </c>
      <c r="AS24" s="217"/>
      <c r="AT24" s="210" t="s">
        <v>503</v>
      </c>
      <c r="AU24" s="263"/>
      <c r="AV24" s="217"/>
      <c r="BB24" s="206" t="str">
        <f t="array" ref="BB24">_xlfn.IFS(AQ24="","",LEN(AQ24)-LEN(SUBSTITUTE(AQ24,".",""))=3,LEFT(AQ24,vitri(".",AQ24,3)-1),LEN(AQ24)-LEN(SUBSTITUTE(AQ24,".",""))=2,LEFT(AQ24,vitri(".",AQ24,2)-1),TRUE,LEFT(AQ24,vitri(".",AQ24,1)-1))</f>
        <v/>
      </c>
    </row>
    <row r="25" spans="1:54" ht="15" customHeight="1" x14ac:dyDescent="0.25">
      <c r="A25" s="74"/>
      <c r="B25" s="108" t="s">
        <v>184</v>
      </c>
      <c r="C25" s="1" t="s">
        <v>124</v>
      </c>
      <c r="D25" s="159" t="s">
        <v>125</v>
      </c>
      <c r="E25" s="1" t="s">
        <v>1120</v>
      </c>
      <c r="F25" s="1" t="s">
        <v>1121</v>
      </c>
      <c r="G25" s="1" t="s">
        <v>1114</v>
      </c>
      <c r="H25" s="1" t="s">
        <v>1115</v>
      </c>
      <c r="I25" s="1" t="s">
        <v>996</v>
      </c>
      <c r="J25" s="1" t="s">
        <v>997</v>
      </c>
      <c r="K25" s="94" t="str">
        <f t="shared" si="3"/>
        <v>M_AIT_SASL_3ROC_VER_16</v>
      </c>
      <c r="L25" s="160" t="s">
        <v>609</v>
      </c>
      <c r="M25" s="379">
        <v>79</v>
      </c>
      <c r="P25" s="297" t="s">
        <v>184</v>
      </c>
      <c r="Q25" s="241" t="s">
        <v>124</v>
      </c>
      <c r="R25" s="317" t="s">
        <v>125</v>
      </c>
      <c r="S25" s="241" t="s">
        <v>1120</v>
      </c>
      <c r="T25" s="241" t="s">
        <v>1121</v>
      </c>
      <c r="U25" s="241" t="s">
        <v>1114</v>
      </c>
      <c r="V25" s="241" t="s">
        <v>1115</v>
      </c>
      <c r="W25" s="241" t="s">
        <v>996</v>
      </c>
      <c r="X25" s="241" t="s">
        <v>997</v>
      </c>
      <c r="Y25" s="215" t="s">
        <v>1264</v>
      </c>
      <c r="Z25" s="318" t="s">
        <v>609</v>
      </c>
      <c r="AA25" s="380">
        <v>79</v>
      </c>
      <c r="AB25" s="210">
        <f t="shared" si="0"/>
        <v>16</v>
      </c>
      <c r="AC25" s="143" t="s">
        <v>184</v>
      </c>
      <c r="AD25" s="77" t="s">
        <v>124</v>
      </c>
      <c r="AE25" s="128" t="s">
        <v>125</v>
      </c>
      <c r="AF25" s="77" t="s">
        <v>1120</v>
      </c>
      <c r="AG25" s="77" t="s">
        <v>1121</v>
      </c>
      <c r="AH25" s="77" t="s">
        <v>1114</v>
      </c>
      <c r="AI25" s="77" t="s">
        <v>1115</v>
      </c>
      <c r="AJ25" s="77" t="s">
        <v>996</v>
      </c>
      <c r="AK25" s="77" t="s">
        <v>997</v>
      </c>
      <c r="AL25" s="94" t="s">
        <v>1264</v>
      </c>
      <c r="AM25" s="144" t="s">
        <v>609</v>
      </c>
      <c r="AN25" s="149">
        <v>79</v>
      </c>
      <c r="AP25" s="210" t="str">
        <f t="shared" si="1"/>
        <v/>
      </c>
      <c r="AQ25" s="263"/>
      <c r="AR25" s="210" t="str">
        <f t="shared" si="2"/>
        <v/>
      </c>
      <c r="AS25" s="217"/>
      <c r="AT25" s="210" t="s">
        <v>503</v>
      </c>
      <c r="AU25" s="263"/>
      <c r="AV25" s="217"/>
      <c r="BB25" s="206" t="str">
        <f t="array" ref="BB25">_xlfn.IFS(AQ25="","",LEN(AQ25)-LEN(SUBSTITUTE(AQ25,".",""))=3,LEFT(AQ25,vitri(".",AQ25,3)-1),LEN(AQ25)-LEN(SUBSTITUTE(AQ25,".",""))=2,LEFT(AQ25,vitri(".",AQ25,2)-1),TRUE,LEFT(AQ25,vitri(".",AQ25,1)-1))</f>
        <v/>
      </c>
    </row>
    <row r="26" spans="1:54" ht="15" customHeight="1" x14ac:dyDescent="0.25">
      <c r="A26" s="74"/>
      <c r="B26" s="108" t="s">
        <v>184</v>
      </c>
      <c r="C26" s="1" t="s">
        <v>63</v>
      </c>
      <c r="D26" s="159" t="s">
        <v>105</v>
      </c>
      <c r="E26" s="1" t="s">
        <v>1122</v>
      </c>
      <c r="F26" s="1" t="s">
        <v>1123</v>
      </c>
      <c r="G26" s="1" t="s">
        <v>67</v>
      </c>
      <c r="H26" s="1" t="s">
        <v>168</v>
      </c>
      <c r="I26" s="1" t="s">
        <v>19</v>
      </c>
      <c r="J26" s="1" t="s">
        <v>20</v>
      </c>
      <c r="K26" s="94" t="str">
        <f t="shared" si="3"/>
        <v>M_DUA_DUP_FID_REC_01</v>
      </c>
      <c r="L26" s="160" t="s">
        <v>253</v>
      </c>
      <c r="M26" s="379">
        <v>47</v>
      </c>
      <c r="P26" s="297" t="s">
        <v>184</v>
      </c>
      <c r="Q26" s="241" t="s">
        <v>63</v>
      </c>
      <c r="R26" s="317" t="s">
        <v>105</v>
      </c>
      <c r="S26" s="241" t="s">
        <v>1122</v>
      </c>
      <c r="T26" s="241" t="s">
        <v>1123</v>
      </c>
      <c r="U26" s="241" t="s">
        <v>67</v>
      </c>
      <c r="V26" s="241" t="s">
        <v>168</v>
      </c>
      <c r="W26" s="241" t="s">
        <v>19</v>
      </c>
      <c r="X26" s="241" t="s">
        <v>20</v>
      </c>
      <c r="Y26" s="215" t="s">
        <v>1265</v>
      </c>
      <c r="Z26" s="318" t="s">
        <v>253</v>
      </c>
      <c r="AA26" s="380">
        <v>47</v>
      </c>
      <c r="AB26" s="210">
        <f t="shared" si="0"/>
        <v>1</v>
      </c>
      <c r="AC26" s="143" t="s">
        <v>184</v>
      </c>
      <c r="AD26" s="77" t="s">
        <v>63</v>
      </c>
      <c r="AE26" s="128" t="s">
        <v>105</v>
      </c>
      <c r="AF26" s="77" t="s">
        <v>1122</v>
      </c>
      <c r="AG26" s="77" t="s">
        <v>1123</v>
      </c>
      <c r="AH26" s="77" t="s">
        <v>67</v>
      </c>
      <c r="AI26" s="77" t="s">
        <v>168</v>
      </c>
      <c r="AJ26" s="77" t="s">
        <v>19</v>
      </c>
      <c r="AK26" s="77" t="s">
        <v>20</v>
      </c>
      <c r="AL26" s="94" t="s">
        <v>1265</v>
      </c>
      <c r="AM26" s="144" t="s">
        <v>253</v>
      </c>
      <c r="AN26" s="149">
        <v>47</v>
      </c>
      <c r="AP26" s="210" t="str">
        <f t="shared" si="1"/>
        <v/>
      </c>
      <c r="AQ26" s="266"/>
      <c r="AR26" s="210" t="str">
        <f t="shared" si="2"/>
        <v/>
      </c>
      <c r="AS26" s="217"/>
      <c r="AT26" s="210" t="s">
        <v>503</v>
      </c>
      <c r="AU26" s="263"/>
      <c r="AV26" s="217"/>
      <c r="BB26" s="206" t="str">
        <f t="array" ref="BB26">_xlfn.IFS(AQ26="","",LEN(AQ26)-LEN(SUBSTITUTE(AQ26,".",""))=3,LEFT(AQ26,vitri(".",AQ26,3)-1),LEN(AQ26)-LEN(SUBSTITUTE(AQ26,".",""))=2,LEFT(AQ26,vitri(".",AQ26,2)-1),TRUE,LEFT(AQ26,vitri(".",AQ26,1)-1))</f>
        <v/>
      </c>
    </row>
    <row r="27" spans="1:54" ht="15" customHeight="1" x14ac:dyDescent="0.25">
      <c r="A27" s="74"/>
      <c r="B27" s="108" t="s">
        <v>184</v>
      </c>
      <c r="C27" s="1" t="s">
        <v>63</v>
      </c>
      <c r="D27" s="159" t="s">
        <v>105</v>
      </c>
      <c r="E27" s="1" t="s">
        <v>1122</v>
      </c>
      <c r="F27" s="1" t="s">
        <v>1123</v>
      </c>
      <c r="G27" s="1" t="s">
        <v>1124</v>
      </c>
      <c r="H27" s="1" t="s">
        <v>1125</v>
      </c>
      <c r="I27" s="1" t="s">
        <v>19</v>
      </c>
      <c r="J27" s="1" t="s">
        <v>20</v>
      </c>
      <c r="K27" s="94" t="str">
        <f t="shared" si="3"/>
        <v>M_DUA_DUP_MOD_REC_02</v>
      </c>
      <c r="L27" s="160" t="s">
        <v>254</v>
      </c>
      <c r="M27" s="379">
        <v>48</v>
      </c>
      <c r="P27" s="297" t="s">
        <v>184</v>
      </c>
      <c r="Q27" s="241" t="s">
        <v>63</v>
      </c>
      <c r="R27" s="317" t="s">
        <v>105</v>
      </c>
      <c r="S27" s="241" t="s">
        <v>1122</v>
      </c>
      <c r="T27" s="241" t="s">
        <v>1123</v>
      </c>
      <c r="U27" s="241" t="s">
        <v>1124</v>
      </c>
      <c r="V27" s="241" t="s">
        <v>1125</v>
      </c>
      <c r="W27" s="241" t="s">
        <v>19</v>
      </c>
      <c r="X27" s="241" t="s">
        <v>20</v>
      </c>
      <c r="Y27" s="215" t="s">
        <v>1266</v>
      </c>
      <c r="Z27" s="318" t="s">
        <v>254</v>
      </c>
      <c r="AA27" s="380">
        <v>48</v>
      </c>
      <c r="AB27" s="210">
        <f t="shared" si="0"/>
        <v>2</v>
      </c>
      <c r="AC27" s="143" t="s">
        <v>184</v>
      </c>
      <c r="AD27" s="77" t="s">
        <v>63</v>
      </c>
      <c r="AE27" s="128" t="s">
        <v>105</v>
      </c>
      <c r="AF27" s="77" t="s">
        <v>1122</v>
      </c>
      <c r="AG27" s="77" t="s">
        <v>1123</v>
      </c>
      <c r="AH27" s="77" t="s">
        <v>1124</v>
      </c>
      <c r="AI27" s="77" t="s">
        <v>1125</v>
      </c>
      <c r="AJ27" s="77" t="s">
        <v>19</v>
      </c>
      <c r="AK27" s="77" t="s">
        <v>20</v>
      </c>
      <c r="AL27" s="94" t="s">
        <v>1266</v>
      </c>
      <c r="AM27" s="144" t="s">
        <v>254</v>
      </c>
      <c r="AN27" s="149">
        <v>48</v>
      </c>
      <c r="AP27" s="210" t="str">
        <f t="shared" si="1"/>
        <v/>
      </c>
      <c r="AQ27" s="263"/>
      <c r="AR27" s="210" t="str">
        <f t="shared" si="2"/>
        <v/>
      </c>
      <c r="AS27" s="217"/>
      <c r="AT27" s="210" t="s">
        <v>503</v>
      </c>
      <c r="AU27" s="263"/>
      <c r="AV27" s="217"/>
      <c r="BB27" s="206" t="str">
        <f t="array" ref="BB27">_xlfn.IFS(AQ27="","",LEN(AQ27)-LEN(SUBSTITUTE(AQ27,".",""))=3,LEFT(AQ27,vitri(".",AQ27,3)-1),LEN(AQ27)-LEN(SUBSTITUTE(AQ27,".",""))=2,LEFT(AQ27,vitri(".",AQ27,2)-1),TRUE,LEFT(AQ27,vitri(".",AQ27,1)-1))</f>
        <v/>
      </c>
    </row>
    <row r="28" spans="1:54" ht="15" customHeight="1" x14ac:dyDescent="0.25">
      <c r="A28" s="97"/>
      <c r="B28" s="108" t="s">
        <v>184</v>
      </c>
      <c r="C28" s="1" t="s">
        <v>63</v>
      </c>
      <c r="D28" s="159" t="s">
        <v>105</v>
      </c>
      <c r="E28" s="1" t="s">
        <v>1122</v>
      </c>
      <c r="F28" s="1" t="s">
        <v>1123</v>
      </c>
      <c r="G28" s="1" t="s">
        <v>1126</v>
      </c>
      <c r="H28" s="1" t="s">
        <v>413</v>
      </c>
      <c r="I28" s="1" t="s">
        <v>19</v>
      </c>
      <c r="J28" s="1" t="s">
        <v>20</v>
      </c>
      <c r="K28" s="94" t="str">
        <f t="shared" si="3"/>
        <v>M_DUA_DUP_VCD_REC_03</v>
      </c>
      <c r="L28" s="160" t="s">
        <v>255</v>
      </c>
      <c r="M28" s="379">
        <v>49</v>
      </c>
      <c r="P28" s="297" t="s">
        <v>184</v>
      </c>
      <c r="Q28" s="241" t="s">
        <v>63</v>
      </c>
      <c r="R28" s="317" t="s">
        <v>105</v>
      </c>
      <c r="S28" s="241" t="s">
        <v>1122</v>
      </c>
      <c r="T28" s="241" t="s">
        <v>1123</v>
      </c>
      <c r="U28" s="241" t="s">
        <v>1126</v>
      </c>
      <c r="V28" s="241" t="s">
        <v>413</v>
      </c>
      <c r="W28" s="241" t="s">
        <v>19</v>
      </c>
      <c r="X28" s="241" t="s">
        <v>20</v>
      </c>
      <c r="Y28" s="215" t="s">
        <v>1267</v>
      </c>
      <c r="Z28" s="318" t="s">
        <v>255</v>
      </c>
      <c r="AA28" s="380">
        <v>49</v>
      </c>
      <c r="AB28" s="210">
        <f t="shared" si="0"/>
        <v>3</v>
      </c>
      <c r="AC28" s="143" t="s">
        <v>184</v>
      </c>
      <c r="AD28" s="77" t="s">
        <v>63</v>
      </c>
      <c r="AE28" s="128" t="s">
        <v>105</v>
      </c>
      <c r="AF28" s="77" t="s">
        <v>1122</v>
      </c>
      <c r="AG28" s="77" t="s">
        <v>1123</v>
      </c>
      <c r="AH28" s="77" t="s">
        <v>1126</v>
      </c>
      <c r="AI28" s="77" t="s">
        <v>413</v>
      </c>
      <c r="AJ28" s="77" t="s">
        <v>19</v>
      </c>
      <c r="AK28" s="77" t="s">
        <v>20</v>
      </c>
      <c r="AL28" s="94" t="s">
        <v>1267</v>
      </c>
      <c r="AM28" s="144" t="s">
        <v>255</v>
      </c>
      <c r="AN28" s="149">
        <v>49</v>
      </c>
      <c r="AP28" s="210" t="str">
        <f t="shared" si="1"/>
        <v/>
      </c>
      <c r="AQ28" s="263"/>
      <c r="AR28" s="210" t="str">
        <f t="shared" si="2"/>
        <v/>
      </c>
      <c r="AS28" s="217"/>
      <c r="AT28" s="210" t="s">
        <v>503</v>
      </c>
      <c r="AU28" s="263"/>
      <c r="AV28" s="217"/>
      <c r="BB28" s="206" t="str">
        <f t="array" ref="BB28">_xlfn.IFS(AQ28="","",LEN(AQ28)-LEN(SUBSTITUTE(AQ28,".",""))=3,LEFT(AQ28,vitri(".",AQ28,3)-1),LEN(AQ28)-LEN(SUBSTITUTE(AQ28,".",""))=2,LEFT(AQ28,vitri(".",AQ28,2)-1),TRUE,LEFT(AQ28,vitri(".",AQ28,1)-1))</f>
        <v/>
      </c>
    </row>
    <row r="29" spans="1:54" ht="15" customHeight="1" x14ac:dyDescent="0.25">
      <c r="A29" s="97"/>
      <c r="B29" s="108" t="s">
        <v>184</v>
      </c>
      <c r="C29" s="1" t="s">
        <v>63</v>
      </c>
      <c r="D29" s="159" t="s">
        <v>105</v>
      </c>
      <c r="E29" s="1" t="s">
        <v>1122</v>
      </c>
      <c r="F29" s="1" t="s">
        <v>1123</v>
      </c>
      <c r="G29" s="1" t="s">
        <v>1126</v>
      </c>
      <c r="H29" s="1" t="s">
        <v>413</v>
      </c>
      <c r="I29" s="1" t="s">
        <v>1127</v>
      </c>
      <c r="J29" s="1" t="s">
        <v>1128</v>
      </c>
      <c r="K29" s="94" t="str">
        <f t="shared" si="3"/>
        <v>M_DUA_DUP_VCD_ROD_04</v>
      </c>
      <c r="L29" s="160" t="s">
        <v>256</v>
      </c>
      <c r="M29" s="379">
        <v>50</v>
      </c>
      <c r="P29" s="297" t="s">
        <v>184</v>
      </c>
      <c r="Q29" s="241" t="s">
        <v>63</v>
      </c>
      <c r="R29" s="317" t="s">
        <v>105</v>
      </c>
      <c r="S29" s="241" t="s">
        <v>1122</v>
      </c>
      <c r="T29" s="241" t="s">
        <v>1123</v>
      </c>
      <c r="U29" s="241" t="s">
        <v>1126</v>
      </c>
      <c r="V29" s="241" t="s">
        <v>413</v>
      </c>
      <c r="W29" s="241" t="s">
        <v>1127</v>
      </c>
      <c r="X29" s="241" t="s">
        <v>1128</v>
      </c>
      <c r="Y29" s="215" t="s">
        <v>1268</v>
      </c>
      <c r="Z29" s="318" t="s">
        <v>256</v>
      </c>
      <c r="AA29" s="380">
        <v>50</v>
      </c>
      <c r="AB29" s="210">
        <f t="shared" si="0"/>
        <v>4</v>
      </c>
      <c r="AC29" s="143" t="s">
        <v>184</v>
      </c>
      <c r="AD29" s="77" t="s">
        <v>63</v>
      </c>
      <c r="AE29" s="128" t="s">
        <v>105</v>
      </c>
      <c r="AF29" s="77" t="s">
        <v>1122</v>
      </c>
      <c r="AG29" s="77" t="s">
        <v>1123</v>
      </c>
      <c r="AH29" s="77" t="s">
        <v>1126</v>
      </c>
      <c r="AI29" s="77" t="s">
        <v>413</v>
      </c>
      <c r="AJ29" s="92" t="s">
        <v>1127</v>
      </c>
      <c r="AK29" s="77" t="s">
        <v>1128</v>
      </c>
      <c r="AL29" s="94" t="s">
        <v>1268</v>
      </c>
      <c r="AM29" s="144" t="s">
        <v>256</v>
      </c>
      <c r="AN29" s="149">
        <v>50</v>
      </c>
      <c r="AP29" s="210" t="str">
        <f t="shared" si="1"/>
        <v/>
      </c>
      <c r="AQ29" s="263"/>
      <c r="AR29" s="210" t="str">
        <f t="shared" si="2"/>
        <v/>
      </c>
      <c r="AS29" s="217"/>
      <c r="AT29" s="210" t="s">
        <v>503</v>
      </c>
      <c r="AU29" s="263"/>
      <c r="AV29" s="217"/>
      <c r="BB29" s="206" t="str">
        <f t="array" ref="BB29">_xlfn.IFS(AQ29="","",LEN(AQ29)-LEN(SUBSTITUTE(AQ29,".",""))=3,LEFT(AQ29,vitri(".",AQ29,3)-1),LEN(AQ29)-LEN(SUBSTITUTE(AQ29,".",""))=2,LEFT(AQ29,vitri(".",AQ29,2)-1),TRUE,LEFT(AQ29,vitri(".",AQ29,1)-1))</f>
        <v/>
      </c>
    </row>
    <row r="30" spans="1:54" ht="15" customHeight="1" x14ac:dyDescent="0.25">
      <c r="A30" s="97"/>
      <c r="B30" s="108" t="s">
        <v>184</v>
      </c>
      <c r="C30" s="1" t="s">
        <v>63</v>
      </c>
      <c r="D30" s="159" t="s">
        <v>105</v>
      </c>
      <c r="E30" s="1" t="s">
        <v>106</v>
      </c>
      <c r="F30" s="1" t="s">
        <v>107</v>
      </c>
      <c r="G30" s="1" t="s">
        <v>19</v>
      </c>
      <c r="H30" s="1" t="s">
        <v>20</v>
      </c>
      <c r="I30" s="1" t="s">
        <v>5</v>
      </c>
      <c r="J30" s="1" t="s">
        <v>5</v>
      </c>
      <c r="K30" s="94" t="str">
        <f t="shared" si="3"/>
        <v>M_DUA_FLE_REC_05</v>
      </c>
      <c r="L30" s="160" t="s">
        <v>257</v>
      </c>
      <c r="M30" s="379">
        <v>85</v>
      </c>
      <c r="P30" s="297" t="s">
        <v>184</v>
      </c>
      <c r="Q30" s="241" t="s">
        <v>63</v>
      </c>
      <c r="R30" s="317" t="s">
        <v>105</v>
      </c>
      <c r="S30" s="241" t="s">
        <v>106</v>
      </c>
      <c r="T30" s="241" t="s">
        <v>107</v>
      </c>
      <c r="U30" s="241" t="s">
        <v>19</v>
      </c>
      <c r="V30" s="241" t="s">
        <v>20</v>
      </c>
      <c r="W30" s="241" t="s">
        <v>5</v>
      </c>
      <c r="X30" s="241" t="s">
        <v>5</v>
      </c>
      <c r="Y30" s="215" t="s">
        <v>1269</v>
      </c>
      <c r="Z30" s="318" t="s">
        <v>257</v>
      </c>
      <c r="AA30" s="380">
        <v>85</v>
      </c>
      <c r="AB30" s="210">
        <f t="shared" si="0"/>
        <v>5</v>
      </c>
      <c r="AC30" s="143" t="s">
        <v>184</v>
      </c>
      <c r="AD30" s="77" t="s">
        <v>63</v>
      </c>
      <c r="AE30" s="128" t="s">
        <v>105</v>
      </c>
      <c r="AF30" s="77" t="s">
        <v>106</v>
      </c>
      <c r="AG30" s="77" t="s">
        <v>107</v>
      </c>
      <c r="AH30" s="77" t="s">
        <v>19</v>
      </c>
      <c r="AI30" s="77" t="s">
        <v>20</v>
      </c>
      <c r="AJ30" s="77" t="s">
        <v>5</v>
      </c>
      <c r="AK30" s="77" t="s">
        <v>5</v>
      </c>
      <c r="AL30" s="94" t="s">
        <v>1269</v>
      </c>
      <c r="AM30" s="144" t="s">
        <v>257</v>
      </c>
      <c r="AN30" s="149">
        <v>85</v>
      </c>
      <c r="AP30" s="210" t="str">
        <f t="shared" si="1"/>
        <v/>
      </c>
      <c r="AQ30" s="263"/>
      <c r="AR30" s="210" t="str">
        <f t="shared" si="2"/>
        <v/>
      </c>
      <c r="AS30" s="217"/>
      <c r="AT30" s="210" t="s">
        <v>503</v>
      </c>
      <c r="AU30" s="263"/>
      <c r="AV30" s="217"/>
      <c r="BB30" s="206" t="str">
        <f t="array" ref="BB30">_xlfn.IFS(AQ30="","",LEN(AQ30)-LEN(SUBSTITUTE(AQ30,".",""))=3,LEFT(AQ30,vitri(".",AQ30,3)-1),LEN(AQ30)-LEN(SUBSTITUTE(AQ30,".",""))=2,LEFT(AQ30,vitri(".",AQ30,2)-1),TRUE,LEFT(AQ30,vitri(".",AQ30,1)-1))</f>
        <v/>
      </c>
    </row>
    <row r="31" spans="1:54" ht="15" customHeight="1" x14ac:dyDescent="0.25">
      <c r="A31" s="74"/>
      <c r="B31" s="108" t="s">
        <v>184</v>
      </c>
      <c r="C31" s="1" t="s">
        <v>63</v>
      </c>
      <c r="D31" s="159" t="s">
        <v>105</v>
      </c>
      <c r="E31" s="1" t="s">
        <v>1129</v>
      </c>
      <c r="F31" s="1" t="s">
        <v>1130</v>
      </c>
      <c r="G31" s="1" t="s">
        <v>19</v>
      </c>
      <c r="H31" s="1" t="s">
        <v>20</v>
      </c>
      <c r="I31" s="1" t="s">
        <v>1131</v>
      </c>
      <c r="J31" s="1" t="s">
        <v>1132</v>
      </c>
      <c r="K31" s="94" t="str">
        <f t="shared" si="3"/>
        <v>M_DUA_SIL_REC_1RA_06</v>
      </c>
      <c r="L31" s="160" t="s">
        <v>258</v>
      </c>
      <c r="M31" s="379">
        <v>86</v>
      </c>
      <c r="P31" s="297" t="s">
        <v>184</v>
      </c>
      <c r="Q31" s="241" t="s">
        <v>63</v>
      </c>
      <c r="R31" s="317" t="s">
        <v>105</v>
      </c>
      <c r="S31" s="241" t="s">
        <v>1129</v>
      </c>
      <c r="T31" s="241" t="s">
        <v>1130</v>
      </c>
      <c r="U31" s="241" t="s">
        <v>19</v>
      </c>
      <c r="V31" s="241" t="s">
        <v>20</v>
      </c>
      <c r="W31" s="241" t="s">
        <v>1131</v>
      </c>
      <c r="X31" s="241" t="s">
        <v>1132</v>
      </c>
      <c r="Y31" s="215" t="s">
        <v>1270</v>
      </c>
      <c r="Z31" s="318" t="s">
        <v>258</v>
      </c>
      <c r="AA31" s="380">
        <v>86</v>
      </c>
      <c r="AB31" s="210">
        <f t="shared" si="0"/>
        <v>6</v>
      </c>
      <c r="AC31" s="143" t="s">
        <v>184</v>
      </c>
      <c r="AD31" s="77" t="s">
        <v>63</v>
      </c>
      <c r="AE31" s="128" t="s">
        <v>105</v>
      </c>
      <c r="AF31" s="77" t="s">
        <v>1129</v>
      </c>
      <c r="AG31" s="77" t="s">
        <v>1130</v>
      </c>
      <c r="AH31" s="77" t="s">
        <v>19</v>
      </c>
      <c r="AI31" s="77" t="s">
        <v>20</v>
      </c>
      <c r="AJ31" s="92" t="s">
        <v>1131</v>
      </c>
      <c r="AK31" s="77" t="s">
        <v>1132</v>
      </c>
      <c r="AL31" s="94" t="s">
        <v>1270</v>
      </c>
      <c r="AM31" s="144" t="s">
        <v>258</v>
      </c>
      <c r="AN31" s="149">
        <v>86</v>
      </c>
      <c r="AP31" s="210" t="str">
        <f t="shared" si="1"/>
        <v/>
      </c>
      <c r="AQ31" s="263"/>
      <c r="AR31" s="210" t="str">
        <f t="shared" si="2"/>
        <v/>
      </c>
      <c r="AS31" s="217"/>
      <c r="AT31" s="210" t="s">
        <v>503</v>
      </c>
      <c r="AU31" s="263"/>
      <c r="AV31" s="217"/>
      <c r="BB31" s="206" t="str">
        <f t="array" ref="BB31">_xlfn.IFS(AQ31="","",LEN(AQ31)-LEN(SUBSTITUTE(AQ31,".",""))=3,LEFT(AQ31,vitri(".",AQ31,3)-1),LEN(AQ31)-LEN(SUBSTITUTE(AQ31,".",""))=2,LEFT(AQ31,vitri(".",AQ31,2)-1),TRUE,LEFT(AQ31,vitri(".",AQ31,1)-1))</f>
        <v/>
      </c>
    </row>
    <row r="32" spans="1:54" ht="15" customHeight="1" x14ac:dyDescent="0.25">
      <c r="A32" s="74"/>
      <c r="B32" s="108" t="s">
        <v>184</v>
      </c>
      <c r="C32" s="1" t="s">
        <v>63</v>
      </c>
      <c r="D32" s="159" t="s">
        <v>105</v>
      </c>
      <c r="E32" s="1" t="s">
        <v>1129</v>
      </c>
      <c r="F32" s="1" t="s">
        <v>1130</v>
      </c>
      <c r="G32" s="1" t="s">
        <v>19</v>
      </c>
      <c r="H32" s="1" t="s">
        <v>20</v>
      </c>
      <c r="I32" s="1" t="s">
        <v>1133</v>
      </c>
      <c r="J32" s="1" t="s">
        <v>1134</v>
      </c>
      <c r="K32" s="94" t="str">
        <f t="shared" si="3"/>
        <v>M_DUA_SIL_REC_1RA1OA_07</v>
      </c>
      <c r="L32" s="160" t="s">
        <v>259</v>
      </c>
      <c r="M32" s="379">
        <v>87</v>
      </c>
      <c r="P32" s="297" t="s">
        <v>184</v>
      </c>
      <c r="Q32" s="241" t="s">
        <v>63</v>
      </c>
      <c r="R32" s="317" t="s">
        <v>105</v>
      </c>
      <c r="S32" s="241" t="s">
        <v>1129</v>
      </c>
      <c r="T32" s="241" t="s">
        <v>1130</v>
      </c>
      <c r="U32" s="241" t="s">
        <v>19</v>
      </c>
      <c r="V32" s="241" t="s">
        <v>20</v>
      </c>
      <c r="W32" s="241" t="s">
        <v>1133</v>
      </c>
      <c r="X32" s="241" t="s">
        <v>1134</v>
      </c>
      <c r="Y32" s="215" t="s">
        <v>1271</v>
      </c>
      <c r="Z32" s="318" t="s">
        <v>259</v>
      </c>
      <c r="AA32" s="380">
        <v>87</v>
      </c>
      <c r="AB32" s="210">
        <f t="shared" si="0"/>
        <v>7</v>
      </c>
      <c r="AC32" s="143" t="s">
        <v>184</v>
      </c>
      <c r="AD32" s="77" t="s">
        <v>63</v>
      </c>
      <c r="AE32" s="128" t="s">
        <v>105</v>
      </c>
      <c r="AF32" s="77" t="s">
        <v>1129</v>
      </c>
      <c r="AG32" s="77" t="s">
        <v>1130</v>
      </c>
      <c r="AH32" s="77" t="s">
        <v>19</v>
      </c>
      <c r="AI32" s="77" t="s">
        <v>20</v>
      </c>
      <c r="AJ32" s="92" t="s">
        <v>1133</v>
      </c>
      <c r="AK32" s="77" t="s">
        <v>1134</v>
      </c>
      <c r="AL32" s="94" t="s">
        <v>1271</v>
      </c>
      <c r="AM32" s="144" t="s">
        <v>259</v>
      </c>
      <c r="AN32" s="149">
        <v>87</v>
      </c>
      <c r="AP32" s="210" t="str">
        <f t="shared" si="1"/>
        <v/>
      </c>
      <c r="AQ32" s="263"/>
      <c r="AR32" s="210" t="str">
        <f t="shared" si="2"/>
        <v/>
      </c>
      <c r="AS32" s="217"/>
      <c r="AT32" s="210" t="s">
        <v>503</v>
      </c>
      <c r="AU32" s="263"/>
      <c r="AV32" s="217"/>
      <c r="BB32" s="206" t="str">
        <f t="array" ref="BB32">_xlfn.IFS(AQ32="","",LEN(AQ32)-LEN(SUBSTITUTE(AQ32,".",""))=3,LEFT(AQ32,vitri(".",AQ32,3)-1),LEN(AQ32)-LEN(SUBSTITUTE(AQ32,".",""))=2,LEFT(AQ32,vitri(".",AQ32,2)-1),TRUE,LEFT(AQ32,vitri(".",AQ32,1)-1))</f>
        <v/>
      </c>
    </row>
    <row r="33" spans="1:54" ht="15" customHeight="1" x14ac:dyDescent="0.25">
      <c r="A33" s="74"/>
      <c r="B33" s="108" t="s">
        <v>184</v>
      </c>
      <c r="C33" s="1" t="s">
        <v>63</v>
      </c>
      <c r="D33" s="159" t="s">
        <v>105</v>
      </c>
      <c r="E33" s="1" t="s">
        <v>1129</v>
      </c>
      <c r="F33" s="1" t="s">
        <v>1130</v>
      </c>
      <c r="G33" s="1" t="s">
        <v>19</v>
      </c>
      <c r="H33" s="1" t="s">
        <v>20</v>
      </c>
      <c r="I33" s="1" t="s">
        <v>1135</v>
      </c>
      <c r="J33" s="1" t="s">
        <v>1136</v>
      </c>
      <c r="K33" s="94" t="str">
        <f t="shared" si="3"/>
        <v>M_DUA_SIL_REC_1SA_08</v>
      </c>
      <c r="L33" s="160" t="s">
        <v>260</v>
      </c>
      <c r="M33" s="379">
        <v>88</v>
      </c>
      <c r="P33" s="297" t="s">
        <v>184</v>
      </c>
      <c r="Q33" s="241" t="s">
        <v>63</v>
      </c>
      <c r="R33" s="317" t="s">
        <v>105</v>
      </c>
      <c r="S33" s="241" t="s">
        <v>1129</v>
      </c>
      <c r="T33" s="241" t="s">
        <v>1130</v>
      </c>
      <c r="U33" s="241" t="s">
        <v>19</v>
      </c>
      <c r="V33" s="241" t="s">
        <v>20</v>
      </c>
      <c r="W33" s="241" t="s">
        <v>1135</v>
      </c>
      <c r="X33" s="241" t="s">
        <v>1136</v>
      </c>
      <c r="Y33" s="215" t="s">
        <v>1272</v>
      </c>
      <c r="Z33" s="318" t="s">
        <v>260</v>
      </c>
      <c r="AA33" s="380">
        <v>88</v>
      </c>
      <c r="AB33" s="210">
        <f t="shared" si="0"/>
        <v>8</v>
      </c>
      <c r="AC33" s="143" t="s">
        <v>184</v>
      </c>
      <c r="AD33" s="77" t="s">
        <v>63</v>
      </c>
      <c r="AE33" s="128" t="s">
        <v>105</v>
      </c>
      <c r="AF33" s="77" t="s">
        <v>1129</v>
      </c>
      <c r="AG33" s="77" t="s">
        <v>1130</v>
      </c>
      <c r="AH33" s="77" t="s">
        <v>19</v>
      </c>
      <c r="AI33" s="77" t="s">
        <v>20</v>
      </c>
      <c r="AJ33" s="77" t="s">
        <v>1135</v>
      </c>
      <c r="AK33" s="77" t="s">
        <v>1136</v>
      </c>
      <c r="AL33" s="94" t="s">
        <v>1272</v>
      </c>
      <c r="AM33" s="144" t="s">
        <v>260</v>
      </c>
      <c r="AN33" s="149">
        <v>88</v>
      </c>
      <c r="AP33" s="210" t="str">
        <f t="shared" si="1"/>
        <v/>
      </c>
      <c r="AQ33" s="263"/>
      <c r="AR33" s="210" t="str">
        <f t="shared" si="2"/>
        <v/>
      </c>
      <c r="AS33" s="217"/>
      <c r="AT33" s="210" t="s">
        <v>503</v>
      </c>
      <c r="AU33" s="263"/>
      <c r="AV33" s="217"/>
      <c r="BB33" s="206" t="str">
        <f t="array" ref="BB33">_xlfn.IFS(AQ33="","",LEN(AQ33)-LEN(SUBSTITUTE(AQ33,".",""))=3,LEFT(AQ33,vitri(".",AQ33,3)-1),LEN(AQ33)-LEN(SUBSTITUTE(AQ33,".",""))=2,LEFT(AQ33,vitri(".",AQ33,2)-1),TRUE,LEFT(AQ33,vitri(".",AQ33,1)-1))</f>
        <v/>
      </c>
    </row>
    <row r="34" spans="1:54" ht="15" customHeight="1" x14ac:dyDescent="0.25">
      <c r="A34" s="74"/>
      <c r="B34" s="108" t="s">
        <v>184</v>
      </c>
      <c r="C34" s="1" t="s">
        <v>63</v>
      </c>
      <c r="D34" s="159" t="s">
        <v>105</v>
      </c>
      <c r="E34" s="1" t="s">
        <v>1129</v>
      </c>
      <c r="F34" s="1" t="s">
        <v>1130</v>
      </c>
      <c r="G34" s="1" t="s">
        <v>19</v>
      </c>
      <c r="H34" s="1" t="s">
        <v>20</v>
      </c>
      <c r="I34" s="1" t="s">
        <v>1137</v>
      </c>
      <c r="J34" s="1" t="s">
        <v>1138</v>
      </c>
      <c r="K34" s="94" t="str">
        <f t="shared" si="3"/>
        <v>M_DUA_SIL_REC_1SA1OP_09</v>
      </c>
      <c r="L34" s="160" t="s">
        <v>261</v>
      </c>
      <c r="M34" s="379">
        <v>90</v>
      </c>
      <c r="P34" s="297" t="s">
        <v>184</v>
      </c>
      <c r="Q34" s="241" t="s">
        <v>63</v>
      </c>
      <c r="R34" s="317" t="s">
        <v>105</v>
      </c>
      <c r="S34" s="241" t="s">
        <v>1129</v>
      </c>
      <c r="T34" s="241" t="s">
        <v>1130</v>
      </c>
      <c r="U34" s="241" t="s">
        <v>19</v>
      </c>
      <c r="V34" s="241" t="s">
        <v>20</v>
      </c>
      <c r="W34" s="241" t="s">
        <v>1137</v>
      </c>
      <c r="X34" s="241" t="s">
        <v>1138</v>
      </c>
      <c r="Y34" s="215" t="s">
        <v>1273</v>
      </c>
      <c r="Z34" s="318" t="s">
        <v>261</v>
      </c>
      <c r="AA34" s="380">
        <v>90</v>
      </c>
      <c r="AB34" s="210">
        <f t="shared" si="0"/>
        <v>9</v>
      </c>
      <c r="AC34" s="143" t="s">
        <v>184</v>
      </c>
      <c r="AD34" s="77" t="s">
        <v>63</v>
      </c>
      <c r="AE34" s="128" t="s">
        <v>105</v>
      </c>
      <c r="AF34" s="77" t="s">
        <v>1129</v>
      </c>
      <c r="AG34" s="77" t="s">
        <v>1130</v>
      </c>
      <c r="AH34" s="77" t="s">
        <v>19</v>
      </c>
      <c r="AI34" s="77" t="s">
        <v>20</v>
      </c>
      <c r="AJ34" s="77" t="s">
        <v>1137</v>
      </c>
      <c r="AK34" s="77" t="s">
        <v>1138</v>
      </c>
      <c r="AL34" s="94" t="s">
        <v>1273</v>
      </c>
      <c r="AM34" s="144" t="s">
        <v>261</v>
      </c>
      <c r="AN34" s="149">
        <v>90</v>
      </c>
      <c r="AP34" s="210" t="str">
        <f t="shared" si="1"/>
        <v/>
      </c>
      <c r="AQ34" s="266"/>
      <c r="AR34" s="210" t="str">
        <f t="shared" si="2"/>
        <v/>
      </c>
      <c r="AS34" s="217"/>
      <c r="AT34" s="210" t="s">
        <v>503</v>
      </c>
      <c r="AU34" s="263"/>
      <c r="AV34" s="217"/>
      <c r="BB34" s="206" t="str">
        <f t="array" ref="BB34">_xlfn.IFS(AQ34="","",LEN(AQ34)-LEN(SUBSTITUTE(AQ34,".",""))=3,LEFT(AQ34,vitri(".",AQ34,3)-1),LEN(AQ34)-LEN(SUBSTITUTE(AQ34,".",""))=2,LEFT(AQ34,vitri(".",AQ34,2)-1),TRUE,LEFT(AQ34,vitri(".",AQ34,1)-1))</f>
        <v/>
      </c>
    </row>
    <row r="35" spans="1:54" ht="15" customHeight="1" x14ac:dyDescent="0.25">
      <c r="A35" s="74"/>
      <c r="B35" s="108" t="s">
        <v>184</v>
      </c>
      <c r="C35" s="1" t="s">
        <v>63</v>
      </c>
      <c r="D35" s="159" t="s">
        <v>105</v>
      </c>
      <c r="E35" s="1" t="s">
        <v>1129</v>
      </c>
      <c r="F35" s="1" t="s">
        <v>1130</v>
      </c>
      <c r="G35" s="1" t="s">
        <v>19</v>
      </c>
      <c r="H35" s="1" t="s">
        <v>20</v>
      </c>
      <c r="I35" s="1" t="s">
        <v>1139</v>
      </c>
      <c r="J35" s="1" t="s">
        <v>1140</v>
      </c>
      <c r="K35" s="94" t="str">
        <f t="shared" si="3"/>
        <v>M_DUA_SIL_REC_2RA_10</v>
      </c>
      <c r="L35" s="160" t="s">
        <v>262</v>
      </c>
      <c r="M35" s="379">
        <v>89</v>
      </c>
      <c r="P35" s="297" t="s">
        <v>184</v>
      </c>
      <c r="Q35" s="241" t="s">
        <v>63</v>
      </c>
      <c r="R35" s="317" t="s">
        <v>105</v>
      </c>
      <c r="S35" s="241" t="s">
        <v>1129</v>
      </c>
      <c r="T35" s="241" t="s">
        <v>1130</v>
      </c>
      <c r="U35" s="241" t="s">
        <v>19</v>
      </c>
      <c r="V35" s="241" t="s">
        <v>20</v>
      </c>
      <c r="W35" s="241" t="s">
        <v>1139</v>
      </c>
      <c r="X35" s="241" t="s">
        <v>1140</v>
      </c>
      <c r="Y35" s="215" t="s">
        <v>1274</v>
      </c>
      <c r="Z35" s="318" t="s">
        <v>262</v>
      </c>
      <c r="AA35" s="380">
        <v>89</v>
      </c>
      <c r="AB35" s="210">
        <f t="shared" si="0"/>
        <v>10</v>
      </c>
      <c r="AC35" s="143" t="s">
        <v>184</v>
      </c>
      <c r="AD35" s="77" t="s">
        <v>63</v>
      </c>
      <c r="AE35" s="128" t="s">
        <v>105</v>
      </c>
      <c r="AF35" s="77" t="s">
        <v>1129</v>
      </c>
      <c r="AG35" s="77" t="s">
        <v>1130</v>
      </c>
      <c r="AH35" s="77" t="s">
        <v>19</v>
      </c>
      <c r="AI35" s="77" t="s">
        <v>20</v>
      </c>
      <c r="AJ35" s="92" t="s">
        <v>1139</v>
      </c>
      <c r="AK35" s="77" t="s">
        <v>1140</v>
      </c>
      <c r="AL35" s="94" t="s">
        <v>1274</v>
      </c>
      <c r="AM35" s="144" t="s">
        <v>262</v>
      </c>
      <c r="AN35" s="149">
        <v>89</v>
      </c>
      <c r="AP35" s="210" t="str">
        <f t="shared" si="1"/>
        <v/>
      </c>
      <c r="AQ35" s="263"/>
      <c r="AR35" s="210" t="str">
        <f t="shared" si="2"/>
        <v/>
      </c>
      <c r="AS35" s="217"/>
      <c r="AT35" s="210" t="s">
        <v>503</v>
      </c>
      <c r="AU35" s="263"/>
      <c r="AV35" s="217"/>
      <c r="BB35" s="206" t="str">
        <f t="array" ref="BB35">_xlfn.IFS(AQ35="","",LEN(AQ35)-LEN(SUBSTITUTE(AQ35,".",""))=3,LEFT(AQ35,vitri(".",AQ35,3)-1),LEN(AQ35)-LEN(SUBSTITUTE(AQ35,".",""))=2,LEFT(AQ35,vitri(".",AQ35,2)-1),TRUE,LEFT(AQ35,vitri(".",AQ35,1)-1))</f>
        <v/>
      </c>
    </row>
    <row r="36" spans="1:54" ht="15" customHeight="1" x14ac:dyDescent="0.25">
      <c r="A36" s="74"/>
      <c r="B36" s="108" t="s">
        <v>184</v>
      </c>
      <c r="C36" s="1" t="s">
        <v>63</v>
      </c>
      <c r="D36" s="159" t="s">
        <v>105</v>
      </c>
      <c r="E36" s="1" t="s">
        <v>1129</v>
      </c>
      <c r="F36" s="1" t="s">
        <v>1130</v>
      </c>
      <c r="G36" s="1" t="s">
        <v>19</v>
      </c>
      <c r="H36" s="1" t="s">
        <v>20</v>
      </c>
      <c r="I36" s="1" t="s">
        <v>1141</v>
      </c>
      <c r="J36" s="1" t="s">
        <v>1142</v>
      </c>
      <c r="K36" s="94" t="str">
        <f t="shared" si="3"/>
        <v>M_DUA_SIL_REC_2RA_2_11</v>
      </c>
      <c r="L36" s="160" t="s">
        <v>263</v>
      </c>
      <c r="M36" s="379">
        <v>91</v>
      </c>
      <c r="P36" s="297" t="s">
        <v>184</v>
      </c>
      <c r="Q36" s="241" t="s">
        <v>63</v>
      </c>
      <c r="R36" s="317" t="s">
        <v>105</v>
      </c>
      <c r="S36" s="241" t="s">
        <v>1129</v>
      </c>
      <c r="T36" s="241" t="s">
        <v>1130</v>
      </c>
      <c r="U36" s="241" t="s">
        <v>19</v>
      </c>
      <c r="V36" s="241" t="s">
        <v>20</v>
      </c>
      <c r="W36" s="241" t="s">
        <v>1141</v>
      </c>
      <c r="X36" s="241" t="s">
        <v>1142</v>
      </c>
      <c r="Y36" s="215" t="s">
        <v>1275</v>
      </c>
      <c r="Z36" s="318" t="s">
        <v>263</v>
      </c>
      <c r="AA36" s="380">
        <v>91</v>
      </c>
      <c r="AB36" s="210">
        <f t="shared" si="0"/>
        <v>11</v>
      </c>
      <c r="AC36" s="143" t="s">
        <v>184</v>
      </c>
      <c r="AD36" s="77" t="s">
        <v>63</v>
      </c>
      <c r="AE36" s="128" t="s">
        <v>105</v>
      </c>
      <c r="AF36" s="77" t="s">
        <v>1129</v>
      </c>
      <c r="AG36" s="77" t="s">
        <v>1130</v>
      </c>
      <c r="AH36" s="77" t="s">
        <v>19</v>
      </c>
      <c r="AI36" s="77" t="s">
        <v>20</v>
      </c>
      <c r="AJ36" s="77" t="s">
        <v>1141</v>
      </c>
      <c r="AK36" s="77" t="s">
        <v>1142</v>
      </c>
      <c r="AL36" s="94" t="s">
        <v>1275</v>
      </c>
      <c r="AM36" s="144" t="s">
        <v>263</v>
      </c>
      <c r="AN36" s="149">
        <v>91</v>
      </c>
      <c r="AP36" s="210" t="str">
        <f t="shared" si="1"/>
        <v/>
      </c>
      <c r="AQ36" s="263"/>
      <c r="AR36" s="210" t="str">
        <f t="shared" si="2"/>
        <v/>
      </c>
      <c r="AS36" s="217"/>
      <c r="AT36" s="210" t="s">
        <v>503</v>
      </c>
      <c r="AU36" s="263"/>
      <c r="AV36" s="217"/>
      <c r="BB36" s="206" t="str">
        <f t="array" ref="BB36">_xlfn.IFS(AQ36="","",LEN(AQ36)-LEN(SUBSTITUTE(AQ36,".",""))=3,LEFT(AQ36,vitri(".",AQ36,3)-1),LEN(AQ36)-LEN(SUBSTITUTE(AQ36,".",""))=2,LEFT(AQ36,vitri(".",AQ36,2)-1),TRUE,LEFT(AQ36,vitri(".",AQ36,1)-1))</f>
        <v/>
      </c>
    </row>
    <row r="37" spans="1:54" ht="15.75" customHeight="1" x14ac:dyDescent="0.25">
      <c r="A37" s="74"/>
      <c r="B37" s="108" t="s">
        <v>184</v>
      </c>
      <c r="C37" s="1" t="s">
        <v>63</v>
      </c>
      <c r="D37" s="159" t="s">
        <v>105</v>
      </c>
      <c r="E37" s="1" t="s">
        <v>1129</v>
      </c>
      <c r="F37" s="1" t="s">
        <v>1130</v>
      </c>
      <c r="G37" s="1" t="s">
        <v>19</v>
      </c>
      <c r="H37" s="1" t="s">
        <v>20</v>
      </c>
      <c r="I37" s="1" t="s">
        <v>1143</v>
      </c>
      <c r="J37" s="1" t="s">
        <v>1144</v>
      </c>
      <c r="K37" s="94" t="str">
        <f t="shared" si="3"/>
        <v>M_DUA_SIL_REC_2RA1OA_12</v>
      </c>
      <c r="L37" s="160" t="s">
        <v>264</v>
      </c>
      <c r="M37" s="379">
        <v>92</v>
      </c>
      <c r="P37" s="297" t="s">
        <v>184</v>
      </c>
      <c r="Q37" s="241" t="s">
        <v>63</v>
      </c>
      <c r="R37" s="317" t="s">
        <v>105</v>
      </c>
      <c r="S37" s="241" t="s">
        <v>1129</v>
      </c>
      <c r="T37" s="241" t="s">
        <v>1130</v>
      </c>
      <c r="U37" s="241" t="s">
        <v>19</v>
      </c>
      <c r="V37" s="241" t="s">
        <v>20</v>
      </c>
      <c r="W37" s="241" t="s">
        <v>1143</v>
      </c>
      <c r="X37" s="241" t="s">
        <v>1144</v>
      </c>
      <c r="Y37" s="215" t="s">
        <v>1276</v>
      </c>
      <c r="Z37" s="318" t="s">
        <v>264</v>
      </c>
      <c r="AA37" s="380">
        <v>92</v>
      </c>
      <c r="AB37" s="210">
        <f t="shared" si="0"/>
        <v>12</v>
      </c>
      <c r="AC37" s="143" t="s">
        <v>184</v>
      </c>
      <c r="AD37" s="77" t="s">
        <v>63</v>
      </c>
      <c r="AE37" s="128" t="s">
        <v>105</v>
      </c>
      <c r="AF37" s="77" t="s">
        <v>1129</v>
      </c>
      <c r="AG37" s="77" t="s">
        <v>1130</v>
      </c>
      <c r="AH37" s="77" t="s">
        <v>19</v>
      </c>
      <c r="AI37" s="77" t="s">
        <v>20</v>
      </c>
      <c r="AJ37" s="92" t="s">
        <v>1143</v>
      </c>
      <c r="AK37" s="77" t="s">
        <v>1144</v>
      </c>
      <c r="AL37" s="94" t="s">
        <v>1276</v>
      </c>
      <c r="AM37" s="144" t="s">
        <v>264</v>
      </c>
      <c r="AN37" s="149">
        <v>92</v>
      </c>
      <c r="AP37" s="210" t="str">
        <f t="shared" si="1"/>
        <v/>
      </c>
      <c r="AQ37" s="263"/>
      <c r="AR37" s="210" t="str">
        <f t="shared" si="2"/>
        <v/>
      </c>
      <c r="AS37" s="217"/>
      <c r="AT37" s="210" t="s">
        <v>503</v>
      </c>
      <c r="AU37" s="263"/>
      <c r="AV37" s="217"/>
      <c r="BB37" s="206" t="str">
        <f t="array" ref="BB37">_xlfn.IFS(AQ37="","",LEN(AQ37)-LEN(SUBSTITUTE(AQ37,".",""))=3,LEFT(AQ37,vitri(".",AQ37,3)-1),LEN(AQ37)-LEN(SUBSTITUTE(AQ37,".",""))=2,LEFT(AQ37,vitri(".",AQ37,2)-1),TRUE,LEFT(AQ37,vitri(".",AQ37,1)-1))</f>
        <v/>
      </c>
    </row>
    <row r="38" spans="1:54" ht="15.75" customHeight="1" x14ac:dyDescent="0.25">
      <c r="A38" s="74"/>
      <c r="B38" s="108" t="s">
        <v>184</v>
      </c>
      <c r="C38" s="1" t="s">
        <v>63</v>
      </c>
      <c r="D38" s="159" t="s">
        <v>105</v>
      </c>
      <c r="E38" s="1" t="s">
        <v>1129</v>
      </c>
      <c r="F38" s="1" t="s">
        <v>1130</v>
      </c>
      <c r="G38" s="1" t="s">
        <v>19</v>
      </c>
      <c r="H38" s="1" t="s">
        <v>20</v>
      </c>
      <c r="I38" s="1" t="s">
        <v>1145</v>
      </c>
      <c r="J38" s="1" t="s">
        <v>1146</v>
      </c>
      <c r="K38" s="94" t="str">
        <f t="shared" si="3"/>
        <v>M_DUA_SIL_REC_2RA1OA2_13</v>
      </c>
      <c r="L38" s="160" t="s">
        <v>265</v>
      </c>
      <c r="M38" s="379">
        <v>93</v>
      </c>
      <c r="P38" s="297" t="s">
        <v>184</v>
      </c>
      <c r="Q38" s="241" t="s">
        <v>63</v>
      </c>
      <c r="R38" s="317" t="s">
        <v>105</v>
      </c>
      <c r="S38" s="241" t="s">
        <v>1129</v>
      </c>
      <c r="T38" s="241" t="s">
        <v>1130</v>
      </c>
      <c r="U38" s="241" t="s">
        <v>19</v>
      </c>
      <c r="V38" s="241" t="s">
        <v>20</v>
      </c>
      <c r="W38" s="241" t="s">
        <v>1145</v>
      </c>
      <c r="X38" s="241" t="s">
        <v>1146</v>
      </c>
      <c r="Y38" s="215" t="s">
        <v>1277</v>
      </c>
      <c r="Z38" s="318" t="s">
        <v>265</v>
      </c>
      <c r="AA38" s="380">
        <v>93</v>
      </c>
      <c r="AB38" s="210">
        <f t="shared" si="0"/>
        <v>13</v>
      </c>
      <c r="AC38" s="143" t="s">
        <v>184</v>
      </c>
      <c r="AD38" s="77" t="s">
        <v>63</v>
      </c>
      <c r="AE38" s="128" t="s">
        <v>105</v>
      </c>
      <c r="AF38" s="77" t="s">
        <v>1129</v>
      </c>
      <c r="AG38" s="77" t="s">
        <v>1130</v>
      </c>
      <c r="AH38" s="77" t="s">
        <v>19</v>
      </c>
      <c r="AI38" s="77" t="s">
        <v>20</v>
      </c>
      <c r="AJ38" s="92" t="s">
        <v>1145</v>
      </c>
      <c r="AK38" s="77" t="s">
        <v>1146</v>
      </c>
      <c r="AL38" s="94" t="s">
        <v>1277</v>
      </c>
      <c r="AM38" s="144" t="s">
        <v>265</v>
      </c>
      <c r="AN38" s="149">
        <v>93</v>
      </c>
      <c r="AP38" s="210" t="str">
        <f t="shared" si="1"/>
        <v/>
      </c>
      <c r="AQ38" s="263"/>
      <c r="AR38" s="210" t="str">
        <f t="shared" si="2"/>
        <v/>
      </c>
      <c r="AS38" s="217"/>
      <c r="AT38" s="210" t="s">
        <v>503</v>
      </c>
      <c r="AU38" s="263"/>
      <c r="AV38" s="217"/>
      <c r="BB38" s="206" t="str">
        <f t="array" ref="BB38">_xlfn.IFS(AQ38="","",LEN(AQ38)-LEN(SUBSTITUTE(AQ38,".",""))=3,LEFT(AQ38,vitri(".",AQ38,3)-1),LEN(AQ38)-LEN(SUBSTITUTE(AQ38,".",""))=2,LEFT(AQ38,vitri(".",AQ38,2)-1),TRUE,LEFT(AQ38,vitri(".",AQ38,1)-1))</f>
        <v/>
      </c>
    </row>
    <row r="39" spans="1:54" ht="15.75" customHeight="1" x14ac:dyDescent="0.25">
      <c r="A39" s="74"/>
      <c r="B39" s="108" t="s">
        <v>184</v>
      </c>
      <c r="C39" s="1" t="s">
        <v>63</v>
      </c>
      <c r="D39" s="159" t="s">
        <v>105</v>
      </c>
      <c r="E39" s="1" t="s">
        <v>1129</v>
      </c>
      <c r="F39" s="1" t="s">
        <v>1130</v>
      </c>
      <c r="G39" s="1" t="s">
        <v>19</v>
      </c>
      <c r="H39" s="1" t="s">
        <v>20</v>
      </c>
      <c r="I39" s="1" t="s">
        <v>1147</v>
      </c>
      <c r="J39" s="1" t="s">
        <v>1148</v>
      </c>
      <c r="K39" s="94" t="str">
        <f t="shared" si="3"/>
        <v>M_DUA_SIL_REC_2SA_14</v>
      </c>
      <c r="L39" s="160" t="s">
        <v>266</v>
      </c>
      <c r="M39" s="379">
        <v>94</v>
      </c>
      <c r="P39" s="297" t="s">
        <v>184</v>
      </c>
      <c r="Q39" s="241" t="s">
        <v>63</v>
      </c>
      <c r="R39" s="317" t="s">
        <v>105</v>
      </c>
      <c r="S39" s="241" t="s">
        <v>1129</v>
      </c>
      <c r="T39" s="241" t="s">
        <v>1130</v>
      </c>
      <c r="U39" s="241" t="s">
        <v>19</v>
      </c>
      <c r="V39" s="241" t="s">
        <v>20</v>
      </c>
      <c r="W39" s="241" t="s">
        <v>1147</v>
      </c>
      <c r="X39" s="241" t="s">
        <v>1148</v>
      </c>
      <c r="Y39" s="215" t="s">
        <v>1278</v>
      </c>
      <c r="Z39" s="318" t="s">
        <v>266</v>
      </c>
      <c r="AA39" s="380">
        <v>94</v>
      </c>
      <c r="AB39" s="210">
        <f t="shared" si="0"/>
        <v>14</v>
      </c>
      <c r="AC39" s="143" t="s">
        <v>184</v>
      </c>
      <c r="AD39" s="77" t="s">
        <v>63</v>
      </c>
      <c r="AE39" s="128" t="s">
        <v>105</v>
      </c>
      <c r="AF39" s="77" t="s">
        <v>1129</v>
      </c>
      <c r="AG39" s="77" t="s">
        <v>1130</v>
      </c>
      <c r="AH39" s="77" t="s">
        <v>19</v>
      </c>
      <c r="AI39" s="77" t="s">
        <v>20</v>
      </c>
      <c r="AJ39" s="92" t="s">
        <v>1147</v>
      </c>
      <c r="AK39" s="77" t="s">
        <v>1148</v>
      </c>
      <c r="AL39" s="94" t="s">
        <v>1278</v>
      </c>
      <c r="AM39" s="144" t="s">
        <v>266</v>
      </c>
      <c r="AN39" s="149">
        <v>94</v>
      </c>
      <c r="AP39" s="210" t="str">
        <f t="shared" si="1"/>
        <v/>
      </c>
      <c r="AQ39" s="263"/>
      <c r="AR39" s="210" t="str">
        <f t="shared" si="2"/>
        <v/>
      </c>
      <c r="AS39" s="217"/>
      <c r="AT39" s="210" t="s">
        <v>503</v>
      </c>
      <c r="AU39" s="263"/>
      <c r="AV39" s="217"/>
      <c r="BB39" s="206" t="str">
        <f t="array" ref="BB39">_xlfn.IFS(AQ39="","",LEN(AQ39)-LEN(SUBSTITUTE(AQ39,".",""))=3,LEFT(AQ39,vitri(".",AQ39,3)-1),LEN(AQ39)-LEN(SUBSTITUTE(AQ39,".",""))=2,LEFT(AQ39,vitri(".",AQ39,2)-1),TRUE,LEFT(AQ39,vitri(".",AQ39,1)-1))</f>
        <v/>
      </c>
    </row>
    <row r="40" spans="1:54" ht="15.75" customHeight="1" x14ac:dyDescent="0.25">
      <c r="A40" s="74"/>
      <c r="B40" s="108" t="s">
        <v>184</v>
      </c>
      <c r="C40" s="1" t="s">
        <v>63</v>
      </c>
      <c r="D40" s="159" t="s">
        <v>105</v>
      </c>
      <c r="E40" s="1" t="s">
        <v>1129</v>
      </c>
      <c r="F40" s="1" t="s">
        <v>1130</v>
      </c>
      <c r="G40" s="1" t="s">
        <v>19</v>
      </c>
      <c r="H40" s="1" t="s">
        <v>20</v>
      </c>
      <c r="I40" s="1" t="s">
        <v>1149</v>
      </c>
      <c r="J40" s="1" t="s">
        <v>1150</v>
      </c>
      <c r="K40" s="94" t="str">
        <f t="shared" si="3"/>
        <v>M_DUA_SIL_REC_2SA1OA_15</v>
      </c>
      <c r="L40" s="160" t="s">
        <v>267</v>
      </c>
      <c r="M40" s="379">
        <v>95</v>
      </c>
      <c r="P40" s="297" t="s">
        <v>184</v>
      </c>
      <c r="Q40" s="241" t="s">
        <v>63</v>
      </c>
      <c r="R40" s="317" t="s">
        <v>105</v>
      </c>
      <c r="S40" s="241" t="s">
        <v>1129</v>
      </c>
      <c r="T40" s="241" t="s">
        <v>1130</v>
      </c>
      <c r="U40" s="241" t="s">
        <v>19</v>
      </c>
      <c r="V40" s="241" t="s">
        <v>20</v>
      </c>
      <c r="W40" s="241" t="s">
        <v>1149</v>
      </c>
      <c r="X40" s="241" t="s">
        <v>1150</v>
      </c>
      <c r="Y40" s="215" t="s">
        <v>1279</v>
      </c>
      <c r="Z40" s="318" t="s">
        <v>267</v>
      </c>
      <c r="AA40" s="380">
        <v>95</v>
      </c>
      <c r="AB40" s="210">
        <f t="shared" si="0"/>
        <v>15</v>
      </c>
      <c r="AC40" s="143" t="s">
        <v>184</v>
      </c>
      <c r="AD40" s="77" t="s">
        <v>63</v>
      </c>
      <c r="AE40" s="128" t="s">
        <v>105</v>
      </c>
      <c r="AF40" s="77" t="s">
        <v>1129</v>
      </c>
      <c r="AG40" s="77" t="s">
        <v>1130</v>
      </c>
      <c r="AH40" s="77" t="s">
        <v>19</v>
      </c>
      <c r="AI40" s="77" t="s">
        <v>20</v>
      </c>
      <c r="AJ40" s="92" t="s">
        <v>1149</v>
      </c>
      <c r="AK40" s="77" t="s">
        <v>1150</v>
      </c>
      <c r="AL40" s="94" t="s">
        <v>1279</v>
      </c>
      <c r="AM40" s="144" t="s">
        <v>267</v>
      </c>
      <c r="AN40" s="149">
        <v>95</v>
      </c>
      <c r="AP40" s="210" t="str">
        <f t="shared" si="1"/>
        <v/>
      </c>
      <c r="AQ40" s="263"/>
      <c r="AR40" s="210" t="str">
        <f t="shared" si="2"/>
        <v/>
      </c>
      <c r="AS40" s="217"/>
      <c r="AT40" s="210" t="s">
        <v>503</v>
      </c>
      <c r="AU40" s="263"/>
      <c r="AV40" s="217"/>
      <c r="BB40" s="206" t="str">
        <f t="array" ref="BB40">_xlfn.IFS(AQ40="","",LEN(AQ40)-LEN(SUBSTITUTE(AQ40,".",""))=3,LEFT(AQ40,vitri(".",AQ40,3)-1),LEN(AQ40)-LEN(SUBSTITUTE(AQ40,".",""))=2,LEFT(AQ40,vitri(".",AQ40,2)-1),TRUE,LEFT(AQ40,vitri(".",AQ40,1)-1))</f>
        <v/>
      </c>
    </row>
    <row r="41" spans="1:54" ht="15.75" customHeight="1" x14ac:dyDescent="0.25">
      <c r="A41" s="74"/>
      <c r="B41" s="108" t="s">
        <v>184</v>
      </c>
      <c r="C41" s="1" t="s">
        <v>63</v>
      </c>
      <c r="D41" s="159" t="s">
        <v>105</v>
      </c>
      <c r="E41" s="1" t="s">
        <v>1129</v>
      </c>
      <c r="F41" s="1" t="s">
        <v>1130</v>
      </c>
      <c r="G41" s="1" t="s">
        <v>19</v>
      </c>
      <c r="H41" s="1" t="s">
        <v>20</v>
      </c>
      <c r="I41" s="1" t="s">
        <v>1151</v>
      </c>
      <c r="J41" s="1" t="s">
        <v>1152</v>
      </c>
      <c r="K41" s="94" t="str">
        <f t="shared" si="3"/>
        <v>M_DUA_SIL_REC_3RA_16</v>
      </c>
      <c r="L41" s="160" t="s">
        <v>609</v>
      </c>
      <c r="M41" s="379">
        <v>96</v>
      </c>
      <c r="P41" s="297" t="s">
        <v>184</v>
      </c>
      <c r="Q41" s="241" t="s">
        <v>63</v>
      </c>
      <c r="R41" s="317" t="s">
        <v>105</v>
      </c>
      <c r="S41" s="241" t="s">
        <v>1129</v>
      </c>
      <c r="T41" s="241" t="s">
        <v>1130</v>
      </c>
      <c r="U41" s="241" t="s">
        <v>19</v>
      </c>
      <c r="V41" s="241" t="s">
        <v>20</v>
      </c>
      <c r="W41" s="241" t="s">
        <v>1151</v>
      </c>
      <c r="X41" s="241" t="s">
        <v>1152</v>
      </c>
      <c r="Y41" s="215" t="s">
        <v>1280</v>
      </c>
      <c r="Z41" s="318" t="s">
        <v>609</v>
      </c>
      <c r="AA41" s="380">
        <v>96</v>
      </c>
      <c r="AB41" s="210">
        <f t="shared" si="0"/>
        <v>16</v>
      </c>
      <c r="AC41" s="143" t="s">
        <v>184</v>
      </c>
      <c r="AD41" s="77" t="s">
        <v>63</v>
      </c>
      <c r="AE41" s="128" t="s">
        <v>105</v>
      </c>
      <c r="AF41" s="77" t="s">
        <v>1129</v>
      </c>
      <c r="AG41" s="77" t="s">
        <v>1130</v>
      </c>
      <c r="AH41" s="77" t="s">
        <v>19</v>
      </c>
      <c r="AI41" s="77" t="s">
        <v>20</v>
      </c>
      <c r="AJ41" s="92" t="s">
        <v>1151</v>
      </c>
      <c r="AK41" s="77" t="s">
        <v>1152</v>
      </c>
      <c r="AL41" s="94" t="s">
        <v>1280</v>
      </c>
      <c r="AM41" s="144" t="s">
        <v>609</v>
      </c>
      <c r="AN41" s="149">
        <v>96</v>
      </c>
      <c r="AP41" s="210" t="str">
        <f t="shared" si="1"/>
        <v/>
      </c>
      <c r="AQ41" s="263"/>
      <c r="AR41" s="210" t="str">
        <f t="shared" si="2"/>
        <v/>
      </c>
      <c r="AS41" s="217"/>
      <c r="AT41" s="210" t="s">
        <v>503</v>
      </c>
      <c r="AU41" s="263"/>
      <c r="AV41" s="217"/>
      <c r="BB41" s="206" t="str">
        <f t="array" ref="BB41">_xlfn.IFS(AQ41="","",LEN(AQ41)-LEN(SUBSTITUTE(AQ41,".",""))=3,LEFT(AQ41,vitri(".",AQ41,3)-1),LEN(AQ41)-LEN(SUBSTITUTE(AQ41,".",""))=2,LEFT(AQ41,vitri(".",AQ41,2)-1),TRUE,LEFT(AQ41,vitri(".",AQ41,1)-1))</f>
        <v/>
      </c>
    </row>
    <row r="42" spans="1:54" ht="15.75" customHeight="1" x14ac:dyDescent="0.25">
      <c r="A42" s="74"/>
      <c r="B42" s="108" t="s">
        <v>184</v>
      </c>
      <c r="C42" s="1" t="s">
        <v>63</v>
      </c>
      <c r="D42" s="159" t="s">
        <v>105</v>
      </c>
      <c r="E42" s="1" t="s">
        <v>1129</v>
      </c>
      <c r="F42" s="1" t="s">
        <v>1130</v>
      </c>
      <c r="G42" s="1" t="s">
        <v>19</v>
      </c>
      <c r="H42" s="1" t="s">
        <v>20</v>
      </c>
      <c r="I42" s="1" t="s">
        <v>1153</v>
      </c>
      <c r="J42" s="1" t="s">
        <v>1154</v>
      </c>
      <c r="K42" s="204" t="str">
        <f t="shared" si="3"/>
        <v>M_DUA_SIL_REC_3RA1OA_17</v>
      </c>
      <c r="L42" s="160" t="s">
        <v>610</v>
      </c>
      <c r="M42" s="379">
        <v>97</v>
      </c>
      <c r="P42" s="297" t="s">
        <v>184</v>
      </c>
      <c r="Q42" s="241" t="s">
        <v>63</v>
      </c>
      <c r="R42" s="317" t="s">
        <v>105</v>
      </c>
      <c r="S42" s="241" t="s">
        <v>1129</v>
      </c>
      <c r="T42" s="241" t="s">
        <v>1130</v>
      </c>
      <c r="U42" s="241" t="s">
        <v>19</v>
      </c>
      <c r="V42" s="241" t="s">
        <v>20</v>
      </c>
      <c r="W42" s="241" t="s">
        <v>1153</v>
      </c>
      <c r="X42" s="241" t="s">
        <v>1154</v>
      </c>
      <c r="Y42" s="257" t="s">
        <v>1281</v>
      </c>
      <c r="Z42" s="318" t="s">
        <v>610</v>
      </c>
      <c r="AA42" s="380">
        <v>97</v>
      </c>
      <c r="AB42" s="210">
        <f t="shared" si="0"/>
        <v>17</v>
      </c>
      <c r="AC42" s="143" t="s">
        <v>184</v>
      </c>
      <c r="AD42" s="77" t="s">
        <v>63</v>
      </c>
      <c r="AE42" s="128" t="s">
        <v>105</v>
      </c>
      <c r="AF42" s="77" t="s">
        <v>1129</v>
      </c>
      <c r="AG42" s="77" t="s">
        <v>1130</v>
      </c>
      <c r="AH42" s="77" t="s">
        <v>19</v>
      </c>
      <c r="AI42" s="77" t="s">
        <v>20</v>
      </c>
      <c r="AJ42" s="92" t="s">
        <v>1153</v>
      </c>
      <c r="AK42" s="77" t="s">
        <v>1154</v>
      </c>
      <c r="AL42" s="94" t="s">
        <v>1281</v>
      </c>
      <c r="AM42" s="144" t="s">
        <v>610</v>
      </c>
      <c r="AN42" s="149">
        <v>97</v>
      </c>
      <c r="AP42" s="210" t="str">
        <f t="shared" si="1"/>
        <v/>
      </c>
      <c r="AQ42" s="263"/>
      <c r="AR42" s="210" t="str">
        <f t="shared" si="2"/>
        <v/>
      </c>
      <c r="AS42" s="217"/>
      <c r="AT42" s="210" t="s">
        <v>503</v>
      </c>
      <c r="AU42" s="263"/>
      <c r="AV42" s="217"/>
      <c r="BB42" s="206" t="str">
        <f t="array" ref="BB42">_xlfn.IFS(AQ42="","",LEN(AQ42)-LEN(SUBSTITUTE(AQ42,".",""))=3,LEFT(AQ42,vitri(".",AQ42,3)-1),LEN(AQ42)-LEN(SUBSTITUTE(AQ42,".",""))=2,LEFT(AQ42,vitri(".",AQ42,2)-1),TRUE,LEFT(AQ42,vitri(".",AQ42,1)-1))</f>
        <v/>
      </c>
    </row>
    <row r="43" spans="1:54" ht="15.75" customHeight="1" x14ac:dyDescent="0.25">
      <c r="A43" s="74"/>
      <c r="B43" s="108" t="s">
        <v>184</v>
      </c>
      <c r="C43" s="1" t="s">
        <v>63</v>
      </c>
      <c r="D43" s="159" t="s">
        <v>105</v>
      </c>
      <c r="E43" s="1" t="s">
        <v>1129</v>
      </c>
      <c r="F43" s="1" t="s">
        <v>1130</v>
      </c>
      <c r="G43" s="1" t="s">
        <v>19</v>
      </c>
      <c r="H43" s="1" t="s">
        <v>20</v>
      </c>
      <c r="I43" s="1" t="s">
        <v>1155</v>
      </c>
      <c r="J43" s="1" t="s">
        <v>1156</v>
      </c>
      <c r="K43" s="204" t="str">
        <f t="shared" si="3"/>
        <v>M_DUA_SIL_REC_3SA_18</v>
      </c>
      <c r="L43" s="160" t="s">
        <v>611</v>
      </c>
      <c r="M43" s="379">
        <v>98</v>
      </c>
      <c r="P43" s="297" t="s">
        <v>184</v>
      </c>
      <c r="Q43" s="241" t="s">
        <v>63</v>
      </c>
      <c r="R43" s="317" t="s">
        <v>105</v>
      </c>
      <c r="S43" s="241" t="s">
        <v>1129</v>
      </c>
      <c r="T43" s="241" t="s">
        <v>1130</v>
      </c>
      <c r="U43" s="241" t="s">
        <v>19</v>
      </c>
      <c r="V43" s="241" t="s">
        <v>20</v>
      </c>
      <c r="W43" s="241" t="s">
        <v>1155</v>
      </c>
      <c r="X43" s="241" t="s">
        <v>1156</v>
      </c>
      <c r="Y43" s="257" t="s">
        <v>1282</v>
      </c>
      <c r="Z43" s="318" t="s">
        <v>611</v>
      </c>
      <c r="AA43" s="380">
        <v>98</v>
      </c>
      <c r="AB43" s="210">
        <f t="shared" si="0"/>
        <v>18</v>
      </c>
      <c r="AC43" s="143" t="s">
        <v>184</v>
      </c>
      <c r="AD43" s="77" t="s">
        <v>63</v>
      </c>
      <c r="AE43" s="128" t="s">
        <v>105</v>
      </c>
      <c r="AF43" s="77" t="s">
        <v>1129</v>
      </c>
      <c r="AG43" s="77" t="s">
        <v>1130</v>
      </c>
      <c r="AH43" s="77" t="s">
        <v>19</v>
      </c>
      <c r="AI43" s="77" t="s">
        <v>20</v>
      </c>
      <c r="AJ43" s="92" t="s">
        <v>1155</v>
      </c>
      <c r="AK43" s="77" t="s">
        <v>1156</v>
      </c>
      <c r="AL43" s="94" t="s">
        <v>1282</v>
      </c>
      <c r="AM43" s="144" t="s">
        <v>611</v>
      </c>
      <c r="AN43" s="149">
        <v>98</v>
      </c>
      <c r="AP43" s="210" t="str">
        <f t="shared" si="1"/>
        <v/>
      </c>
      <c r="AQ43" s="263"/>
      <c r="AR43" s="210" t="str">
        <f t="shared" si="2"/>
        <v/>
      </c>
      <c r="AS43" s="217"/>
      <c r="AT43" s="210" t="s">
        <v>503</v>
      </c>
      <c r="AU43" s="263"/>
      <c r="AV43" s="217"/>
      <c r="BB43" s="206" t="str">
        <f t="array" ref="BB43">_xlfn.IFS(AQ43="","",LEN(AQ43)-LEN(SUBSTITUTE(AQ43,".",""))=3,LEFT(AQ43,vitri(".",AQ43,3)-1),LEN(AQ43)-LEN(SUBSTITUTE(AQ43,".",""))=2,LEFT(AQ43,vitri(".",AQ43,2)-1),TRUE,LEFT(AQ43,vitri(".",AQ43,1)-1))</f>
        <v/>
      </c>
    </row>
    <row r="44" spans="1:54" ht="15.75" customHeight="1" x14ac:dyDescent="0.25">
      <c r="A44" s="104"/>
      <c r="B44" s="108" t="s">
        <v>184</v>
      </c>
      <c r="C44" s="1" t="s">
        <v>63</v>
      </c>
      <c r="D44" s="159" t="s">
        <v>105</v>
      </c>
      <c r="E44" s="1" t="s">
        <v>1129</v>
      </c>
      <c r="F44" s="1" t="s">
        <v>1130</v>
      </c>
      <c r="G44" s="1" t="s">
        <v>19</v>
      </c>
      <c r="H44" s="1" t="s">
        <v>20</v>
      </c>
      <c r="I44" s="1" t="s">
        <v>1157</v>
      </c>
      <c r="J44" s="1" t="s">
        <v>1158</v>
      </c>
      <c r="K44" s="204" t="str">
        <f t="shared" si="3"/>
        <v>M_DUA_SIL_REC_3SA1OA_19</v>
      </c>
      <c r="L44" s="160" t="s">
        <v>612</v>
      </c>
      <c r="M44" s="379">
        <v>99</v>
      </c>
      <c r="P44" s="297" t="s">
        <v>184</v>
      </c>
      <c r="Q44" s="241" t="s">
        <v>63</v>
      </c>
      <c r="R44" s="317" t="s">
        <v>105</v>
      </c>
      <c r="S44" s="241" t="s">
        <v>1129</v>
      </c>
      <c r="T44" s="241" t="s">
        <v>1130</v>
      </c>
      <c r="U44" s="241" t="s">
        <v>19</v>
      </c>
      <c r="V44" s="241" t="s">
        <v>20</v>
      </c>
      <c r="W44" s="241" t="s">
        <v>1157</v>
      </c>
      <c r="X44" s="241" t="s">
        <v>1158</v>
      </c>
      <c r="Y44" s="257" t="s">
        <v>1283</v>
      </c>
      <c r="Z44" s="318" t="s">
        <v>612</v>
      </c>
      <c r="AA44" s="380">
        <v>99</v>
      </c>
      <c r="AB44" s="210">
        <f t="shared" si="0"/>
        <v>19</v>
      </c>
      <c r="AC44" s="143" t="s">
        <v>184</v>
      </c>
      <c r="AD44" s="77" t="s">
        <v>63</v>
      </c>
      <c r="AE44" s="128" t="s">
        <v>105</v>
      </c>
      <c r="AF44" s="77" t="s">
        <v>1129</v>
      </c>
      <c r="AG44" s="77" t="s">
        <v>1130</v>
      </c>
      <c r="AH44" s="77" t="s">
        <v>19</v>
      </c>
      <c r="AI44" s="77" t="s">
        <v>20</v>
      </c>
      <c r="AJ44" s="92" t="s">
        <v>1157</v>
      </c>
      <c r="AK44" s="77" t="s">
        <v>1158</v>
      </c>
      <c r="AL44" s="94" t="s">
        <v>1283</v>
      </c>
      <c r="AM44" s="144" t="s">
        <v>612</v>
      </c>
      <c r="AN44" s="149">
        <v>99</v>
      </c>
      <c r="AP44" s="210" t="str">
        <f t="shared" si="1"/>
        <v/>
      </c>
      <c r="AQ44" s="263"/>
      <c r="AR44" s="210" t="str">
        <f t="shared" si="2"/>
        <v/>
      </c>
      <c r="AS44" s="217"/>
      <c r="AT44" s="210" t="s">
        <v>503</v>
      </c>
      <c r="AU44" s="263"/>
      <c r="AV44" s="217"/>
      <c r="BB44" s="206" t="str">
        <f t="array" ref="BB44">_xlfn.IFS(AQ44="","",LEN(AQ44)-LEN(SUBSTITUTE(AQ44,".",""))=3,LEFT(AQ44,vitri(".",AQ44,3)-1),LEN(AQ44)-LEN(SUBSTITUTE(AQ44,".",""))=2,LEFT(AQ44,vitri(".",AQ44,2)-1),TRUE,LEFT(AQ44,vitri(".",AQ44,1)-1))</f>
        <v/>
      </c>
    </row>
    <row r="45" spans="1:54" ht="15.75" customHeight="1" x14ac:dyDescent="0.25">
      <c r="A45" s="104"/>
      <c r="B45" s="108" t="s">
        <v>184</v>
      </c>
      <c r="C45" s="1" t="s">
        <v>63</v>
      </c>
      <c r="D45" s="159" t="s">
        <v>105</v>
      </c>
      <c r="E45" s="1" t="s">
        <v>1129</v>
      </c>
      <c r="F45" s="1" t="s">
        <v>1130</v>
      </c>
      <c r="G45" s="1" t="s">
        <v>19</v>
      </c>
      <c r="H45" s="1" t="s">
        <v>20</v>
      </c>
      <c r="I45" s="1" t="s">
        <v>1159</v>
      </c>
      <c r="J45" s="1" t="s">
        <v>1160</v>
      </c>
      <c r="K45" s="204" t="str">
        <f t="shared" si="3"/>
        <v>M_DUA_SIL_REC_4RA_20</v>
      </c>
      <c r="L45" s="160" t="s">
        <v>613</v>
      </c>
      <c r="M45" s="379">
        <v>100</v>
      </c>
      <c r="P45" s="297" t="s">
        <v>184</v>
      </c>
      <c r="Q45" s="241" t="s">
        <v>63</v>
      </c>
      <c r="R45" s="317" t="s">
        <v>105</v>
      </c>
      <c r="S45" s="241" t="s">
        <v>1129</v>
      </c>
      <c r="T45" s="241" t="s">
        <v>1130</v>
      </c>
      <c r="U45" s="241" t="s">
        <v>19</v>
      </c>
      <c r="V45" s="241" t="s">
        <v>20</v>
      </c>
      <c r="W45" s="241" t="s">
        <v>1159</v>
      </c>
      <c r="X45" s="241" t="s">
        <v>1160</v>
      </c>
      <c r="Y45" s="257" t="s">
        <v>1284</v>
      </c>
      <c r="Z45" s="318" t="s">
        <v>613</v>
      </c>
      <c r="AA45" s="380">
        <v>100</v>
      </c>
      <c r="AB45" s="210">
        <f t="shared" si="0"/>
        <v>20</v>
      </c>
      <c r="AC45" s="143" t="s">
        <v>184</v>
      </c>
      <c r="AD45" s="77" t="s">
        <v>63</v>
      </c>
      <c r="AE45" s="128" t="s">
        <v>105</v>
      </c>
      <c r="AF45" s="77" t="s">
        <v>1129</v>
      </c>
      <c r="AG45" s="77" t="s">
        <v>1130</v>
      </c>
      <c r="AH45" s="77" t="s">
        <v>19</v>
      </c>
      <c r="AI45" s="77" t="s">
        <v>20</v>
      </c>
      <c r="AJ45" s="92" t="s">
        <v>1159</v>
      </c>
      <c r="AK45" s="77" t="s">
        <v>1160</v>
      </c>
      <c r="AL45" s="94" t="s">
        <v>1284</v>
      </c>
      <c r="AM45" s="144" t="s">
        <v>613</v>
      </c>
      <c r="AN45" s="149">
        <v>100</v>
      </c>
      <c r="AP45" s="210" t="str">
        <f t="shared" si="1"/>
        <v/>
      </c>
      <c r="AQ45" s="263"/>
      <c r="AR45" s="210" t="str">
        <f t="shared" si="2"/>
        <v/>
      </c>
      <c r="AS45" s="217"/>
      <c r="AT45" s="210" t="s">
        <v>503</v>
      </c>
      <c r="AU45" s="263"/>
      <c r="AV45" s="217"/>
      <c r="BB45" s="206" t="str">
        <f t="array" ref="BB45">_xlfn.IFS(AQ45="","",LEN(AQ45)-LEN(SUBSTITUTE(AQ45,".",""))=3,LEFT(AQ45,vitri(".",AQ45,3)-1),LEN(AQ45)-LEN(SUBSTITUTE(AQ45,".",""))=2,LEFT(AQ45,vitri(".",AQ45,2)-1),TRUE,LEFT(AQ45,vitri(".",AQ45,1)-1))</f>
        <v/>
      </c>
    </row>
    <row r="46" spans="1:54" ht="15.75" customHeight="1" x14ac:dyDescent="0.25">
      <c r="A46" s="104"/>
      <c r="B46" s="108" t="s">
        <v>184</v>
      </c>
      <c r="C46" s="1" t="s">
        <v>63</v>
      </c>
      <c r="D46" s="159" t="s">
        <v>105</v>
      </c>
      <c r="E46" s="1" t="s">
        <v>1129</v>
      </c>
      <c r="F46" s="1" t="s">
        <v>1130</v>
      </c>
      <c r="G46" s="1" t="s">
        <v>19</v>
      </c>
      <c r="H46" s="1" t="s">
        <v>20</v>
      </c>
      <c r="I46" s="1" t="s">
        <v>1161</v>
      </c>
      <c r="J46" s="1" t="s">
        <v>1162</v>
      </c>
      <c r="K46" s="204" t="str">
        <f t="shared" si="3"/>
        <v>M_DUA_SIL_REC_4RA1OA_21</v>
      </c>
      <c r="L46" s="160" t="s">
        <v>614</v>
      </c>
      <c r="M46" s="379">
        <v>101</v>
      </c>
      <c r="P46" s="297" t="s">
        <v>184</v>
      </c>
      <c r="Q46" s="241" t="s">
        <v>63</v>
      </c>
      <c r="R46" s="317" t="s">
        <v>105</v>
      </c>
      <c r="S46" s="241" t="s">
        <v>1129</v>
      </c>
      <c r="T46" s="241" t="s">
        <v>1130</v>
      </c>
      <c r="U46" s="241" t="s">
        <v>19</v>
      </c>
      <c r="V46" s="241" t="s">
        <v>20</v>
      </c>
      <c r="W46" s="241" t="s">
        <v>1161</v>
      </c>
      <c r="X46" s="241" t="s">
        <v>1162</v>
      </c>
      <c r="Y46" s="257" t="s">
        <v>1285</v>
      </c>
      <c r="Z46" s="318" t="s">
        <v>614</v>
      </c>
      <c r="AA46" s="380">
        <v>101</v>
      </c>
      <c r="AB46" s="210">
        <f t="shared" si="0"/>
        <v>21</v>
      </c>
      <c r="AC46" s="143" t="s">
        <v>184</v>
      </c>
      <c r="AD46" s="77" t="s">
        <v>63</v>
      </c>
      <c r="AE46" s="128" t="s">
        <v>105</v>
      </c>
      <c r="AF46" s="77" t="s">
        <v>1129</v>
      </c>
      <c r="AG46" s="77" t="s">
        <v>1130</v>
      </c>
      <c r="AH46" s="77" t="s">
        <v>19</v>
      </c>
      <c r="AI46" s="77" t="s">
        <v>20</v>
      </c>
      <c r="AJ46" s="92" t="s">
        <v>1161</v>
      </c>
      <c r="AK46" s="77" t="s">
        <v>1162</v>
      </c>
      <c r="AL46" s="94" t="s">
        <v>1285</v>
      </c>
      <c r="AM46" s="144" t="s">
        <v>614</v>
      </c>
      <c r="AN46" s="149">
        <v>101</v>
      </c>
      <c r="AP46" s="210" t="str">
        <f t="shared" si="1"/>
        <v/>
      </c>
      <c r="AQ46" s="263"/>
      <c r="AR46" s="210" t="str">
        <f t="shared" si="2"/>
        <v/>
      </c>
      <c r="AS46" s="217"/>
      <c r="AT46" s="210" t="s">
        <v>503</v>
      </c>
      <c r="AU46" s="263"/>
      <c r="AV46" s="217"/>
      <c r="BB46" s="206" t="str">
        <f t="array" ref="BB46">_xlfn.IFS(AQ46="","",LEN(AQ46)-LEN(SUBSTITUTE(AQ46,".",""))=3,LEFT(AQ46,vitri(".",AQ46,3)-1),LEN(AQ46)-LEN(SUBSTITUTE(AQ46,".",""))=2,LEFT(AQ46,vitri(".",AQ46,2)-1),TRUE,LEFT(AQ46,vitri(".",AQ46,1)-1))</f>
        <v/>
      </c>
    </row>
    <row r="47" spans="1:54" ht="15.75" customHeight="1" x14ac:dyDescent="0.25">
      <c r="B47" s="108" t="s">
        <v>184</v>
      </c>
      <c r="C47" s="1" t="s">
        <v>63</v>
      </c>
      <c r="D47" s="159" t="s">
        <v>105</v>
      </c>
      <c r="E47" s="1" t="s">
        <v>1129</v>
      </c>
      <c r="F47" s="1" t="s">
        <v>1130</v>
      </c>
      <c r="G47" s="1" t="s">
        <v>19</v>
      </c>
      <c r="H47" s="1" t="s">
        <v>20</v>
      </c>
      <c r="I47" s="1" t="s">
        <v>1163</v>
      </c>
      <c r="J47" s="1" t="s">
        <v>1164</v>
      </c>
      <c r="K47" s="204" t="str">
        <f t="shared" si="3"/>
        <v>M_DUA_SIL_REC_4RA1OA2_22</v>
      </c>
      <c r="L47" s="160" t="s">
        <v>615</v>
      </c>
      <c r="M47" s="379">
        <v>103</v>
      </c>
      <c r="P47" s="297" t="s">
        <v>184</v>
      </c>
      <c r="Q47" s="241" t="s">
        <v>63</v>
      </c>
      <c r="R47" s="317" t="s">
        <v>105</v>
      </c>
      <c r="S47" s="241" t="s">
        <v>1129</v>
      </c>
      <c r="T47" s="241" t="s">
        <v>1130</v>
      </c>
      <c r="U47" s="241" t="s">
        <v>19</v>
      </c>
      <c r="V47" s="241" t="s">
        <v>20</v>
      </c>
      <c r="W47" s="241" t="s">
        <v>1163</v>
      </c>
      <c r="X47" s="241" t="s">
        <v>1164</v>
      </c>
      <c r="Y47" s="257" t="s">
        <v>1286</v>
      </c>
      <c r="Z47" s="318" t="s">
        <v>615</v>
      </c>
      <c r="AA47" s="380">
        <v>103</v>
      </c>
      <c r="AB47" s="210">
        <f t="shared" si="0"/>
        <v>22</v>
      </c>
      <c r="AC47" s="143" t="s">
        <v>184</v>
      </c>
      <c r="AD47" s="77" t="s">
        <v>63</v>
      </c>
      <c r="AE47" s="128" t="s">
        <v>105</v>
      </c>
      <c r="AF47" s="77" t="s">
        <v>1129</v>
      </c>
      <c r="AG47" s="77" t="s">
        <v>1130</v>
      </c>
      <c r="AH47" s="77" t="s">
        <v>19</v>
      </c>
      <c r="AI47" s="77" t="s">
        <v>20</v>
      </c>
      <c r="AJ47" s="92" t="s">
        <v>1163</v>
      </c>
      <c r="AK47" s="77" t="s">
        <v>1164</v>
      </c>
      <c r="AL47" s="94" t="s">
        <v>1286</v>
      </c>
      <c r="AM47" s="144" t="s">
        <v>615</v>
      </c>
      <c r="AN47" s="149">
        <v>103</v>
      </c>
      <c r="AP47" s="210" t="str">
        <f t="shared" si="1"/>
        <v/>
      </c>
      <c r="AQ47" s="263"/>
      <c r="AR47" s="210" t="str">
        <f t="shared" si="2"/>
        <v/>
      </c>
      <c r="AS47" s="217"/>
      <c r="AT47" s="210" t="s">
        <v>503</v>
      </c>
      <c r="AU47" s="263"/>
      <c r="AV47" s="217"/>
      <c r="BB47" s="206" t="str">
        <f t="array" ref="BB47">_xlfn.IFS(AQ47="","",LEN(AQ47)-LEN(SUBSTITUTE(AQ47,".",""))=3,LEFT(AQ47,vitri(".",AQ47,3)-1),LEN(AQ47)-LEN(SUBSTITUTE(AQ47,".",""))=2,LEFT(AQ47,vitri(".",AQ47,2)-1),TRUE,LEFT(AQ47,vitri(".",AQ47,1)-1))</f>
        <v/>
      </c>
    </row>
    <row r="48" spans="1:54" ht="15.75" customHeight="1" x14ac:dyDescent="0.25">
      <c r="B48" s="108" t="s">
        <v>184</v>
      </c>
      <c r="C48" s="1" t="s">
        <v>63</v>
      </c>
      <c r="D48" s="159" t="s">
        <v>105</v>
      </c>
      <c r="E48" s="1" t="s">
        <v>1129</v>
      </c>
      <c r="F48" s="1" t="s">
        <v>1130</v>
      </c>
      <c r="G48" s="1" t="s">
        <v>19</v>
      </c>
      <c r="H48" s="1" t="s">
        <v>20</v>
      </c>
      <c r="I48" s="1" t="s">
        <v>1165</v>
      </c>
      <c r="J48" s="1" t="s">
        <v>1166</v>
      </c>
      <c r="K48" s="204" t="str">
        <f t="shared" si="3"/>
        <v>M_DUA_SIL_REC_4SA_23</v>
      </c>
      <c r="L48" s="160" t="s">
        <v>1167</v>
      </c>
      <c r="M48" s="379">
        <v>102</v>
      </c>
      <c r="O48" s="226"/>
      <c r="P48" s="297" t="s">
        <v>184</v>
      </c>
      <c r="Q48" s="241" t="s">
        <v>63</v>
      </c>
      <c r="R48" s="317" t="s">
        <v>105</v>
      </c>
      <c r="S48" s="241" t="s">
        <v>1129</v>
      </c>
      <c r="T48" s="241" t="s">
        <v>1130</v>
      </c>
      <c r="U48" s="241" t="s">
        <v>19</v>
      </c>
      <c r="V48" s="241" t="s">
        <v>20</v>
      </c>
      <c r="W48" s="241" t="s">
        <v>1165</v>
      </c>
      <c r="X48" s="241" t="s">
        <v>1166</v>
      </c>
      <c r="Y48" s="257" t="s">
        <v>1287</v>
      </c>
      <c r="Z48" s="318" t="s">
        <v>1167</v>
      </c>
      <c r="AA48" s="380">
        <v>102</v>
      </c>
      <c r="AB48" s="210">
        <f t="shared" si="0"/>
        <v>23</v>
      </c>
      <c r="AC48" s="143" t="s">
        <v>184</v>
      </c>
      <c r="AD48" s="77" t="s">
        <v>63</v>
      </c>
      <c r="AE48" s="128" t="s">
        <v>105</v>
      </c>
      <c r="AF48" s="77" t="s">
        <v>1129</v>
      </c>
      <c r="AG48" s="77" t="s">
        <v>1130</v>
      </c>
      <c r="AH48" s="77" t="s">
        <v>19</v>
      </c>
      <c r="AI48" s="77" t="s">
        <v>20</v>
      </c>
      <c r="AJ48" s="92" t="s">
        <v>1165</v>
      </c>
      <c r="AK48" s="77" t="s">
        <v>1166</v>
      </c>
      <c r="AL48" s="94" t="s">
        <v>1287</v>
      </c>
      <c r="AM48" s="144" t="s">
        <v>1167</v>
      </c>
      <c r="AN48" s="149">
        <v>102</v>
      </c>
      <c r="AP48" s="210" t="str">
        <f t="shared" si="1"/>
        <v/>
      </c>
      <c r="AQ48" s="263"/>
      <c r="AR48" s="210" t="str">
        <f t="shared" si="2"/>
        <v/>
      </c>
      <c r="AS48" s="217"/>
      <c r="AT48" s="210" t="s">
        <v>503</v>
      </c>
      <c r="AU48" s="263"/>
      <c r="AV48" s="217"/>
      <c r="BB48" s="206" t="str">
        <f t="array" ref="BB48">_xlfn.IFS(AQ48="","",LEN(AQ48)-LEN(SUBSTITUTE(AQ48,".",""))=3,LEFT(AQ48,vitri(".",AQ48,3)-1),LEN(AQ48)-LEN(SUBSTITUTE(AQ48,".",""))=2,LEFT(AQ48,vitri(".",AQ48,2)-1),TRUE,LEFT(AQ48,vitri(".",AQ48,1)-1))</f>
        <v/>
      </c>
    </row>
    <row r="49" spans="2:54" ht="15.75" customHeight="1" x14ac:dyDescent="0.25">
      <c r="B49" s="108" t="s">
        <v>184</v>
      </c>
      <c r="C49" s="1" t="s">
        <v>63</v>
      </c>
      <c r="D49" s="159" t="s">
        <v>105</v>
      </c>
      <c r="E49" s="1" t="s">
        <v>1129</v>
      </c>
      <c r="F49" s="1" t="s">
        <v>1130</v>
      </c>
      <c r="G49" s="1" t="s">
        <v>19</v>
      </c>
      <c r="H49" s="1" t="s">
        <v>20</v>
      </c>
      <c r="I49" s="1" t="s">
        <v>1168</v>
      </c>
      <c r="J49" s="1" t="s">
        <v>1169</v>
      </c>
      <c r="K49" s="204" t="str">
        <f t="shared" si="3"/>
        <v>M_DUA_SIL_REC_4SA1OA_24</v>
      </c>
      <c r="L49" s="160" t="s">
        <v>1170</v>
      </c>
      <c r="M49" s="379">
        <v>104</v>
      </c>
      <c r="O49" s="226"/>
      <c r="P49" s="297" t="s">
        <v>184</v>
      </c>
      <c r="Q49" s="241" t="s">
        <v>63</v>
      </c>
      <c r="R49" s="317" t="s">
        <v>105</v>
      </c>
      <c r="S49" s="241" t="s">
        <v>1129</v>
      </c>
      <c r="T49" s="241" t="s">
        <v>1130</v>
      </c>
      <c r="U49" s="241" t="s">
        <v>19</v>
      </c>
      <c r="V49" s="241" t="s">
        <v>20</v>
      </c>
      <c r="W49" s="241" t="s">
        <v>1168</v>
      </c>
      <c r="X49" s="241" t="s">
        <v>1169</v>
      </c>
      <c r="Y49" s="257" t="s">
        <v>1288</v>
      </c>
      <c r="Z49" s="318" t="s">
        <v>1170</v>
      </c>
      <c r="AA49" s="380">
        <v>104</v>
      </c>
      <c r="AB49" s="210">
        <f t="shared" si="0"/>
        <v>24</v>
      </c>
      <c r="AC49" s="143" t="s">
        <v>184</v>
      </c>
      <c r="AD49" s="77" t="s">
        <v>63</v>
      </c>
      <c r="AE49" s="128" t="s">
        <v>105</v>
      </c>
      <c r="AF49" s="77" t="s">
        <v>1129</v>
      </c>
      <c r="AG49" s="77" t="s">
        <v>1130</v>
      </c>
      <c r="AH49" s="77" t="s">
        <v>19</v>
      </c>
      <c r="AI49" s="77" t="s">
        <v>20</v>
      </c>
      <c r="AJ49" s="92" t="s">
        <v>1168</v>
      </c>
      <c r="AK49" s="77" t="s">
        <v>1169</v>
      </c>
      <c r="AL49" s="94" t="s">
        <v>1288</v>
      </c>
      <c r="AM49" s="144" t="s">
        <v>1170</v>
      </c>
      <c r="AN49" s="149">
        <v>104</v>
      </c>
      <c r="AP49" s="210" t="str">
        <f t="shared" si="1"/>
        <v/>
      </c>
      <c r="AQ49" s="263"/>
      <c r="AR49" s="210" t="str">
        <f t="shared" si="2"/>
        <v/>
      </c>
      <c r="AS49" s="217"/>
      <c r="AT49" s="210" t="s">
        <v>503</v>
      </c>
      <c r="AU49" s="263"/>
      <c r="AV49" s="217"/>
      <c r="BB49" s="206" t="str">
        <f t="array" ref="BB49">_xlfn.IFS(AQ49="","",LEN(AQ49)-LEN(SUBSTITUTE(AQ49,".",""))=3,LEFT(AQ49,vitri(".",AQ49,3)-1),LEN(AQ49)-LEN(SUBSTITUTE(AQ49,".",""))=2,LEFT(AQ49,vitri(".",AQ49,2)-1),TRUE,LEFT(AQ49,vitri(".",AQ49,1)-1))</f>
        <v/>
      </c>
    </row>
    <row r="50" spans="2:54" ht="15.75" customHeight="1" x14ac:dyDescent="0.25">
      <c r="B50" s="108" t="s">
        <v>184</v>
      </c>
      <c r="C50" s="1" t="s">
        <v>64</v>
      </c>
      <c r="D50" s="159" t="s">
        <v>108</v>
      </c>
      <c r="E50" s="1" t="s">
        <v>1027</v>
      </c>
      <c r="F50" s="1" t="s">
        <v>1028</v>
      </c>
      <c r="G50" s="1" t="s">
        <v>19</v>
      </c>
      <c r="H50" s="1" t="s">
        <v>20</v>
      </c>
      <c r="I50" s="1" t="s">
        <v>5</v>
      </c>
      <c r="J50" s="1" t="s">
        <v>5</v>
      </c>
      <c r="K50" s="204" t="str">
        <f t="shared" si="3"/>
        <v>M_DUF_CAE_REC_02</v>
      </c>
      <c r="L50" s="160" t="s">
        <v>254</v>
      </c>
      <c r="M50" s="379">
        <v>111</v>
      </c>
      <c r="O50" s="226"/>
      <c r="P50" s="297" t="s">
        <v>184</v>
      </c>
      <c r="Q50" s="241" t="s">
        <v>64</v>
      </c>
      <c r="R50" s="317" t="s">
        <v>108</v>
      </c>
      <c r="S50" s="241" t="s">
        <v>1027</v>
      </c>
      <c r="T50" s="241" t="s">
        <v>1028</v>
      </c>
      <c r="U50" s="241" t="s">
        <v>19</v>
      </c>
      <c r="V50" s="241" t="s">
        <v>20</v>
      </c>
      <c r="W50" s="241" t="s">
        <v>5</v>
      </c>
      <c r="X50" s="241" t="s">
        <v>5</v>
      </c>
      <c r="Y50" s="257" t="s">
        <v>1497</v>
      </c>
      <c r="Z50" s="318" t="s">
        <v>254</v>
      </c>
      <c r="AA50" s="380">
        <v>111</v>
      </c>
      <c r="AB50" s="210">
        <f t="shared" si="0"/>
        <v>2</v>
      </c>
      <c r="AC50" s="143" t="s">
        <v>184</v>
      </c>
      <c r="AD50" s="77" t="s">
        <v>64</v>
      </c>
      <c r="AE50" s="128" t="s">
        <v>108</v>
      </c>
      <c r="AF50" s="77" t="s">
        <v>1027</v>
      </c>
      <c r="AG50" s="77" t="s">
        <v>1028</v>
      </c>
      <c r="AH50" s="77" t="s">
        <v>19</v>
      </c>
      <c r="AI50" s="77" t="s">
        <v>20</v>
      </c>
      <c r="AJ50" s="92" t="s">
        <v>5</v>
      </c>
      <c r="AK50" s="77" t="s">
        <v>5</v>
      </c>
      <c r="AL50" s="94" t="s">
        <v>1497</v>
      </c>
      <c r="AM50" s="144" t="s">
        <v>254</v>
      </c>
      <c r="AN50" s="149">
        <v>111</v>
      </c>
      <c r="AP50" s="210" t="str">
        <f t="shared" si="1"/>
        <v/>
      </c>
      <c r="AQ50" s="263"/>
      <c r="AR50" s="210" t="str">
        <f t="shared" si="2"/>
        <v/>
      </c>
      <c r="AS50" s="217"/>
      <c r="AT50" s="210" t="s">
        <v>503</v>
      </c>
      <c r="AU50" s="263"/>
      <c r="AV50" s="217"/>
      <c r="BB50" s="206" t="str">
        <f t="array" ref="BB50">_xlfn.IFS(AQ50="","",LEN(AQ50)-LEN(SUBSTITUTE(AQ50,".",""))=3,LEFT(AQ50,vitri(".",AQ50,3)-1),LEN(AQ50)-LEN(SUBSTITUTE(AQ50,".",""))=2,LEFT(AQ50,vitri(".",AQ50,2)-1),TRUE,LEFT(AQ50,vitri(".",AQ50,1)-1))</f>
        <v/>
      </c>
    </row>
    <row r="51" spans="2:54" x14ac:dyDescent="0.25">
      <c r="B51" s="108" t="s">
        <v>184</v>
      </c>
      <c r="C51" s="1" t="s">
        <v>64</v>
      </c>
      <c r="D51" s="159" t="s">
        <v>108</v>
      </c>
      <c r="E51" s="1" t="s">
        <v>1027</v>
      </c>
      <c r="F51" s="1" t="s">
        <v>1028</v>
      </c>
      <c r="G51" s="1" t="s">
        <v>1171</v>
      </c>
      <c r="H51" s="1" t="s">
        <v>20</v>
      </c>
      <c r="I51" s="1" t="s">
        <v>1172</v>
      </c>
      <c r="J51" s="1" t="s">
        <v>1173</v>
      </c>
      <c r="K51" s="204" t="str">
        <f t="shared" si="3"/>
        <v>M_DUF_CAE_REC_CFL_12</v>
      </c>
      <c r="L51" s="160" t="s">
        <v>264</v>
      </c>
      <c r="M51" s="379">
        <v>122</v>
      </c>
      <c r="O51" s="226"/>
      <c r="P51" s="297" t="s">
        <v>184</v>
      </c>
      <c r="Q51" s="241" t="s">
        <v>64</v>
      </c>
      <c r="R51" s="317" t="s">
        <v>108</v>
      </c>
      <c r="S51" s="241" t="s">
        <v>1027</v>
      </c>
      <c r="T51" s="241" t="s">
        <v>1028</v>
      </c>
      <c r="U51" s="241" t="s">
        <v>1171</v>
      </c>
      <c r="V51" s="241" t="s">
        <v>20</v>
      </c>
      <c r="W51" s="241" t="s">
        <v>1172</v>
      </c>
      <c r="X51" s="241" t="s">
        <v>1173</v>
      </c>
      <c r="Y51" s="257" t="s">
        <v>1289</v>
      </c>
      <c r="Z51" s="318" t="s">
        <v>264</v>
      </c>
      <c r="AA51" s="380">
        <v>122</v>
      </c>
      <c r="AB51" s="210">
        <f t="shared" si="0"/>
        <v>12</v>
      </c>
      <c r="AC51" s="143" t="s">
        <v>184</v>
      </c>
      <c r="AD51" s="77" t="s">
        <v>64</v>
      </c>
      <c r="AE51" s="128" t="s">
        <v>108</v>
      </c>
      <c r="AF51" s="77" t="s">
        <v>1027</v>
      </c>
      <c r="AG51" s="77" t="s">
        <v>1028</v>
      </c>
      <c r="AH51" s="77" t="s">
        <v>1171</v>
      </c>
      <c r="AI51" s="77" t="s">
        <v>20</v>
      </c>
      <c r="AJ51" s="92" t="s">
        <v>1172</v>
      </c>
      <c r="AK51" s="77" t="s">
        <v>1173</v>
      </c>
      <c r="AL51" s="94" t="s">
        <v>1289</v>
      </c>
      <c r="AM51" s="144" t="s">
        <v>264</v>
      </c>
      <c r="AN51" s="149">
        <v>122</v>
      </c>
      <c r="AP51" s="210" t="str">
        <f t="shared" si="1"/>
        <v/>
      </c>
      <c r="AQ51" s="263"/>
      <c r="AR51" s="210" t="str">
        <f t="shared" si="2"/>
        <v/>
      </c>
      <c r="AS51" s="217"/>
      <c r="AT51" s="210" t="s">
        <v>503</v>
      </c>
      <c r="AU51" s="263"/>
      <c r="AV51" s="217"/>
      <c r="BB51" s="206" t="str">
        <f t="array" ref="BB51">_xlfn.IFS(AQ51="","",LEN(AQ51)-LEN(SUBSTITUTE(AQ51,".",""))=3,LEFT(AQ51,vitri(".",AQ51,3)-1),LEN(AQ51)-LEN(SUBSTITUTE(AQ51,".",""))=2,LEFT(AQ51,vitri(".",AQ51,2)-1),TRUE,LEFT(AQ51,vitri(".",AQ51,1)-1))</f>
        <v/>
      </c>
    </row>
    <row r="52" spans="2:54" x14ac:dyDescent="0.25">
      <c r="B52" s="108" t="s">
        <v>184</v>
      </c>
      <c r="C52" s="1" t="s">
        <v>64</v>
      </c>
      <c r="D52" s="159" t="s">
        <v>108</v>
      </c>
      <c r="E52" s="1" t="s">
        <v>1027</v>
      </c>
      <c r="F52" s="1" t="s">
        <v>1028</v>
      </c>
      <c r="G52" s="1" t="s">
        <v>21</v>
      </c>
      <c r="H52" s="1" t="s">
        <v>1128</v>
      </c>
      <c r="I52" s="1" t="s">
        <v>5</v>
      </c>
      <c r="J52" s="1" t="s">
        <v>5</v>
      </c>
      <c r="K52" s="204" t="str">
        <f t="shared" si="3"/>
        <v>M_DUF_CAE_ROD_28</v>
      </c>
      <c r="L52" s="160" t="s">
        <v>1174</v>
      </c>
      <c r="M52" s="379">
        <v>138</v>
      </c>
      <c r="O52" s="226"/>
      <c r="P52" s="297" t="s">
        <v>184</v>
      </c>
      <c r="Q52" s="241" t="s">
        <v>64</v>
      </c>
      <c r="R52" s="317" t="s">
        <v>108</v>
      </c>
      <c r="S52" s="241" t="s">
        <v>1027</v>
      </c>
      <c r="T52" s="241" t="s">
        <v>1028</v>
      </c>
      <c r="U52" s="241" t="s">
        <v>21</v>
      </c>
      <c r="V52" s="241" t="s">
        <v>1128</v>
      </c>
      <c r="W52" s="241" t="s">
        <v>5</v>
      </c>
      <c r="X52" s="241" t="s">
        <v>5</v>
      </c>
      <c r="Y52" s="257" t="s">
        <v>1290</v>
      </c>
      <c r="Z52" s="318" t="s">
        <v>1174</v>
      </c>
      <c r="AA52" s="380">
        <v>138</v>
      </c>
      <c r="AB52" s="210">
        <f t="shared" si="0"/>
        <v>28</v>
      </c>
      <c r="AC52" s="143" t="s">
        <v>184</v>
      </c>
      <c r="AD52" s="77" t="s">
        <v>64</v>
      </c>
      <c r="AE52" s="128" t="s">
        <v>108</v>
      </c>
      <c r="AF52" s="77" t="s">
        <v>1027</v>
      </c>
      <c r="AG52" s="77" t="s">
        <v>1028</v>
      </c>
      <c r="AH52" s="77" t="s">
        <v>21</v>
      </c>
      <c r="AI52" s="77" t="s">
        <v>1128</v>
      </c>
      <c r="AJ52" s="92" t="s">
        <v>5</v>
      </c>
      <c r="AK52" s="77" t="s">
        <v>5</v>
      </c>
      <c r="AL52" s="94" t="s">
        <v>1290</v>
      </c>
      <c r="AM52" s="144" t="s">
        <v>1174</v>
      </c>
      <c r="AN52" s="149">
        <v>138</v>
      </c>
      <c r="AP52" s="210" t="str">
        <f t="shared" si="1"/>
        <v/>
      </c>
      <c r="AQ52" s="263"/>
      <c r="AR52" s="210" t="str">
        <f t="shared" si="2"/>
        <v/>
      </c>
      <c r="AS52" s="217"/>
      <c r="AT52" s="210" t="s">
        <v>503</v>
      </c>
      <c r="AU52" s="263"/>
      <c r="AV52" s="217"/>
      <c r="BB52" s="206" t="str">
        <f t="array" ref="BB52">_xlfn.IFS(AQ52="","",LEN(AQ52)-LEN(SUBSTITUTE(AQ52,".",""))=3,LEFT(AQ52,vitri(".",AQ52,3)-1),LEN(AQ52)-LEN(SUBSTITUTE(AQ52,".",""))=2,LEFT(AQ52,vitri(".",AQ52,2)-1),TRUE,LEFT(AQ52,vitri(".",AQ52,1)-1))</f>
        <v/>
      </c>
    </row>
    <row r="53" spans="2:54" ht="15.75" customHeight="1" x14ac:dyDescent="0.25">
      <c r="B53" s="108" t="s">
        <v>184</v>
      </c>
      <c r="C53" s="1" t="s">
        <v>64</v>
      </c>
      <c r="D53" s="159" t="s">
        <v>108</v>
      </c>
      <c r="E53" s="1" t="s">
        <v>1175</v>
      </c>
      <c r="F53" s="1" t="s">
        <v>139</v>
      </c>
      <c r="G53" s="1" t="s">
        <v>19</v>
      </c>
      <c r="H53" s="1" t="s">
        <v>20</v>
      </c>
      <c r="I53" s="1" t="s">
        <v>5</v>
      </c>
      <c r="J53" s="1" t="s">
        <v>5</v>
      </c>
      <c r="K53" s="204" t="str">
        <f t="shared" si="3"/>
        <v>M_DUF_ELB_REC_01</v>
      </c>
      <c r="L53" s="160" t="s">
        <v>253</v>
      </c>
      <c r="M53" s="379">
        <v>110</v>
      </c>
      <c r="O53" s="226"/>
      <c r="P53" s="297" t="s">
        <v>184</v>
      </c>
      <c r="Q53" s="241" t="s">
        <v>64</v>
      </c>
      <c r="R53" s="317" t="s">
        <v>108</v>
      </c>
      <c r="S53" s="241" t="s">
        <v>1175</v>
      </c>
      <c r="T53" s="241" t="s">
        <v>139</v>
      </c>
      <c r="U53" s="241" t="s">
        <v>19</v>
      </c>
      <c r="V53" s="241" t="s">
        <v>20</v>
      </c>
      <c r="W53" s="241" t="s">
        <v>5</v>
      </c>
      <c r="X53" s="241" t="s">
        <v>5</v>
      </c>
      <c r="Y53" s="257" t="s">
        <v>1291</v>
      </c>
      <c r="Z53" s="318" t="s">
        <v>253</v>
      </c>
      <c r="AA53" s="380">
        <v>110</v>
      </c>
      <c r="AB53" s="210">
        <f t="shared" si="0"/>
        <v>1</v>
      </c>
      <c r="AC53" s="143" t="s">
        <v>184</v>
      </c>
      <c r="AD53" s="77" t="s">
        <v>64</v>
      </c>
      <c r="AE53" s="128" t="s">
        <v>108</v>
      </c>
      <c r="AF53" s="77" t="s">
        <v>1175</v>
      </c>
      <c r="AG53" s="77" t="s">
        <v>139</v>
      </c>
      <c r="AH53" s="77" t="s">
        <v>19</v>
      </c>
      <c r="AI53" s="77" t="s">
        <v>20</v>
      </c>
      <c r="AJ53" s="92" t="s">
        <v>5</v>
      </c>
      <c r="AK53" s="77" t="s">
        <v>5</v>
      </c>
      <c r="AL53" s="94" t="s">
        <v>1291</v>
      </c>
      <c r="AM53" s="144" t="s">
        <v>253</v>
      </c>
      <c r="AN53" s="149">
        <v>110</v>
      </c>
      <c r="AP53" s="210" t="str">
        <f t="shared" si="1"/>
        <v/>
      </c>
      <c r="AQ53" s="263"/>
      <c r="AR53" s="210" t="str">
        <f t="shared" si="2"/>
        <v/>
      </c>
      <c r="AS53" s="217"/>
      <c r="AT53" s="210" t="s">
        <v>503</v>
      </c>
      <c r="AU53" s="263"/>
      <c r="AV53" s="217"/>
      <c r="BB53" s="206" t="str">
        <f t="array" ref="BB53">_xlfn.IFS(AQ53="","",LEN(AQ53)-LEN(SUBSTITUTE(AQ53,".",""))=3,LEFT(AQ53,vitri(".",AQ53,3)-1),LEN(AQ53)-LEN(SUBSTITUTE(AQ53,".",""))=2,LEFT(AQ53,vitri(".",AQ53,2)-1),TRUE,LEFT(AQ53,vitri(".",AQ53,1)-1))</f>
        <v/>
      </c>
    </row>
    <row r="54" spans="2:54" ht="15.75" customHeight="1" x14ac:dyDescent="0.25">
      <c r="B54" s="108" t="s">
        <v>184</v>
      </c>
      <c r="C54" s="1" t="s">
        <v>64</v>
      </c>
      <c r="D54" s="159" t="s">
        <v>108</v>
      </c>
      <c r="E54" s="1" t="s">
        <v>1175</v>
      </c>
      <c r="F54" s="1" t="s">
        <v>139</v>
      </c>
      <c r="G54" s="1" t="s">
        <v>19</v>
      </c>
      <c r="H54" s="1" t="s">
        <v>20</v>
      </c>
      <c r="I54" s="1" t="s">
        <v>1172</v>
      </c>
      <c r="J54" s="1" t="s">
        <v>1173</v>
      </c>
      <c r="K54" s="204" t="str">
        <f t="shared" si="3"/>
        <v>M_DUF_ELB_REC_CFL_09</v>
      </c>
      <c r="L54" s="160" t="s">
        <v>261</v>
      </c>
      <c r="M54" s="379">
        <v>119</v>
      </c>
      <c r="O54" s="226"/>
      <c r="P54" s="297" t="s">
        <v>184</v>
      </c>
      <c r="Q54" s="241" t="s">
        <v>64</v>
      </c>
      <c r="R54" s="317" t="s">
        <v>108</v>
      </c>
      <c r="S54" s="241" t="s">
        <v>1175</v>
      </c>
      <c r="T54" s="241" t="s">
        <v>139</v>
      </c>
      <c r="U54" s="241" t="s">
        <v>19</v>
      </c>
      <c r="V54" s="241" t="s">
        <v>20</v>
      </c>
      <c r="W54" s="241" t="s">
        <v>1172</v>
      </c>
      <c r="X54" s="241" t="s">
        <v>1173</v>
      </c>
      <c r="Y54" s="257" t="s">
        <v>1292</v>
      </c>
      <c r="Z54" s="318" t="s">
        <v>261</v>
      </c>
      <c r="AA54" s="380">
        <v>119</v>
      </c>
      <c r="AB54" s="210">
        <f t="shared" si="0"/>
        <v>9</v>
      </c>
      <c r="AC54" s="143" t="s">
        <v>184</v>
      </c>
      <c r="AD54" s="77" t="s">
        <v>64</v>
      </c>
      <c r="AE54" s="128" t="s">
        <v>108</v>
      </c>
      <c r="AF54" s="77" t="s">
        <v>1175</v>
      </c>
      <c r="AG54" s="77" t="s">
        <v>139</v>
      </c>
      <c r="AH54" s="77" t="s">
        <v>19</v>
      </c>
      <c r="AI54" s="77" t="s">
        <v>20</v>
      </c>
      <c r="AJ54" s="92" t="s">
        <v>1172</v>
      </c>
      <c r="AK54" s="77" t="s">
        <v>1173</v>
      </c>
      <c r="AL54" s="94" t="s">
        <v>1292</v>
      </c>
      <c r="AM54" s="144" t="s">
        <v>261</v>
      </c>
      <c r="AN54" s="149">
        <v>119</v>
      </c>
      <c r="AP54" s="210" t="str">
        <f t="shared" si="1"/>
        <v/>
      </c>
      <c r="AQ54" s="263"/>
      <c r="AR54" s="210" t="str">
        <f t="shared" si="2"/>
        <v/>
      </c>
      <c r="AS54" s="217"/>
      <c r="AT54" s="210" t="s">
        <v>503</v>
      </c>
      <c r="AU54" s="263"/>
      <c r="AV54" s="217"/>
      <c r="BB54" s="206" t="str">
        <f t="array" ref="BB54">_xlfn.IFS(AQ54="","",LEN(AQ54)-LEN(SUBSTITUTE(AQ54,".",""))=3,LEFT(AQ54,vitri(".",AQ54,3)-1),LEN(AQ54)-LEN(SUBSTITUTE(AQ54,".",""))=2,LEFT(AQ54,vitri(".",AQ54,2)-1),TRUE,LEFT(AQ54,vitri(".",AQ54,1)-1))</f>
        <v/>
      </c>
    </row>
    <row r="55" spans="2:54" ht="15.75" customHeight="1" x14ac:dyDescent="0.25">
      <c r="B55" s="108" t="s">
        <v>184</v>
      </c>
      <c r="C55" s="1" t="s">
        <v>64</v>
      </c>
      <c r="D55" s="159" t="s">
        <v>108</v>
      </c>
      <c r="E55" s="1" t="s">
        <v>1175</v>
      </c>
      <c r="F55" s="1" t="s">
        <v>139</v>
      </c>
      <c r="G55" s="1" t="s">
        <v>19</v>
      </c>
      <c r="H55" s="1" t="s">
        <v>20</v>
      </c>
      <c r="I55" s="1" t="s">
        <v>1176</v>
      </c>
      <c r="J55" s="1" t="s">
        <v>1177</v>
      </c>
      <c r="K55" s="204" t="str">
        <f t="shared" si="3"/>
        <v>M_DUF_ELB_REC_TDC_16</v>
      </c>
      <c r="L55" s="160" t="s">
        <v>609</v>
      </c>
      <c r="M55" s="379">
        <v>126</v>
      </c>
      <c r="O55" s="226"/>
      <c r="P55" s="297" t="s">
        <v>184</v>
      </c>
      <c r="Q55" s="241" t="s">
        <v>64</v>
      </c>
      <c r="R55" s="317" t="s">
        <v>108</v>
      </c>
      <c r="S55" s="241" t="s">
        <v>1175</v>
      </c>
      <c r="T55" s="241" t="s">
        <v>139</v>
      </c>
      <c r="U55" s="241" t="s">
        <v>19</v>
      </c>
      <c r="V55" s="241" t="s">
        <v>20</v>
      </c>
      <c r="W55" s="241" t="s">
        <v>1176</v>
      </c>
      <c r="X55" s="241" t="s">
        <v>1177</v>
      </c>
      <c r="Y55" s="257" t="s">
        <v>1293</v>
      </c>
      <c r="Z55" s="318" t="s">
        <v>609</v>
      </c>
      <c r="AA55" s="380">
        <v>126</v>
      </c>
      <c r="AB55" s="210">
        <f t="shared" si="0"/>
        <v>16</v>
      </c>
      <c r="AC55" s="143" t="s">
        <v>184</v>
      </c>
      <c r="AD55" s="77" t="s">
        <v>64</v>
      </c>
      <c r="AE55" s="128" t="s">
        <v>108</v>
      </c>
      <c r="AF55" s="77" t="s">
        <v>1175</v>
      </c>
      <c r="AG55" s="77" t="s">
        <v>139</v>
      </c>
      <c r="AH55" s="77" t="s">
        <v>19</v>
      </c>
      <c r="AI55" s="77" t="s">
        <v>20</v>
      </c>
      <c r="AJ55" s="92" t="s">
        <v>1176</v>
      </c>
      <c r="AK55" s="77" t="s">
        <v>1177</v>
      </c>
      <c r="AL55" s="94" t="s">
        <v>1293</v>
      </c>
      <c r="AM55" s="144" t="s">
        <v>609</v>
      </c>
      <c r="AN55" s="149">
        <v>126</v>
      </c>
      <c r="AP55" s="210" t="str">
        <f t="shared" si="1"/>
        <v/>
      </c>
      <c r="AQ55" s="263"/>
      <c r="AR55" s="210" t="str">
        <f t="shared" si="2"/>
        <v/>
      </c>
      <c r="AS55" s="217"/>
      <c r="AT55" s="210" t="s">
        <v>503</v>
      </c>
      <c r="AU55" s="263"/>
      <c r="AV55" s="217"/>
      <c r="BB55" s="206" t="str">
        <f t="array" ref="BB55">_xlfn.IFS(AQ55="","",LEN(AQ55)-LEN(SUBSTITUTE(AQ55,".",""))=3,LEFT(AQ55,vitri(".",AQ55,3)-1),LEN(AQ55)-LEN(SUBSTITUTE(AQ55,".",""))=2,LEFT(AQ55,vitri(".",AQ55,2)-1),TRUE,LEFT(AQ55,vitri(".",AQ55,1)-1))</f>
        <v/>
      </c>
    </row>
    <row r="56" spans="2:54" ht="15.75" customHeight="1" x14ac:dyDescent="0.25">
      <c r="B56" s="108" t="s">
        <v>184</v>
      </c>
      <c r="C56" s="1" t="s">
        <v>64</v>
      </c>
      <c r="D56" s="159" t="s">
        <v>108</v>
      </c>
      <c r="E56" s="1" t="s">
        <v>1175</v>
      </c>
      <c r="F56" s="1" t="s">
        <v>139</v>
      </c>
      <c r="G56" s="1" t="s">
        <v>19</v>
      </c>
      <c r="H56" s="1" t="s">
        <v>20</v>
      </c>
      <c r="I56" s="1" t="s">
        <v>1178</v>
      </c>
      <c r="J56" s="1" t="s">
        <v>1179</v>
      </c>
      <c r="K56" s="204" t="str">
        <f t="shared" si="3"/>
        <v>M_DUF_ELB_REC_VFL_21</v>
      </c>
      <c r="L56" s="160" t="s">
        <v>614</v>
      </c>
      <c r="M56" s="379">
        <v>131</v>
      </c>
      <c r="O56" s="226"/>
      <c r="P56" s="297" t="s">
        <v>184</v>
      </c>
      <c r="Q56" s="241" t="s">
        <v>64</v>
      </c>
      <c r="R56" s="317" t="s">
        <v>108</v>
      </c>
      <c r="S56" s="241" t="s">
        <v>1175</v>
      </c>
      <c r="T56" s="241" t="s">
        <v>139</v>
      </c>
      <c r="U56" s="241" t="s">
        <v>19</v>
      </c>
      <c r="V56" s="241" t="s">
        <v>20</v>
      </c>
      <c r="W56" s="241" t="s">
        <v>1178</v>
      </c>
      <c r="X56" s="241" t="s">
        <v>1179</v>
      </c>
      <c r="Y56" s="257" t="s">
        <v>1294</v>
      </c>
      <c r="Z56" s="318" t="s">
        <v>614</v>
      </c>
      <c r="AA56" s="380">
        <v>131</v>
      </c>
      <c r="AB56" s="210">
        <f t="shared" si="0"/>
        <v>21</v>
      </c>
      <c r="AC56" s="143" t="s">
        <v>184</v>
      </c>
      <c r="AD56" s="77" t="s">
        <v>64</v>
      </c>
      <c r="AE56" s="128" t="s">
        <v>108</v>
      </c>
      <c r="AF56" s="77" t="s">
        <v>1175</v>
      </c>
      <c r="AG56" s="77" t="s">
        <v>139</v>
      </c>
      <c r="AH56" s="77" t="s">
        <v>19</v>
      </c>
      <c r="AI56" s="77" t="s">
        <v>20</v>
      </c>
      <c r="AJ56" s="92" t="s">
        <v>1178</v>
      </c>
      <c r="AK56" s="77" t="s">
        <v>1179</v>
      </c>
      <c r="AL56" s="94" t="s">
        <v>1294</v>
      </c>
      <c r="AM56" s="144" t="s">
        <v>614</v>
      </c>
      <c r="AN56" s="149">
        <v>131</v>
      </c>
      <c r="AP56" s="210" t="str">
        <f t="shared" si="1"/>
        <v/>
      </c>
      <c r="AQ56" s="263"/>
      <c r="AR56" s="210" t="str">
        <f t="shared" si="2"/>
        <v/>
      </c>
      <c r="AS56" s="217"/>
      <c r="AT56" s="210" t="s">
        <v>503</v>
      </c>
      <c r="AU56" s="263"/>
      <c r="AV56" s="217"/>
      <c r="BB56" s="206" t="str">
        <f t="array" ref="BB56">_xlfn.IFS(AQ56="","",LEN(AQ56)-LEN(SUBSTITUTE(AQ56,".",""))=3,LEFT(AQ56,vitri(".",AQ56,3)-1),LEN(AQ56)-LEN(SUBSTITUTE(AQ56,".",""))=2,LEFT(AQ56,vitri(".",AQ56,2)-1),TRUE,LEFT(AQ56,vitri(".",AQ56,1)-1))</f>
        <v/>
      </c>
    </row>
    <row r="57" spans="2:54" ht="15.75" customHeight="1" x14ac:dyDescent="0.25">
      <c r="B57" s="108" t="s">
        <v>184</v>
      </c>
      <c r="C57" s="1" t="s">
        <v>64</v>
      </c>
      <c r="D57" s="159" t="s">
        <v>108</v>
      </c>
      <c r="E57" s="1" t="s">
        <v>1175</v>
      </c>
      <c r="F57" s="1" t="s">
        <v>139</v>
      </c>
      <c r="G57" s="1" t="s">
        <v>21</v>
      </c>
      <c r="H57" s="1" t="s">
        <v>1128</v>
      </c>
      <c r="I57" s="1" t="s">
        <v>5</v>
      </c>
      <c r="J57" s="1" t="s">
        <v>5</v>
      </c>
      <c r="K57" s="204" t="str">
        <f t="shared" si="3"/>
        <v>M_DUF_ELB_ROD_27</v>
      </c>
      <c r="L57" s="160" t="s">
        <v>1180</v>
      </c>
      <c r="M57" s="379">
        <v>137</v>
      </c>
      <c r="O57" s="226"/>
      <c r="P57" s="297" t="s">
        <v>184</v>
      </c>
      <c r="Q57" s="241" t="s">
        <v>64</v>
      </c>
      <c r="R57" s="317" t="s">
        <v>108</v>
      </c>
      <c r="S57" s="241" t="s">
        <v>1175</v>
      </c>
      <c r="T57" s="241" t="s">
        <v>139</v>
      </c>
      <c r="U57" s="241" t="s">
        <v>21</v>
      </c>
      <c r="V57" s="241" t="s">
        <v>1128</v>
      </c>
      <c r="W57" s="241" t="s">
        <v>5</v>
      </c>
      <c r="X57" s="241" t="s">
        <v>5</v>
      </c>
      <c r="Y57" s="257" t="s">
        <v>1295</v>
      </c>
      <c r="Z57" s="318" t="s">
        <v>1180</v>
      </c>
      <c r="AA57" s="380">
        <v>137</v>
      </c>
      <c r="AB57" s="210">
        <f t="shared" si="0"/>
        <v>27</v>
      </c>
      <c r="AC57" s="143" t="s">
        <v>184</v>
      </c>
      <c r="AD57" s="77" t="s">
        <v>64</v>
      </c>
      <c r="AE57" s="128" t="s">
        <v>108</v>
      </c>
      <c r="AF57" s="77" t="s">
        <v>1175</v>
      </c>
      <c r="AG57" s="77" t="s">
        <v>139</v>
      </c>
      <c r="AH57" s="77" t="s">
        <v>21</v>
      </c>
      <c r="AI57" s="77" t="s">
        <v>1128</v>
      </c>
      <c r="AJ57" s="92" t="s">
        <v>5</v>
      </c>
      <c r="AK57" s="77" t="s">
        <v>5</v>
      </c>
      <c r="AL57" s="94" t="s">
        <v>1295</v>
      </c>
      <c r="AM57" s="144" t="s">
        <v>1180</v>
      </c>
      <c r="AN57" s="149">
        <v>137</v>
      </c>
      <c r="AP57" s="210" t="str">
        <f t="shared" si="1"/>
        <v/>
      </c>
      <c r="AQ57" s="263"/>
      <c r="AR57" s="210" t="str">
        <f t="shared" si="2"/>
        <v/>
      </c>
      <c r="AS57" s="217"/>
      <c r="AT57" s="210" t="s">
        <v>503</v>
      </c>
      <c r="AU57" s="263"/>
      <c r="AV57" s="217"/>
      <c r="BB57" s="206" t="str">
        <f t="array" ref="BB57">_xlfn.IFS(AQ57="","",LEN(AQ57)-LEN(SUBSTITUTE(AQ57,".",""))=3,LEFT(AQ57,vitri(".",AQ57,3)-1),LEN(AQ57)-LEN(SUBSTITUTE(AQ57,".",""))=2,LEFT(AQ57,vitri(".",AQ57,2)-1),TRUE,LEFT(AQ57,vitri(".",AQ57,1)-1))</f>
        <v/>
      </c>
    </row>
    <row r="58" spans="2:54" x14ac:dyDescent="0.25">
      <c r="B58" s="108" t="s">
        <v>184</v>
      </c>
      <c r="C58" s="1" t="s">
        <v>64</v>
      </c>
      <c r="D58" s="159" t="s">
        <v>108</v>
      </c>
      <c r="E58" s="1" t="s">
        <v>1175</v>
      </c>
      <c r="F58" s="1" t="s">
        <v>139</v>
      </c>
      <c r="G58" s="1" t="s">
        <v>21</v>
      </c>
      <c r="H58" s="1" t="s">
        <v>1128</v>
      </c>
      <c r="I58" s="1" t="s">
        <v>1181</v>
      </c>
      <c r="J58" s="1" t="s">
        <v>1181</v>
      </c>
      <c r="K58" s="204" t="str">
        <f t="shared" si="3"/>
        <v>M_DUF_ELB_ROD_4D_26</v>
      </c>
      <c r="L58" s="160" t="s">
        <v>1182</v>
      </c>
      <c r="M58" s="379">
        <v>136</v>
      </c>
      <c r="O58" s="226"/>
      <c r="P58" s="297" t="s">
        <v>184</v>
      </c>
      <c r="Q58" s="241" t="s">
        <v>64</v>
      </c>
      <c r="R58" s="317" t="s">
        <v>108</v>
      </c>
      <c r="S58" s="241" t="s">
        <v>1175</v>
      </c>
      <c r="T58" s="241" t="s">
        <v>139</v>
      </c>
      <c r="U58" s="241" t="s">
        <v>21</v>
      </c>
      <c r="V58" s="241" t="s">
        <v>1128</v>
      </c>
      <c r="W58" s="241" t="s">
        <v>1181</v>
      </c>
      <c r="X58" s="241" t="s">
        <v>1181</v>
      </c>
      <c r="Y58" s="257" t="s">
        <v>1296</v>
      </c>
      <c r="Z58" s="318" t="s">
        <v>1182</v>
      </c>
      <c r="AA58" s="380">
        <v>136</v>
      </c>
      <c r="AB58" s="210">
        <f t="shared" si="0"/>
        <v>26</v>
      </c>
      <c r="AC58" s="143" t="s">
        <v>184</v>
      </c>
      <c r="AD58" s="77" t="s">
        <v>64</v>
      </c>
      <c r="AE58" s="128" t="s">
        <v>108</v>
      </c>
      <c r="AF58" s="77" t="s">
        <v>1175</v>
      </c>
      <c r="AG58" s="77" t="s">
        <v>139</v>
      </c>
      <c r="AH58" s="77" t="s">
        <v>21</v>
      </c>
      <c r="AI58" s="77" t="s">
        <v>1128</v>
      </c>
      <c r="AJ58" s="92" t="s">
        <v>1181</v>
      </c>
      <c r="AK58" s="77" t="s">
        <v>1181</v>
      </c>
      <c r="AL58" s="94" t="s">
        <v>1296</v>
      </c>
      <c r="AM58" s="144" t="s">
        <v>1182</v>
      </c>
      <c r="AN58" s="149">
        <v>136</v>
      </c>
      <c r="AP58" s="210" t="str">
        <f t="shared" si="1"/>
        <v/>
      </c>
      <c r="AQ58" s="263"/>
      <c r="AR58" s="210" t="str">
        <f t="shared" si="2"/>
        <v/>
      </c>
      <c r="AS58" s="217"/>
      <c r="AT58" s="210" t="s">
        <v>503</v>
      </c>
      <c r="AU58" s="263"/>
      <c r="AV58" s="217"/>
      <c r="BB58" s="206" t="str">
        <f t="array" ref="BB58">_xlfn.IFS(AQ58="","",LEN(AQ58)-LEN(SUBSTITUTE(AQ58,".",""))=3,LEFT(AQ58,vitri(".",AQ58,3)-1),LEN(AQ58)-LEN(SUBSTITUTE(AQ58,".",""))=2,LEFT(AQ58,vitri(".",AQ58,2)-1),TRUE,LEFT(AQ58,vitri(".",AQ58,1)-1))</f>
        <v/>
      </c>
    </row>
    <row r="59" spans="2:54" x14ac:dyDescent="0.25">
      <c r="B59" s="108" t="s">
        <v>184</v>
      </c>
      <c r="C59" s="1" t="s">
        <v>64</v>
      </c>
      <c r="D59" s="159" t="s">
        <v>108</v>
      </c>
      <c r="E59" s="1" t="s">
        <v>1183</v>
      </c>
      <c r="F59" s="1" t="s">
        <v>1184</v>
      </c>
      <c r="G59" s="1" t="s">
        <v>19</v>
      </c>
      <c r="H59" s="1" t="s">
        <v>20</v>
      </c>
      <c r="I59" s="1" t="s">
        <v>5</v>
      </c>
      <c r="J59" s="1" t="s">
        <v>5</v>
      </c>
      <c r="K59" s="204" t="str">
        <f t="shared" si="3"/>
        <v>M_DUF_ELS_REC_07</v>
      </c>
      <c r="L59" s="160" t="s">
        <v>259</v>
      </c>
      <c r="M59" s="379">
        <v>117</v>
      </c>
      <c r="P59" s="297" t="s">
        <v>184</v>
      </c>
      <c r="Q59" s="241" t="s">
        <v>64</v>
      </c>
      <c r="R59" s="317" t="s">
        <v>108</v>
      </c>
      <c r="S59" s="241" t="s">
        <v>1183</v>
      </c>
      <c r="T59" s="241" t="s">
        <v>1184</v>
      </c>
      <c r="U59" s="241" t="s">
        <v>19</v>
      </c>
      <c r="V59" s="241" t="s">
        <v>20</v>
      </c>
      <c r="W59" s="241" t="s">
        <v>5</v>
      </c>
      <c r="X59" s="241" t="s">
        <v>5</v>
      </c>
      <c r="Y59" s="257" t="s">
        <v>1297</v>
      </c>
      <c r="Z59" s="318" t="s">
        <v>259</v>
      </c>
      <c r="AA59" s="380">
        <v>117</v>
      </c>
      <c r="AB59" s="210">
        <f t="shared" si="0"/>
        <v>7</v>
      </c>
      <c r="AC59" s="143" t="s">
        <v>184</v>
      </c>
      <c r="AD59" s="77" t="s">
        <v>64</v>
      </c>
      <c r="AE59" s="128" t="s">
        <v>108</v>
      </c>
      <c r="AF59" s="77" t="s">
        <v>1183</v>
      </c>
      <c r="AG59" s="77" t="s">
        <v>1184</v>
      </c>
      <c r="AH59" s="77" t="s">
        <v>19</v>
      </c>
      <c r="AI59" s="77" t="s">
        <v>20</v>
      </c>
      <c r="AJ59" s="92" t="s">
        <v>5</v>
      </c>
      <c r="AK59" s="77" t="s">
        <v>5</v>
      </c>
      <c r="AL59" s="94" t="s">
        <v>1297</v>
      </c>
      <c r="AM59" s="144" t="s">
        <v>259</v>
      </c>
      <c r="AN59" s="149">
        <v>117</v>
      </c>
      <c r="AP59" s="210" t="str">
        <f t="shared" si="1"/>
        <v/>
      </c>
      <c r="AQ59" s="263"/>
      <c r="AR59" s="210" t="str">
        <f t="shared" si="2"/>
        <v/>
      </c>
      <c r="AS59" s="217"/>
      <c r="AT59" s="210" t="s">
        <v>503</v>
      </c>
      <c r="AU59" s="263"/>
      <c r="AV59" s="217"/>
      <c r="BB59" s="206" t="str">
        <f t="array" ref="BB59">_xlfn.IFS(AQ59="","",LEN(AQ59)-LEN(SUBSTITUTE(AQ59,".",""))=3,LEFT(AQ59,vitri(".",AQ59,3)-1),LEN(AQ59)-LEN(SUBSTITUTE(AQ59,".",""))=2,LEFT(AQ59,vitri(".",AQ59,2)-1),TRUE,LEFT(AQ59,vitri(".",AQ59,1)-1))</f>
        <v/>
      </c>
    </row>
    <row r="60" spans="2:54" ht="15.75" customHeight="1" x14ac:dyDescent="0.25">
      <c r="B60" s="108" t="s">
        <v>184</v>
      </c>
      <c r="C60" s="1" t="s">
        <v>64</v>
      </c>
      <c r="D60" s="159" t="s">
        <v>108</v>
      </c>
      <c r="E60" s="1" t="s">
        <v>1185</v>
      </c>
      <c r="F60" s="1" t="s">
        <v>670</v>
      </c>
      <c r="G60" s="1" t="s">
        <v>19</v>
      </c>
      <c r="H60" s="1" t="s">
        <v>20</v>
      </c>
      <c r="I60" s="1" t="s">
        <v>5</v>
      </c>
      <c r="J60" s="1" t="s">
        <v>5</v>
      </c>
      <c r="K60" s="204" t="str">
        <f t="shared" si="3"/>
        <v>M_DUF_OFF_REC_08</v>
      </c>
      <c r="L60" s="160" t="s">
        <v>260</v>
      </c>
      <c r="M60" s="379">
        <v>118</v>
      </c>
      <c r="P60" s="297" t="s">
        <v>184</v>
      </c>
      <c r="Q60" s="241" t="s">
        <v>64</v>
      </c>
      <c r="R60" s="317" t="s">
        <v>108</v>
      </c>
      <c r="S60" s="241" t="s">
        <v>1185</v>
      </c>
      <c r="T60" s="241" t="s">
        <v>670</v>
      </c>
      <c r="U60" s="241" t="s">
        <v>19</v>
      </c>
      <c r="V60" s="241" t="s">
        <v>20</v>
      </c>
      <c r="W60" s="241" t="s">
        <v>5</v>
      </c>
      <c r="X60" s="241" t="s">
        <v>5</v>
      </c>
      <c r="Y60" s="257" t="s">
        <v>1298</v>
      </c>
      <c r="Z60" s="318" t="s">
        <v>260</v>
      </c>
      <c r="AA60" s="380">
        <v>118</v>
      </c>
      <c r="AB60" s="210">
        <f t="shared" si="0"/>
        <v>8</v>
      </c>
      <c r="AC60" s="143" t="s">
        <v>184</v>
      </c>
      <c r="AD60" s="77" t="s">
        <v>64</v>
      </c>
      <c r="AE60" s="128" t="s">
        <v>108</v>
      </c>
      <c r="AF60" s="77" t="s">
        <v>1185</v>
      </c>
      <c r="AG60" s="77" t="s">
        <v>670</v>
      </c>
      <c r="AH60" s="77" t="s">
        <v>19</v>
      </c>
      <c r="AI60" s="77" t="s">
        <v>20</v>
      </c>
      <c r="AJ60" s="92" t="s">
        <v>5</v>
      </c>
      <c r="AK60" s="77" t="s">
        <v>5</v>
      </c>
      <c r="AL60" s="94" t="s">
        <v>1298</v>
      </c>
      <c r="AM60" s="144" t="s">
        <v>260</v>
      </c>
      <c r="AN60" s="149">
        <v>118</v>
      </c>
      <c r="AP60" s="210" t="str">
        <f t="shared" si="1"/>
        <v/>
      </c>
      <c r="AQ60" s="263"/>
      <c r="AR60" s="210" t="str">
        <f t="shared" si="2"/>
        <v/>
      </c>
      <c r="AS60" s="217"/>
      <c r="AT60" s="210" t="s">
        <v>503</v>
      </c>
      <c r="AU60" s="263"/>
      <c r="AV60" s="217"/>
      <c r="BB60" s="206" t="str">
        <f t="array" ref="BB60">_xlfn.IFS(AQ60="","",LEN(AQ60)-LEN(SUBSTITUTE(AQ60,".",""))=3,LEFT(AQ60,vitri(".",AQ60,3)-1),LEN(AQ60)-LEN(SUBSTITUTE(AQ60,".",""))=2,LEFT(AQ60,vitri(".",AQ60,2)-1),TRUE,LEFT(AQ60,vitri(".",AQ60,1)-1))</f>
        <v/>
      </c>
    </row>
    <row r="61" spans="2:54" ht="15.75" customHeight="1" x14ac:dyDescent="0.25">
      <c r="B61" s="108" t="s">
        <v>184</v>
      </c>
      <c r="C61" s="1" t="s">
        <v>64</v>
      </c>
      <c r="D61" s="159" t="s">
        <v>108</v>
      </c>
      <c r="E61" s="1" t="s">
        <v>1186</v>
      </c>
      <c r="F61" s="1" t="s">
        <v>1187</v>
      </c>
      <c r="G61" s="1" t="s">
        <v>21</v>
      </c>
      <c r="H61" s="1" t="s">
        <v>1128</v>
      </c>
      <c r="I61" s="1" t="s">
        <v>5</v>
      </c>
      <c r="J61" s="1" t="s">
        <v>5</v>
      </c>
      <c r="K61" s="204" t="str">
        <f t="shared" si="3"/>
        <v>M_DUF_TAO_ROD_29</v>
      </c>
      <c r="L61" s="160" t="s">
        <v>1188</v>
      </c>
      <c r="M61" s="379">
        <v>139</v>
      </c>
      <c r="P61" s="297" t="s">
        <v>184</v>
      </c>
      <c r="Q61" s="241" t="s">
        <v>64</v>
      </c>
      <c r="R61" s="317" t="s">
        <v>108</v>
      </c>
      <c r="S61" s="241" t="s">
        <v>1186</v>
      </c>
      <c r="T61" s="241" t="s">
        <v>1187</v>
      </c>
      <c r="U61" s="241" t="s">
        <v>21</v>
      </c>
      <c r="V61" s="241" t="s">
        <v>1128</v>
      </c>
      <c r="W61" s="241" t="s">
        <v>5</v>
      </c>
      <c r="X61" s="241" t="s">
        <v>5</v>
      </c>
      <c r="Y61" s="257" t="s">
        <v>1299</v>
      </c>
      <c r="Z61" s="318" t="s">
        <v>1188</v>
      </c>
      <c r="AA61" s="380">
        <v>139</v>
      </c>
      <c r="AB61" s="210">
        <f t="shared" si="0"/>
        <v>29</v>
      </c>
      <c r="AC61" s="143" t="s">
        <v>184</v>
      </c>
      <c r="AD61" s="77" t="s">
        <v>64</v>
      </c>
      <c r="AE61" s="128" t="s">
        <v>108</v>
      </c>
      <c r="AF61" s="77" t="s">
        <v>1186</v>
      </c>
      <c r="AG61" s="77" t="s">
        <v>1187</v>
      </c>
      <c r="AH61" s="77" t="s">
        <v>21</v>
      </c>
      <c r="AI61" s="77" t="s">
        <v>1128</v>
      </c>
      <c r="AJ61" s="92" t="s">
        <v>5</v>
      </c>
      <c r="AK61" s="77" t="s">
        <v>5</v>
      </c>
      <c r="AL61" s="94" t="s">
        <v>1299</v>
      </c>
      <c r="AM61" s="144" t="s">
        <v>1188</v>
      </c>
      <c r="AN61" s="149">
        <v>139</v>
      </c>
      <c r="AP61" s="210" t="str">
        <f t="shared" si="1"/>
        <v/>
      </c>
      <c r="AQ61" s="263"/>
      <c r="AR61" s="210" t="str">
        <f t="shared" si="2"/>
        <v/>
      </c>
      <c r="AS61" s="217"/>
      <c r="AT61" s="210" t="s">
        <v>503</v>
      </c>
      <c r="AU61" s="263"/>
      <c r="AV61" s="217"/>
      <c r="BB61" s="206" t="str">
        <f t="array" ref="BB61">_xlfn.IFS(AQ61="","",LEN(AQ61)-LEN(SUBSTITUTE(AQ61,".",""))=3,LEFT(AQ61,vitri(".",AQ61,3)-1),LEN(AQ61)-LEN(SUBSTITUTE(AQ61,".",""))=2,LEFT(AQ61,vitri(".",AQ61,2)-1),TRUE,LEFT(AQ61,vitri(".",AQ61,1)-1))</f>
        <v/>
      </c>
    </row>
    <row r="62" spans="2:54" ht="15.75" customHeight="1" x14ac:dyDescent="0.25">
      <c r="B62" s="108" t="s">
        <v>184</v>
      </c>
      <c r="C62" s="1" t="s">
        <v>64</v>
      </c>
      <c r="D62" s="159" t="s">
        <v>108</v>
      </c>
      <c r="E62" s="1" t="s">
        <v>104</v>
      </c>
      <c r="F62" s="1" t="s">
        <v>86</v>
      </c>
      <c r="G62" s="1" t="s">
        <v>1189</v>
      </c>
      <c r="H62" s="1" t="s">
        <v>1190</v>
      </c>
      <c r="I62" s="1" t="s">
        <v>5</v>
      </c>
      <c r="J62" s="1" t="s">
        <v>5</v>
      </c>
      <c r="K62" s="204" t="str">
        <f t="shared" si="3"/>
        <v>M_DUF_TAP_R2O_31</v>
      </c>
      <c r="L62" s="160" t="s">
        <v>1191</v>
      </c>
      <c r="M62" s="379">
        <v>142</v>
      </c>
      <c r="P62" s="297" t="s">
        <v>184</v>
      </c>
      <c r="Q62" s="241" t="s">
        <v>64</v>
      </c>
      <c r="R62" s="317" t="s">
        <v>108</v>
      </c>
      <c r="S62" s="241" t="s">
        <v>104</v>
      </c>
      <c r="T62" s="241" t="s">
        <v>86</v>
      </c>
      <c r="U62" s="241" t="s">
        <v>1189</v>
      </c>
      <c r="V62" s="241" t="s">
        <v>1190</v>
      </c>
      <c r="W62" s="241" t="s">
        <v>5</v>
      </c>
      <c r="X62" s="241" t="s">
        <v>5</v>
      </c>
      <c r="Y62" s="265" t="s">
        <v>1300</v>
      </c>
      <c r="Z62" s="318" t="s">
        <v>1191</v>
      </c>
      <c r="AA62" s="381">
        <v>142</v>
      </c>
      <c r="AB62" s="210">
        <f t="shared" si="0"/>
        <v>31</v>
      </c>
      <c r="AC62" s="143" t="s">
        <v>184</v>
      </c>
      <c r="AD62" s="77" t="s">
        <v>64</v>
      </c>
      <c r="AE62" s="128" t="s">
        <v>108</v>
      </c>
      <c r="AF62" s="77" t="s">
        <v>104</v>
      </c>
      <c r="AG62" s="77" t="s">
        <v>86</v>
      </c>
      <c r="AH62" s="77" t="s">
        <v>1189</v>
      </c>
      <c r="AI62" s="77" t="s">
        <v>1190</v>
      </c>
      <c r="AJ62" s="92" t="s">
        <v>5</v>
      </c>
      <c r="AK62" s="77" t="s">
        <v>5</v>
      </c>
      <c r="AL62" s="94" t="s">
        <v>1300</v>
      </c>
      <c r="AM62" s="144" t="s">
        <v>1191</v>
      </c>
      <c r="AN62" s="149">
        <v>142</v>
      </c>
      <c r="AP62" s="210" t="str">
        <f t="shared" si="1"/>
        <v/>
      </c>
      <c r="AQ62" s="263"/>
      <c r="AR62" s="210" t="str">
        <f t="shared" si="2"/>
        <v/>
      </c>
      <c r="AS62" s="217"/>
      <c r="AT62" s="210" t="s">
        <v>503</v>
      </c>
      <c r="AU62" s="263"/>
      <c r="AV62" s="217"/>
      <c r="BB62" s="206" t="str">
        <f t="array" ref="BB62">_xlfn.IFS(AQ62="","",LEN(AQ62)-LEN(SUBSTITUTE(AQ62,".",""))=3,LEFT(AQ62,vitri(".",AQ62,3)-1),LEN(AQ62)-LEN(SUBSTITUTE(AQ62,".",""))=2,LEFT(AQ62,vitri(".",AQ62,2)-1),TRUE,LEFT(AQ62,vitri(".",AQ62,1)-1))</f>
        <v/>
      </c>
    </row>
    <row r="63" spans="2:54" ht="15.75" customHeight="1" x14ac:dyDescent="0.25">
      <c r="B63" s="108" t="s">
        <v>184</v>
      </c>
      <c r="C63" s="1" t="s">
        <v>64</v>
      </c>
      <c r="D63" s="159" t="s">
        <v>108</v>
      </c>
      <c r="E63" s="1" t="s">
        <v>104</v>
      </c>
      <c r="F63" s="1" t="s">
        <v>86</v>
      </c>
      <c r="G63" s="1" t="s">
        <v>1192</v>
      </c>
      <c r="H63" s="1" t="s">
        <v>1193</v>
      </c>
      <c r="I63" s="1" t="s">
        <v>1172</v>
      </c>
      <c r="J63" s="1" t="s">
        <v>1173</v>
      </c>
      <c r="K63" s="204" t="str">
        <f t="shared" si="3"/>
        <v>M_DUF_TAP_R2R_CFL_10</v>
      </c>
      <c r="L63" s="160" t="s">
        <v>262</v>
      </c>
      <c r="M63" s="379">
        <v>120</v>
      </c>
      <c r="P63" s="297" t="s">
        <v>184</v>
      </c>
      <c r="Q63" s="241" t="s">
        <v>64</v>
      </c>
      <c r="R63" s="317" t="s">
        <v>108</v>
      </c>
      <c r="S63" s="241" t="s">
        <v>104</v>
      </c>
      <c r="T63" s="241" t="s">
        <v>86</v>
      </c>
      <c r="U63" s="241" t="s">
        <v>1192</v>
      </c>
      <c r="V63" s="241" t="s">
        <v>1193</v>
      </c>
      <c r="W63" s="241" t="s">
        <v>1172</v>
      </c>
      <c r="X63" s="241" t="s">
        <v>1173</v>
      </c>
      <c r="Y63" s="257" t="s">
        <v>1301</v>
      </c>
      <c r="Z63" s="318" t="s">
        <v>262</v>
      </c>
      <c r="AA63" s="380">
        <v>120</v>
      </c>
      <c r="AB63" s="210">
        <f t="shared" si="0"/>
        <v>10</v>
      </c>
      <c r="AC63" s="146" t="s">
        <v>184</v>
      </c>
      <c r="AD63" s="77" t="s">
        <v>64</v>
      </c>
      <c r="AE63" s="128" t="s">
        <v>108</v>
      </c>
      <c r="AF63" s="77" t="s">
        <v>104</v>
      </c>
      <c r="AG63" s="128" t="s">
        <v>86</v>
      </c>
      <c r="AH63" s="77" t="s">
        <v>1192</v>
      </c>
      <c r="AI63" s="77" t="s">
        <v>1193</v>
      </c>
      <c r="AJ63" s="128" t="s">
        <v>1172</v>
      </c>
      <c r="AK63" s="77" t="s">
        <v>1173</v>
      </c>
      <c r="AL63" s="95" t="s">
        <v>1301</v>
      </c>
      <c r="AM63" s="148" t="s">
        <v>262</v>
      </c>
      <c r="AN63" s="148">
        <v>120</v>
      </c>
      <c r="AP63" s="210" t="str">
        <f t="shared" si="1"/>
        <v/>
      </c>
      <c r="AQ63" s="263"/>
      <c r="AR63" s="210" t="str">
        <f t="shared" si="2"/>
        <v/>
      </c>
      <c r="AS63" s="217"/>
      <c r="AT63" s="210" t="s">
        <v>503</v>
      </c>
      <c r="AU63" s="263"/>
      <c r="AV63" s="217"/>
      <c r="BB63" s="206" t="str">
        <f t="array" ref="BB63">_xlfn.IFS(AQ63="","",LEN(AQ63)-LEN(SUBSTITUTE(AQ63,".",""))=3,LEFT(AQ63,vitri(".",AQ63,3)-1),LEN(AQ63)-LEN(SUBSTITUTE(AQ63,".",""))=2,LEFT(AQ63,vitri(".",AQ63,2)-1),TRUE,LEFT(AQ63,vitri(".",AQ63,1)-1))</f>
        <v/>
      </c>
    </row>
    <row r="64" spans="2:54" ht="15.75" customHeight="1" x14ac:dyDescent="0.25">
      <c r="B64" s="108" t="s">
        <v>184</v>
      </c>
      <c r="C64" s="1" t="s">
        <v>64</v>
      </c>
      <c r="D64" s="159" t="s">
        <v>108</v>
      </c>
      <c r="E64" s="1" t="s">
        <v>104</v>
      </c>
      <c r="F64" s="1" t="s">
        <v>86</v>
      </c>
      <c r="G64" s="1" t="s">
        <v>1192</v>
      </c>
      <c r="H64" s="1" t="s">
        <v>1193</v>
      </c>
      <c r="I64" s="1" t="s">
        <v>1176</v>
      </c>
      <c r="J64" s="1" t="s">
        <v>1177</v>
      </c>
      <c r="K64" s="204" t="str">
        <f t="shared" si="3"/>
        <v>M_DUF_TAP_R2R_TDC_17</v>
      </c>
      <c r="L64" s="160" t="s">
        <v>610</v>
      </c>
      <c r="M64" s="379">
        <v>127</v>
      </c>
      <c r="P64" s="297" t="s">
        <v>184</v>
      </c>
      <c r="Q64" s="241" t="s">
        <v>64</v>
      </c>
      <c r="R64" s="317" t="s">
        <v>108</v>
      </c>
      <c r="S64" s="241" t="s">
        <v>104</v>
      </c>
      <c r="T64" s="241" t="s">
        <v>86</v>
      </c>
      <c r="U64" s="241" t="s">
        <v>1192</v>
      </c>
      <c r="V64" s="241" t="s">
        <v>1193</v>
      </c>
      <c r="W64" s="241" t="s">
        <v>1176</v>
      </c>
      <c r="X64" s="241" t="s">
        <v>1177</v>
      </c>
      <c r="Y64" s="265" t="s">
        <v>1302</v>
      </c>
      <c r="Z64" s="318" t="s">
        <v>610</v>
      </c>
      <c r="AA64" s="381">
        <v>127</v>
      </c>
      <c r="AB64" s="210">
        <f t="shared" si="0"/>
        <v>17</v>
      </c>
      <c r="AC64" s="143" t="s">
        <v>184</v>
      </c>
      <c r="AD64" s="77" t="s">
        <v>64</v>
      </c>
      <c r="AE64" s="128" t="s">
        <v>108</v>
      </c>
      <c r="AF64" s="77" t="s">
        <v>104</v>
      </c>
      <c r="AG64" s="77" t="s">
        <v>86</v>
      </c>
      <c r="AH64" s="77" t="s">
        <v>1192</v>
      </c>
      <c r="AI64" s="77" t="s">
        <v>1193</v>
      </c>
      <c r="AJ64" s="77" t="s">
        <v>1176</v>
      </c>
      <c r="AK64" s="77" t="s">
        <v>1177</v>
      </c>
      <c r="AL64" s="95" t="s">
        <v>1302</v>
      </c>
      <c r="AM64" s="144" t="s">
        <v>610</v>
      </c>
      <c r="AN64" s="144">
        <v>127</v>
      </c>
      <c r="AP64" s="210" t="str">
        <f t="shared" si="1"/>
        <v/>
      </c>
      <c r="AQ64" s="263"/>
      <c r="AR64" s="210" t="str">
        <f t="shared" si="2"/>
        <v/>
      </c>
      <c r="AS64" s="217"/>
      <c r="AT64" s="210" t="s">
        <v>503</v>
      </c>
      <c r="AU64" s="263"/>
      <c r="AV64" s="217"/>
      <c r="BB64" s="206" t="str">
        <f t="array" ref="BB64">_xlfn.IFS(AQ64="","",LEN(AQ64)-LEN(SUBSTITUTE(AQ64,".",""))=3,LEFT(AQ64,vitri(".",AQ64,3)-1),LEN(AQ64)-LEN(SUBSTITUTE(AQ64,".",""))=2,LEFT(AQ64,vitri(".",AQ64,2)-1),TRUE,LEFT(AQ64,vitri(".",AQ64,1)-1))</f>
        <v/>
      </c>
    </row>
    <row r="65" spans="2:54" ht="15.75" customHeight="1" x14ac:dyDescent="0.25">
      <c r="B65" s="108" t="s">
        <v>184</v>
      </c>
      <c r="C65" s="1" t="s">
        <v>64</v>
      </c>
      <c r="D65" s="159" t="s">
        <v>108</v>
      </c>
      <c r="E65" s="1" t="s">
        <v>104</v>
      </c>
      <c r="F65" s="1" t="s">
        <v>86</v>
      </c>
      <c r="G65" s="1" t="s">
        <v>1192</v>
      </c>
      <c r="H65" s="1" t="s">
        <v>1193</v>
      </c>
      <c r="I65" s="1" t="s">
        <v>1178</v>
      </c>
      <c r="J65" s="1" t="s">
        <v>1179</v>
      </c>
      <c r="K65" s="204" t="str">
        <f t="shared" si="3"/>
        <v>M_DUF_TAP_R2R_VFL_22</v>
      </c>
      <c r="L65" s="160" t="s">
        <v>615</v>
      </c>
      <c r="M65" s="379">
        <v>132</v>
      </c>
      <c r="P65" s="297" t="s">
        <v>184</v>
      </c>
      <c r="Q65" s="241" t="s">
        <v>64</v>
      </c>
      <c r="R65" s="317" t="s">
        <v>108</v>
      </c>
      <c r="S65" s="241" t="s">
        <v>104</v>
      </c>
      <c r="T65" s="241" t="s">
        <v>86</v>
      </c>
      <c r="U65" s="241" t="s">
        <v>1192</v>
      </c>
      <c r="V65" s="241" t="s">
        <v>1193</v>
      </c>
      <c r="W65" s="241" t="s">
        <v>1178</v>
      </c>
      <c r="X65" s="241" t="s">
        <v>1179</v>
      </c>
      <c r="Y65" s="265" t="s">
        <v>1303</v>
      </c>
      <c r="Z65" s="318" t="s">
        <v>615</v>
      </c>
      <c r="AA65" s="381">
        <v>132</v>
      </c>
      <c r="AB65" s="210">
        <f t="shared" si="0"/>
        <v>22</v>
      </c>
      <c r="AC65" s="143" t="s">
        <v>184</v>
      </c>
      <c r="AD65" s="77" t="s">
        <v>64</v>
      </c>
      <c r="AE65" s="128" t="s">
        <v>108</v>
      </c>
      <c r="AF65" s="77" t="s">
        <v>104</v>
      </c>
      <c r="AG65" s="77" t="s">
        <v>86</v>
      </c>
      <c r="AH65" s="77" t="s">
        <v>1192</v>
      </c>
      <c r="AI65" s="77" t="s">
        <v>1193</v>
      </c>
      <c r="AJ65" s="77" t="s">
        <v>1178</v>
      </c>
      <c r="AK65" s="77" t="s">
        <v>1179</v>
      </c>
      <c r="AL65" s="95" t="s">
        <v>1303</v>
      </c>
      <c r="AM65" s="144" t="s">
        <v>615</v>
      </c>
      <c r="AN65" s="144">
        <v>132</v>
      </c>
      <c r="AP65" s="210" t="str">
        <f t="shared" si="1"/>
        <v/>
      </c>
      <c r="AQ65" s="263"/>
      <c r="AR65" s="210" t="str">
        <f t="shared" si="2"/>
        <v/>
      </c>
      <c r="AS65" s="217"/>
      <c r="AT65" s="210" t="s">
        <v>503</v>
      </c>
      <c r="AU65" s="263"/>
      <c r="AV65" s="217"/>
      <c r="BB65" s="206" t="str">
        <f t="array" ref="BB65">_xlfn.IFS(AQ65="","",LEN(AQ65)-LEN(SUBSTITUTE(AQ65,".",""))=3,LEFT(AQ65,vitri(".",AQ65,3)-1),LEN(AQ65)-LEN(SUBSTITUTE(AQ65,".",""))=2,LEFT(AQ65,vitri(".",AQ65,2)-1),TRUE,LEFT(AQ65,vitri(".",AQ65,1)-1))</f>
        <v/>
      </c>
    </row>
    <row r="66" spans="2:54" ht="15.75" customHeight="1" x14ac:dyDescent="0.25">
      <c r="B66" s="108" t="s">
        <v>184</v>
      </c>
      <c r="C66" s="1" t="s">
        <v>64</v>
      </c>
      <c r="D66" s="159" t="s">
        <v>108</v>
      </c>
      <c r="E66" s="1" t="s">
        <v>104</v>
      </c>
      <c r="F66" s="1" t="s">
        <v>86</v>
      </c>
      <c r="G66" s="1" t="s">
        <v>19</v>
      </c>
      <c r="H66" s="1" t="s">
        <v>20</v>
      </c>
      <c r="I66" s="1" t="s">
        <v>1194</v>
      </c>
      <c r="J66" s="1" t="s">
        <v>716</v>
      </c>
      <c r="K66" s="204" t="str">
        <f t="shared" si="3"/>
        <v>M_DUF_TAP_REC_BEV_03</v>
      </c>
      <c r="L66" s="160" t="s">
        <v>255</v>
      </c>
      <c r="M66" s="379">
        <v>113</v>
      </c>
      <c r="P66" s="297" t="s">
        <v>184</v>
      </c>
      <c r="Q66" s="241" t="s">
        <v>64</v>
      </c>
      <c r="R66" s="317" t="s">
        <v>108</v>
      </c>
      <c r="S66" s="241" t="s">
        <v>104</v>
      </c>
      <c r="T66" s="241" t="s">
        <v>86</v>
      </c>
      <c r="U66" s="241" t="s">
        <v>19</v>
      </c>
      <c r="V66" s="241" t="s">
        <v>20</v>
      </c>
      <c r="W66" s="241" t="s">
        <v>1194</v>
      </c>
      <c r="X66" s="241" t="s">
        <v>716</v>
      </c>
      <c r="Y66" s="265" t="s">
        <v>1304</v>
      </c>
      <c r="Z66" s="318" t="s">
        <v>255</v>
      </c>
      <c r="AA66" s="381">
        <v>113</v>
      </c>
      <c r="AB66" s="210">
        <f t="shared" si="0"/>
        <v>3</v>
      </c>
      <c r="AC66" s="143" t="s">
        <v>184</v>
      </c>
      <c r="AD66" s="77" t="s">
        <v>64</v>
      </c>
      <c r="AE66" s="128" t="s">
        <v>108</v>
      </c>
      <c r="AF66" s="77" t="s">
        <v>104</v>
      </c>
      <c r="AG66" s="77" t="s">
        <v>86</v>
      </c>
      <c r="AH66" s="77" t="s">
        <v>19</v>
      </c>
      <c r="AI66" s="77" t="s">
        <v>20</v>
      </c>
      <c r="AJ66" s="77" t="s">
        <v>1194</v>
      </c>
      <c r="AK66" s="77" t="s">
        <v>716</v>
      </c>
      <c r="AL66" s="95" t="s">
        <v>1304</v>
      </c>
      <c r="AM66" s="144" t="s">
        <v>255</v>
      </c>
      <c r="AN66" s="144">
        <v>113</v>
      </c>
      <c r="AP66" s="210" t="str">
        <f t="shared" si="1"/>
        <v/>
      </c>
      <c r="AQ66" s="263"/>
      <c r="AR66" s="210" t="str">
        <f t="shared" si="2"/>
        <v/>
      </c>
      <c r="AS66" s="217"/>
      <c r="AT66" s="210" t="s">
        <v>503</v>
      </c>
      <c r="AU66" s="263"/>
      <c r="AV66" s="217"/>
      <c r="BB66" s="206" t="str">
        <f t="array" ref="BB66">_xlfn.IFS(AQ66="","",LEN(AQ66)-LEN(SUBSTITUTE(AQ66,".",""))=3,LEFT(AQ66,vitri(".",AQ66,3)-1),LEN(AQ66)-LEN(SUBSTITUTE(AQ66,".",""))=2,LEFT(AQ66,vitri(".",AQ66,2)-1),TRUE,LEFT(AQ66,vitri(".",AQ66,1)-1))</f>
        <v/>
      </c>
    </row>
    <row r="67" spans="2:54" ht="15.75" customHeight="1" x14ac:dyDescent="0.25">
      <c r="B67" s="108" t="s">
        <v>184</v>
      </c>
      <c r="C67" s="1" t="s">
        <v>64</v>
      </c>
      <c r="D67" s="159" t="s">
        <v>108</v>
      </c>
      <c r="E67" s="1" t="s">
        <v>151</v>
      </c>
      <c r="F67" s="1" t="s">
        <v>84</v>
      </c>
      <c r="G67" s="1" t="s">
        <v>19</v>
      </c>
      <c r="H67" s="1" t="s">
        <v>20</v>
      </c>
      <c r="I67" s="1" t="s">
        <v>5</v>
      </c>
      <c r="J67" s="1" t="s">
        <v>5</v>
      </c>
      <c r="K67" s="204" t="str">
        <f t="shared" si="3"/>
        <v>M_DUF_TEE_REC_04</v>
      </c>
      <c r="L67" s="160" t="s">
        <v>256</v>
      </c>
      <c r="M67" s="379">
        <v>114</v>
      </c>
      <c r="P67" s="297" t="s">
        <v>184</v>
      </c>
      <c r="Q67" s="241" t="s">
        <v>64</v>
      </c>
      <c r="R67" s="317" t="s">
        <v>108</v>
      </c>
      <c r="S67" s="241" t="s">
        <v>151</v>
      </c>
      <c r="T67" s="241" t="s">
        <v>84</v>
      </c>
      <c r="U67" s="241" t="s">
        <v>19</v>
      </c>
      <c r="V67" s="241" t="s">
        <v>20</v>
      </c>
      <c r="W67" s="241" t="s">
        <v>5</v>
      </c>
      <c r="X67" s="241" t="s">
        <v>5</v>
      </c>
      <c r="Y67" s="265" t="s">
        <v>1305</v>
      </c>
      <c r="Z67" s="318" t="s">
        <v>256</v>
      </c>
      <c r="AA67" s="381">
        <v>114</v>
      </c>
      <c r="AB67" s="210">
        <f t="shared" si="0"/>
        <v>4</v>
      </c>
      <c r="AC67" s="143" t="s">
        <v>184</v>
      </c>
      <c r="AD67" s="77" t="s">
        <v>64</v>
      </c>
      <c r="AE67" s="128" t="s">
        <v>108</v>
      </c>
      <c r="AF67" s="77" t="s">
        <v>151</v>
      </c>
      <c r="AG67" s="77" t="s">
        <v>84</v>
      </c>
      <c r="AH67" s="77" t="s">
        <v>19</v>
      </c>
      <c r="AI67" s="77" t="s">
        <v>20</v>
      </c>
      <c r="AJ67" s="77" t="s">
        <v>5</v>
      </c>
      <c r="AK67" s="77" t="s">
        <v>5</v>
      </c>
      <c r="AL67" s="95" t="s">
        <v>1305</v>
      </c>
      <c r="AM67" s="144" t="s">
        <v>256</v>
      </c>
      <c r="AN67" s="144">
        <v>114</v>
      </c>
      <c r="AP67" s="210" t="str">
        <f t="shared" si="1"/>
        <v/>
      </c>
      <c r="AQ67" s="263"/>
      <c r="AR67" s="210" t="str">
        <f t="shared" si="2"/>
        <v/>
      </c>
      <c r="AS67" s="217"/>
      <c r="AT67" s="210" t="s">
        <v>503</v>
      </c>
      <c r="AU67" s="263"/>
      <c r="AV67" s="217"/>
      <c r="BB67" s="206" t="str">
        <f t="array" ref="BB67">_xlfn.IFS(AQ67="","",LEN(AQ67)-LEN(SUBSTITUTE(AQ67,".",""))=3,LEFT(AQ67,vitri(".",AQ67,3)-1),LEN(AQ67)-LEN(SUBSTITUTE(AQ67,".",""))=2,LEFT(AQ67,vitri(".",AQ67,2)-1),TRUE,LEFT(AQ67,vitri(".",AQ67,1)-1))</f>
        <v/>
      </c>
    </row>
    <row r="68" spans="2:54" ht="15.75" customHeight="1" x14ac:dyDescent="0.25">
      <c r="B68" s="108" t="s">
        <v>184</v>
      </c>
      <c r="C68" s="1" t="s">
        <v>64</v>
      </c>
      <c r="D68" s="159" t="s">
        <v>108</v>
      </c>
      <c r="E68" s="1" t="s">
        <v>151</v>
      </c>
      <c r="F68" s="1" t="s">
        <v>84</v>
      </c>
      <c r="G68" s="1" t="s">
        <v>21</v>
      </c>
      <c r="H68" s="1" t="s">
        <v>1128</v>
      </c>
      <c r="I68" s="1" t="s">
        <v>5</v>
      </c>
      <c r="J68" s="1" t="s">
        <v>5</v>
      </c>
      <c r="K68" s="204" t="str">
        <f t="shared" si="3"/>
        <v>M_DUF_TEE_ROD_30</v>
      </c>
      <c r="L68" s="160" t="s">
        <v>1195</v>
      </c>
      <c r="M68" s="379">
        <v>140</v>
      </c>
      <c r="P68" s="297" t="s">
        <v>184</v>
      </c>
      <c r="Q68" s="241" t="s">
        <v>64</v>
      </c>
      <c r="R68" s="317" t="s">
        <v>108</v>
      </c>
      <c r="S68" s="241" t="s">
        <v>151</v>
      </c>
      <c r="T68" s="241" t="s">
        <v>84</v>
      </c>
      <c r="U68" s="241" t="s">
        <v>21</v>
      </c>
      <c r="V68" s="241" t="s">
        <v>1128</v>
      </c>
      <c r="W68" s="241" t="s">
        <v>5</v>
      </c>
      <c r="X68" s="241" t="s">
        <v>5</v>
      </c>
      <c r="Y68" s="265" t="s">
        <v>1306</v>
      </c>
      <c r="Z68" s="318" t="s">
        <v>1195</v>
      </c>
      <c r="AA68" s="381">
        <v>140</v>
      </c>
      <c r="AB68" s="210">
        <f t="shared" si="0"/>
        <v>30</v>
      </c>
      <c r="AC68" s="143" t="s">
        <v>184</v>
      </c>
      <c r="AD68" s="77" t="s">
        <v>64</v>
      </c>
      <c r="AE68" s="128" t="s">
        <v>108</v>
      </c>
      <c r="AF68" s="77" t="s">
        <v>151</v>
      </c>
      <c r="AG68" s="77" t="s">
        <v>84</v>
      </c>
      <c r="AH68" s="77" t="s">
        <v>21</v>
      </c>
      <c r="AI68" s="77" t="s">
        <v>1128</v>
      </c>
      <c r="AJ68" s="77" t="s">
        <v>5</v>
      </c>
      <c r="AK68" s="77" t="s">
        <v>5</v>
      </c>
      <c r="AL68" s="95" t="s">
        <v>1306</v>
      </c>
      <c r="AM68" s="144" t="s">
        <v>1195</v>
      </c>
      <c r="AN68" s="144">
        <v>140</v>
      </c>
      <c r="AP68" s="210" t="str">
        <f t="shared" si="1"/>
        <v/>
      </c>
      <c r="AQ68" s="263"/>
      <c r="AR68" s="210" t="str">
        <f t="shared" si="2"/>
        <v/>
      </c>
      <c r="AS68" s="217"/>
      <c r="AT68" s="210" t="s">
        <v>503</v>
      </c>
      <c r="AU68" s="263"/>
      <c r="AV68" s="217"/>
      <c r="BB68" s="206" t="str">
        <f t="array" ref="BB68">_xlfn.IFS(AQ68="","",LEN(AQ68)-LEN(SUBSTITUTE(AQ68,".",""))=3,LEFT(AQ68,vitri(".",AQ68,3)-1),LEN(AQ68)-LEN(SUBSTITUTE(AQ68,".",""))=2,LEFT(AQ68,vitri(".",AQ68,2)-1),TRUE,LEFT(AQ68,vitri(".",AQ68,1)-1))</f>
        <v/>
      </c>
    </row>
    <row r="69" spans="2:54" ht="15.75" customHeight="1" x14ac:dyDescent="0.25">
      <c r="B69" s="108" t="s">
        <v>184</v>
      </c>
      <c r="C69" s="1" t="s">
        <v>64</v>
      </c>
      <c r="D69" s="159" t="s">
        <v>108</v>
      </c>
      <c r="E69" s="1" t="s">
        <v>87</v>
      </c>
      <c r="F69" s="1" t="s">
        <v>88</v>
      </c>
      <c r="G69" s="1" t="s">
        <v>1189</v>
      </c>
      <c r="H69" s="1" t="s">
        <v>1190</v>
      </c>
      <c r="I69" s="1" t="s">
        <v>1172</v>
      </c>
      <c r="J69" s="1" t="s">
        <v>1173</v>
      </c>
      <c r="K69" s="204" t="str">
        <f t="shared" si="3"/>
        <v>M_DUF_TRA_R2O_CFL_13</v>
      </c>
      <c r="L69" s="160" t="s">
        <v>265</v>
      </c>
      <c r="M69" s="379">
        <v>123</v>
      </c>
      <c r="P69" s="297" t="s">
        <v>184</v>
      </c>
      <c r="Q69" s="241" t="s">
        <v>64</v>
      </c>
      <c r="R69" s="317" t="s">
        <v>108</v>
      </c>
      <c r="S69" s="241" t="s">
        <v>87</v>
      </c>
      <c r="T69" s="241" t="s">
        <v>88</v>
      </c>
      <c r="U69" s="241" t="s">
        <v>1189</v>
      </c>
      <c r="V69" s="241" t="s">
        <v>1190</v>
      </c>
      <c r="W69" s="241" t="s">
        <v>1172</v>
      </c>
      <c r="X69" s="241" t="s">
        <v>1173</v>
      </c>
      <c r="Y69" s="265" t="s">
        <v>1307</v>
      </c>
      <c r="Z69" s="318" t="s">
        <v>265</v>
      </c>
      <c r="AA69" s="381">
        <v>123</v>
      </c>
      <c r="AB69" s="210">
        <f t="shared" ref="AB69:AB132" si="4">IF(Z69="","",Z69*1)</f>
        <v>13</v>
      </c>
      <c r="AC69" s="143" t="s">
        <v>184</v>
      </c>
      <c r="AD69" s="77" t="s">
        <v>64</v>
      </c>
      <c r="AE69" s="128" t="s">
        <v>108</v>
      </c>
      <c r="AF69" s="77" t="s">
        <v>87</v>
      </c>
      <c r="AG69" s="77" t="s">
        <v>88</v>
      </c>
      <c r="AH69" s="77" t="s">
        <v>1189</v>
      </c>
      <c r="AI69" s="77" t="s">
        <v>1190</v>
      </c>
      <c r="AJ69" s="77" t="s">
        <v>1172</v>
      </c>
      <c r="AK69" s="77" t="s">
        <v>1173</v>
      </c>
      <c r="AL69" s="95" t="s">
        <v>1307</v>
      </c>
      <c r="AM69" s="144" t="s">
        <v>265</v>
      </c>
      <c r="AN69" s="144">
        <v>123</v>
      </c>
      <c r="AP69" s="210" t="str">
        <f t="shared" si="1"/>
        <v/>
      </c>
      <c r="AQ69" s="263"/>
      <c r="AR69" s="210" t="str">
        <f t="shared" si="2"/>
        <v/>
      </c>
      <c r="AS69" s="217"/>
      <c r="AT69" s="210" t="s">
        <v>503</v>
      </c>
      <c r="AU69" s="263"/>
      <c r="AV69" s="217"/>
      <c r="BB69" s="206" t="str">
        <f t="array" ref="BB69">_xlfn.IFS(AQ69="","",LEN(AQ69)-LEN(SUBSTITUTE(AQ69,".",""))=3,LEFT(AQ69,vitri(".",AQ69,3)-1),LEN(AQ69)-LEN(SUBSTITUTE(AQ69,".",""))=2,LEFT(AQ69,vitri(".",AQ69,2)-1),TRUE,LEFT(AQ69,vitri(".",AQ69,1)-1))</f>
        <v/>
      </c>
    </row>
    <row r="70" spans="2:54" ht="15.75" customHeight="1" x14ac:dyDescent="0.25">
      <c r="B70" s="108" t="s">
        <v>184</v>
      </c>
      <c r="C70" s="1" t="s">
        <v>64</v>
      </c>
      <c r="D70" s="159" t="s">
        <v>108</v>
      </c>
      <c r="E70" s="1" t="s">
        <v>87</v>
      </c>
      <c r="F70" s="1" t="s">
        <v>88</v>
      </c>
      <c r="G70" s="1" t="s">
        <v>1189</v>
      </c>
      <c r="H70" s="1" t="s">
        <v>1190</v>
      </c>
      <c r="I70" s="1" t="s">
        <v>1176</v>
      </c>
      <c r="J70" s="1" t="s">
        <v>1177</v>
      </c>
      <c r="K70" s="204" t="str">
        <f t="shared" si="3"/>
        <v>M_DUF_TRA_R2O_TDC_18</v>
      </c>
      <c r="L70" s="160" t="s">
        <v>611</v>
      </c>
      <c r="M70" s="379">
        <v>128</v>
      </c>
      <c r="P70" s="297" t="s">
        <v>184</v>
      </c>
      <c r="Q70" s="241" t="s">
        <v>64</v>
      </c>
      <c r="R70" s="317" t="s">
        <v>108</v>
      </c>
      <c r="S70" s="241" t="s">
        <v>87</v>
      </c>
      <c r="T70" s="241" t="s">
        <v>88</v>
      </c>
      <c r="U70" s="241" t="s">
        <v>1189</v>
      </c>
      <c r="V70" s="241" t="s">
        <v>1190</v>
      </c>
      <c r="W70" s="241" t="s">
        <v>1176</v>
      </c>
      <c r="X70" s="241" t="s">
        <v>1177</v>
      </c>
      <c r="Y70" s="265" t="s">
        <v>1308</v>
      </c>
      <c r="Z70" s="318" t="s">
        <v>611</v>
      </c>
      <c r="AA70" s="381">
        <v>128</v>
      </c>
      <c r="AB70" s="210">
        <f t="shared" si="4"/>
        <v>18</v>
      </c>
      <c r="AC70" s="143" t="s">
        <v>184</v>
      </c>
      <c r="AD70" s="77" t="s">
        <v>64</v>
      </c>
      <c r="AE70" s="128" t="s">
        <v>108</v>
      </c>
      <c r="AF70" s="77" t="s">
        <v>87</v>
      </c>
      <c r="AG70" s="77" t="s">
        <v>88</v>
      </c>
      <c r="AH70" s="77" t="s">
        <v>1189</v>
      </c>
      <c r="AI70" s="77" t="s">
        <v>1190</v>
      </c>
      <c r="AJ70" s="77" t="s">
        <v>1176</v>
      </c>
      <c r="AK70" s="77" t="s">
        <v>1177</v>
      </c>
      <c r="AL70" s="95" t="s">
        <v>1308</v>
      </c>
      <c r="AM70" s="144" t="s">
        <v>611</v>
      </c>
      <c r="AN70" s="144">
        <v>128</v>
      </c>
      <c r="AP70" s="210" t="str">
        <f t="shared" ref="AP70:AP133" si="5">IF(AQ70="","",AP69+1)</f>
        <v/>
      </c>
      <c r="AQ70" s="263"/>
      <c r="AR70" s="210" t="str">
        <f t="shared" ref="AR70:AR133" si="6">IF(AP70="","",AP70)</f>
        <v/>
      </c>
      <c r="AS70" s="217"/>
      <c r="AT70" s="210" t="s">
        <v>503</v>
      </c>
      <c r="AU70" s="263"/>
      <c r="AV70" s="217"/>
      <c r="BB70" s="206" t="str">
        <f t="array" ref="BB70">_xlfn.IFS(AQ70="","",LEN(AQ70)-LEN(SUBSTITUTE(AQ70,".",""))=3,LEFT(AQ70,vitri(".",AQ70,3)-1),LEN(AQ70)-LEN(SUBSTITUTE(AQ70,".",""))=2,LEFT(AQ70,vitri(".",AQ70,2)-1),TRUE,LEFT(AQ70,vitri(".",AQ70,1)-1))</f>
        <v/>
      </c>
    </row>
    <row r="71" spans="2:54" ht="15.75" customHeight="1" x14ac:dyDescent="0.25">
      <c r="B71" s="108" t="s">
        <v>184</v>
      </c>
      <c r="C71" s="1" t="s">
        <v>64</v>
      </c>
      <c r="D71" s="159" t="s">
        <v>108</v>
      </c>
      <c r="E71" s="1" t="s">
        <v>87</v>
      </c>
      <c r="F71" s="1" t="s">
        <v>88</v>
      </c>
      <c r="G71" s="1" t="s">
        <v>1189</v>
      </c>
      <c r="H71" s="1" t="s">
        <v>1190</v>
      </c>
      <c r="I71" s="1" t="s">
        <v>1178</v>
      </c>
      <c r="J71" s="1" t="s">
        <v>1179</v>
      </c>
      <c r="K71" s="204" t="str">
        <f t="shared" si="3"/>
        <v>M_DUF_TRA_R2O_VFL_23</v>
      </c>
      <c r="L71" s="160" t="s">
        <v>1167</v>
      </c>
      <c r="M71" s="379">
        <v>133</v>
      </c>
      <c r="P71" s="297" t="s">
        <v>184</v>
      </c>
      <c r="Q71" s="241" t="s">
        <v>64</v>
      </c>
      <c r="R71" s="317" t="s">
        <v>108</v>
      </c>
      <c r="S71" s="241" t="s">
        <v>87</v>
      </c>
      <c r="T71" s="241" t="s">
        <v>88</v>
      </c>
      <c r="U71" s="241" t="s">
        <v>1189</v>
      </c>
      <c r="V71" s="241" t="s">
        <v>1190</v>
      </c>
      <c r="W71" s="241" t="s">
        <v>1178</v>
      </c>
      <c r="X71" s="241" t="s">
        <v>1179</v>
      </c>
      <c r="Y71" s="265" t="s">
        <v>1309</v>
      </c>
      <c r="Z71" s="318" t="s">
        <v>1167</v>
      </c>
      <c r="AA71" s="381">
        <v>133</v>
      </c>
      <c r="AB71" s="210">
        <f t="shared" si="4"/>
        <v>23</v>
      </c>
      <c r="AC71" s="143" t="s">
        <v>184</v>
      </c>
      <c r="AD71" s="77" t="s">
        <v>64</v>
      </c>
      <c r="AE71" s="128" t="s">
        <v>108</v>
      </c>
      <c r="AF71" s="77" t="s">
        <v>87</v>
      </c>
      <c r="AG71" s="77" t="s">
        <v>88</v>
      </c>
      <c r="AH71" s="77" t="s">
        <v>1189</v>
      </c>
      <c r="AI71" s="77" t="s">
        <v>1190</v>
      </c>
      <c r="AJ71" s="77" t="s">
        <v>1178</v>
      </c>
      <c r="AK71" s="77" t="s">
        <v>1179</v>
      </c>
      <c r="AL71" s="95" t="s">
        <v>1309</v>
      </c>
      <c r="AM71" s="144" t="s">
        <v>1167</v>
      </c>
      <c r="AN71" s="144">
        <v>133</v>
      </c>
      <c r="AP71" s="210" t="str">
        <f t="shared" si="5"/>
        <v/>
      </c>
      <c r="AQ71" s="263"/>
      <c r="AR71" s="210" t="str">
        <f t="shared" si="6"/>
        <v/>
      </c>
      <c r="AS71" s="217"/>
      <c r="AT71" s="210" t="s">
        <v>503</v>
      </c>
      <c r="AU71" s="263"/>
      <c r="AV71" s="217"/>
      <c r="BB71" s="206" t="str">
        <f t="array" ref="BB71">_xlfn.IFS(AQ71="","",LEN(AQ71)-LEN(SUBSTITUTE(AQ71,".",""))=3,LEFT(AQ71,vitri(".",AQ71,3)-1),LEN(AQ71)-LEN(SUBSTITUTE(AQ71,".",""))=2,LEFT(AQ71,vitri(".",AQ71,2)-1),TRUE,LEFT(AQ71,vitri(".",AQ71,1)-1))</f>
        <v/>
      </c>
    </row>
    <row r="72" spans="2:54" x14ac:dyDescent="0.25">
      <c r="B72" s="108" t="s">
        <v>184</v>
      </c>
      <c r="C72" s="1" t="s">
        <v>64</v>
      </c>
      <c r="D72" s="159" t="s">
        <v>108</v>
      </c>
      <c r="E72" s="1" t="s">
        <v>87</v>
      </c>
      <c r="F72" s="1" t="s">
        <v>88</v>
      </c>
      <c r="G72" s="1" t="s">
        <v>1192</v>
      </c>
      <c r="H72" s="1" t="s">
        <v>1193</v>
      </c>
      <c r="I72" s="1" t="s">
        <v>1172</v>
      </c>
      <c r="J72" s="1" t="s">
        <v>1173</v>
      </c>
      <c r="K72" s="204" t="str">
        <f t="shared" si="3"/>
        <v>M_DUF_TRA_R2R_CFL_11</v>
      </c>
      <c r="L72" s="160" t="s">
        <v>263</v>
      </c>
      <c r="M72" s="379">
        <v>121</v>
      </c>
      <c r="P72" s="297" t="s">
        <v>184</v>
      </c>
      <c r="Q72" s="241" t="s">
        <v>64</v>
      </c>
      <c r="R72" s="317" t="s">
        <v>108</v>
      </c>
      <c r="S72" s="241" t="s">
        <v>87</v>
      </c>
      <c r="T72" s="241" t="s">
        <v>88</v>
      </c>
      <c r="U72" s="241" t="s">
        <v>1192</v>
      </c>
      <c r="V72" s="241" t="s">
        <v>1193</v>
      </c>
      <c r="W72" s="241" t="s">
        <v>1172</v>
      </c>
      <c r="X72" s="241" t="s">
        <v>1173</v>
      </c>
      <c r="Y72" s="265" t="s">
        <v>1310</v>
      </c>
      <c r="Z72" s="318" t="s">
        <v>263</v>
      </c>
      <c r="AA72" s="381">
        <v>121</v>
      </c>
      <c r="AB72" s="210">
        <f t="shared" si="4"/>
        <v>11</v>
      </c>
      <c r="AC72" s="143" t="s">
        <v>184</v>
      </c>
      <c r="AD72" s="77" t="s">
        <v>64</v>
      </c>
      <c r="AE72" s="128" t="s">
        <v>108</v>
      </c>
      <c r="AF72" s="77" t="s">
        <v>87</v>
      </c>
      <c r="AG72" s="77" t="s">
        <v>88</v>
      </c>
      <c r="AH72" s="77" t="s">
        <v>1192</v>
      </c>
      <c r="AI72" s="77" t="s">
        <v>1193</v>
      </c>
      <c r="AJ72" s="77" t="s">
        <v>1172</v>
      </c>
      <c r="AK72" s="77" t="s">
        <v>1173</v>
      </c>
      <c r="AL72" s="95" t="s">
        <v>1310</v>
      </c>
      <c r="AM72" s="144" t="s">
        <v>263</v>
      </c>
      <c r="AN72" s="144">
        <v>121</v>
      </c>
      <c r="AP72" s="210" t="str">
        <f t="shared" si="5"/>
        <v/>
      </c>
      <c r="AQ72" s="263"/>
      <c r="AR72" s="210" t="str">
        <f t="shared" si="6"/>
        <v/>
      </c>
      <c r="AS72" s="217"/>
      <c r="AT72" s="210" t="s">
        <v>503</v>
      </c>
      <c r="AU72" s="263"/>
      <c r="AV72" s="217"/>
      <c r="BB72" s="206" t="str">
        <f t="array" ref="BB72">_xlfn.IFS(AQ72="","",LEN(AQ72)-LEN(SUBSTITUTE(AQ72,".",""))=3,LEFT(AQ72,vitri(".",AQ72,3)-1),LEN(AQ72)-LEN(SUBSTITUTE(AQ72,".",""))=2,LEFT(AQ72,vitri(".",AQ72,2)-1),TRUE,LEFT(AQ72,vitri(".",AQ72,1)-1))</f>
        <v/>
      </c>
    </row>
    <row r="73" spans="2:54" x14ac:dyDescent="0.25">
      <c r="B73" s="108" t="s">
        <v>184</v>
      </c>
      <c r="C73" s="1" t="s">
        <v>64</v>
      </c>
      <c r="D73" s="159" t="s">
        <v>108</v>
      </c>
      <c r="E73" s="1" t="s">
        <v>87</v>
      </c>
      <c r="F73" s="1" t="s">
        <v>88</v>
      </c>
      <c r="G73" s="1" t="s">
        <v>1192</v>
      </c>
      <c r="H73" s="1" t="s">
        <v>1193</v>
      </c>
      <c r="I73" s="1" t="s">
        <v>1176</v>
      </c>
      <c r="J73" s="1" t="s">
        <v>1177</v>
      </c>
      <c r="K73" s="204" t="str">
        <f t="shared" ref="K73:K111" si="7">IF(OR(J73="-",J73=""),IF(OR(H73="-",H73=""),CONCATENATE("M","_",D73,"_",F73,"_",TEXT(L73,"00")),CONCATENATE("M","_",D73,"_",F73,"_",H73,"_",TEXT(L73,"00"))),CONCATENATE("M","_",D73,"_",F73,"_",H73,"_",J73,"_",TEXT(L73,"00")))</f>
        <v>M_DUF_TRA_R2R_TDC_19</v>
      </c>
      <c r="L73" s="160" t="s">
        <v>612</v>
      </c>
      <c r="M73" s="379">
        <v>129</v>
      </c>
      <c r="P73" s="297" t="s">
        <v>184</v>
      </c>
      <c r="Q73" s="241" t="s">
        <v>64</v>
      </c>
      <c r="R73" s="317" t="s">
        <v>108</v>
      </c>
      <c r="S73" s="241" t="s">
        <v>87</v>
      </c>
      <c r="T73" s="241" t="s">
        <v>88</v>
      </c>
      <c r="U73" s="241" t="s">
        <v>1192</v>
      </c>
      <c r="V73" s="241" t="s">
        <v>1193</v>
      </c>
      <c r="W73" s="241" t="s">
        <v>1176</v>
      </c>
      <c r="X73" s="241" t="s">
        <v>1177</v>
      </c>
      <c r="Y73" s="265" t="s">
        <v>1311</v>
      </c>
      <c r="Z73" s="318" t="s">
        <v>612</v>
      </c>
      <c r="AA73" s="381">
        <v>129</v>
      </c>
      <c r="AB73" s="210">
        <f t="shared" si="4"/>
        <v>19</v>
      </c>
      <c r="AC73" s="143" t="s">
        <v>184</v>
      </c>
      <c r="AD73" s="77" t="s">
        <v>64</v>
      </c>
      <c r="AE73" s="128" t="s">
        <v>108</v>
      </c>
      <c r="AF73" s="77" t="s">
        <v>87</v>
      </c>
      <c r="AG73" s="77" t="s">
        <v>88</v>
      </c>
      <c r="AH73" s="77" t="s">
        <v>1192</v>
      </c>
      <c r="AI73" s="77" t="s">
        <v>1193</v>
      </c>
      <c r="AJ73" s="77" t="s">
        <v>1176</v>
      </c>
      <c r="AK73" s="77" t="s">
        <v>1177</v>
      </c>
      <c r="AL73" s="95" t="s">
        <v>1311</v>
      </c>
      <c r="AM73" s="144" t="s">
        <v>612</v>
      </c>
      <c r="AN73" s="144">
        <v>129</v>
      </c>
      <c r="AP73" s="210" t="str">
        <f t="shared" si="5"/>
        <v/>
      </c>
      <c r="AQ73" s="263"/>
      <c r="AR73" s="210" t="str">
        <f t="shared" si="6"/>
        <v/>
      </c>
      <c r="AS73" s="217"/>
      <c r="AT73" s="210" t="s">
        <v>503</v>
      </c>
      <c r="AU73" s="263"/>
      <c r="AV73" s="217"/>
      <c r="BB73" s="206" t="str">
        <f t="array" ref="BB73">_xlfn.IFS(AQ73="","",LEN(AQ73)-LEN(SUBSTITUTE(AQ73,".",""))=3,LEFT(AQ73,vitri(".",AQ73,3)-1),LEN(AQ73)-LEN(SUBSTITUTE(AQ73,".",""))=2,LEFT(AQ73,vitri(".",AQ73,2)-1),TRUE,LEFT(AQ73,vitri(".",AQ73,1)-1))</f>
        <v/>
      </c>
    </row>
    <row r="74" spans="2:54" x14ac:dyDescent="0.25">
      <c r="B74" s="108" t="s">
        <v>184</v>
      </c>
      <c r="C74" s="1" t="s">
        <v>64</v>
      </c>
      <c r="D74" s="159" t="s">
        <v>108</v>
      </c>
      <c r="E74" s="1" t="s">
        <v>87</v>
      </c>
      <c r="F74" s="1" t="s">
        <v>88</v>
      </c>
      <c r="G74" s="1" t="s">
        <v>1192</v>
      </c>
      <c r="H74" s="1" t="s">
        <v>1193</v>
      </c>
      <c r="I74" s="1" t="s">
        <v>1178</v>
      </c>
      <c r="J74" s="1" t="s">
        <v>1179</v>
      </c>
      <c r="K74" s="204" t="str">
        <f t="shared" si="7"/>
        <v>M_DUF_TRA_R2R_VFL_24</v>
      </c>
      <c r="L74" s="160" t="s">
        <v>1170</v>
      </c>
      <c r="M74" s="379">
        <v>134</v>
      </c>
      <c r="P74" s="297" t="s">
        <v>184</v>
      </c>
      <c r="Q74" s="241" t="s">
        <v>64</v>
      </c>
      <c r="R74" s="317" t="s">
        <v>108</v>
      </c>
      <c r="S74" s="241" t="s">
        <v>87</v>
      </c>
      <c r="T74" s="241" t="s">
        <v>88</v>
      </c>
      <c r="U74" s="241" t="s">
        <v>1192</v>
      </c>
      <c r="V74" s="241" t="s">
        <v>1193</v>
      </c>
      <c r="W74" s="241" t="s">
        <v>1178</v>
      </c>
      <c r="X74" s="241" t="s">
        <v>1179</v>
      </c>
      <c r="Y74" s="265" t="s">
        <v>1312</v>
      </c>
      <c r="Z74" s="318" t="s">
        <v>1170</v>
      </c>
      <c r="AA74" s="381">
        <v>134</v>
      </c>
      <c r="AB74" s="210">
        <f t="shared" si="4"/>
        <v>24</v>
      </c>
      <c r="AC74" s="143" t="s">
        <v>184</v>
      </c>
      <c r="AD74" s="77" t="s">
        <v>64</v>
      </c>
      <c r="AE74" s="128" t="s">
        <v>108</v>
      </c>
      <c r="AF74" s="77" t="s">
        <v>87</v>
      </c>
      <c r="AG74" s="77" t="s">
        <v>88</v>
      </c>
      <c r="AH74" s="77" t="s">
        <v>1192</v>
      </c>
      <c r="AI74" s="77" t="s">
        <v>1193</v>
      </c>
      <c r="AJ74" s="77" t="s">
        <v>1178</v>
      </c>
      <c r="AK74" s="77" t="s">
        <v>1179</v>
      </c>
      <c r="AL74" s="95" t="s">
        <v>1312</v>
      </c>
      <c r="AM74" s="144" t="s">
        <v>1170</v>
      </c>
      <c r="AN74" s="144">
        <v>134</v>
      </c>
      <c r="AP74" s="210" t="str">
        <f t="shared" si="5"/>
        <v/>
      </c>
      <c r="AQ74" s="263"/>
      <c r="AR74" s="210" t="str">
        <f t="shared" si="6"/>
        <v/>
      </c>
      <c r="AS74" s="217"/>
      <c r="AT74" s="210" t="s">
        <v>503</v>
      </c>
      <c r="AU74" s="263"/>
      <c r="AV74" s="217"/>
      <c r="BB74" s="206" t="str">
        <f t="array" ref="BB74">_xlfn.IFS(AQ74="","",LEN(AQ74)-LEN(SUBSTITUTE(AQ74,".",""))=3,LEFT(AQ74,vitri(".",AQ74,3)-1),LEN(AQ74)-LEN(SUBSTITUTE(AQ74,".",""))=2,LEFT(AQ74,vitri(".",AQ74,2)-1),TRUE,LEFT(AQ74,vitri(".",AQ74,1)-1))</f>
        <v/>
      </c>
    </row>
    <row r="75" spans="2:54" x14ac:dyDescent="0.25">
      <c r="B75" s="108" t="s">
        <v>184</v>
      </c>
      <c r="C75" s="1" t="s">
        <v>64</v>
      </c>
      <c r="D75" s="159" t="s">
        <v>108</v>
      </c>
      <c r="E75" s="1" t="s">
        <v>87</v>
      </c>
      <c r="F75" s="1" t="s">
        <v>88</v>
      </c>
      <c r="G75" s="1" t="s">
        <v>19</v>
      </c>
      <c r="H75" s="1" t="s">
        <v>20</v>
      </c>
      <c r="I75" s="1" t="s">
        <v>19</v>
      </c>
      <c r="J75" s="1" t="s">
        <v>20</v>
      </c>
      <c r="K75" s="204" t="str">
        <f t="shared" si="7"/>
        <v>M_DUF_TRA_REC_REC_05</v>
      </c>
      <c r="L75" s="160" t="s">
        <v>257</v>
      </c>
      <c r="M75" s="379">
        <v>115</v>
      </c>
      <c r="P75" s="297" t="s">
        <v>184</v>
      </c>
      <c r="Q75" s="241" t="s">
        <v>64</v>
      </c>
      <c r="R75" s="317" t="s">
        <v>108</v>
      </c>
      <c r="S75" s="241" t="s">
        <v>87</v>
      </c>
      <c r="T75" s="241" t="s">
        <v>88</v>
      </c>
      <c r="U75" s="241" t="s">
        <v>19</v>
      </c>
      <c r="V75" s="241" t="s">
        <v>20</v>
      </c>
      <c r="W75" s="241" t="s">
        <v>19</v>
      </c>
      <c r="X75" s="241" t="s">
        <v>20</v>
      </c>
      <c r="Y75" s="265" t="s">
        <v>1313</v>
      </c>
      <c r="Z75" s="318" t="s">
        <v>257</v>
      </c>
      <c r="AA75" s="381">
        <v>115</v>
      </c>
      <c r="AB75" s="210">
        <f t="shared" si="4"/>
        <v>5</v>
      </c>
      <c r="AC75" s="143" t="s">
        <v>184</v>
      </c>
      <c r="AD75" s="77" t="s">
        <v>64</v>
      </c>
      <c r="AE75" s="128" t="s">
        <v>108</v>
      </c>
      <c r="AF75" s="77" t="s">
        <v>87</v>
      </c>
      <c r="AG75" s="77" t="s">
        <v>88</v>
      </c>
      <c r="AH75" s="77" t="s">
        <v>19</v>
      </c>
      <c r="AI75" s="77" t="s">
        <v>20</v>
      </c>
      <c r="AJ75" s="77" t="s">
        <v>19</v>
      </c>
      <c r="AK75" s="77" t="s">
        <v>20</v>
      </c>
      <c r="AL75" s="95" t="s">
        <v>1313</v>
      </c>
      <c r="AM75" s="144" t="s">
        <v>257</v>
      </c>
      <c r="AN75" s="144">
        <v>115</v>
      </c>
      <c r="AP75" s="210" t="str">
        <f t="shared" si="5"/>
        <v/>
      </c>
      <c r="AQ75" s="263"/>
      <c r="AR75" s="210" t="str">
        <f t="shared" si="6"/>
        <v/>
      </c>
      <c r="AS75" s="217"/>
      <c r="AT75" s="210" t="s">
        <v>503</v>
      </c>
      <c r="AU75" s="263"/>
      <c r="AV75" s="217"/>
      <c r="BB75" s="206" t="str">
        <f t="array" ref="BB75">_xlfn.IFS(AQ75="","",LEN(AQ75)-LEN(SUBSTITUTE(AQ75,".",""))=3,LEFT(AQ75,vitri(".",AQ75,3)-1),LEN(AQ75)-LEN(SUBSTITUTE(AQ75,".",""))=2,LEFT(AQ75,vitri(".",AQ75,2)-1),TRUE,LEFT(AQ75,vitri(".",AQ75,1)-1))</f>
        <v/>
      </c>
    </row>
    <row r="76" spans="2:54" x14ac:dyDescent="0.25">
      <c r="B76" s="108" t="s">
        <v>184</v>
      </c>
      <c r="C76" s="1" t="s">
        <v>64</v>
      </c>
      <c r="D76" s="159" t="s">
        <v>108</v>
      </c>
      <c r="E76" s="1" t="s">
        <v>87</v>
      </c>
      <c r="F76" s="1" t="s">
        <v>88</v>
      </c>
      <c r="G76" s="1" t="s">
        <v>21</v>
      </c>
      <c r="H76" s="1" t="s">
        <v>1128</v>
      </c>
      <c r="I76" s="1" t="s">
        <v>1196</v>
      </c>
      <c r="J76" s="1" t="s">
        <v>1197</v>
      </c>
      <c r="K76" s="204" t="str">
        <f t="shared" si="7"/>
        <v>M_DUF_TRA_ROD_LEG_31</v>
      </c>
      <c r="L76" s="160" t="s">
        <v>1191</v>
      </c>
      <c r="M76" s="379">
        <v>141</v>
      </c>
      <c r="P76" s="297" t="s">
        <v>184</v>
      </c>
      <c r="Q76" s="241" t="s">
        <v>64</v>
      </c>
      <c r="R76" s="317" t="s">
        <v>108</v>
      </c>
      <c r="S76" s="241" t="s">
        <v>87</v>
      </c>
      <c r="T76" s="241" t="s">
        <v>88</v>
      </c>
      <c r="U76" s="241" t="s">
        <v>21</v>
      </c>
      <c r="V76" s="241" t="s">
        <v>1128</v>
      </c>
      <c r="W76" s="241" t="s">
        <v>1196</v>
      </c>
      <c r="X76" s="241" t="s">
        <v>1197</v>
      </c>
      <c r="Y76" s="265" t="s">
        <v>1314</v>
      </c>
      <c r="Z76" s="318" t="s">
        <v>1191</v>
      </c>
      <c r="AA76" s="381">
        <v>141</v>
      </c>
      <c r="AB76" s="210">
        <f t="shared" si="4"/>
        <v>31</v>
      </c>
      <c r="AC76" s="143" t="s">
        <v>184</v>
      </c>
      <c r="AD76" s="77" t="s">
        <v>64</v>
      </c>
      <c r="AE76" s="128" t="s">
        <v>108</v>
      </c>
      <c r="AF76" s="77" t="s">
        <v>87</v>
      </c>
      <c r="AG76" s="77" t="s">
        <v>88</v>
      </c>
      <c r="AH76" s="77" t="s">
        <v>21</v>
      </c>
      <c r="AI76" s="77" t="s">
        <v>1128</v>
      </c>
      <c r="AJ76" s="77" t="s">
        <v>1196</v>
      </c>
      <c r="AK76" s="77" t="s">
        <v>1197</v>
      </c>
      <c r="AL76" s="95" t="s">
        <v>1314</v>
      </c>
      <c r="AM76" s="144" t="s">
        <v>1191</v>
      </c>
      <c r="AN76" s="144">
        <v>141</v>
      </c>
      <c r="AP76" s="210" t="str">
        <f t="shared" si="5"/>
        <v/>
      </c>
      <c r="AQ76" s="263"/>
      <c r="AR76" s="210" t="str">
        <f t="shared" si="6"/>
        <v/>
      </c>
      <c r="AS76" s="217"/>
      <c r="AT76" s="210" t="s">
        <v>503</v>
      </c>
      <c r="AU76" s="263"/>
      <c r="AV76" s="217"/>
      <c r="BB76" s="206" t="str">
        <f t="array" ref="BB76">_xlfn.IFS(AQ76="","",LEN(AQ76)-LEN(SUBSTITUTE(AQ76,".",""))=3,LEFT(AQ76,vitri(".",AQ76,3)-1),LEN(AQ76)-LEN(SUBSTITUTE(AQ76,".",""))=2,LEFT(AQ76,vitri(".",AQ76,2)-1),TRUE,LEFT(AQ76,vitri(".",AQ76,1)-1))</f>
        <v/>
      </c>
    </row>
    <row r="77" spans="2:54" x14ac:dyDescent="0.25">
      <c r="B77" s="108" t="s">
        <v>184</v>
      </c>
      <c r="C77" s="1" t="s">
        <v>64</v>
      </c>
      <c r="D77" s="159" t="s">
        <v>108</v>
      </c>
      <c r="E77" s="1" t="s">
        <v>82</v>
      </c>
      <c r="F77" s="1" t="s">
        <v>85</v>
      </c>
      <c r="G77" s="1" t="s">
        <v>19</v>
      </c>
      <c r="H77" s="1" t="s">
        <v>20</v>
      </c>
      <c r="I77" s="1" t="s">
        <v>5</v>
      </c>
      <c r="J77" s="1" t="s">
        <v>5</v>
      </c>
      <c r="K77" s="204" t="str">
        <f t="shared" si="7"/>
        <v>M_DUF_UNI_REC_06</v>
      </c>
      <c r="L77" s="160" t="s">
        <v>258</v>
      </c>
      <c r="M77" s="379">
        <v>116</v>
      </c>
      <c r="P77" s="297" t="s">
        <v>184</v>
      </c>
      <c r="Q77" s="241" t="s">
        <v>64</v>
      </c>
      <c r="R77" s="317" t="s">
        <v>108</v>
      </c>
      <c r="S77" s="241" t="s">
        <v>82</v>
      </c>
      <c r="T77" s="241" t="s">
        <v>85</v>
      </c>
      <c r="U77" s="241" t="s">
        <v>19</v>
      </c>
      <c r="V77" s="241" t="s">
        <v>20</v>
      </c>
      <c r="W77" s="241" t="s">
        <v>5</v>
      </c>
      <c r="X77" s="241" t="s">
        <v>5</v>
      </c>
      <c r="Y77" s="265" t="s">
        <v>1315</v>
      </c>
      <c r="Z77" s="318" t="s">
        <v>258</v>
      </c>
      <c r="AA77" s="381">
        <v>116</v>
      </c>
      <c r="AB77" s="210">
        <f t="shared" si="4"/>
        <v>6</v>
      </c>
      <c r="AC77" s="143" t="s">
        <v>184</v>
      </c>
      <c r="AD77" s="77" t="s">
        <v>64</v>
      </c>
      <c r="AE77" s="128" t="s">
        <v>108</v>
      </c>
      <c r="AF77" s="77" t="s">
        <v>82</v>
      </c>
      <c r="AG77" s="77" t="s">
        <v>85</v>
      </c>
      <c r="AH77" s="77" t="s">
        <v>19</v>
      </c>
      <c r="AI77" s="77" t="s">
        <v>20</v>
      </c>
      <c r="AJ77" s="77" t="s">
        <v>5</v>
      </c>
      <c r="AK77" s="77" t="s">
        <v>5</v>
      </c>
      <c r="AL77" s="95" t="s">
        <v>1315</v>
      </c>
      <c r="AM77" s="144" t="s">
        <v>258</v>
      </c>
      <c r="AN77" s="144">
        <v>116</v>
      </c>
      <c r="AP77" s="210" t="str">
        <f t="shared" si="5"/>
        <v/>
      </c>
      <c r="AQ77" s="263"/>
      <c r="AR77" s="210" t="str">
        <f t="shared" si="6"/>
        <v/>
      </c>
      <c r="AS77" s="217"/>
      <c r="AT77" s="210" t="s">
        <v>503</v>
      </c>
      <c r="AU77" s="263"/>
      <c r="AV77" s="217"/>
      <c r="BB77" s="206" t="str">
        <f t="array" ref="BB77">_xlfn.IFS(AQ77="","",LEN(AQ77)-LEN(SUBSTITUTE(AQ77,".",""))=3,LEFT(AQ77,vitri(".",AQ77,3)-1),LEN(AQ77)-LEN(SUBSTITUTE(AQ77,".",""))=2,LEFT(AQ77,vitri(".",AQ77,2)-1),TRUE,LEFT(AQ77,vitri(".",AQ77,1)-1))</f>
        <v/>
      </c>
    </row>
    <row r="78" spans="2:54" x14ac:dyDescent="0.25">
      <c r="B78" s="108" t="s">
        <v>184</v>
      </c>
      <c r="C78" s="1" t="s">
        <v>64</v>
      </c>
      <c r="D78" s="159" t="s">
        <v>108</v>
      </c>
      <c r="E78" s="1" t="s">
        <v>82</v>
      </c>
      <c r="F78" s="1" t="s">
        <v>85</v>
      </c>
      <c r="G78" s="1" t="s">
        <v>19</v>
      </c>
      <c r="H78" s="1" t="s">
        <v>20</v>
      </c>
      <c r="I78" s="1" t="s">
        <v>1172</v>
      </c>
      <c r="J78" s="1" t="s">
        <v>1173</v>
      </c>
      <c r="K78" s="204" t="str">
        <f t="shared" si="7"/>
        <v>M_DUF_UNI_REC_CFL_15</v>
      </c>
      <c r="L78" s="160" t="s">
        <v>267</v>
      </c>
      <c r="M78" s="379">
        <v>125</v>
      </c>
      <c r="P78" s="297" t="s">
        <v>184</v>
      </c>
      <c r="Q78" s="241" t="s">
        <v>64</v>
      </c>
      <c r="R78" s="317" t="s">
        <v>108</v>
      </c>
      <c r="S78" s="241" t="s">
        <v>82</v>
      </c>
      <c r="T78" s="241" t="s">
        <v>85</v>
      </c>
      <c r="U78" s="241" t="s">
        <v>19</v>
      </c>
      <c r="V78" s="241" t="s">
        <v>20</v>
      </c>
      <c r="W78" s="241" t="s">
        <v>1172</v>
      </c>
      <c r="X78" s="241" t="s">
        <v>1173</v>
      </c>
      <c r="Y78" s="265" t="s">
        <v>1316</v>
      </c>
      <c r="Z78" s="318" t="s">
        <v>267</v>
      </c>
      <c r="AA78" s="381">
        <v>125</v>
      </c>
      <c r="AB78" s="210">
        <f t="shared" si="4"/>
        <v>15</v>
      </c>
      <c r="AC78" s="143" t="s">
        <v>184</v>
      </c>
      <c r="AD78" s="77" t="s">
        <v>64</v>
      </c>
      <c r="AE78" s="128" t="s">
        <v>108</v>
      </c>
      <c r="AF78" s="77" t="s">
        <v>82</v>
      </c>
      <c r="AG78" s="77" t="s">
        <v>85</v>
      </c>
      <c r="AH78" s="77" t="s">
        <v>19</v>
      </c>
      <c r="AI78" s="77" t="s">
        <v>20</v>
      </c>
      <c r="AJ78" s="77" t="s">
        <v>1172</v>
      </c>
      <c r="AK78" s="77" t="s">
        <v>1173</v>
      </c>
      <c r="AL78" s="95" t="s">
        <v>1316</v>
      </c>
      <c r="AM78" s="144" t="s">
        <v>267</v>
      </c>
      <c r="AN78" s="144">
        <v>125</v>
      </c>
      <c r="AP78" s="210" t="str">
        <f t="shared" si="5"/>
        <v/>
      </c>
      <c r="AQ78" s="263"/>
      <c r="AR78" s="210" t="str">
        <f t="shared" si="6"/>
        <v/>
      </c>
      <c r="AS78" s="217"/>
      <c r="AT78" s="210" t="s">
        <v>503</v>
      </c>
      <c r="AU78" s="263"/>
      <c r="AV78" s="217"/>
      <c r="BB78" s="206" t="str">
        <f t="array" ref="BB78">_xlfn.IFS(AQ78="","",LEN(AQ78)-LEN(SUBSTITUTE(AQ78,".",""))=3,LEFT(AQ78,vitri(".",AQ78,3)-1),LEN(AQ78)-LEN(SUBSTITUTE(AQ78,".",""))=2,LEFT(AQ78,vitri(".",AQ78,2)-1),TRUE,LEFT(AQ78,vitri(".",AQ78,1)-1))</f>
        <v/>
      </c>
    </row>
    <row r="79" spans="2:54" x14ac:dyDescent="0.25">
      <c r="B79" s="108" t="s">
        <v>184</v>
      </c>
      <c r="C79" s="1" t="s">
        <v>64</v>
      </c>
      <c r="D79" s="159" t="s">
        <v>108</v>
      </c>
      <c r="E79" s="1" t="s">
        <v>82</v>
      </c>
      <c r="F79" s="1" t="s">
        <v>85</v>
      </c>
      <c r="G79" s="1" t="s">
        <v>19</v>
      </c>
      <c r="H79" s="1" t="s">
        <v>20</v>
      </c>
      <c r="I79" s="1" t="s">
        <v>1198</v>
      </c>
      <c r="J79" s="1" t="s">
        <v>1199</v>
      </c>
      <c r="K79" s="204" t="str">
        <f t="shared" si="7"/>
        <v>M_DUF_UNI_REC_NFM_14</v>
      </c>
      <c r="L79" s="160" t="s">
        <v>266</v>
      </c>
      <c r="M79" s="379">
        <v>124</v>
      </c>
      <c r="P79" s="297" t="s">
        <v>184</v>
      </c>
      <c r="Q79" s="241" t="s">
        <v>64</v>
      </c>
      <c r="R79" s="317" t="s">
        <v>108</v>
      </c>
      <c r="S79" s="241" t="s">
        <v>82</v>
      </c>
      <c r="T79" s="241" t="s">
        <v>85</v>
      </c>
      <c r="U79" s="241" t="s">
        <v>19</v>
      </c>
      <c r="V79" s="241" t="s">
        <v>20</v>
      </c>
      <c r="W79" s="241" t="s">
        <v>1198</v>
      </c>
      <c r="X79" s="241" t="s">
        <v>1199</v>
      </c>
      <c r="Y79" s="265" t="s">
        <v>1317</v>
      </c>
      <c r="Z79" s="318" t="s">
        <v>266</v>
      </c>
      <c r="AA79" s="381">
        <v>124</v>
      </c>
      <c r="AB79" s="210">
        <f t="shared" si="4"/>
        <v>14</v>
      </c>
      <c r="AC79" s="143" t="s">
        <v>184</v>
      </c>
      <c r="AD79" s="77" t="s">
        <v>64</v>
      </c>
      <c r="AE79" s="128" t="s">
        <v>108</v>
      </c>
      <c r="AF79" s="77" t="s">
        <v>82</v>
      </c>
      <c r="AG79" s="77" t="s">
        <v>85</v>
      </c>
      <c r="AH79" s="77" t="s">
        <v>19</v>
      </c>
      <c r="AI79" s="77" t="s">
        <v>20</v>
      </c>
      <c r="AJ79" s="77" t="s">
        <v>1198</v>
      </c>
      <c r="AK79" s="77" t="s">
        <v>1199</v>
      </c>
      <c r="AL79" s="95" t="s">
        <v>1317</v>
      </c>
      <c r="AM79" s="144" t="s">
        <v>266</v>
      </c>
      <c r="AN79" s="144">
        <v>124</v>
      </c>
      <c r="AP79" s="210" t="str">
        <f t="shared" si="5"/>
        <v/>
      </c>
      <c r="AQ79" s="263"/>
      <c r="AR79" s="210" t="str">
        <f t="shared" si="6"/>
        <v/>
      </c>
      <c r="AS79" s="217"/>
      <c r="AT79" s="210" t="s">
        <v>503</v>
      </c>
      <c r="AU79" s="263"/>
      <c r="AV79" s="217"/>
      <c r="BB79" s="206" t="str">
        <f t="array" ref="BB79">_xlfn.IFS(AQ79="","",LEN(AQ79)-LEN(SUBSTITUTE(AQ79,".",""))=3,LEFT(AQ79,vitri(".",AQ79,3)-1),LEN(AQ79)-LEN(SUBSTITUTE(AQ79,".",""))=2,LEFT(AQ79,vitri(".",AQ79,2)-1),TRUE,LEFT(AQ79,vitri(".",AQ79,1)-1))</f>
        <v/>
      </c>
    </row>
    <row r="80" spans="2:54" x14ac:dyDescent="0.25">
      <c r="B80" s="108" t="s">
        <v>184</v>
      </c>
      <c r="C80" s="1" t="s">
        <v>64</v>
      </c>
      <c r="D80" s="159" t="s">
        <v>108</v>
      </c>
      <c r="E80" s="1" t="s">
        <v>82</v>
      </c>
      <c r="F80" s="1" t="s">
        <v>85</v>
      </c>
      <c r="G80" s="1" t="s">
        <v>19</v>
      </c>
      <c r="H80" s="1" t="s">
        <v>20</v>
      </c>
      <c r="I80" s="1" t="s">
        <v>1176</v>
      </c>
      <c r="J80" s="1" t="s">
        <v>1177</v>
      </c>
      <c r="K80" s="204" t="str">
        <f t="shared" si="7"/>
        <v>M_DUF_UNI_REC_TDC_20</v>
      </c>
      <c r="L80" s="160" t="s">
        <v>613</v>
      </c>
      <c r="M80" s="379">
        <v>130</v>
      </c>
      <c r="P80" s="297" t="s">
        <v>184</v>
      </c>
      <c r="Q80" s="241" t="s">
        <v>64</v>
      </c>
      <c r="R80" s="317" t="s">
        <v>108</v>
      </c>
      <c r="S80" s="241" t="s">
        <v>82</v>
      </c>
      <c r="T80" s="241" t="s">
        <v>85</v>
      </c>
      <c r="U80" s="241" t="s">
        <v>19</v>
      </c>
      <c r="V80" s="241" t="s">
        <v>20</v>
      </c>
      <c r="W80" s="241" t="s">
        <v>1176</v>
      </c>
      <c r="X80" s="241" t="s">
        <v>1177</v>
      </c>
      <c r="Y80" s="265" t="s">
        <v>1318</v>
      </c>
      <c r="Z80" s="318" t="s">
        <v>613</v>
      </c>
      <c r="AA80" s="381">
        <v>130</v>
      </c>
      <c r="AB80" s="210">
        <f t="shared" si="4"/>
        <v>20</v>
      </c>
      <c r="AC80" s="143" t="s">
        <v>184</v>
      </c>
      <c r="AD80" s="77" t="s">
        <v>64</v>
      </c>
      <c r="AE80" s="128" t="s">
        <v>108</v>
      </c>
      <c r="AF80" s="77" t="s">
        <v>82</v>
      </c>
      <c r="AG80" s="77" t="s">
        <v>85</v>
      </c>
      <c r="AH80" s="77" t="s">
        <v>19</v>
      </c>
      <c r="AI80" s="77" t="s">
        <v>20</v>
      </c>
      <c r="AJ80" s="77" t="s">
        <v>1176</v>
      </c>
      <c r="AK80" s="77" t="s">
        <v>1177</v>
      </c>
      <c r="AL80" s="95" t="s">
        <v>1318</v>
      </c>
      <c r="AM80" s="144" t="s">
        <v>613</v>
      </c>
      <c r="AN80" s="144">
        <v>130</v>
      </c>
      <c r="AP80" s="210" t="str">
        <f t="shared" si="5"/>
        <v/>
      </c>
      <c r="AQ80" s="263"/>
      <c r="AR80" s="210" t="str">
        <f t="shared" si="6"/>
        <v/>
      </c>
      <c r="AS80" s="217"/>
      <c r="AT80" s="210" t="s">
        <v>503</v>
      </c>
      <c r="AU80" s="263"/>
      <c r="AV80" s="217"/>
      <c r="BB80" s="206" t="str">
        <f t="array" ref="BB80">_xlfn.IFS(AQ80="","",LEN(AQ80)-LEN(SUBSTITUTE(AQ80,".",""))=3,LEFT(AQ80,vitri(".",AQ80,3)-1),LEN(AQ80)-LEN(SUBSTITUTE(AQ80,".",""))=2,LEFT(AQ80,vitri(".",AQ80,2)-1),TRUE,LEFT(AQ80,vitri(".",AQ80,1)-1))</f>
        <v/>
      </c>
    </row>
    <row r="81" spans="2:54" x14ac:dyDescent="0.25">
      <c r="B81" s="108" t="s">
        <v>184</v>
      </c>
      <c r="C81" s="1" t="s">
        <v>64</v>
      </c>
      <c r="D81" s="159" t="s">
        <v>108</v>
      </c>
      <c r="E81" s="1" t="s">
        <v>82</v>
      </c>
      <c r="F81" s="1" t="s">
        <v>85</v>
      </c>
      <c r="G81" s="1" t="s">
        <v>19</v>
      </c>
      <c r="H81" s="1" t="s">
        <v>20</v>
      </c>
      <c r="I81" s="1" t="s">
        <v>1178</v>
      </c>
      <c r="J81" s="1" t="s">
        <v>1179</v>
      </c>
      <c r="K81" s="204" t="str">
        <f t="shared" si="7"/>
        <v>M_DUF_UNI_REC_VFL_25</v>
      </c>
      <c r="L81" s="160" t="s">
        <v>1200</v>
      </c>
      <c r="M81" s="379">
        <v>135</v>
      </c>
      <c r="P81" s="297" t="s">
        <v>184</v>
      </c>
      <c r="Q81" s="241" t="s">
        <v>64</v>
      </c>
      <c r="R81" s="317" t="s">
        <v>108</v>
      </c>
      <c r="S81" s="241" t="s">
        <v>82</v>
      </c>
      <c r="T81" s="241" t="s">
        <v>85</v>
      </c>
      <c r="U81" s="241" t="s">
        <v>19</v>
      </c>
      <c r="V81" s="241" t="s">
        <v>20</v>
      </c>
      <c r="W81" s="241" t="s">
        <v>1178</v>
      </c>
      <c r="X81" s="241" t="s">
        <v>1179</v>
      </c>
      <c r="Y81" s="265" t="s">
        <v>1319</v>
      </c>
      <c r="Z81" s="318" t="s">
        <v>1200</v>
      </c>
      <c r="AA81" s="381">
        <v>135</v>
      </c>
      <c r="AB81" s="210">
        <f t="shared" si="4"/>
        <v>25</v>
      </c>
      <c r="AC81" s="143" t="s">
        <v>184</v>
      </c>
      <c r="AD81" s="77" t="s">
        <v>64</v>
      </c>
      <c r="AE81" s="128" t="s">
        <v>108</v>
      </c>
      <c r="AF81" s="77" t="s">
        <v>82</v>
      </c>
      <c r="AG81" s="77" t="s">
        <v>85</v>
      </c>
      <c r="AH81" s="77" t="s">
        <v>19</v>
      </c>
      <c r="AI81" s="77" t="s">
        <v>20</v>
      </c>
      <c r="AJ81" s="77" t="s">
        <v>1178</v>
      </c>
      <c r="AK81" s="77" t="s">
        <v>1179</v>
      </c>
      <c r="AL81" s="95" t="s">
        <v>1319</v>
      </c>
      <c r="AM81" s="144" t="s">
        <v>1200</v>
      </c>
      <c r="AN81" s="144">
        <v>135</v>
      </c>
      <c r="AP81" s="210" t="str">
        <f t="shared" si="5"/>
        <v/>
      </c>
      <c r="AQ81" s="263"/>
      <c r="AR81" s="210" t="str">
        <f t="shared" si="6"/>
        <v/>
      </c>
      <c r="AS81" s="217"/>
      <c r="AT81" s="210" t="s">
        <v>503</v>
      </c>
      <c r="AU81" s="263"/>
      <c r="AV81" s="217"/>
      <c r="BB81" s="206" t="str">
        <f t="array" ref="BB81">_xlfn.IFS(AQ81="","",LEN(AQ81)-LEN(SUBSTITUTE(AQ81,".",""))=3,LEFT(AQ81,vitri(".",AQ81,3)-1),LEN(AQ81)-LEN(SUBSTITUTE(AQ81,".",""))=2,LEFT(AQ81,vitri(".",AQ81,2)-1),TRUE,LEFT(AQ81,vitri(".",AQ81,1)-1))</f>
        <v/>
      </c>
    </row>
    <row r="82" spans="2:54" x14ac:dyDescent="0.25">
      <c r="B82" s="108" t="s">
        <v>184</v>
      </c>
      <c r="C82" s="1" t="s">
        <v>64</v>
      </c>
      <c r="D82" s="159" t="s">
        <v>108</v>
      </c>
      <c r="E82" s="1" t="s">
        <v>82</v>
      </c>
      <c r="F82" s="1" t="s">
        <v>85</v>
      </c>
      <c r="G82" s="1" t="s">
        <v>21</v>
      </c>
      <c r="H82" s="1" t="s">
        <v>1128</v>
      </c>
      <c r="I82" s="1" t="s">
        <v>1172</v>
      </c>
      <c r="J82" s="1" t="s">
        <v>1173</v>
      </c>
      <c r="K82" s="204" t="str">
        <f t="shared" si="7"/>
        <v>M_DUF_UNI_ROD_CFL_32</v>
      </c>
      <c r="L82" s="160" t="s">
        <v>1201</v>
      </c>
      <c r="M82" s="379">
        <v>143</v>
      </c>
      <c r="P82" s="297" t="s">
        <v>184</v>
      </c>
      <c r="Q82" s="241" t="s">
        <v>64</v>
      </c>
      <c r="R82" s="317" t="s">
        <v>108</v>
      </c>
      <c r="S82" s="241" t="s">
        <v>82</v>
      </c>
      <c r="T82" s="241" t="s">
        <v>85</v>
      </c>
      <c r="U82" s="241" t="s">
        <v>21</v>
      </c>
      <c r="V82" s="241" t="s">
        <v>1128</v>
      </c>
      <c r="W82" s="241" t="s">
        <v>1172</v>
      </c>
      <c r="X82" s="241" t="s">
        <v>1173</v>
      </c>
      <c r="Y82" s="265" t="s">
        <v>1320</v>
      </c>
      <c r="Z82" s="318" t="s">
        <v>1201</v>
      </c>
      <c r="AA82" s="381">
        <v>143</v>
      </c>
      <c r="AB82" s="210">
        <f t="shared" si="4"/>
        <v>32</v>
      </c>
      <c r="AC82" s="143" t="s">
        <v>184</v>
      </c>
      <c r="AD82" s="77" t="s">
        <v>64</v>
      </c>
      <c r="AE82" s="128" t="s">
        <v>108</v>
      </c>
      <c r="AF82" s="77" t="s">
        <v>82</v>
      </c>
      <c r="AG82" s="77" t="s">
        <v>85</v>
      </c>
      <c r="AH82" s="77" t="s">
        <v>21</v>
      </c>
      <c r="AI82" s="77" t="s">
        <v>1128</v>
      </c>
      <c r="AJ82" s="77" t="s">
        <v>1172</v>
      </c>
      <c r="AK82" s="77" t="s">
        <v>1173</v>
      </c>
      <c r="AL82" s="95" t="s">
        <v>1320</v>
      </c>
      <c r="AM82" s="144" t="s">
        <v>1201</v>
      </c>
      <c r="AN82" s="144">
        <v>143</v>
      </c>
      <c r="AP82" s="210" t="str">
        <f t="shared" si="5"/>
        <v/>
      </c>
      <c r="AQ82" s="263"/>
      <c r="AR82" s="210" t="str">
        <f t="shared" si="6"/>
        <v/>
      </c>
      <c r="AS82" s="217"/>
      <c r="AT82" s="210" t="s">
        <v>503</v>
      </c>
      <c r="AU82" s="263"/>
      <c r="AV82" s="217"/>
      <c r="BB82" s="206" t="str">
        <f t="array" ref="BB82">_xlfn.IFS(AQ82="","",LEN(AQ82)-LEN(SUBSTITUTE(AQ82,".",""))=3,LEFT(AQ82,vitri(".",AQ82,3)-1),LEN(AQ82)-LEN(SUBSTITUTE(AQ82,".",""))=2,LEFT(AQ82,vitri(".",AQ82,2)-1),TRUE,LEFT(AQ82,vitri(".",AQ82,1)-1))</f>
        <v/>
      </c>
    </row>
    <row r="83" spans="2:54" x14ac:dyDescent="0.25">
      <c r="B83" s="108" t="s">
        <v>184</v>
      </c>
      <c r="C83" s="1" t="s">
        <v>64</v>
      </c>
      <c r="D83" s="159" t="s">
        <v>108</v>
      </c>
      <c r="E83" s="1" t="s">
        <v>82</v>
      </c>
      <c r="F83" s="1" t="s">
        <v>85</v>
      </c>
      <c r="G83" s="1" t="s">
        <v>21</v>
      </c>
      <c r="H83" s="1" t="s">
        <v>1128</v>
      </c>
      <c r="I83" s="1" t="s">
        <v>1178</v>
      </c>
      <c r="J83" s="1" t="s">
        <v>1179</v>
      </c>
      <c r="K83" s="204" t="str">
        <f t="shared" si="7"/>
        <v>M_DUF_UNI_ROD_VFL_33</v>
      </c>
      <c r="L83" s="160" t="s">
        <v>1202</v>
      </c>
      <c r="M83" s="379">
        <v>144</v>
      </c>
      <c r="P83" s="297" t="s">
        <v>184</v>
      </c>
      <c r="Q83" s="241" t="s">
        <v>64</v>
      </c>
      <c r="R83" s="317" t="s">
        <v>108</v>
      </c>
      <c r="S83" s="241" t="s">
        <v>82</v>
      </c>
      <c r="T83" s="241" t="s">
        <v>85</v>
      </c>
      <c r="U83" s="241" t="s">
        <v>21</v>
      </c>
      <c r="V83" s="241" t="s">
        <v>1128</v>
      </c>
      <c r="W83" s="241" t="s">
        <v>1178</v>
      </c>
      <c r="X83" s="241" t="s">
        <v>1179</v>
      </c>
      <c r="Y83" s="265" t="s">
        <v>1321</v>
      </c>
      <c r="Z83" s="318" t="s">
        <v>1202</v>
      </c>
      <c r="AA83" s="381">
        <v>144</v>
      </c>
      <c r="AB83" s="210">
        <f t="shared" si="4"/>
        <v>33</v>
      </c>
      <c r="AC83" s="143" t="s">
        <v>184</v>
      </c>
      <c r="AD83" s="77" t="s">
        <v>64</v>
      </c>
      <c r="AE83" s="128" t="s">
        <v>108</v>
      </c>
      <c r="AF83" s="77" t="s">
        <v>82</v>
      </c>
      <c r="AG83" s="77" t="s">
        <v>85</v>
      </c>
      <c r="AH83" s="77" t="s">
        <v>21</v>
      </c>
      <c r="AI83" s="77" t="s">
        <v>1128</v>
      </c>
      <c r="AJ83" s="77" t="s">
        <v>1178</v>
      </c>
      <c r="AK83" s="77" t="s">
        <v>1179</v>
      </c>
      <c r="AL83" s="95" t="s">
        <v>1321</v>
      </c>
      <c r="AM83" s="144" t="s">
        <v>1202</v>
      </c>
      <c r="AN83" s="144">
        <v>144</v>
      </c>
      <c r="AP83" s="210" t="str">
        <f t="shared" si="5"/>
        <v/>
      </c>
      <c r="AQ83" s="263"/>
      <c r="AR83" s="210" t="str">
        <f t="shared" si="6"/>
        <v/>
      </c>
      <c r="AS83" s="217"/>
      <c r="AT83" s="210" t="s">
        <v>503</v>
      </c>
      <c r="AU83" s="263"/>
      <c r="AV83" s="217"/>
      <c r="BB83" s="206" t="str">
        <f t="array" ref="BB83">_xlfn.IFS(AQ83="","",LEN(AQ83)-LEN(SUBSTITUTE(AQ83,".",""))=3,LEFT(AQ83,vitri(".",AQ83,3)-1),LEN(AQ83)-LEN(SUBSTITUTE(AQ83,".",""))=2,LEFT(AQ83,vitri(".",AQ83,2)-1),TRUE,LEFT(AQ83,vitri(".",AQ83,1)-1))</f>
        <v/>
      </c>
    </row>
    <row r="84" spans="2:54" x14ac:dyDescent="0.25">
      <c r="B84" s="108" t="s">
        <v>184</v>
      </c>
      <c r="C84" s="1" t="s">
        <v>457</v>
      </c>
      <c r="D84" s="159" t="s">
        <v>168</v>
      </c>
      <c r="E84" s="1" t="s">
        <v>458</v>
      </c>
      <c r="F84" s="1" t="s">
        <v>157</v>
      </c>
      <c r="G84" s="1" t="s">
        <v>5</v>
      </c>
      <c r="H84" s="1" t="s">
        <v>5</v>
      </c>
      <c r="I84" s="1" t="s">
        <v>5</v>
      </c>
      <c r="J84" s="1" t="s">
        <v>5</v>
      </c>
      <c r="K84" s="204" t="str">
        <f t="shared" si="7"/>
        <v>M_FID_COD_01</v>
      </c>
      <c r="L84" s="160" t="s">
        <v>253</v>
      </c>
      <c r="M84" s="379">
        <v>24</v>
      </c>
      <c r="P84" s="297" t="s">
        <v>184</v>
      </c>
      <c r="Q84" s="241" t="s">
        <v>457</v>
      </c>
      <c r="R84" s="317" t="s">
        <v>168</v>
      </c>
      <c r="S84" s="241" t="s">
        <v>458</v>
      </c>
      <c r="T84" s="241" t="s">
        <v>157</v>
      </c>
      <c r="U84" s="241" t="s">
        <v>5</v>
      </c>
      <c r="V84" s="241" t="s">
        <v>5</v>
      </c>
      <c r="W84" s="241" t="s">
        <v>5</v>
      </c>
      <c r="X84" s="241" t="s">
        <v>5</v>
      </c>
      <c r="Y84" s="265" t="s">
        <v>516</v>
      </c>
      <c r="Z84" s="318" t="s">
        <v>253</v>
      </c>
      <c r="AA84" s="381">
        <v>24</v>
      </c>
      <c r="AB84" s="210">
        <f t="shared" si="4"/>
        <v>1</v>
      </c>
      <c r="AC84" s="143" t="s">
        <v>184</v>
      </c>
      <c r="AD84" s="77" t="s">
        <v>457</v>
      </c>
      <c r="AE84" s="128" t="s">
        <v>168</v>
      </c>
      <c r="AF84" s="77" t="s">
        <v>458</v>
      </c>
      <c r="AG84" s="77" t="s">
        <v>157</v>
      </c>
      <c r="AH84" s="77" t="s">
        <v>5</v>
      </c>
      <c r="AI84" s="77" t="s">
        <v>5</v>
      </c>
      <c r="AJ84" s="77" t="s">
        <v>5</v>
      </c>
      <c r="AK84" s="77" t="s">
        <v>5</v>
      </c>
      <c r="AL84" s="95" t="s">
        <v>516</v>
      </c>
      <c r="AM84" s="144" t="s">
        <v>253</v>
      </c>
      <c r="AN84" s="144">
        <v>24</v>
      </c>
      <c r="AP84" s="210" t="str">
        <f t="shared" si="5"/>
        <v/>
      </c>
      <c r="AQ84" s="263"/>
      <c r="AR84" s="210" t="str">
        <f t="shared" si="6"/>
        <v/>
      </c>
      <c r="AS84" s="217"/>
      <c r="AT84" s="210" t="s">
        <v>503</v>
      </c>
      <c r="AU84" s="263"/>
      <c r="AV84" s="217"/>
      <c r="BB84" s="206" t="str">
        <f t="array" ref="BB84">_xlfn.IFS(AQ84="","",LEN(AQ84)-LEN(SUBSTITUTE(AQ84,".",""))=3,LEFT(AQ84,vitri(".",AQ84,3)-1),LEN(AQ84)-LEN(SUBSTITUTE(AQ84,".",""))=2,LEFT(AQ84,vitri(".",AQ84,2)-1),TRUE,LEFT(AQ84,vitri(".",AQ84,1)-1))</f>
        <v/>
      </c>
    </row>
    <row r="85" spans="2:54" x14ac:dyDescent="0.25">
      <c r="B85" s="108" t="s">
        <v>184</v>
      </c>
      <c r="C85" s="1" t="s">
        <v>62</v>
      </c>
      <c r="D85" s="159" t="s">
        <v>123</v>
      </c>
      <c r="E85" s="1" t="s">
        <v>1203</v>
      </c>
      <c r="F85" s="1" t="s">
        <v>1204</v>
      </c>
      <c r="G85" s="1" t="s">
        <v>1205</v>
      </c>
      <c r="H85" s="1" t="s">
        <v>1206</v>
      </c>
      <c r="I85" s="1" t="s">
        <v>5</v>
      </c>
      <c r="J85" s="1" t="s">
        <v>5</v>
      </c>
      <c r="K85" s="204" t="str">
        <f t="shared" si="7"/>
        <v>M_MEQ_CHI_250T_19</v>
      </c>
      <c r="L85" s="160" t="s">
        <v>612</v>
      </c>
      <c r="M85" s="379">
        <v>82</v>
      </c>
      <c r="P85" s="297" t="s">
        <v>184</v>
      </c>
      <c r="Q85" s="241" t="s">
        <v>62</v>
      </c>
      <c r="R85" s="317" t="s">
        <v>123</v>
      </c>
      <c r="S85" s="241" t="s">
        <v>1203</v>
      </c>
      <c r="T85" s="241" t="s">
        <v>1204</v>
      </c>
      <c r="U85" s="241" t="s">
        <v>1205</v>
      </c>
      <c r="V85" s="241" t="s">
        <v>1206</v>
      </c>
      <c r="W85" s="241" t="s">
        <v>5</v>
      </c>
      <c r="X85" s="241" t="s">
        <v>5</v>
      </c>
      <c r="Y85" s="265" t="s">
        <v>1322</v>
      </c>
      <c r="Z85" s="318" t="s">
        <v>612</v>
      </c>
      <c r="AA85" s="381">
        <v>82</v>
      </c>
      <c r="AB85" s="210">
        <f t="shared" si="4"/>
        <v>19</v>
      </c>
      <c r="AC85" s="143" t="s">
        <v>184</v>
      </c>
      <c r="AD85" s="77" t="s">
        <v>62</v>
      </c>
      <c r="AE85" s="128" t="s">
        <v>123</v>
      </c>
      <c r="AF85" s="77" t="s">
        <v>1203</v>
      </c>
      <c r="AG85" s="77" t="s">
        <v>1204</v>
      </c>
      <c r="AH85" s="77" t="s">
        <v>1205</v>
      </c>
      <c r="AI85" s="77" t="s">
        <v>1206</v>
      </c>
      <c r="AJ85" s="77" t="s">
        <v>5</v>
      </c>
      <c r="AK85" s="77" t="s">
        <v>5</v>
      </c>
      <c r="AL85" s="95" t="s">
        <v>1322</v>
      </c>
      <c r="AM85" s="144" t="s">
        <v>612</v>
      </c>
      <c r="AN85" s="144">
        <v>82</v>
      </c>
      <c r="AP85" s="210" t="str">
        <f t="shared" si="5"/>
        <v/>
      </c>
      <c r="AQ85" s="263"/>
      <c r="AR85" s="210" t="str">
        <f t="shared" si="6"/>
        <v/>
      </c>
      <c r="AS85" s="217"/>
      <c r="AT85" s="210" t="s">
        <v>503</v>
      </c>
      <c r="AU85" s="263"/>
      <c r="AV85" s="217"/>
      <c r="BB85" s="206" t="str">
        <f t="array" ref="BB85">_xlfn.IFS(AQ85="","",LEN(AQ85)-LEN(SUBSTITUTE(AQ85,".",""))=3,LEFT(AQ85,vitri(".",AQ85,3)-1),LEN(AQ85)-LEN(SUBSTITUTE(AQ85,".",""))=2,LEFT(AQ85,vitri(".",AQ85,2)-1),TRUE,LEFT(AQ85,vitri(".",AQ85,1)-1))</f>
        <v/>
      </c>
    </row>
    <row r="86" spans="2:54" x14ac:dyDescent="0.25">
      <c r="B86" s="108" t="s">
        <v>184</v>
      </c>
      <c r="C86" s="1" t="s">
        <v>62</v>
      </c>
      <c r="D86" s="159" t="s">
        <v>123</v>
      </c>
      <c r="E86" s="1" t="s">
        <v>1203</v>
      </c>
      <c r="F86" s="1" t="s">
        <v>1204</v>
      </c>
      <c r="G86" s="1" t="s">
        <v>1207</v>
      </c>
      <c r="H86" s="1" t="s">
        <v>1208</v>
      </c>
      <c r="I86" s="1" t="s">
        <v>5</v>
      </c>
      <c r="J86" s="1" t="s">
        <v>5</v>
      </c>
      <c r="K86" s="204" t="str">
        <f t="shared" si="7"/>
        <v>M_MEQ_CHI_350T_20</v>
      </c>
      <c r="L86" s="160" t="s">
        <v>613</v>
      </c>
      <c r="M86" s="379">
        <v>83</v>
      </c>
      <c r="P86" s="297" t="s">
        <v>184</v>
      </c>
      <c r="Q86" s="241" t="s">
        <v>62</v>
      </c>
      <c r="R86" s="317" t="s">
        <v>123</v>
      </c>
      <c r="S86" s="241" t="s">
        <v>1203</v>
      </c>
      <c r="T86" s="241" t="s">
        <v>1204</v>
      </c>
      <c r="U86" s="241" t="s">
        <v>1207</v>
      </c>
      <c r="V86" s="241" t="s">
        <v>1208</v>
      </c>
      <c r="W86" s="241" t="s">
        <v>5</v>
      </c>
      <c r="X86" s="241" t="s">
        <v>5</v>
      </c>
      <c r="Y86" s="265" t="s">
        <v>1323</v>
      </c>
      <c r="Z86" s="318" t="s">
        <v>613</v>
      </c>
      <c r="AA86" s="381">
        <v>83</v>
      </c>
      <c r="AB86" s="210">
        <f t="shared" si="4"/>
        <v>20</v>
      </c>
      <c r="AC86" s="143" t="s">
        <v>184</v>
      </c>
      <c r="AD86" s="77" t="s">
        <v>62</v>
      </c>
      <c r="AE86" s="128" t="s">
        <v>123</v>
      </c>
      <c r="AF86" s="77" t="s">
        <v>1203</v>
      </c>
      <c r="AG86" s="77" t="s">
        <v>1204</v>
      </c>
      <c r="AH86" s="77" t="s">
        <v>1207</v>
      </c>
      <c r="AI86" s="77" t="s">
        <v>1208</v>
      </c>
      <c r="AJ86" s="77" t="s">
        <v>5</v>
      </c>
      <c r="AK86" s="77" t="s">
        <v>5</v>
      </c>
      <c r="AL86" s="95" t="s">
        <v>1323</v>
      </c>
      <c r="AM86" s="144" t="s">
        <v>613</v>
      </c>
      <c r="AN86" s="144">
        <v>83</v>
      </c>
      <c r="AP86" s="210" t="str">
        <f t="shared" si="5"/>
        <v/>
      </c>
      <c r="AQ86" s="263"/>
      <c r="AR86" s="210" t="str">
        <f t="shared" si="6"/>
        <v/>
      </c>
      <c r="AS86" s="217"/>
      <c r="AT86" s="210" t="s">
        <v>503</v>
      </c>
      <c r="AU86" s="263"/>
      <c r="AV86" s="217"/>
      <c r="BB86" s="206" t="str">
        <f t="array" ref="BB86">_xlfn.IFS(AQ86="","",LEN(AQ86)-LEN(SUBSTITUTE(AQ86,".",""))=3,LEFT(AQ86,vitri(".",AQ86,3)-1),LEN(AQ86)-LEN(SUBSTITUTE(AQ86,".",""))=2,LEFT(AQ86,vitri(".",AQ86,2)-1),TRUE,LEFT(AQ86,vitri(".",AQ86,1)-1))</f>
        <v/>
      </c>
    </row>
    <row r="87" spans="2:54" x14ac:dyDescent="0.25">
      <c r="B87" s="108" t="s">
        <v>184</v>
      </c>
      <c r="C87" s="1" t="s">
        <v>62</v>
      </c>
      <c r="D87" s="159" t="s">
        <v>123</v>
      </c>
      <c r="E87" s="1" t="s">
        <v>1203</v>
      </c>
      <c r="F87" s="1" t="s">
        <v>1204</v>
      </c>
      <c r="G87" s="1" t="s">
        <v>1209</v>
      </c>
      <c r="H87" s="1" t="s">
        <v>1210</v>
      </c>
      <c r="I87" s="1" t="s">
        <v>5</v>
      </c>
      <c r="J87" s="1" t="s">
        <v>5</v>
      </c>
      <c r="K87" s="204" t="str">
        <f t="shared" si="7"/>
        <v>M_MEQ_CHI_6_20T_21</v>
      </c>
      <c r="L87" s="160" t="s">
        <v>614</v>
      </c>
      <c r="M87" s="379">
        <v>84</v>
      </c>
      <c r="P87" s="297" t="s">
        <v>184</v>
      </c>
      <c r="Q87" s="241" t="s">
        <v>62</v>
      </c>
      <c r="R87" s="317" t="s">
        <v>123</v>
      </c>
      <c r="S87" s="241" t="s">
        <v>1203</v>
      </c>
      <c r="T87" s="241" t="s">
        <v>1204</v>
      </c>
      <c r="U87" s="241" t="s">
        <v>1209</v>
      </c>
      <c r="V87" s="241" t="s">
        <v>1210</v>
      </c>
      <c r="W87" s="241" t="s">
        <v>5</v>
      </c>
      <c r="X87" s="241" t="s">
        <v>5</v>
      </c>
      <c r="Y87" s="265" t="s">
        <v>1324</v>
      </c>
      <c r="Z87" s="318" t="s">
        <v>614</v>
      </c>
      <c r="AA87" s="381">
        <v>84</v>
      </c>
      <c r="AB87" s="210">
        <f t="shared" si="4"/>
        <v>21</v>
      </c>
      <c r="AC87" s="143" t="s">
        <v>184</v>
      </c>
      <c r="AD87" s="77" t="s">
        <v>62</v>
      </c>
      <c r="AE87" s="128" t="s">
        <v>123</v>
      </c>
      <c r="AF87" s="77" t="s">
        <v>1203</v>
      </c>
      <c r="AG87" s="77" t="s">
        <v>1204</v>
      </c>
      <c r="AH87" s="77" t="s">
        <v>1209</v>
      </c>
      <c r="AI87" s="77" t="s">
        <v>1210</v>
      </c>
      <c r="AJ87" s="77" t="s">
        <v>5</v>
      </c>
      <c r="AK87" s="77" t="s">
        <v>5</v>
      </c>
      <c r="AL87" s="95" t="s">
        <v>1324</v>
      </c>
      <c r="AM87" s="144" t="s">
        <v>614</v>
      </c>
      <c r="AN87" s="144">
        <v>84</v>
      </c>
      <c r="AP87" s="210" t="str">
        <f t="shared" si="5"/>
        <v/>
      </c>
      <c r="AQ87" s="263"/>
      <c r="AR87" s="210" t="str">
        <f t="shared" si="6"/>
        <v/>
      </c>
      <c r="AS87" s="217"/>
      <c r="AT87" s="210" t="s">
        <v>503</v>
      </c>
      <c r="AU87" s="263"/>
      <c r="AV87" s="217"/>
      <c r="BB87" s="206" t="str">
        <f t="array" ref="BB87">_xlfn.IFS(AQ87="","",LEN(AQ87)-LEN(SUBSTITUTE(AQ87,".",""))=3,LEFT(AQ87,vitri(".",AQ87,3)-1),LEN(AQ87)-LEN(SUBSTITUTE(AQ87,".",""))=2,LEFT(AQ87,vitri(".",AQ87,2)-1),TRUE,LEFT(AQ87,vitri(".",AQ87,1)-1))</f>
        <v/>
      </c>
    </row>
    <row r="88" spans="2:54" x14ac:dyDescent="0.25">
      <c r="B88" s="108" t="s">
        <v>184</v>
      </c>
      <c r="C88" s="1" t="s">
        <v>62</v>
      </c>
      <c r="D88" s="159" t="s">
        <v>123</v>
      </c>
      <c r="E88" s="1" t="s">
        <v>1203</v>
      </c>
      <c r="F88" s="1" t="s">
        <v>1204</v>
      </c>
      <c r="G88" s="1" t="s">
        <v>1211</v>
      </c>
      <c r="H88" s="1" t="s">
        <v>1212</v>
      </c>
      <c r="I88" s="1" t="s">
        <v>5</v>
      </c>
      <c r="J88" s="1" t="s">
        <v>5</v>
      </c>
      <c r="K88" s="204" t="str">
        <f t="shared" si="7"/>
        <v>M_MEQ_CHI_600T_18</v>
      </c>
      <c r="L88" s="160" t="s">
        <v>611</v>
      </c>
      <c r="M88" s="379">
        <v>81</v>
      </c>
      <c r="P88" s="297" t="s">
        <v>184</v>
      </c>
      <c r="Q88" s="241" t="s">
        <v>62</v>
      </c>
      <c r="R88" s="317" t="s">
        <v>123</v>
      </c>
      <c r="S88" s="241" t="s">
        <v>1203</v>
      </c>
      <c r="T88" s="241" t="s">
        <v>1204</v>
      </c>
      <c r="U88" s="241" t="s">
        <v>1211</v>
      </c>
      <c r="V88" s="241" t="s">
        <v>1212</v>
      </c>
      <c r="W88" s="241" t="s">
        <v>5</v>
      </c>
      <c r="X88" s="241" t="s">
        <v>5</v>
      </c>
      <c r="Y88" s="265" t="s">
        <v>1325</v>
      </c>
      <c r="Z88" s="318" t="s">
        <v>611</v>
      </c>
      <c r="AA88" s="381">
        <v>81</v>
      </c>
      <c r="AB88" s="210">
        <f t="shared" si="4"/>
        <v>18</v>
      </c>
      <c r="AC88" s="143" t="s">
        <v>184</v>
      </c>
      <c r="AD88" s="77" t="s">
        <v>62</v>
      </c>
      <c r="AE88" s="128" t="s">
        <v>123</v>
      </c>
      <c r="AF88" s="77" t="s">
        <v>1203</v>
      </c>
      <c r="AG88" s="77" t="s">
        <v>1204</v>
      </c>
      <c r="AH88" s="77" t="s">
        <v>1211</v>
      </c>
      <c r="AI88" s="77" t="s">
        <v>1212</v>
      </c>
      <c r="AJ88" s="77" t="s">
        <v>5</v>
      </c>
      <c r="AK88" s="77" t="s">
        <v>5</v>
      </c>
      <c r="AL88" s="95" t="s">
        <v>1325</v>
      </c>
      <c r="AM88" s="144" t="s">
        <v>611</v>
      </c>
      <c r="AN88" s="144">
        <v>81</v>
      </c>
      <c r="AP88" s="210" t="str">
        <f t="shared" si="5"/>
        <v/>
      </c>
      <c r="AQ88" s="263"/>
      <c r="AR88" s="210" t="str">
        <f t="shared" si="6"/>
        <v/>
      </c>
      <c r="AS88" s="217"/>
      <c r="AT88" s="210" t="s">
        <v>503</v>
      </c>
      <c r="AU88" s="263"/>
      <c r="AV88" s="217"/>
      <c r="BB88" s="206" t="str">
        <f t="array" ref="BB88">_xlfn.IFS(AQ88="","",LEN(AQ88)-LEN(SUBSTITUTE(AQ88,".",""))=3,LEFT(AQ88,vitri(".",AQ88,3)-1),LEN(AQ88)-LEN(SUBSTITUTE(AQ88,".",""))=2,LEFT(AQ88,vitri(".",AQ88,2)-1),TRUE,LEFT(AQ88,vitri(".",AQ88,1)-1))</f>
        <v/>
      </c>
    </row>
    <row r="89" spans="2:54" x14ac:dyDescent="0.25">
      <c r="B89" s="108" t="s">
        <v>184</v>
      </c>
      <c r="C89" s="1" t="s">
        <v>62</v>
      </c>
      <c r="D89" s="159" t="s">
        <v>123</v>
      </c>
      <c r="E89" s="1" t="s">
        <v>1213</v>
      </c>
      <c r="F89" s="1" t="s">
        <v>1214</v>
      </c>
      <c r="G89" s="1" t="s">
        <v>1215</v>
      </c>
      <c r="H89" s="1" t="s">
        <v>1216</v>
      </c>
      <c r="I89" s="1" t="s">
        <v>5</v>
      </c>
      <c r="J89" s="1" t="s">
        <v>5</v>
      </c>
      <c r="K89" s="204" t="str">
        <f t="shared" si="7"/>
        <v>M_MEQ_FAN_AXI_12</v>
      </c>
      <c r="L89" s="160" t="s">
        <v>264</v>
      </c>
      <c r="M89" s="379">
        <v>58</v>
      </c>
      <c r="P89" s="297" t="s">
        <v>184</v>
      </c>
      <c r="Q89" s="241" t="s">
        <v>62</v>
      </c>
      <c r="R89" s="317" t="s">
        <v>123</v>
      </c>
      <c r="S89" s="241" t="s">
        <v>1213</v>
      </c>
      <c r="T89" s="241" t="s">
        <v>1214</v>
      </c>
      <c r="U89" s="241" t="s">
        <v>1215</v>
      </c>
      <c r="V89" s="241" t="s">
        <v>1216</v>
      </c>
      <c r="W89" s="241" t="s">
        <v>5</v>
      </c>
      <c r="X89" s="241" t="s">
        <v>5</v>
      </c>
      <c r="Y89" s="265" t="s">
        <v>1326</v>
      </c>
      <c r="Z89" s="318" t="s">
        <v>264</v>
      </c>
      <c r="AA89" s="381">
        <v>58</v>
      </c>
      <c r="AB89" s="210">
        <f t="shared" si="4"/>
        <v>12</v>
      </c>
      <c r="AC89" s="143" t="s">
        <v>184</v>
      </c>
      <c r="AD89" s="77" t="s">
        <v>62</v>
      </c>
      <c r="AE89" s="128" t="s">
        <v>123</v>
      </c>
      <c r="AF89" s="77" t="s">
        <v>1213</v>
      </c>
      <c r="AG89" s="77" t="s">
        <v>1214</v>
      </c>
      <c r="AH89" s="77" t="s">
        <v>1215</v>
      </c>
      <c r="AI89" s="77" t="s">
        <v>1216</v>
      </c>
      <c r="AJ89" s="77" t="s">
        <v>5</v>
      </c>
      <c r="AK89" s="77" t="s">
        <v>5</v>
      </c>
      <c r="AL89" s="95" t="s">
        <v>1326</v>
      </c>
      <c r="AM89" s="144" t="s">
        <v>264</v>
      </c>
      <c r="AN89" s="144">
        <v>58</v>
      </c>
      <c r="AP89" s="210" t="str">
        <f t="shared" si="5"/>
        <v/>
      </c>
      <c r="AQ89" s="263"/>
      <c r="AR89" s="210" t="str">
        <f t="shared" si="6"/>
        <v/>
      </c>
      <c r="AS89" s="217"/>
      <c r="AT89" s="210" t="s">
        <v>503</v>
      </c>
      <c r="AU89" s="263"/>
      <c r="AV89" s="217"/>
      <c r="BB89" s="206" t="str">
        <f t="array" ref="BB89">_xlfn.IFS(AQ89="","",LEN(AQ89)-LEN(SUBSTITUTE(AQ89,".",""))=3,LEFT(AQ89,vitri(".",AQ89,3)-1),LEN(AQ89)-LEN(SUBSTITUTE(AQ89,".",""))=2,LEFT(AQ89,vitri(".",AQ89,2)-1),TRUE,LEFT(AQ89,vitri(".",AQ89,1)-1))</f>
        <v/>
      </c>
    </row>
    <row r="90" spans="2:54" x14ac:dyDescent="0.25">
      <c r="B90" s="108" t="s">
        <v>184</v>
      </c>
      <c r="C90" s="1" t="s">
        <v>62</v>
      </c>
      <c r="D90" s="159" t="s">
        <v>123</v>
      </c>
      <c r="E90" s="1" t="s">
        <v>1213</v>
      </c>
      <c r="F90" s="1" t="s">
        <v>1214</v>
      </c>
      <c r="G90" s="1" t="s">
        <v>1217</v>
      </c>
      <c r="H90" s="1" t="s">
        <v>705</v>
      </c>
      <c r="I90" s="1" t="s">
        <v>992</v>
      </c>
      <c r="J90" s="1">
        <v>1</v>
      </c>
      <c r="K90" s="204" t="str">
        <f t="shared" si="7"/>
        <v>M_MEQ_FAN_CEN_1_15</v>
      </c>
      <c r="L90" s="160" t="s">
        <v>267</v>
      </c>
      <c r="M90" s="379">
        <v>61</v>
      </c>
      <c r="P90" s="297" t="s">
        <v>184</v>
      </c>
      <c r="Q90" s="241" t="s">
        <v>62</v>
      </c>
      <c r="R90" s="317" t="s">
        <v>123</v>
      </c>
      <c r="S90" s="241" t="s">
        <v>1213</v>
      </c>
      <c r="T90" s="241" t="s">
        <v>1214</v>
      </c>
      <c r="U90" s="241" t="s">
        <v>1217</v>
      </c>
      <c r="V90" s="241" t="s">
        <v>705</v>
      </c>
      <c r="W90" s="241" t="s">
        <v>992</v>
      </c>
      <c r="X90" s="241">
        <v>1</v>
      </c>
      <c r="Y90" s="265" t="s">
        <v>1327</v>
      </c>
      <c r="Z90" s="318" t="s">
        <v>267</v>
      </c>
      <c r="AA90" s="381">
        <v>61</v>
      </c>
      <c r="AB90" s="210">
        <f t="shared" si="4"/>
        <v>15</v>
      </c>
      <c r="AC90" s="143" t="s">
        <v>184</v>
      </c>
      <c r="AD90" s="77" t="s">
        <v>62</v>
      </c>
      <c r="AE90" s="128" t="s">
        <v>123</v>
      </c>
      <c r="AF90" s="77" t="s">
        <v>1213</v>
      </c>
      <c r="AG90" s="77" t="s">
        <v>1214</v>
      </c>
      <c r="AH90" s="77" t="s">
        <v>1217</v>
      </c>
      <c r="AI90" s="77" t="s">
        <v>705</v>
      </c>
      <c r="AJ90" s="77" t="s">
        <v>992</v>
      </c>
      <c r="AK90" s="77">
        <v>1</v>
      </c>
      <c r="AL90" s="95" t="s">
        <v>1327</v>
      </c>
      <c r="AM90" s="144" t="s">
        <v>267</v>
      </c>
      <c r="AN90" s="144">
        <v>61</v>
      </c>
      <c r="AP90" s="210" t="str">
        <f t="shared" si="5"/>
        <v/>
      </c>
      <c r="AQ90" s="263"/>
      <c r="AR90" s="210" t="str">
        <f t="shared" si="6"/>
        <v/>
      </c>
      <c r="AS90" s="217"/>
      <c r="AT90" s="210" t="s">
        <v>503</v>
      </c>
      <c r="AU90" s="263"/>
      <c r="AV90" s="217"/>
      <c r="BB90" s="206" t="str">
        <f t="array" ref="BB90">_xlfn.IFS(AQ90="","",LEN(AQ90)-LEN(SUBSTITUTE(AQ90,".",""))=3,LEFT(AQ90,vitri(".",AQ90,3)-1),LEN(AQ90)-LEN(SUBSTITUTE(AQ90,".",""))=2,LEFT(AQ90,vitri(".",AQ90,2)-1),TRUE,LEFT(AQ90,vitri(".",AQ90,1)-1))</f>
        <v/>
      </c>
    </row>
    <row r="91" spans="2:54" x14ac:dyDescent="0.25">
      <c r="B91" s="108" t="s">
        <v>184</v>
      </c>
      <c r="C91" s="1" t="s">
        <v>62</v>
      </c>
      <c r="D91" s="159" t="s">
        <v>123</v>
      </c>
      <c r="E91" s="1" t="s">
        <v>1213</v>
      </c>
      <c r="F91" s="1" t="s">
        <v>1214</v>
      </c>
      <c r="G91" s="1" t="s">
        <v>1217</v>
      </c>
      <c r="H91" s="1" t="s">
        <v>705</v>
      </c>
      <c r="I91" s="1" t="s">
        <v>993</v>
      </c>
      <c r="J91" s="1">
        <v>2</v>
      </c>
      <c r="K91" s="204" t="str">
        <f t="shared" si="7"/>
        <v>M_MEQ_FAN_CEN_2_16</v>
      </c>
      <c r="L91" s="160" t="s">
        <v>609</v>
      </c>
      <c r="M91" s="379">
        <v>62</v>
      </c>
      <c r="P91" s="297" t="s">
        <v>184</v>
      </c>
      <c r="Q91" s="241" t="s">
        <v>62</v>
      </c>
      <c r="R91" s="317" t="s">
        <v>123</v>
      </c>
      <c r="S91" s="241" t="s">
        <v>1213</v>
      </c>
      <c r="T91" s="241" t="s">
        <v>1214</v>
      </c>
      <c r="U91" s="241" t="s">
        <v>1217</v>
      </c>
      <c r="V91" s="241" t="s">
        <v>705</v>
      </c>
      <c r="W91" s="241" t="s">
        <v>993</v>
      </c>
      <c r="X91" s="241">
        <v>2</v>
      </c>
      <c r="Y91" s="265" t="s">
        <v>1328</v>
      </c>
      <c r="Z91" s="318" t="s">
        <v>609</v>
      </c>
      <c r="AA91" s="381">
        <v>62</v>
      </c>
      <c r="AB91" s="210">
        <f t="shared" si="4"/>
        <v>16</v>
      </c>
      <c r="AC91" s="143" t="s">
        <v>184</v>
      </c>
      <c r="AD91" s="77" t="s">
        <v>62</v>
      </c>
      <c r="AE91" s="128" t="s">
        <v>123</v>
      </c>
      <c r="AF91" s="77" t="s">
        <v>1213</v>
      </c>
      <c r="AG91" s="77" t="s">
        <v>1214</v>
      </c>
      <c r="AH91" s="77" t="s">
        <v>1217</v>
      </c>
      <c r="AI91" s="77" t="s">
        <v>705</v>
      </c>
      <c r="AJ91" s="77" t="s">
        <v>993</v>
      </c>
      <c r="AK91" s="77">
        <v>2</v>
      </c>
      <c r="AL91" s="95" t="s">
        <v>1328</v>
      </c>
      <c r="AM91" s="144" t="s">
        <v>609</v>
      </c>
      <c r="AN91" s="144">
        <v>62</v>
      </c>
      <c r="AP91" s="210" t="str">
        <f t="shared" si="5"/>
        <v/>
      </c>
      <c r="AQ91" s="263"/>
      <c r="AR91" s="210" t="str">
        <f t="shared" si="6"/>
        <v/>
      </c>
      <c r="AS91" s="217"/>
      <c r="AT91" s="210" t="s">
        <v>503</v>
      </c>
      <c r="AU91" s="263"/>
      <c r="AV91" s="217"/>
      <c r="BB91" s="206" t="str">
        <f t="array" ref="BB91">_xlfn.IFS(AQ91="","",LEN(AQ91)-LEN(SUBSTITUTE(AQ91,".",""))=3,LEFT(AQ91,vitri(".",AQ91,3)-1),LEN(AQ91)-LEN(SUBSTITUTE(AQ91,".",""))=2,LEFT(AQ91,vitri(".",AQ91,2)-1),TRUE,LEFT(AQ91,vitri(".",AQ91,1)-1))</f>
        <v/>
      </c>
    </row>
    <row r="92" spans="2:54" x14ac:dyDescent="0.25">
      <c r="B92" s="108" t="s">
        <v>184</v>
      </c>
      <c r="C92" s="1" t="s">
        <v>62</v>
      </c>
      <c r="D92" s="159" t="s">
        <v>123</v>
      </c>
      <c r="E92" s="1" t="s">
        <v>1213</v>
      </c>
      <c r="F92" s="1" t="s">
        <v>1214</v>
      </c>
      <c r="G92" s="1" t="s">
        <v>1217</v>
      </c>
      <c r="H92" s="1" t="s">
        <v>705</v>
      </c>
      <c r="I92" s="1" t="s">
        <v>1218</v>
      </c>
      <c r="J92" s="1">
        <v>3</v>
      </c>
      <c r="K92" s="204" t="str">
        <f t="shared" si="7"/>
        <v>M_MEQ_FAN_CEN_3_17</v>
      </c>
      <c r="L92" s="160" t="s">
        <v>610</v>
      </c>
      <c r="M92" s="379">
        <v>63</v>
      </c>
      <c r="P92" s="297" t="s">
        <v>184</v>
      </c>
      <c r="Q92" s="241" t="s">
        <v>62</v>
      </c>
      <c r="R92" s="317" t="s">
        <v>123</v>
      </c>
      <c r="S92" s="241" t="s">
        <v>1213</v>
      </c>
      <c r="T92" s="241" t="s">
        <v>1214</v>
      </c>
      <c r="U92" s="241" t="s">
        <v>1217</v>
      </c>
      <c r="V92" s="241" t="s">
        <v>705</v>
      </c>
      <c r="W92" s="241" t="s">
        <v>1218</v>
      </c>
      <c r="X92" s="241">
        <v>3</v>
      </c>
      <c r="Y92" s="265" t="s">
        <v>1329</v>
      </c>
      <c r="Z92" s="318" t="s">
        <v>610</v>
      </c>
      <c r="AA92" s="381">
        <v>63</v>
      </c>
      <c r="AB92" s="210">
        <f t="shared" si="4"/>
        <v>17</v>
      </c>
      <c r="AC92" s="143" t="s">
        <v>184</v>
      </c>
      <c r="AD92" s="77" t="s">
        <v>62</v>
      </c>
      <c r="AE92" s="128" t="s">
        <v>123</v>
      </c>
      <c r="AF92" s="77" t="s">
        <v>1213</v>
      </c>
      <c r="AG92" s="77" t="s">
        <v>1214</v>
      </c>
      <c r="AH92" s="77" t="s">
        <v>1217</v>
      </c>
      <c r="AI92" s="77" t="s">
        <v>705</v>
      </c>
      <c r="AJ92" s="77" t="s">
        <v>1218</v>
      </c>
      <c r="AK92" s="77">
        <v>3</v>
      </c>
      <c r="AL92" s="95" t="s">
        <v>1329</v>
      </c>
      <c r="AM92" s="144" t="s">
        <v>610</v>
      </c>
      <c r="AN92" s="144">
        <v>63</v>
      </c>
      <c r="AP92" s="210" t="str">
        <f t="shared" si="5"/>
        <v/>
      </c>
      <c r="AQ92" s="263"/>
      <c r="AR92" s="210" t="str">
        <f t="shared" si="6"/>
        <v/>
      </c>
      <c r="AS92" s="217"/>
      <c r="AT92" s="210" t="s">
        <v>503</v>
      </c>
      <c r="AU92" s="263"/>
      <c r="AV92" s="217"/>
      <c r="BB92" s="206" t="str">
        <f t="array" ref="BB92">_xlfn.IFS(AQ92="","",LEN(AQ92)-LEN(SUBSTITUTE(AQ92,".",""))=3,LEFT(AQ92,vitri(".",AQ92,3)-1),LEN(AQ92)-LEN(SUBSTITUTE(AQ92,".",""))=2,LEFT(AQ92,vitri(".",AQ92,2)-1),TRUE,LEFT(AQ92,vitri(".",AQ92,1)-1))</f>
        <v/>
      </c>
    </row>
    <row r="93" spans="2:54" x14ac:dyDescent="0.25">
      <c r="B93" s="108" t="s">
        <v>184</v>
      </c>
      <c r="C93" s="1" t="s">
        <v>62</v>
      </c>
      <c r="D93" s="159" t="s">
        <v>123</v>
      </c>
      <c r="E93" s="1" t="s">
        <v>1213</v>
      </c>
      <c r="F93" s="1" t="s">
        <v>1214</v>
      </c>
      <c r="G93" s="1" t="s">
        <v>1219</v>
      </c>
      <c r="H93" s="1" t="s">
        <v>1220</v>
      </c>
      <c r="I93" s="1" t="s">
        <v>5</v>
      </c>
      <c r="J93" s="1" t="s">
        <v>5</v>
      </c>
      <c r="K93" s="204" t="str">
        <f t="shared" si="7"/>
        <v>M_MEQ_FAN_EAF_11</v>
      </c>
      <c r="L93" s="160" t="s">
        <v>263</v>
      </c>
      <c r="M93" s="379">
        <v>57</v>
      </c>
      <c r="P93" s="297" t="s">
        <v>184</v>
      </c>
      <c r="Q93" s="241" t="s">
        <v>62</v>
      </c>
      <c r="R93" s="317" t="s">
        <v>123</v>
      </c>
      <c r="S93" s="241" t="s">
        <v>1213</v>
      </c>
      <c r="T93" s="241" t="s">
        <v>1214</v>
      </c>
      <c r="U93" s="241" t="s">
        <v>1219</v>
      </c>
      <c r="V93" s="241" t="s">
        <v>1220</v>
      </c>
      <c r="W93" s="241" t="s">
        <v>5</v>
      </c>
      <c r="X93" s="241" t="s">
        <v>5</v>
      </c>
      <c r="Y93" s="265" t="s">
        <v>1330</v>
      </c>
      <c r="Z93" s="318" t="s">
        <v>263</v>
      </c>
      <c r="AA93" s="381">
        <v>57</v>
      </c>
      <c r="AB93" s="210">
        <f t="shared" si="4"/>
        <v>11</v>
      </c>
      <c r="AC93" s="143" t="s">
        <v>184</v>
      </c>
      <c r="AD93" s="77" t="s">
        <v>62</v>
      </c>
      <c r="AE93" s="128" t="s">
        <v>123</v>
      </c>
      <c r="AF93" s="77" t="s">
        <v>1213</v>
      </c>
      <c r="AG93" s="77" t="s">
        <v>1214</v>
      </c>
      <c r="AH93" s="77" t="s">
        <v>1219</v>
      </c>
      <c r="AI93" s="77" t="s">
        <v>1220</v>
      </c>
      <c r="AJ93" s="77" t="s">
        <v>5</v>
      </c>
      <c r="AK93" s="77" t="s">
        <v>5</v>
      </c>
      <c r="AL93" s="95" t="s">
        <v>1330</v>
      </c>
      <c r="AM93" s="144" t="s">
        <v>263</v>
      </c>
      <c r="AN93" s="144">
        <v>57</v>
      </c>
      <c r="AP93" s="210" t="str">
        <f t="shared" si="5"/>
        <v/>
      </c>
      <c r="AQ93" s="263"/>
      <c r="AR93" s="210" t="str">
        <f t="shared" si="6"/>
        <v/>
      </c>
      <c r="AS93" s="217"/>
      <c r="AT93" s="210" t="s">
        <v>503</v>
      </c>
      <c r="AU93" s="263"/>
      <c r="AV93" s="217"/>
      <c r="BB93" s="206" t="str">
        <f t="array" ref="BB93">_xlfn.IFS(AQ93="","",LEN(AQ93)-LEN(SUBSTITUTE(AQ93,".",""))=3,LEFT(AQ93,vitri(".",AQ93,3)-1),LEN(AQ93)-LEN(SUBSTITUTE(AQ93,".",""))=2,LEFT(AQ93,vitri(".",AQ93,2)-1),TRUE,LEFT(AQ93,vitri(".",AQ93,1)-1))</f>
        <v/>
      </c>
    </row>
    <row r="94" spans="2:54" x14ac:dyDescent="0.25">
      <c r="B94" s="108" t="s">
        <v>184</v>
      </c>
      <c r="C94" s="1" t="s">
        <v>62</v>
      </c>
      <c r="D94" s="159" t="s">
        <v>123</v>
      </c>
      <c r="E94" s="1" t="s">
        <v>1213</v>
      </c>
      <c r="F94" s="1" t="s">
        <v>1214</v>
      </c>
      <c r="G94" s="1" t="s">
        <v>1219</v>
      </c>
      <c r="H94" s="1" t="s">
        <v>1220</v>
      </c>
      <c r="I94" s="1" t="s">
        <v>426</v>
      </c>
      <c r="J94" s="1" t="s">
        <v>182</v>
      </c>
      <c r="K94" s="204" t="str">
        <f t="shared" si="7"/>
        <v>M_MEQ_FAN_EAF_WMO_13</v>
      </c>
      <c r="L94" s="160" t="s">
        <v>265</v>
      </c>
      <c r="M94" s="379">
        <v>59</v>
      </c>
      <c r="P94" s="297" t="s">
        <v>184</v>
      </c>
      <c r="Q94" s="241" t="s">
        <v>62</v>
      </c>
      <c r="R94" s="317" t="s">
        <v>123</v>
      </c>
      <c r="S94" s="241" t="s">
        <v>1213</v>
      </c>
      <c r="T94" s="241" t="s">
        <v>1214</v>
      </c>
      <c r="U94" s="241" t="s">
        <v>1219</v>
      </c>
      <c r="V94" s="241" t="s">
        <v>1220</v>
      </c>
      <c r="W94" s="241" t="s">
        <v>426</v>
      </c>
      <c r="X94" s="241" t="s">
        <v>182</v>
      </c>
      <c r="Y94" s="265" t="s">
        <v>1331</v>
      </c>
      <c r="Z94" s="318" t="s">
        <v>265</v>
      </c>
      <c r="AA94" s="381">
        <v>59</v>
      </c>
      <c r="AB94" s="210">
        <f t="shared" si="4"/>
        <v>13</v>
      </c>
      <c r="AC94" s="143" t="s">
        <v>184</v>
      </c>
      <c r="AD94" s="77" t="s">
        <v>62</v>
      </c>
      <c r="AE94" s="128" t="s">
        <v>123</v>
      </c>
      <c r="AF94" s="77" t="s">
        <v>1213</v>
      </c>
      <c r="AG94" s="77" t="s">
        <v>1214</v>
      </c>
      <c r="AH94" s="77" t="s">
        <v>1219</v>
      </c>
      <c r="AI94" s="77" t="s">
        <v>1220</v>
      </c>
      <c r="AJ94" s="77" t="s">
        <v>426</v>
      </c>
      <c r="AK94" s="77" t="s">
        <v>182</v>
      </c>
      <c r="AL94" s="95" t="s">
        <v>1331</v>
      </c>
      <c r="AM94" s="144" t="s">
        <v>265</v>
      </c>
      <c r="AN94" s="144">
        <v>59</v>
      </c>
      <c r="AP94" s="210" t="str">
        <f t="shared" si="5"/>
        <v/>
      </c>
      <c r="AQ94" s="263"/>
      <c r="AR94" s="210" t="str">
        <f t="shared" si="6"/>
        <v/>
      </c>
      <c r="AS94" s="217"/>
      <c r="AT94" s="210" t="s">
        <v>503</v>
      </c>
      <c r="AU94" s="263"/>
      <c r="AV94" s="217"/>
      <c r="BB94" s="206" t="str">
        <f t="array" ref="BB94">_xlfn.IFS(AQ94="","",LEN(AQ94)-LEN(SUBSTITUTE(AQ94,".",""))=3,LEFT(AQ94,vitri(".",AQ94,3)-1),LEN(AQ94)-LEN(SUBSTITUTE(AQ94,".",""))=2,LEFT(AQ94,vitri(".",AQ94,2)-1),TRUE,LEFT(AQ94,vitri(".",AQ94,1)-1))</f>
        <v/>
      </c>
    </row>
    <row r="95" spans="2:54" x14ac:dyDescent="0.25">
      <c r="B95" s="108" t="s">
        <v>184</v>
      </c>
      <c r="C95" s="1" t="s">
        <v>62</v>
      </c>
      <c r="D95" s="159" t="s">
        <v>123</v>
      </c>
      <c r="E95" s="1" t="s">
        <v>1213</v>
      </c>
      <c r="F95" s="1" t="s">
        <v>1214</v>
      </c>
      <c r="G95" s="1" t="s">
        <v>1221</v>
      </c>
      <c r="H95" s="1" t="s">
        <v>1222</v>
      </c>
      <c r="I95" s="1" t="s">
        <v>5</v>
      </c>
      <c r="J95" s="1" t="s">
        <v>5</v>
      </c>
      <c r="K95" s="204" t="str">
        <f t="shared" si="7"/>
        <v>M_MEQ_FAN_INL_14</v>
      </c>
      <c r="L95" s="160" t="s">
        <v>266</v>
      </c>
      <c r="M95" s="379">
        <v>60</v>
      </c>
      <c r="P95" s="297" t="s">
        <v>184</v>
      </c>
      <c r="Q95" s="241" t="s">
        <v>62</v>
      </c>
      <c r="R95" s="317" t="s">
        <v>123</v>
      </c>
      <c r="S95" s="241" t="s">
        <v>1213</v>
      </c>
      <c r="T95" s="241" t="s">
        <v>1214</v>
      </c>
      <c r="U95" s="241" t="s">
        <v>1221</v>
      </c>
      <c r="V95" s="241" t="s">
        <v>1222</v>
      </c>
      <c r="W95" s="241" t="s">
        <v>5</v>
      </c>
      <c r="X95" s="241" t="s">
        <v>5</v>
      </c>
      <c r="Y95" s="265" t="s">
        <v>1332</v>
      </c>
      <c r="Z95" s="318" t="s">
        <v>266</v>
      </c>
      <c r="AA95" s="381">
        <v>60</v>
      </c>
      <c r="AB95" s="210">
        <f t="shared" si="4"/>
        <v>14</v>
      </c>
      <c r="AC95" s="143" t="s">
        <v>184</v>
      </c>
      <c r="AD95" s="77" t="s">
        <v>62</v>
      </c>
      <c r="AE95" s="128" t="s">
        <v>123</v>
      </c>
      <c r="AF95" s="77" t="s">
        <v>1213</v>
      </c>
      <c r="AG95" s="77" t="s">
        <v>1214</v>
      </c>
      <c r="AH95" s="77" t="s">
        <v>1221</v>
      </c>
      <c r="AI95" s="77" t="s">
        <v>1222</v>
      </c>
      <c r="AJ95" s="77" t="s">
        <v>5</v>
      </c>
      <c r="AK95" s="77" t="s">
        <v>5</v>
      </c>
      <c r="AL95" s="95" t="s">
        <v>1332</v>
      </c>
      <c r="AM95" s="144" t="s">
        <v>266</v>
      </c>
      <c r="AN95" s="144">
        <v>60</v>
      </c>
      <c r="AP95" s="210" t="str">
        <f t="shared" si="5"/>
        <v/>
      </c>
      <c r="AQ95" s="263"/>
      <c r="AR95" s="210" t="str">
        <f t="shared" si="6"/>
        <v/>
      </c>
      <c r="AS95" s="217"/>
      <c r="AT95" s="210" t="s">
        <v>503</v>
      </c>
      <c r="AU95" s="263"/>
      <c r="AV95" s="217"/>
      <c r="BB95" s="206" t="str">
        <f t="array" ref="BB95">_xlfn.IFS(AQ95="","",LEN(AQ95)-LEN(SUBSTITUTE(AQ95,".",""))=3,LEFT(AQ95,vitri(".",AQ95,3)-1),LEN(AQ95)-LEN(SUBSTITUTE(AQ95,".",""))=2,LEFT(AQ95,vitri(".",AQ95,2)-1),TRUE,LEFT(AQ95,vitri(".",AQ95,1)-1))</f>
        <v/>
      </c>
    </row>
    <row r="96" spans="2:54" x14ac:dyDescent="0.25">
      <c r="B96" s="108" t="s">
        <v>184</v>
      </c>
      <c r="C96" s="1" t="s">
        <v>62</v>
      </c>
      <c r="D96" s="159" t="s">
        <v>123</v>
      </c>
      <c r="E96" s="1" t="s">
        <v>1213</v>
      </c>
      <c r="F96" s="1" t="s">
        <v>1214</v>
      </c>
      <c r="G96" s="1" t="s">
        <v>1223</v>
      </c>
      <c r="H96" s="1" t="s">
        <v>1223</v>
      </c>
      <c r="I96" s="1" t="s">
        <v>5</v>
      </c>
      <c r="J96" s="1" t="s">
        <v>5</v>
      </c>
      <c r="K96" s="204" t="str">
        <f t="shared" si="7"/>
        <v>M_MEQ_FAN_MUB_10</v>
      </c>
      <c r="L96" s="160" t="s">
        <v>262</v>
      </c>
      <c r="M96" s="379">
        <v>56</v>
      </c>
      <c r="P96" s="297" t="s">
        <v>184</v>
      </c>
      <c r="Q96" s="241" t="s">
        <v>62</v>
      </c>
      <c r="R96" s="317" t="s">
        <v>123</v>
      </c>
      <c r="S96" s="241" t="s">
        <v>1213</v>
      </c>
      <c r="T96" s="241" t="s">
        <v>1214</v>
      </c>
      <c r="U96" s="241" t="s">
        <v>1223</v>
      </c>
      <c r="V96" s="241" t="s">
        <v>1223</v>
      </c>
      <c r="W96" s="241" t="s">
        <v>5</v>
      </c>
      <c r="X96" s="241" t="s">
        <v>5</v>
      </c>
      <c r="Y96" s="265" t="s">
        <v>1333</v>
      </c>
      <c r="Z96" s="318" t="s">
        <v>262</v>
      </c>
      <c r="AA96" s="381">
        <v>56</v>
      </c>
      <c r="AB96" s="210">
        <f t="shared" si="4"/>
        <v>10</v>
      </c>
      <c r="AC96" s="143" t="s">
        <v>184</v>
      </c>
      <c r="AD96" s="77" t="s">
        <v>62</v>
      </c>
      <c r="AE96" s="128" t="s">
        <v>123</v>
      </c>
      <c r="AF96" s="77" t="s">
        <v>1213</v>
      </c>
      <c r="AG96" s="77" t="s">
        <v>1214</v>
      </c>
      <c r="AH96" s="77" t="s">
        <v>1223</v>
      </c>
      <c r="AI96" s="77" t="s">
        <v>1223</v>
      </c>
      <c r="AJ96" s="77" t="s">
        <v>5</v>
      </c>
      <c r="AK96" s="77" t="s">
        <v>5</v>
      </c>
      <c r="AL96" s="95" t="s">
        <v>1333</v>
      </c>
      <c r="AM96" s="144" t="s">
        <v>262</v>
      </c>
      <c r="AN96" s="144">
        <v>56</v>
      </c>
      <c r="AP96" s="210" t="str">
        <f t="shared" si="5"/>
        <v/>
      </c>
      <c r="AQ96" s="263"/>
      <c r="AR96" s="210" t="str">
        <f t="shared" si="6"/>
        <v/>
      </c>
      <c r="AS96" s="217"/>
      <c r="AT96" s="210" t="s">
        <v>503</v>
      </c>
      <c r="AU96" s="263"/>
      <c r="AV96" s="217"/>
      <c r="BB96" s="206" t="str">
        <f t="array" ref="BB96">_xlfn.IFS(AQ96="","",LEN(AQ96)-LEN(SUBSTITUTE(AQ96,".",""))=3,LEFT(AQ96,vitri(".",AQ96,3)-1),LEN(AQ96)-LEN(SUBSTITUTE(AQ96,".",""))=2,LEFT(AQ96,vitri(".",AQ96,2)-1),TRUE,LEFT(AQ96,vitri(".",AQ96,1)-1))</f>
        <v/>
      </c>
    </row>
    <row r="97" spans="2:54" x14ac:dyDescent="0.25">
      <c r="B97" s="108" t="s">
        <v>184</v>
      </c>
      <c r="C97" s="1" t="s">
        <v>62</v>
      </c>
      <c r="D97" s="159" t="s">
        <v>123</v>
      </c>
      <c r="E97" s="1" t="s">
        <v>1224</v>
      </c>
      <c r="F97" s="1" t="s">
        <v>1225</v>
      </c>
      <c r="G97" s="1" t="s">
        <v>1226</v>
      </c>
      <c r="H97" s="1" t="s">
        <v>1227</v>
      </c>
      <c r="I97" s="1" t="s">
        <v>5</v>
      </c>
      <c r="J97" s="1" t="s">
        <v>5</v>
      </c>
      <c r="K97" s="204" t="str">
        <f t="shared" si="7"/>
        <v>M_MEQ_FCU_CLI_08</v>
      </c>
      <c r="L97" s="160" t="s">
        <v>260</v>
      </c>
      <c r="M97" s="379">
        <v>54</v>
      </c>
      <c r="P97" s="297" t="s">
        <v>184</v>
      </c>
      <c r="Q97" s="241" t="s">
        <v>62</v>
      </c>
      <c r="R97" s="317" t="s">
        <v>123</v>
      </c>
      <c r="S97" s="241" t="s">
        <v>1224</v>
      </c>
      <c r="T97" s="241" t="s">
        <v>1225</v>
      </c>
      <c r="U97" s="241" t="s">
        <v>1226</v>
      </c>
      <c r="V97" s="241" t="s">
        <v>1227</v>
      </c>
      <c r="W97" s="241" t="s">
        <v>5</v>
      </c>
      <c r="X97" s="241" t="s">
        <v>5</v>
      </c>
      <c r="Y97" s="265" t="s">
        <v>1334</v>
      </c>
      <c r="Z97" s="318" t="s">
        <v>260</v>
      </c>
      <c r="AA97" s="381">
        <v>54</v>
      </c>
      <c r="AB97" s="210">
        <f t="shared" si="4"/>
        <v>8</v>
      </c>
      <c r="AC97" s="143" t="s">
        <v>184</v>
      </c>
      <c r="AD97" s="77" t="s">
        <v>62</v>
      </c>
      <c r="AE97" s="128" t="s">
        <v>123</v>
      </c>
      <c r="AF97" s="77" t="s">
        <v>1224</v>
      </c>
      <c r="AG97" s="77" t="s">
        <v>1225</v>
      </c>
      <c r="AH97" s="77" t="s">
        <v>1226</v>
      </c>
      <c r="AI97" s="77" t="s">
        <v>1227</v>
      </c>
      <c r="AJ97" s="77" t="s">
        <v>5</v>
      </c>
      <c r="AK97" s="77" t="s">
        <v>5</v>
      </c>
      <c r="AL97" s="95" t="s">
        <v>1334</v>
      </c>
      <c r="AM97" s="144" t="s">
        <v>260</v>
      </c>
      <c r="AN97" s="144">
        <v>54</v>
      </c>
      <c r="AP97" s="210" t="str">
        <f t="shared" si="5"/>
        <v/>
      </c>
      <c r="AQ97" s="263"/>
      <c r="AR97" s="210" t="str">
        <f t="shared" si="6"/>
        <v/>
      </c>
      <c r="AS97" s="217"/>
      <c r="AT97" s="210" t="s">
        <v>503</v>
      </c>
      <c r="AU97" s="263"/>
      <c r="AV97" s="217"/>
      <c r="BB97" s="206" t="str">
        <f t="array" ref="BB97">_xlfn.IFS(AQ97="","",LEN(AQ97)-LEN(SUBSTITUTE(AQ97,".",""))=3,LEFT(AQ97,vitri(".",AQ97,3)-1),LEN(AQ97)-LEN(SUBSTITUTE(AQ97,".",""))=2,LEFT(AQ97,vitri(".",AQ97,2)-1),TRUE,LEFT(AQ97,vitri(".",AQ97,1)-1))</f>
        <v/>
      </c>
    </row>
    <row r="98" spans="2:54" x14ac:dyDescent="0.25">
      <c r="B98" s="108" t="s">
        <v>184</v>
      </c>
      <c r="C98" s="1" t="s">
        <v>62</v>
      </c>
      <c r="D98" s="159" t="s">
        <v>123</v>
      </c>
      <c r="E98" s="1" t="s">
        <v>1224</v>
      </c>
      <c r="F98" s="1" t="s">
        <v>1225</v>
      </c>
      <c r="G98" s="1" t="s">
        <v>1228</v>
      </c>
      <c r="H98" s="1" t="s">
        <v>1229</v>
      </c>
      <c r="I98" s="1" t="s">
        <v>5</v>
      </c>
      <c r="J98" s="1" t="s">
        <v>5</v>
      </c>
      <c r="K98" s="204" t="str">
        <f t="shared" si="7"/>
        <v>M_MEQ_FCU_CMC_05</v>
      </c>
      <c r="L98" s="160" t="s">
        <v>257</v>
      </c>
      <c r="M98" s="379">
        <v>51</v>
      </c>
      <c r="P98" s="297" t="s">
        <v>184</v>
      </c>
      <c r="Q98" s="241" t="s">
        <v>62</v>
      </c>
      <c r="R98" s="317" t="s">
        <v>123</v>
      </c>
      <c r="S98" s="241" t="s">
        <v>1224</v>
      </c>
      <c r="T98" s="241" t="s">
        <v>1225</v>
      </c>
      <c r="U98" s="241" t="s">
        <v>1228</v>
      </c>
      <c r="V98" s="241" t="s">
        <v>1229</v>
      </c>
      <c r="W98" s="241" t="s">
        <v>5</v>
      </c>
      <c r="X98" s="241" t="s">
        <v>5</v>
      </c>
      <c r="Y98" s="265" t="s">
        <v>1335</v>
      </c>
      <c r="Z98" s="318" t="s">
        <v>257</v>
      </c>
      <c r="AA98" s="381">
        <v>51</v>
      </c>
      <c r="AB98" s="210">
        <f t="shared" si="4"/>
        <v>5</v>
      </c>
      <c r="AC98" s="143" t="s">
        <v>184</v>
      </c>
      <c r="AD98" s="77" t="s">
        <v>62</v>
      </c>
      <c r="AE98" s="128" t="s">
        <v>123</v>
      </c>
      <c r="AF98" s="77" t="s">
        <v>1224</v>
      </c>
      <c r="AG98" s="77" t="s">
        <v>1225</v>
      </c>
      <c r="AH98" s="77" t="s">
        <v>1228</v>
      </c>
      <c r="AI98" s="77" t="s">
        <v>1229</v>
      </c>
      <c r="AJ98" s="77" t="s">
        <v>5</v>
      </c>
      <c r="AK98" s="77" t="s">
        <v>5</v>
      </c>
      <c r="AL98" s="95" t="s">
        <v>1335</v>
      </c>
      <c r="AM98" s="144" t="s">
        <v>257</v>
      </c>
      <c r="AN98" s="144">
        <v>51</v>
      </c>
      <c r="AP98" s="210" t="str">
        <f t="shared" si="5"/>
        <v/>
      </c>
      <c r="AQ98" s="263"/>
      <c r="AR98" s="210" t="str">
        <f t="shared" si="6"/>
        <v/>
      </c>
      <c r="AS98" s="217"/>
      <c r="AT98" s="210" t="s">
        <v>503</v>
      </c>
      <c r="AU98" s="263"/>
      <c r="AV98" s="217"/>
      <c r="BB98" s="206" t="str">
        <f t="array" ref="BB98">_xlfn.IFS(AQ98="","",LEN(AQ98)-LEN(SUBSTITUTE(AQ98,".",""))=3,LEFT(AQ98,vitri(".",AQ98,3)-1),LEN(AQ98)-LEN(SUBSTITUTE(AQ98,".",""))=2,LEFT(AQ98,vitri(".",AQ98,2)-1),TRUE,LEFT(AQ98,vitri(".",AQ98,1)-1))</f>
        <v/>
      </c>
    </row>
    <row r="99" spans="2:54" x14ac:dyDescent="0.25">
      <c r="B99" s="108" t="s">
        <v>184</v>
      </c>
      <c r="C99" s="1" t="s">
        <v>62</v>
      </c>
      <c r="D99" s="159" t="s">
        <v>123</v>
      </c>
      <c r="E99" s="1" t="s">
        <v>1224</v>
      </c>
      <c r="F99" s="1" t="s">
        <v>1225</v>
      </c>
      <c r="G99" s="1" t="s">
        <v>1230</v>
      </c>
      <c r="H99" s="1" t="s">
        <v>1231</v>
      </c>
      <c r="I99" s="1" t="s">
        <v>1232</v>
      </c>
      <c r="J99" s="1" t="s">
        <v>1233</v>
      </c>
      <c r="K99" s="204" t="str">
        <f t="shared" si="7"/>
        <v>M_MEQ_FCU_CMT_GAS_06</v>
      </c>
      <c r="L99" s="160" t="s">
        <v>258</v>
      </c>
      <c r="M99" s="379">
        <v>52</v>
      </c>
      <c r="P99" s="297" t="s">
        <v>184</v>
      </c>
      <c r="Q99" s="241" t="s">
        <v>62</v>
      </c>
      <c r="R99" s="317" t="s">
        <v>123</v>
      </c>
      <c r="S99" s="241" t="s">
        <v>1224</v>
      </c>
      <c r="T99" s="241" t="s">
        <v>1225</v>
      </c>
      <c r="U99" s="241" t="s">
        <v>1230</v>
      </c>
      <c r="V99" s="241" t="s">
        <v>1231</v>
      </c>
      <c r="W99" s="241" t="s">
        <v>1232</v>
      </c>
      <c r="X99" s="241" t="s">
        <v>1233</v>
      </c>
      <c r="Y99" s="265" t="s">
        <v>1336</v>
      </c>
      <c r="Z99" s="318" t="s">
        <v>258</v>
      </c>
      <c r="AA99" s="381">
        <v>52</v>
      </c>
      <c r="AB99" s="210">
        <f t="shared" si="4"/>
        <v>6</v>
      </c>
      <c r="AC99" s="143" t="s">
        <v>184</v>
      </c>
      <c r="AD99" s="77" t="s">
        <v>62</v>
      </c>
      <c r="AE99" s="128" t="s">
        <v>123</v>
      </c>
      <c r="AF99" s="77" t="s">
        <v>1224</v>
      </c>
      <c r="AG99" s="77" t="s">
        <v>1225</v>
      </c>
      <c r="AH99" s="77" t="s">
        <v>1230</v>
      </c>
      <c r="AI99" s="77" t="s">
        <v>1231</v>
      </c>
      <c r="AJ99" s="77" t="s">
        <v>1232</v>
      </c>
      <c r="AK99" s="77" t="s">
        <v>1233</v>
      </c>
      <c r="AL99" s="95" t="s">
        <v>1336</v>
      </c>
      <c r="AM99" s="144" t="s">
        <v>258</v>
      </c>
      <c r="AN99" s="144">
        <v>52</v>
      </c>
      <c r="AP99" s="210" t="str">
        <f t="shared" si="5"/>
        <v/>
      </c>
      <c r="AQ99" s="263"/>
      <c r="AR99" s="210" t="str">
        <f t="shared" si="6"/>
        <v/>
      </c>
      <c r="AS99" s="217"/>
      <c r="AT99" s="210" t="s">
        <v>503</v>
      </c>
      <c r="AU99" s="263"/>
      <c r="AV99" s="217"/>
      <c r="BB99" s="206" t="str">
        <f t="array" ref="BB99">_xlfn.IFS(AQ99="","",LEN(AQ99)-LEN(SUBSTITUTE(AQ99,".",""))=3,LEFT(AQ99,vitri(".",AQ99,3)-1),LEN(AQ99)-LEN(SUBSTITUTE(AQ99,".",""))=2,LEFT(AQ99,vitri(".",AQ99,2)-1),TRUE,LEFT(AQ99,vitri(".",AQ99,1)-1))</f>
        <v/>
      </c>
    </row>
    <row r="100" spans="2:54" x14ac:dyDescent="0.25">
      <c r="B100" s="108" t="s">
        <v>184</v>
      </c>
      <c r="C100" s="1" t="s">
        <v>62</v>
      </c>
      <c r="D100" s="159" t="s">
        <v>123</v>
      </c>
      <c r="E100" s="1" t="s">
        <v>1224</v>
      </c>
      <c r="F100" s="1" t="s">
        <v>1225</v>
      </c>
      <c r="G100" s="1" t="s">
        <v>1234</v>
      </c>
      <c r="H100" s="1" t="s">
        <v>1235</v>
      </c>
      <c r="I100" s="1" t="s">
        <v>1232</v>
      </c>
      <c r="J100" s="1" t="s">
        <v>1233</v>
      </c>
      <c r="K100" s="204" t="str">
        <f t="shared" si="7"/>
        <v>M_MEQ_FCU_CST_GAS_07</v>
      </c>
      <c r="L100" s="160" t="s">
        <v>259</v>
      </c>
      <c r="M100" s="379">
        <v>53</v>
      </c>
      <c r="P100" s="297" t="s">
        <v>184</v>
      </c>
      <c r="Q100" s="241" t="s">
        <v>62</v>
      </c>
      <c r="R100" s="317" t="s">
        <v>123</v>
      </c>
      <c r="S100" s="241" t="s">
        <v>1224</v>
      </c>
      <c r="T100" s="241" t="s">
        <v>1225</v>
      </c>
      <c r="U100" s="241" t="s">
        <v>1234</v>
      </c>
      <c r="V100" s="241" t="s">
        <v>1235</v>
      </c>
      <c r="W100" s="241" t="s">
        <v>1232</v>
      </c>
      <c r="X100" s="241" t="s">
        <v>1233</v>
      </c>
      <c r="Y100" s="265" t="s">
        <v>1337</v>
      </c>
      <c r="Z100" s="318" t="s">
        <v>259</v>
      </c>
      <c r="AA100" s="381">
        <v>53</v>
      </c>
      <c r="AB100" s="210">
        <f t="shared" si="4"/>
        <v>7</v>
      </c>
      <c r="AC100" s="143" t="s">
        <v>184</v>
      </c>
      <c r="AD100" s="77" t="s">
        <v>62</v>
      </c>
      <c r="AE100" s="128" t="s">
        <v>123</v>
      </c>
      <c r="AF100" s="77" t="s">
        <v>1224</v>
      </c>
      <c r="AG100" s="77" t="s">
        <v>1225</v>
      </c>
      <c r="AH100" s="77" t="s">
        <v>1234</v>
      </c>
      <c r="AI100" s="77" t="s">
        <v>1235</v>
      </c>
      <c r="AJ100" s="77" t="s">
        <v>1232</v>
      </c>
      <c r="AK100" s="77" t="s">
        <v>1233</v>
      </c>
      <c r="AL100" s="95" t="s">
        <v>1337</v>
      </c>
      <c r="AM100" s="144" t="s">
        <v>259</v>
      </c>
      <c r="AN100" s="144">
        <v>53</v>
      </c>
      <c r="AP100" s="210" t="str">
        <f t="shared" si="5"/>
        <v/>
      </c>
      <c r="AQ100" s="263"/>
      <c r="AR100" s="210" t="str">
        <f t="shared" si="6"/>
        <v/>
      </c>
      <c r="AS100" s="217"/>
      <c r="AT100" s="210" t="s">
        <v>503</v>
      </c>
      <c r="AU100" s="263"/>
      <c r="AV100" s="217"/>
      <c r="BB100" s="206" t="str">
        <f t="array" ref="BB100">_xlfn.IFS(AQ100="","",LEN(AQ100)-LEN(SUBSTITUTE(AQ100,".",""))=3,LEFT(AQ100,vitri(".",AQ100,3)-1),LEN(AQ100)-LEN(SUBSTITUTE(AQ100,".",""))=2,LEFT(AQ100,vitri(".",AQ100,2)-1),TRUE,LEFT(AQ100,vitri(".",AQ100,1)-1))</f>
        <v/>
      </c>
    </row>
    <row r="101" spans="2:54" x14ac:dyDescent="0.25">
      <c r="B101" s="108" t="s">
        <v>184</v>
      </c>
      <c r="C101" s="1" t="s">
        <v>62</v>
      </c>
      <c r="D101" s="159" t="s">
        <v>123</v>
      </c>
      <c r="E101" s="1" t="s">
        <v>1224</v>
      </c>
      <c r="F101" s="1" t="s">
        <v>1225</v>
      </c>
      <c r="G101" s="1" t="s">
        <v>1236</v>
      </c>
      <c r="H101" s="1" t="s">
        <v>1237</v>
      </c>
      <c r="I101" s="1" t="s">
        <v>5</v>
      </c>
      <c r="J101" s="1" t="s">
        <v>5</v>
      </c>
      <c r="K101" s="204" t="str">
        <f t="shared" si="7"/>
        <v>M_MEQ_FCU_DAI_09</v>
      </c>
      <c r="L101" s="160" t="s">
        <v>261</v>
      </c>
      <c r="M101" s="379">
        <v>55</v>
      </c>
      <c r="P101" s="297" t="s">
        <v>184</v>
      </c>
      <c r="Q101" s="241" t="s">
        <v>62</v>
      </c>
      <c r="R101" s="317" t="s">
        <v>123</v>
      </c>
      <c r="S101" s="241" t="s">
        <v>1224</v>
      </c>
      <c r="T101" s="241" t="s">
        <v>1225</v>
      </c>
      <c r="U101" s="241" t="s">
        <v>1236</v>
      </c>
      <c r="V101" s="241" t="s">
        <v>1237</v>
      </c>
      <c r="W101" s="241" t="s">
        <v>5</v>
      </c>
      <c r="X101" s="241" t="s">
        <v>5</v>
      </c>
      <c r="Y101" s="265" t="s">
        <v>1338</v>
      </c>
      <c r="Z101" s="318" t="s">
        <v>261</v>
      </c>
      <c r="AA101" s="381">
        <v>55</v>
      </c>
      <c r="AB101" s="210">
        <f t="shared" si="4"/>
        <v>9</v>
      </c>
      <c r="AC101" s="143" t="s">
        <v>184</v>
      </c>
      <c r="AD101" s="77" t="s">
        <v>62</v>
      </c>
      <c r="AE101" s="128" t="s">
        <v>123</v>
      </c>
      <c r="AF101" s="77" t="s">
        <v>1224</v>
      </c>
      <c r="AG101" s="77" t="s">
        <v>1225</v>
      </c>
      <c r="AH101" s="77" t="s">
        <v>1236</v>
      </c>
      <c r="AI101" s="77" t="s">
        <v>1237</v>
      </c>
      <c r="AJ101" s="77" t="s">
        <v>5</v>
      </c>
      <c r="AK101" s="77" t="s">
        <v>5</v>
      </c>
      <c r="AL101" s="95" t="s">
        <v>1338</v>
      </c>
      <c r="AM101" s="144" t="s">
        <v>261</v>
      </c>
      <c r="AN101" s="144">
        <v>55</v>
      </c>
      <c r="AP101" s="210" t="str">
        <f t="shared" si="5"/>
        <v/>
      </c>
      <c r="AQ101" s="263"/>
      <c r="AR101" s="210" t="str">
        <f t="shared" si="6"/>
        <v/>
      </c>
      <c r="AS101" s="217"/>
      <c r="AT101" s="210" t="s">
        <v>503</v>
      </c>
      <c r="AU101" s="263"/>
      <c r="AV101" s="217"/>
      <c r="BB101" s="206" t="str">
        <f t="array" ref="BB101">_xlfn.IFS(AQ101="","",LEN(AQ101)-LEN(SUBSTITUTE(AQ101,".",""))=3,LEFT(AQ101,vitri(".",AQ101,3)-1),LEN(AQ101)-LEN(SUBSTITUTE(AQ101,".",""))=2,LEFT(AQ101,vitri(".",AQ101,2)-1),TRUE,LEFT(AQ101,vitri(".",AQ101,1)-1))</f>
        <v/>
      </c>
    </row>
    <row r="102" spans="2:54" x14ac:dyDescent="0.25">
      <c r="B102" s="108" t="s">
        <v>184</v>
      </c>
      <c r="C102" s="1" t="s">
        <v>129</v>
      </c>
      <c r="D102" s="159" t="s">
        <v>130</v>
      </c>
      <c r="E102" s="1" t="s">
        <v>1238</v>
      </c>
      <c r="F102" s="1" t="s">
        <v>637</v>
      </c>
      <c r="G102" s="1" t="s">
        <v>1029</v>
      </c>
      <c r="H102" s="1" t="s">
        <v>1030</v>
      </c>
      <c r="I102" s="1" t="s">
        <v>1239</v>
      </c>
      <c r="J102" s="1" t="s">
        <v>1239</v>
      </c>
      <c r="K102" s="204" t="str">
        <f t="shared" si="7"/>
        <v>M_PIA_BAL_THR_DN15-50_01</v>
      </c>
      <c r="L102" s="160" t="s">
        <v>253</v>
      </c>
      <c r="M102" s="379">
        <v>105</v>
      </c>
      <c r="P102" s="297" t="s">
        <v>184</v>
      </c>
      <c r="Q102" s="241" t="s">
        <v>129</v>
      </c>
      <c r="R102" s="317" t="s">
        <v>130</v>
      </c>
      <c r="S102" s="241" t="s">
        <v>1238</v>
      </c>
      <c r="T102" s="241" t="s">
        <v>637</v>
      </c>
      <c r="U102" s="241" t="s">
        <v>1029</v>
      </c>
      <c r="V102" s="241" t="s">
        <v>1030</v>
      </c>
      <c r="W102" s="241" t="s">
        <v>1239</v>
      </c>
      <c r="X102" s="241" t="s">
        <v>1239</v>
      </c>
      <c r="Y102" s="265" t="s">
        <v>1339</v>
      </c>
      <c r="Z102" s="318" t="s">
        <v>253</v>
      </c>
      <c r="AA102" s="381">
        <v>105</v>
      </c>
      <c r="AB102" s="210">
        <f t="shared" si="4"/>
        <v>1</v>
      </c>
      <c r="AC102" s="143" t="s">
        <v>184</v>
      </c>
      <c r="AD102" s="77" t="s">
        <v>129</v>
      </c>
      <c r="AE102" s="128" t="s">
        <v>130</v>
      </c>
      <c r="AF102" s="77" t="s">
        <v>1238</v>
      </c>
      <c r="AG102" s="77" t="s">
        <v>637</v>
      </c>
      <c r="AH102" s="77" t="s">
        <v>1029</v>
      </c>
      <c r="AI102" s="77" t="s">
        <v>1030</v>
      </c>
      <c r="AJ102" s="77" t="s">
        <v>1239</v>
      </c>
      <c r="AK102" s="77" t="s">
        <v>1239</v>
      </c>
      <c r="AL102" s="95" t="s">
        <v>1339</v>
      </c>
      <c r="AM102" s="144" t="s">
        <v>253</v>
      </c>
      <c r="AN102" s="144">
        <v>105</v>
      </c>
      <c r="AP102" s="210" t="str">
        <f t="shared" si="5"/>
        <v/>
      </c>
      <c r="AQ102" s="263"/>
      <c r="AR102" s="210" t="str">
        <f t="shared" si="6"/>
        <v/>
      </c>
      <c r="AS102" s="217"/>
      <c r="AT102" s="210" t="s">
        <v>503</v>
      </c>
      <c r="AU102" s="263"/>
      <c r="AV102" s="217"/>
      <c r="BB102" s="206" t="str">
        <f t="array" ref="BB102">_xlfn.IFS(AQ102="","",LEN(AQ102)-LEN(SUBSTITUTE(AQ102,".",""))=3,LEFT(AQ102,vitri(".",AQ102,3)-1),LEN(AQ102)-LEN(SUBSTITUTE(AQ102,".",""))=2,LEFT(AQ102,vitri(".",AQ102,2)-1),TRUE,LEFT(AQ102,vitri(".",AQ102,1)-1))</f>
        <v/>
      </c>
    </row>
    <row r="103" spans="2:54" x14ac:dyDescent="0.25">
      <c r="B103" s="108" t="s">
        <v>184</v>
      </c>
      <c r="C103" s="1" t="s">
        <v>129</v>
      </c>
      <c r="D103" s="159" t="s">
        <v>130</v>
      </c>
      <c r="E103" s="1" t="s">
        <v>1240</v>
      </c>
      <c r="F103" s="1" t="s">
        <v>1241</v>
      </c>
      <c r="G103" s="1" t="s">
        <v>28</v>
      </c>
      <c r="H103" s="1" t="s">
        <v>29</v>
      </c>
      <c r="I103" s="1" t="s">
        <v>5</v>
      </c>
      <c r="J103" s="1" t="s">
        <v>5</v>
      </c>
      <c r="K103" s="204" t="str">
        <f t="shared" si="7"/>
        <v>M_PIA_FLP_STE_04</v>
      </c>
      <c r="L103" s="160" t="s">
        <v>256</v>
      </c>
      <c r="M103" s="379">
        <v>108</v>
      </c>
      <c r="P103" s="297" t="s">
        <v>184</v>
      </c>
      <c r="Q103" s="241" t="s">
        <v>129</v>
      </c>
      <c r="R103" s="317" t="s">
        <v>130</v>
      </c>
      <c r="S103" s="241" t="s">
        <v>1240</v>
      </c>
      <c r="T103" s="241" t="s">
        <v>1241</v>
      </c>
      <c r="U103" s="241" t="s">
        <v>28</v>
      </c>
      <c r="V103" s="241" t="s">
        <v>29</v>
      </c>
      <c r="W103" s="241" t="s">
        <v>5</v>
      </c>
      <c r="X103" s="241" t="s">
        <v>5</v>
      </c>
      <c r="Y103" s="265" t="s">
        <v>1340</v>
      </c>
      <c r="Z103" s="318" t="s">
        <v>256</v>
      </c>
      <c r="AA103" s="381">
        <v>108</v>
      </c>
      <c r="AB103" s="210">
        <f t="shared" si="4"/>
        <v>4</v>
      </c>
      <c r="AC103" s="143" t="s">
        <v>184</v>
      </c>
      <c r="AD103" s="77" t="s">
        <v>129</v>
      </c>
      <c r="AE103" s="128" t="s">
        <v>130</v>
      </c>
      <c r="AF103" s="77" t="s">
        <v>1240</v>
      </c>
      <c r="AG103" s="77" t="s">
        <v>1241</v>
      </c>
      <c r="AH103" s="77" t="s">
        <v>28</v>
      </c>
      <c r="AI103" s="77" t="s">
        <v>29</v>
      </c>
      <c r="AJ103" s="77" t="s">
        <v>5</v>
      </c>
      <c r="AK103" s="77" t="s">
        <v>5</v>
      </c>
      <c r="AL103" s="95" t="s">
        <v>1340</v>
      </c>
      <c r="AM103" s="144" t="s">
        <v>256</v>
      </c>
      <c r="AN103" s="144">
        <v>108</v>
      </c>
      <c r="AP103" s="210" t="str">
        <f t="shared" si="5"/>
        <v/>
      </c>
      <c r="AQ103" s="263"/>
      <c r="AR103" s="210" t="str">
        <f t="shared" si="6"/>
        <v/>
      </c>
      <c r="AS103" s="217"/>
      <c r="AT103" s="210" t="s">
        <v>503</v>
      </c>
      <c r="AU103" s="263"/>
      <c r="AV103" s="217"/>
      <c r="BB103" s="206" t="str">
        <f t="array" ref="BB103">_xlfn.IFS(AQ103="","",LEN(AQ103)-LEN(SUBSTITUTE(AQ103,".",""))=3,LEFT(AQ103,vitri(".",AQ103,3)-1),LEN(AQ103)-LEN(SUBSTITUTE(AQ103,".",""))=2,LEFT(AQ103,vitri(".",AQ103,2)-1),TRUE,LEFT(AQ103,vitri(".",AQ103,1)-1))</f>
        <v/>
      </c>
    </row>
    <row r="104" spans="2:54" x14ac:dyDescent="0.25">
      <c r="B104" s="108" t="s">
        <v>184</v>
      </c>
      <c r="C104" s="1" t="s">
        <v>129</v>
      </c>
      <c r="D104" s="159" t="s">
        <v>130</v>
      </c>
      <c r="E104" s="1" t="s">
        <v>131</v>
      </c>
      <c r="F104" s="1" t="s">
        <v>297</v>
      </c>
      <c r="G104" s="1" t="s">
        <v>1242</v>
      </c>
      <c r="H104" s="1" t="s">
        <v>1242</v>
      </c>
      <c r="I104" s="1" t="s">
        <v>5</v>
      </c>
      <c r="J104" s="1" t="s">
        <v>5</v>
      </c>
      <c r="K104" s="204" t="str">
        <f t="shared" si="7"/>
        <v>M_PIA_GAV_KVS_02</v>
      </c>
      <c r="L104" s="160" t="s">
        <v>254</v>
      </c>
      <c r="M104" s="379">
        <v>106</v>
      </c>
      <c r="P104" s="297" t="s">
        <v>184</v>
      </c>
      <c r="Q104" s="241" t="s">
        <v>129</v>
      </c>
      <c r="R104" s="317" t="s">
        <v>130</v>
      </c>
      <c r="S104" s="241" t="s">
        <v>131</v>
      </c>
      <c r="T104" s="241" t="s">
        <v>297</v>
      </c>
      <c r="U104" s="241" t="s">
        <v>1242</v>
      </c>
      <c r="V104" s="241" t="s">
        <v>1242</v>
      </c>
      <c r="W104" s="241" t="s">
        <v>5</v>
      </c>
      <c r="X104" s="241" t="s">
        <v>5</v>
      </c>
      <c r="Y104" s="265" t="s">
        <v>1341</v>
      </c>
      <c r="Z104" s="318" t="s">
        <v>254</v>
      </c>
      <c r="AA104" s="381">
        <v>106</v>
      </c>
      <c r="AB104" s="210">
        <f t="shared" si="4"/>
        <v>2</v>
      </c>
      <c r="AC104" s="143" t="s">
        <v>184</v>
      </c>
      <c r="AD104" s="77" t="s">
        <v>129</v>
      </c>
      <c r="AE104" s="128" t="s">
        <v>130</v>
      </c>
      <c r="AF104" s="77" t="s">
        <v>131</v>
      </c>
      <c r="AG104" s="77" t="s">
        <v>297</v>
      </c>
      <c r="AH104" s="77" t="s">
        <v>1242</v>
      </c>
      <c r="AI104" s="77" t="s">
        <v>1242</v>
      </c>
      <c r="AJ104" s="77" t="s">
        <v>5</v>
      </c>
      <c r="AK104" s="77" t="s">
        <v>5</v>
      </c>
      <c r="AL104" s="95" t="s">
        <v>1341</v>
      </c>
      <c r="AM104" s="144" t="s">
        <v>254</v>
      </c>
      <c r="AN104" s="144">
        <v>106</v>
      </c>
      <c r="AP104" s="210" t="str">
        <f t="shared" si="5"/>
        <v/>
      </c>
      <c r="AQ104" s="263"/>
      <c r="AR104" s="210" t="str">
        <f t="shared" si="6"/>
        <v/>
      </c>
      <c r="AS104" s="217"/>
      <c r="AT104" s="210" t="s">
        <v>503</v>
      </c>
      <c r="AU104" s="263"/>
      <c r="AV104" s="217"/>
      <c r="BB104" s="206" t="str">
        <f t="array" ref="BB104">_xlfn.IFS(AQ104="","",LEN(AQ104)-LEN(SUBSTITUTE(AQ104,".",""))=3,LEFT(AQ104,vitri(".",AQ104,3)-1),LEN(AQ104)-LEN(SUBSTITUTE(AQ104,".",""))=2,LEFT(AQ104,vitri(".",AQ104,2)-1),TRUE,LEFT(AQ104,vitri(".",AQ104,1)-1))</f>
        <v/>
      </c>
    </row>
    <row r="105" spans="2:54" x14ac:dyDescent="0.25">
      <c r="B105" s="108" t="s">
        <v>184</v>
      </c>
      <c r="C105" s="1" t="s">
        <v>129</v>
      </c>
      <c r="D105" s="159" t="s">
        <v>130</v>
      </c>
      <c r="E105" s="1" t="s">
        <v>1243</v>
      </c>
      <c r="F105" s="1" t="s">
        <v>1244</v>
      </c>
      <c r="G105" s="1" t="s">
        <v>5</v>
      </c>
      <c r="H105" s="1" t="s">
        <v>5</v>
      </c>
      <c r="I105" s="1" t="s">
        <v>5</v>
      </c>
      <c r="J105" s="1" t="s">
        <v>5</v>
      </c>
      <c r="K105" s="204" t="str">
        <f t="shared" si="7"/>
        <v>M_PIA_MTV_03</v>
      </c>
      <c r="L105" s="160" t="s">
        <v>255</v>
      </c>
      <c r="M105" s="379">
        <v>107</v>
      </c>
      <c r="P105" s="297" t="s">
        <v>184</v>
      </c>
      <c r="Q105" s="241" t="s">
        <v>129</v>
      </c>
      <c r="R105" s="317" t="s">
        <v>130</v>
      </c>
      <c r="S105" s="241" t="s">
        <v>1243</v>
      </c>
      <c r="T105" s="241" t="s">
        <v>1244</v>
      </c>
      <c r="U105" s="241" t="s">
        <v>5</v>
      </c>
      <c r="V105" s="241" t="s">
        <v>5</v>
      </c>
      <c r="W105" s="241" t="s">
        <v>5</v>
      </c>
      <c r="X105" s="241" t="s">
        <v>5</v>
      </c>
      <c r="Y105" s="265" t="s">
        <v>1342</v>
      </c>
      <c r="Z105" s="318" t="s">
        <v>255</v>
      </c>
      <c r="AA105" s="381">
        <v>107</v>
      </c>
      <c r="AB105" s="210">
        <f t="shared" si="4"/>
        <v>3</v>
      </c>
      <c r="AC105" s="143" t="s">
        <v>184</v>
      </c>
      <c r="AD105" s="77" t="s">
        <v>129</v>
      </c>
      <c r="AE105" s="128" t="s">
        <v>130</v>
      </c>
      <c r="AF105" s="77" t="s">
        <v>1243</v>
      </c>
      <c r="AG105" s="77" t="s">
        <v>1244</v>
      </c>
      <c r="AH105" s="77" t="s">
        <v>5</v>
      </c>
      <c r="AI105" s="77" t="s">
        <v>5</v>
      </c>
      <c r="AJ105" s="77" t="s">
        <v>5</v>
      </c>
      <c r="AK105" s="77" t="s">
        <v>5</v>
      </c>
      <c r="AL105" s="95" t="s">
        <v>1342</v>
      </c>
      <c r="AM105" s="144" t="s">
        <v>255</v>
      </c>
      <c r="AN105" s="144">
        <v>107</v>
      </c>
      <c r="AP105" s="210" t="str">
        <f t="shared" si="5"/>
        <v/>
      </c>
      <c r="AQ105" s="263"/>
      <c r="AR105" s="210" t="str">
        <f t="shared" si="6"/>
        <v/>
      </c>
      <c r="AS105" s="217"/>
      <c r="AT105" s="210" t="s">
        <v>503</v>
      </c>
      <c r="AU105" s="263"/>
      <c r="AV105" s="217"/>
      <c r="BB105" s="206" t="str">
        <f t="array" ref="BB105">_xlfn.IFS(AQ105="","",LEN(AQ105)-LEN(SUBSTITUTE(AQ105,".",""))=3,LEFT(AQ105,vitri(".",AQ105,3)-1),LEN(AQ105)-LEN(SUBSTITUTE(AQ105,".",""))=2,LEFT(AQ105,vitri(".",AQ105,2)-1),TRUE,LEFT(AQ105,vitri(".",AQ105,1)-1))</f>
        <v/>
      </c>
    </row>
    <row r="106" spans="2:54" x14ac:dyDescent="0.25">
      <c r="B106" s="108" t="s">
        <v>184</v>
      </c>
      <c r="C106" s="1" t="s">
        <v>129</v>
      </c>
      <c r="D106" s="159" t="s">
        <v>130</v>
      </c>
      <c r="E106" s="1" t="s">
        <v>327</v>
      </c>
      <c r="F106" s="1" t="s">
        <v>328</v>
      </c>
      <c r="G106" s="1" t="s">
        <v>5</v>
      </c>
      <c r="H106" s="1" t="s">
        <v>5</v>
      </c>
      <c r="I106" s="1" t="s">
        <v>5</v>
      </c>
      <c r="J106" s="1" t="s">
        <v>5</v>
      </c>
      <c r="K106" s="204" t="str">
        <f t="shared" si="7"/>
        <v>M_PIA_YST_05</v>
      </c>
      <c r="L106" s="160" t="s">
        <v>257</v>
      </c>
      <c r="M106" s="379">
        <v>109</v>
      </c>
      <c r="P106" s="297" t="s">
        <v>184</v>
      </c>
      <c r="Q106" s="241" t="s">
        <v>129</v>
      </c>
      <c r="R106" s="317" t="s">
        <v>130</v>
      </c>
      <c r="S106" s="241" t="s">
        <v>327</v>
      </c>
      <c r="T106" s="241" t="s">
        <v>328</v>
      </c>
      <c r="U106" s="241" t="s">
        <v>5</v>
      </c>
      <c r="V106" s="241" t="s">
        <v>5</v>
      </c>
      <c r="W106" s="241" t="s">
        <v>5</v>
      </c>
      <c r="X106" s="241" t="s">
        <v>5</v>
      </c>
      <c r="Y106" s="265" t="s">
        <v>1343</v>
      </c>
      <c r="Z106" s="318" t="s">
        <v>257</v>
      </c>
      <c r="AA106" s="381">
        <v>109</v>
      </c>
      <c r="AB106" s="210">
        <f t="shared" si="4"/>
        <v>5</v>
      </c>
      <c r="AC106" s="143" t="s">
        <v>184</v>
      </c>
      <c r="AD106" s="77" t="s">
        <v>129</v>
      </c>
      <c r="AE106" s="128" t="s">
        <v>130</v>
      </c>
      <c r="AF106" s="77" t="s">
        <v>327</v>
      </c>
      <c r="AG106" s="77" t="s">
        <v>328</v>
      </c>
      <c r="AH106" s="77" t="s">
        <v>5</v>
      </c>
      <c r="AI106" s="77" t="s">
        <v>5</v>
      </c>
      <c r="AJ106" s="77" t="s">
        <v>5</v>
      </c>
      <c r="AK106" s="77" t="s">
        <v>5</v>
      </c>
      <c r="AL106" s="95" t="s">
        <v>1343</v>
      </c>
      <c r="AM106" s="144" t="s">
        <v>257</v>
      </c>
      <c r="AN106" s="144">
        <v>109</v>
      </c>
      <c r="AP106" s="210" t="str">
        <f t="shared" si="5"/>
        <v/>
      </c>
      <c r="AQ106" s="263"/>
      <c r="AR106" s="210" t="str">
        <f t="shared" si="6"/>
        <v/>
      </c>
      <c r="AS106" s="217"/>
      <c r="AT106" s="210" t="s">
        <v>503</v>
      </c>
      <c r="AU106" s="263"/>
      <c r="AV106" s="217"/>
      <c r="BB106" s="206" t="str">
        <f t="array" ref="BB106">_xlfn.IFS(AQ106="","",LEN(AQ106)-LEN(SUBSTITUTE(AQ106,".",""))=3,LEFT(AQ106,vitri(".",AQ106,3)-1),LEN(AQ106)-LEN(SUBSTITUTE(AQ106,".",""))=2,LEFT(AQ106,vitri(".",AQ106,2)-1),TRUE,LEFT(AQ106,vitri(".",AQ106,1)-1))</f>
        <v/>
      </c>
    </row>
    <row r="107" spans="2:54" x14ac:dyDescent="0.25">
      <c r="B107" s="108" t="s">
        <v>184</v>
      </c>
      <c r="C107" s="1" t="s">
        <v>1245</v>
      </c>
      <c r="D107" s="159" t="s">
        <v>137</v>
      </c>
      <c r="E107" s="1" t="s">
        <v>1027</v>
      </c>
      <c r="F107" s="1" t="s">
        <v>1028</v>
      </c>
      <c r="G107" s="1" t="s">
        <v>1246</v>
      </c>
      <c r="H107" s="1" t="s">
        <v>1246</v>
      </c>
      <c r="I107" s="1" t="s">
        <v>5</v>
      </c>
      <c r="J107" s="1" t="s">
        <v>5</v>
      </c>
      <c r="K107" s="204" t="str">
        <f t="shared" si="7"/>
        <v>M_PIF_CAE_uPVC_02</v>
      </c>
      <c r="L107" s="160" t="s">
        <v>254</v>
      </c>
      <c r="M107" s="379">
        <v>146</v>
      </c>
      <c r="P107" s="297" t="s">
        <v>184</v>
      </c>
      <c r="Q107" s="241" t="s">
        <v>1245</v>
      </c>
      <c r="R107" s="317" t="s">
        <v>137</v>
      </c>
      <c r="S107" s="241" t="s">
        <v>1027</v>
      </c>
      <c r="T107" s="241" t="s">
        <v>1028</v>
      </c>
      <c r="U107" s="241" t="s">
        <v>1246</v>
      </c>
      <c r="V107" s="241" t="s">
        <v>1246</v>
      </c>
      <c r="W107" s="241" t="s">
        <v>5</v>
      </c>
      <c r="X107" s="241" t="s">
        <v>5</v>
      </c>
      <c r="Y107" s="265" t="s">
        <v>1344</v>
      </c>
      <c r="Z107" s="318" t="s">
        <v>254</v>
      </c>
      <c r="AA107" s="381">
        <v>146</v>
      </c>
      <c r="AB107" s="210">
        <f t="shared" si="4"/>
        <v>2</v>
      </c>
      <c r="AC107" s="143" t="s">
        <v>184</v>
      </c>
      <c r="AD107" s="77" t="s">
        <v>1245</v>
      </c>
      <c r="AE107" s="128" t="s">
        <v>137</v>
      </c>
      <c r="AF107" s="77" t="s">
        <v>1027</v>
      </c>
      <c r="AG107" s="77" t="s">
        <v>1028</v>
      </c>
      <c r="AH107" s="77" t="s">
        <v>1246</v>
      </c>
      <c r="AI107" s="77" t="s">
        <v>1246</v>
      </c>
      <c r="AJ107" s="77" t="s">
        <v>5</v>
      </c>
      <c r="AK107" s="77" t="s">
        <v>5</v>
      </c>
      <c r="AL107" s="95" t="s">
        <v>1344</v>
      </c>
      <c r="AM107" s="144" t="s">
        <v>254</v>
      </c>
      <c r="AN107" s="144">
        <v>146</v>
      </c>
      <c r="AP107" s="210" t="str">
        <f t="shared" si="5"/>
        <v/>
      </c>
      <c r="AQ107" s="263"/>
      <c r="AR107" s="210" t="str">
        <f t="shared" si="6"/>
        <v/>
      </c>
      <c r="AS107" s="217"/>
      <c r="AT107" s="210" t="s">
        <v>503</v>
      </c>
      <c r="AU107" s="263"/>
      <c r="AV107" s="217"/>
      <c r="BB107" s="206" t="str">
        <f t="array" ref="BB107">_xlfn.IFS(AQ107="","",LEN(AQ107)-LEN(SUBSTITUTE(AQ107,".",""))=3,LEFT(AQ107,vitri(".",AQ107,3)-1),LEN(AQ107)-LEN(SUBSTITUTE(AQ107,".",""))=2,LEFT(AQ107,vitri(".",AQ107,2)-1),TRUE,LEFT(AQ107,vitri(".",AQ107,1)-1))</f>
        <v/>
      </c>
    </row>
    <row r="108" spans="2:54" x14ac:dyDescent="0.25">
      <c r="B108" s="108" t="s">
        <v>184</v>
      </c>
      <c r="C108" s="1" t="s">
        <v>1245</v>
      </c>
      <c r="D108" s="159" t="s">
        <v>137</v>
      </c>
      <c r="E108" s="1" t="s">
        <v>1175</v>
      </c>
      <c r="F108" s="1" t="s">
        <v>139</v>
      </c>
      <c r="G108" s="1" t="s">
        <v>1246</v>
      </c>
      <c r="H108" s="1" t="s">
        <v>1246</v>
      </c>
      <c r="I108" s="1" t="s">
        <v>5</v>
      </c>
      <c r="J108" s="1" t="s">
        <v>5</v>
      </c>
      <c r="K108" s="204" t="str">
        <f t="shared" si="7"/>
        <v>M_PIF_ELB_uPVC_01</v>
      </c>
      <c r="L108" s="160" t="s">
        <v>253</v>
      </c>
      <c r="M108" s="379">
        <v>145</v>
      </c>
      <c r="P108" s="297" t="s">
        <v>184</v>
      </c>
      <c r="Q108" s="241" t="s">
        <v>1245</v>
      </c>
      <c r="R108" s="317" t="s">
        <v>137</v>
      </c>
      <c r="S108" s="241" t="s">
        <v>1175</v>
      </c>
      <c r="T108" s="241" t="s">
        <v>139</v>
      </c>
      <c r="U108" s="241" t="s">
        <v>1246</v>
      </c>
      <c r="V108" s="241" t="s">
        <v>1246</v>
      </c>
      <c r="W108" s="241" t="s">
        <v>5</v>
      </c>
      <c r="X108" s="241" t="s">
        <v>5</v>
      </c>
      <c r="Y108" s="265" t="s">
        <v>1345</v>
      </c>
      <c r="Z108" s="318" t="s">
        <v>253</v>
      </c>
      <c r="AA108" s="381">
        <v>145</v>
      </c>
      <c r="AB108" s="210">
        <f t="shared" si="4"/>
        <v>1</v>
      </c>
      <c r="AC108" s="143" t="s">
        <v>184</v>
      </c>
      <c r="AD108" s="77" t="s">
        <v>1245</v>
      </c>
      <c r="AE108" s="128" t="s">
        <v>137</v>
      </c>
      <c r="AF108" s="77" t="s">
        <v>1175</v>
      </c>
      <c r="AG108" s="77" t="s">
        <v>139</v>
      </c>
      <c r="AH108" s="77" t="s">
        <v>1246</v>
      </c>
      <c r="AI108" s="77" t="s">
        <v>1246</v>
      </c>
      <c r="AJ108" s="77" t="s">
        <v>5</v>
      </c>
      <c r="AK108" s="77" t="s">
        <v>5</v>
      </c>
      <c r="AL108" s="95" t="s">
        <v>1345</v>
      </c>
      <c r="AM108" s="144" t="s">
        <v>253</v>
      </c>
      <c r="AN108" s="144">
        <v>145</v>
      </c>
      <c r="AP108" s="210" t="str">
        <f t="shared" si="5"/>
        <v/>
      </c>
      <c r="AQ108" s="263"/>
      <c r="AR108" s="210" t="str">
        <f t="shared" si="6"/>
        <v/>
      </c>
      <c r="AS108" s="217"/>
      <c r="AT108" s="210" t="s">
        <v>503</v>
      </c>
      <c r="AU108" s="263"/>
      <c r="AV108" s="217"/>
      <c r="BB108" s="206" t="str">
        <f t="array" ref="BB108">_xlfn.IFS(AQ108="","",LEN(AQ108)-LEN(SUBSTITUTE(AQ108,".",""))=3,LEFT(AQ108,vitri(".",AQ108,3)-1),LEN(AQ108)-LEN(SUBSTITUTE(AQ108,".",""))=2,LEFT(AQ108,vitri(".",AQ108,2)-1),TRUE,LEFT(AQ108,vitri(".",AQ108,1)-1))</f>
        <v/>
      </c>
    </row>
    <row r="109" spans="2:54" x14ac:dyDescent="0.25">
      <c r="B109" s="108" t="s">
        <v>184</v>
      </c>
      <c r="C109" s="1" t="s">
        <v>1245</v>
      </c>
      <c r="D109" s="159" t="s">
        <v>137</v>
      </c>
      <c r="E109" s="1" t="s">
        <v>329</v>
      </c>
      <c r="F109" s="1" t="s">
        <v>330</v>
      </c>
      <c r="G109" s="1" t="s">
        <v>1246</v>
      </c>
      <c r="H109" s="1" t="s">
        <v>1246</v>
      </c>
      <c r="I109" s="1" t="s">
        <v>5</v>
      </c>
      <c r="J109" s="1" t="s">
        <v>5</v>
      </c>
      <c r="K109" s="204" t="str">
        <f t="shared" si="7"/>
        <v>M_PIF_RED_uPVC_03</v>
      </c>
      <c r="L109" s="160" t="s">
        <v>255</v>
      </c>
      <c r="M109" s="379">
        <v>147</v>
      </c>
      <c r="P109" s="297" t="s">
        <v>184</v>
      </c>
      <c r="Q109" s="241" t="s">
        <v>1245</v>
      </c>
      <c r="R109" s="317" t="s">
        <v>137</v>
      </c>
      <c r="S109" s="241" t="s">
        <v>329</v>
      </c>
      <c r="T109" s="241" t="s">
        <v>330</v>
      </c>
      <c r="U109" s="241" t="s">
        <v>1246</v>
      </c>
      <c r="V109" s="241" t="s">
        <v>1246</v>
      </c>
      <c r="W109" s="241" t="s">
        <v>5</v>
      </c>
      <c r="X109" s="241" t="s">
        <v>5</v>
      </c>
      <c r="Y109" s="265" t="s">
        <v>1346</v>
      </c>
      <c r="Z109" s="318" t="s">
        <v>255</v>
      </c>
      <c r="AA109" s="381">
        <v>147</v>
      </c>
      <c r="AB109" s="210">
        <f t="shared" si="4"/>
        <v>3</v>
      </c>
      <c r="AC109" s="143" t="s">
        <v>184</v>
      </c>
      <c r="AD109" s="77" t="s">
        <v>1245</v>
      </c>
      <c r="AE109" s="128" t="s">
        <v>137</v>
      </c>
      <c r="AF109" s="77" t="s">
        <v>329</v>
      </c>
      <c r="AG109" s="77" t="s">
        <v>330</v>
      </c>
      <c r="AH109" s="77" t="s">
        <v>1246</v>
      </c>
      <c r="AI109" s="77" t="s">
        <v>1246</v>
      </c>
      <c r="AJ109" s="77" t="s">
        <v>5</v>
      </c>
      <c r="AK109" s="77" t="s">
        <v>5</v>
      </c>
      <c r="AL109" s="95" t="s">
        <v>1346</v>
      </c>
      <c r="AM109" s="144" t="s">
        <v>255</v>
      </c>
      <c r="AN109" s="144">
        <v>147</v>
      </c>
      <c r="AP109" s="210" t="str">
        <f t="shared" si="5"/>
        <v/>
      </c>
      <c r="AQ109" s="263"/>
      <c r="AR109" s="210" t="str">
        <f t="shared" si="6"/>
        <v/>
      </c>
      <c r="AS109" s="217"/>
      <c r="AT109" s="210" t="s">
        <v>503</v>
      </c>
      <c r="AU109" s="263"/>
      <c r="AV109" s="217"/>
      <c r="BB109" s="206" t="str">
        <f t="array" ref="BB109">_xlfn.IFS(AQ109="","",LEN(AQ109)-LEN(SUBSTITUTE(AQ109,".",""))=3,LEFT(AQ109,vitri(".",AQ109,3)-1),LEN(AQ109)-LEN(SUBSTITUTE(AQ109,".",""))=2,LEFT(AQ109,vitri(".",AQ109,2)-1),TRUE,LEFT(AQ109,vitri(".",AQ109,1)-1))</f>
        <v/>
      </c>
    </row>
    <row r="110" spans="2:54" x14ac:dyDescent="0.25">
      <c r="B110" s="108" t="s">
        <v>184</v>
      </c>
      <c r="C110" s="1" t="s">
        <v>1245</v>
      </c>
      <c r="D110" s="159" t="s">
        <v>137</v>
      </c>
      <c r="E110" s="1" t="s">
        <v>166</v>
      </c>
      <c r="F110" s="1" t="s">
        <v>1247</v>
      </c>
      <c r="G110" s="1" t="s">
        <v>1246</v>
      </c>
      <c r="H110" s="1" t="s">
        <v>1246</v>
      </c>
      <c r="I110" s="1" t="s">
        <v>5</v>
      </c>
      <c r="J110" s="1" t="s">
        <v>5</v>
      </c>
      <c r="K110" s="204" t="str">
        <f t="shared" si="7"/>
        <v>M_PIF_SOK_uPVC_04</v>
      </c>
      <c r="L110" s="160" t="s">
        <v>256</v>
      </c>
      <c r="M110" s="379">
        <v>148</v>
      </c>
      <c r="P110" s="297" t="s">
        <v>184</v>
      </c>
      <c r="Q110" s="241" t="s">
        <v>1245</v>
      </c>
      <c r="R110" s="317" t="s">
        <v>137</v>
      </c>
      <c r="S110" s="241" t="s">
        <v>166</v>
      </c>
      <c r="T110" s="241" t="s">
        <v>1247</v>
      </c>
      <c r="U110" s="241" t="s">
        <v>1246</v>
      </c>
      <c r="V110" s="241" t="s">
        <v>1246</v>
      </c>
      <c r="W110" s="241" t="s">
        <v>5</v>
      </c>
      <c r="X110" s="241" t="s">
        <v>5</v>
      </c>
      <c r="Y110" s="265" t="s">
        <v>1347</v>
      </c>
      <c r="Z110" s="318" t="s">
        <v>256</v>
      </c>
      <c r="AA110" s="381">
        <v>148</v>
      </c>
      <c r="AB110" s="210">
        <f t="shared" si="4"/>
        <v>4</v>
      </c>
      <c r="AC110" s="143" t="s">
        <v>184</v>
      </c>
      <c r="AD110" s="77" t="s">
        <v>1245</v>
      </c>
      <c r="AE110" s="128" t="s">
        <v>137</v>
      </c>
      <c r="AF110" s="77" t="s">
        <v>166</v>
      </c>
      <c r="AG110" s="77" t="s">
        <v>1247</v>
      </c>
      <c r="AH110" s="77" t="s">
        <v>1246</v>
      </c>
      <c r="AI110" s="77" t="s">
        <v>1246</v>
      </c>
      <c r="AJ110" s="77" t="s">
        <v>5</v>
      </c>
      <c r="AK110" s="77" t="s">
        <v>5</v>
      </c>
      <c r="AL110" s="95" t="s">
        <v>1347</v>
      </c>
      <c r="AM110" s="144" t="s">
        <v>256</v>
      </c>
      <c r="AN110" s="144">
        <v>148</v>
      </c>
      <c r="AP110" s="210" t="str">
        <f t="shared" si="5"/>
        <v/>
      </c>
      <c r="AQ110" s="263"/>
      <c r="AR110" s="210" t="str">
        <f t="shared" si="6"/>
        <v/>
      </c>
      <c r="AS110" s="217"/>
      <c r="AT110" s="210" t="s">
        <v>503</v>
      </c>
      <c r="AU110" s="263"/>
      <c r="AV110" s="217"/>
      <c r="BB110" s="206" t="str">
        <f t="array" ref="BB110">_xlfn.IFS(AQ110="","",LEN(AQ110)-LEN(SUBSTITUTE(AQ110,".",""))=3,LEFT(AQ110,vitri(".",AQ110,3)-1),LEN(AQ110)-LEN(SUBSTITUTE(AQ110,".",""))=2,LEFT(AQ110,vitri(".",AQ110,2)-1),TRUE,LEFT(AQ110,vitri(".",AQ110,1)-1))</f>
        <v/>
      </c>
    </row>
    <row r="111" spans="2:54" x14ac:dyDescent="0.25">
      <c r="B111" s="108" t="s">
        <v>184</v>
      </c>
      <c r="C111" s="1" t="s">
        <v>1245</v>
      </c>
      <c r="D111" s="159" t="s">
        <v>137</v>
      </c>
      <c r="E111" s="1" t="s">
        <v>151</v>
      </c>
      <c r="F111" s="1" t="s">
        <v>84</v>
      </c>
      <c r="G111" s="1" t="s">
        <v>1246</v>
      </c>
      <c r="H111" s="1" t="s">
        <v>1246</v>
      </c>
      <c r="I111" s="1" t="s">
        <v>5</v>
      </c>
      <c r="J111" s="1" t="s">
        <v>5</v>
      </c>
      <c r="K111" s="204" t="str">
        <f t="shared" si="7"/>
        <v>M_PIF_TEE_uPVC_05</v>
      </c>
      <c r="L111" s="160" t="s">
        <v>257</v>
      </c>
      <c r="M111" s="379">
        <v>149</v>
      </c>
      <c r="P111" s="297" t="s">
        <v>184</v>
      </c>
      <c r="Q111" s="241" t="s">
        <v>1245</v>
      </c>
      <c r="R111" s="317" t="s">
        <v>137</v>
      </c>
      <c r="S111" s="241" t="s">
        <v>151</v>
      </c>
      <c r="T111" s="241" t="s">
        <v>84</v>
      </c>
      <c r="U111" s="241" t="s">
        <v>1246</v>
      </c>
      <c r="V111" s="241" t="s">
        <v>1246</v>
      </c>
      <c r="W111" s="241" t="s">
        <v>5</v>
      </c>
      <c r="X111" s="241" t="s">
        <v>5</v>
      </c>
      <c r="Y111" s="265" t="s">
        <v>1348</v>
      </c>
      <c r="Z111" s="318" t="s">
        <v>257</v>
      </c>
      <c r="AA111" s="381">
        <v>149</v>
      </c>
      <c r="AB111" s="210">
        <f t="shared" si="4"/>
        <v>5</v>
      </c>
      <c r="AC111" s="143" t="s">
        <v>184</v>
      </c>
      <c r="AD111" s="77" t="s">
        <v>1245</v>
      </c>
      <c r="AE111" s="128" t="s">
        <v>137</v>
      </c>
      <c r="AF111" s="77" t="s">
        <v>151</v>
      </c>
      <c r="AG111" s="77" t="s">
        <v>84</v>
      </c>
      <c r="AH111" s="77" t="s">
        <v>1246</v>
      </c>
      <c r="AI111" s="77" t="s">
        <v>1246</v>
      </c>
      <c r="AJ111" s="77" t="s">
        <v>5</v>
      </c>
      <c r="AK111" s="77" t="s">
        <v>5</v>
      </c>
      <c r="AL111" s="95" t="s">
        <v>1348</v>
      </c>
      <c r="AM111" s="144" t="s">
        <v>257</v>
      </c>
      <c r="AN111" s="144">
        <v>149</v>
      </c>
      <c r="AP111" s="210" t="str">
        <f t="shared" si="5"/>
        <v/>
      </c>
      <c r="AQ111" s="263"/>
      <c r="AR111" s="210" t="str">
        <f t="shared" si="6"/>
        <v/>
      </c>
      <c r="AS111" s="217"/>
      <c r="AT111" s="210" t="s">
        <v>503</v>
      </c>
      <c r="AU111" s="263"/>
      <c r="AV111" s="217"/>
      <c r="BB111" s="206" t="str">
        <f t="array" ref="BB111">_xlfn.IFS(AQ111="","",LEN(AQ111)-LEN(SUBSTITUTE(AQ111,".",""))=3,LEFT(AQ111,vitri(".",AQ111,3)-1),LEN(AQ111)-LEN(SUBSTITUTE(AQ111,".",""))=2,LEFT(AQ111,vitri(".",AQ111,2)-1),TRUE,LEFT(AQ111,vitri(".",AQ111,1)-1))</f>
        <v/>
      </c>
    </row>
    <row r="112" spans="2:54" x14ac:dyDescent="0.25">
      <c r="M112" s="379"/>
      <c r="P112" s="297"/>
      <c r="Q112" s="241"/>
      <c r="R112" s="242"/>
      <c r="S112" s="241"/>
      <c r="T112" s="220"/>
      <c r="U112" s="241"/>
      <c r="V112" s="220"/>
      <c r="W112" s="241"/>
      <c r="X112" s="220"/>
      <c r="Y112" s="265"/>
      <c r="Z112" s="219"/>
      <c r="AB112" s="210" t="str">
        <f t="shared" si="4"/>
        <v/>
      </c>
      <c r="AP112" s="210" t="str">
        <f t="shared" si="5"/>
        <v/>
      </c>
      <c r="AQ112" s="263"/>
      <c r="AR112" s="210" t="str">
        <f t="shared" si="6"/>
        <v/>
      </c>
      <c r="AS112" s="217"/>
      <c r="AT112" s="210" t="s">
        <v>503</v>
      </c>
      <c r="AU112" s="263"/>
      <c r="AV112" s="217"/>
      <c r="BB112" s="206" t="str">
        <f t="array" ref="BB112">_xlfn.IFS(AQ112="","",LEN(AQ112)-LEN(SUBSTITUTE(AQ112,".",""))=3,LEFT(AQ112,vitri(".",AQ112,3)-1),LEN(AQ112)-LEN(SUBSTITUTE(AQ112,".",""))=2,LEFT(AQ112,vitri(".",AQ112,2)-1),TRUE,LEFT(AQ112,vitri(".",AQ112,1)-1))</f>
        <v/>
      </c>
    </row>
    <row r="113" spans="13:54" x14ac:dyDescent="0.25">
      <c r="M113" s="379"/>
      <c r="T113" s="226"/>
      <c r="V113" s="226"/>
      <c r="AB113" s="210" t="str">
        <f t="shared" si="4"/>
        <v/>
      </c>
      <c r="AP113" s="210" t="str">
        <f t="shared" si="5"/>
        <v/>
      </c>
      <c r="AQ113" s="263"/>
      <c r="AR113" s="210" t="str">
        <f t="shared" si="6"/>
        <v/>
      </c>
      <c r="AS113" s="217"/>
      <c r="AT113" s="210" t="s">
        <v>503</v>
      </c>
      <c r="AU113" s="263"/>
      <c r="AV113" s="217"/>
      <c r="BB113" s="206" t="str">
        <f t="array" ref="BB113">_xlfn.IFS(AQ113="","",LEN(AQ113)-LEN(SUBSTITUTE(AQ113,".",""))=3,LEFT(AQ113,vitri(".",AQ113,3)-1),LEN(AQ113)-LEN(SUBSTITUTE(AQ113,".",""))=2,LEFT(AQ113,vitri(".",AQ113,2)-1),TRUE,LEFT(AQ113,vitri(".",AQ113,1)-1))</f>
        <v/>
      </c>
    </row>
    <row r="114" spans="13:54" x14ac:dyDescent="0.25">
      <c r="M114" s="379"/>
      <c r="T114" s="226"/>
      <c r="V114" s="226"/>
      <c r="AB114" s="210" t="str">
        <f t="shared" si="4"/>
        <v/>
      </c>
      <c r="AP114" s="210" t="str">
        <f t="shared" si="5"/>
        <v/>
      </c>
      <c r="AQ114" s="263"/>
      <c r="AR114" s="210" t="str">
        <f t="shared" si="6"/>
        <v/>
      </c>
      <c r="AS114" s="217"/>
      <c r="AT114" s="210" t="s">
        <v>503</v>
      </c>
      <c r="AU114" s="263"/>
      <c r="AV114" s="217"/>
      <c r="BB114" s="206" t="str">
        <f t="array" ref="BB114">_xlfn.IFS(AQ114="","",LEN(AQ114)-LEN(SUBSTITUTE(AQ114,".",""))=3,LEFT(AQ114,vitri(".",AQ114,3)-1),LEN(AQ114)-LEN(SUBSTITUTE(AQ114,".",""))=2,LEFT(AQ114,vitri(".",AQ114,2)-1),TRUE,LEFT(AQ114,vitri(".",AQ114,1)-1))</f>
        <v/>
      </c>
    </row>
    <row r="115" spans="13:54" x14ac:dyDescent="0.25">
      <c r="M115" s="379"/>
      <c r="T115" s="226"/>
      <c r="V115" s="226"/>
      <c r="AB115" s="210" t="str">
        <f t="shared" si="4"/>
        <v/>
      </c>
      <c r="AP115" s="210" t="str">
        <f t="shared" si="5"/>
        <v/>
      </c>
      <c r="AQ115" s="263"/>
      <c r="AR115" s="210" t="str">
        <f t="shared" si="6"/>
        <v/>
      </c>
      <c r="AS115" s="217"/>
      <c r="AT115" s="210" t="s">
        <v>503</v>
      </c>
      <c r="AU115" s="263"/>
      <c r="AV115" s="217"/>
      <c r="BB115" s="206" t="str">
        <f t="array" ref="BB115">_xlfn.IFS(AQ115="","",LEN(AQ115)-LEN(SUBSTITUTE(AQ115,".",""))=3,LEFT(AQ115,vitri(".",AQ115,3)-1),LEN(AQ115)-LEN(SUBSTITUTE(AQ115,".",""))=2,LEFT(AQ115,vitri(".",AQ115,2)-1),TRUE,LEFT(AQ115,vitri(".",AQ115,1)-1))</f>
        <v/>
      </c>
    </row>
    <row r="116" spans="13:54" x14ac:dyDescent="0.25">
      <c r="M116" s="379"/>
      <c r="T116" s="226"/>
      <c r="V116" s="226"/>
      <c r="AB116" s="210" t="str">
        <f t="shared" si="4"/>
        <v/>
      </c>
      <c r="AP116" s="210" t="str">
        <f t="shared" si="5"/>
        <v/>
      </c>
      <c r="AQ116" s="263"/>
      <c r="AR116" s="210" t="str">
        <f t="shared" si="6"/>
        <v/>
      </c>
      <c r="AS116" s="217"/>
      <c r="AT116" s="210" t="s">
        <v>503</v>
      </c>
      <c r="AU116" s="263"/>
      <c r="AV116" s="217"/>
      <c r="BB116" s="206" t="str">
        <f t="array" ref="BB116">_xlfn.IFS(AQ116="","",LEN(AQ116)-LEN(SUBSTITUTE(AQ116,".",""))=3,LEFT(AQ116,vitri(".",AQ116,3)-1),LEN(AQ116)-LEN(SUBSTITUTE(AQ116,".",""))=2,LEFT(AQ116,vitri(".",AQ116,2)-1),TRUE,LEFT(AQ116,vitri(".",AQ116,1)-1))</f>
        <v/>
      </c>
    </row>
    <row r="117" spans="13:54" x14ac:dyDescent="0.25">
      <c r="M117" s="379"/>
      <c r="T117" s="226"/>
      <c r="V117" s="226"/>
      <c r="AB117" s="210" t="str">
        <f t="shared" si="4"/>
        <v/>
      </c>
      <c r="AP117" s="210" t="str">
        <f t="shared" si="5"/>
        <v/>
      </c>
      <c r="AQ117" s="263"/>
      <c r="AR117" s="210" t="str">
        <f t="shared" si="6"/>
        <v/>
      </c>
      <c r="AS117" s="217"/>
      <c r="AT117" s="210" t="s">
        <v>503</v>
      </c>
      <c r="AU117" s="263"/>
      <c r="AV117" s="217"/>
      <c r="BB117" s="206" t="str">
        <f t="array" ref="BB117">_xlfn.IFS(AQ117="","",LEN(AQ117)-LEN(SUBSTITUTE(AQ117,".",""))=3,LEFT(AQ117,vitri(".",AQ117,3)-1),LEN(AQ117)-LEN(SUBSTITUTE(AQ117,".",""))=2,LEFT(AQ117,vitri(".",AQ117,2)-1),TRUE,LEFT(AQ117,vitri(".",AQ117,1)-1))</f>
        <v/>
      </c>
    </row>
    <row r="118" spans="13:54" x14ac:dyDescent="0.25">
      <c r="M118" s="379"/>
      <c r="T118" s="226"/>
      <c r="V118" s="226"/>
      <c r="AB118" s="210" t="str">
        <f t="shared" si="4"/>
        <v/>
      </c>
      <c r="AP118" s="210" t="str">
        <f t="shared" si="5"/>
        <v/>
      </c>
      <c r="AQ118" s="263"/>
      <c r="AR118" s="210" t="str">
        <f t="shared" si="6"/>
        <v/>
      </c>
      <c r="AS118" s="217"/>
      <c r="AT118" s="210" t="s">
        <v>503</v>
      </c>
      <c r="AU118" s="263"/>
      <c r="AV118" s="217"/>
      <c r="BB118" s="206" t="str">
        <f t="array" ref="BB118">_xlfn.IFS(AQ118="","",LEN(AQ118)-LEN(SUBSTITUTE(AQ118,".",""))=3,LEFT(AQ118,vitri(".",AQ118,3)-1),LEN(AQ118)-LEN(SUBSTITUTE(AQ118,".",""))=2,LEFT(AQ118,vitri(".",AQ118,2)-1),TRUE,LEFT(AQ118,vitri(".",AQ118,1)-1))</f>
        <v/>
      </c>
    </row>
    <row r="119" spans="13:54" x14ac:dyDescent="0.25">
      <c r="M119" s="379"/>
      <c r="T119" s="226"/>
      <c r="V119" s="226"/>
      <c r="AB119" s="210" t="str">
        <f t="shared" si="4"/>
        <v/>
      </c>
      <c r="AP119" s="210" t="str">
        <f t="shared" si="5"/>
        <v/>
      </c>
      <c r="AQ119" s="263"/>
      <c r="AR119" s="210" t="str">
        <f t="shared" si="6"/>
        <v/>
      </c>
      <c r="AS119" s="217"/>
      <c r="AT119" s="210" t="s">
        <v>503</v>
      </c>
      <c r="AU119" s="263"/>
      <c r="AV119" s="217"/>
      <c r="BB119" s="206" t="str">
        <f t="array" ref="BB119">_xlfn.IFS(AQ119="","",LEN(AQ119)-LEN(SUBSTITUTE(AQ119,".",""))=3,LEFT(AQ119,vitri(".",AQ119,3)-1),LEN(AQ119)-LEN(SUBSTITUTE(AQ119,".",""))=2,LEFT(AQ119,vitri(".",AQ119,2)-1),TRUE,LEFT(AQ119,vitri(".",AQ119,1)-1))</f>
        <v/>
      </c>
    </row>
    <row r="120" spans="13:54" x14ac:dyDescent="0.25">
      <c r="M120" s="379"/>
      <c r="T120" s="226"/>
      <c r="V120" s="226"/>
      <c r="AB120" s="210" t="str">
        <f t="shared" si="4"/>
        <v/>
      </c>
      <c r="AP120" s="210" t="str">
        <f t="shared" si="5"/>
        <v/>
      </c>
      <c r="AQ120" s="263"/>
      <c r="AR120" s="210" t="str">
        <f t="shared" si="6"/>
        <v/>
      </c>
      <c r="AS120" s="217"/>
      <c r="AT120" s="210" t="s">
        <v>503</v>
      </c>
      <c r="AU120" s="263"/>
      <c r="AV120" s="217"/>
      <c r="BB120" s="206" t="str">
        <f t="array" ref="BB120">_xlfn.IFS(AQ120="","",LEN(AQ120)-LEN(SUBSTITUTE(AQ120,".",""))=3,LEFT(AQ120,vitri(".",AQ120,3)-1),LEN(AQ120)-LEN(SUBSTITUTE(AQ120,".",""))=2,LEFT(AQ120,vitri(".",AQ120,2)-1),TRUE,LEFT(AQ120,vitri(".",AQ120,1)-1))</f>
        <v/>
      </c>
    </row>
    <row r="121" spans="13:54" x14ac:dyDescent="0.25">
      <c r="M121" s="379"/>
      <c r="T121" s="226"/>
      <c r="V121" s="226"/>
      <c r="AB121" s="210" t="str">
        <f t="shared" si="4"/>
        <v/>
      </c>
      <c r="AP121" s="210" t="str">
        <f t="shared" si="5"/>
        <v/>
      </c>
      <c r="AQ121" s="263"/>
      <c r="AR121" s="210" t="str">
        <f t="shared" si="6"/>
        <v/>
      </c>
      <c r="AS121" s="217"/>
      <c r="AT121" s="210" t="s">
        <v>503</v>
      </c>
      <c r="AU121" s="263"/>
      <c r="AV121" s="217"/>
      <c r="BB121" s="206" t="str">
        <f t="array" ref="BB121">_xlfn.IFS(AQ121="","",LEN(AQ121)-LEN(SUBSTITUTE(AQ121,".",""))=3,LEFT(AQ121,vitri(".",AQ121,3)-1),LEN(AQ121)-LEN(SUBSTITUTE(AQ121,".",""))=2,LEFT(AQ121,vitri(".",AQ121,2)-1),TRUE,LEFT(AQ121,vitri(".",AQ121,1)-1))</f>
        <v/>
      </c>
    </row>
    <row r="122" spans="13:54" x14ac:dyDescent="0.25">
      <c r="M122" s="379"/>
      <c r="T122" s="226"/>
      <c r="V122" s="226"/>
      <c r="AB122" s="210" t="str">
        <f t="shared" si="4"/>
        <v/>
      </c>
      <c r="AP122" s="210" t="str">
        <f t="shared" si="5"/>
        <v/>
      </c>
      <c r="AQ122" s="263"/>
      <c r="AR122" s="210" t="str">
        <f t="shared" si="6"/>
        <v/>
      </c>
      <c r="AS122" s="217"/>
      <c r="AT122" s="210" t="s">
        <v>503</v>
      </c>
      <c r="AU122" s="263"/>
      <c r="AV122" s="217"/>
      <c r="BB122" s="206" t="str">
        <f t="array" ref="BB122">_xlfn.IFS(AQ122="","",LEN(AQ122)-LEN(SUBSTITUTE(AQ122,".",""))=3,LEFT(AQ122,vitri(".",AQ122,3)-1),LEN(AQ122)-LEN(SUBSTITUTE(AQ122,".",""))=2,LEFT(AQ122,vitri(".",AQ122,2)-1),TRUE,LEFT(AQ122,vitri(".",AQ122,1)-1))</f>
        <v/>
      </c>
    </row>
    <row r="123" spans="13:54" x14ac:dyDescent="0.25">
      <c r="M123" s="379"/>
      <c r="T123" s="226"/>
      <c r="V123" s="226"/>
      <c r="AB123" s="210" t="str">
        <f t="shared" si="4"/>
        <v/>
      </c>
      <c r="AP123" s="210" t="str">
        <f t="shared" si="5"/>
        <v/>
      </c>
      <c r="AQ123" s="263"/>
      <c r="AR123" s="210" t="str">
        <f t="shared" si="6"/>
        <v/>
      </c>
      <c r="AS123" s="217"/>
      <c r="AT123" s="210" t="s">
        <v>503</v>
      </c>
      <c r="AU123" s="263"/>
      <c r="AV123" s="217"/>
      <c r="BB123" s="206" t="str">
        <f t="array" ref="BB123">_xlfn.IFS(AQ123="","",LEN(AQ123)-LEN(SUBSTITUTE(AQ123,".",""))=3,LEFT(AQ123,vitri(".",AQ123,3)-1),LEN(AQ123)-LEN(SUBSTITUTE(AQ123,".",""))=2,LEFT(AQ123,vitri(".",AQ123,2)-1),TRUE,LEFT(AQ123,vitri(".",AQ123,1)-1))</f>
        <v/>
      </c>
    </row>
    <row r="124" spans="13:54" x14ac:dyDescent="0.25">
      <c r="M124" s="379"/>
      <c r="T124" s="226"/>
      <c r="V124" s="226"/>
      <c r="AB124" s="210" t="str">
        <f t="shared" si="4"/>
        <v/>
      </c>
      <c r="AP124" s="210" t="str">
        <f t="shared" si="5"/>
        <v/>
      </c>
      <c r="AQ124" s="263"/>
      <c r="AR124" s="210" t="str">
        <f t="shared" si="6"/>
        <v/>
      </c>
      <c r="AS124" s="217"/>
      <c r="AT124" s="210" t="s">
        <v>503</v>
      </c>
      <c r="AU124" s="263"/>
      <c r="AV124" s="217"/>
      <c r="BB124" s="206" t="str">
        <f t="array" ref="BB124">_xlfn.IFS(AQ124="","",LEN(AQ124)-LEN(SUBSTITUTE(AQ124,".",""))=3,LEFT(AQ124,vitri(".",AQ124,3)-1),LEN(AQ124)-LEN(SUBSTITUTE(AQ124,".",""))=2,LEFT(AQ124,vitri(".",AQ124,2)-1),TRUE,LEFT(AQ124,vitri(".",AQ124,1)-1))</f>
        <v/>
      </c>
    </row>
    <row r="125" spans="13:54" x14ac:dyDescent="0.25">
      <c r="M125" s="379"/>
      <c r="T125" s="226"/>
      <c r="V125" s="226"/>
      <c r="AB125" s="210" t="str">
        <f t="shared" si="4"/>
        <v/>
      </c>
      <c r="AP125" s="210" t="str">
        <f t="shared" si="5"/>
        <v/>
      </c>
      <c r="AQ125" s="263"/>
      <c r="AR125" s="210" t="str">
        <f t="shared" si="6"/>
        <v/>
      </c>
      <c r="AS125" s="217"/>
      <c r="AT125" s="210" t="s">
        <v>503</v>
      </c>
      <c r="AU125" s="263"/>
      <c r="AV125" s="217"/>
      <c r="BB125" s="206" t="str">
        <f t="array" ref="BB125">_xlfn.IFS(AQ125="","",LEN(AQ125)-LEN(SUBSTITUTE(AQ125,".",""))=3,LEFT(AQ125,vitri(".",AQ125,3)-1),LEN(AQ125)-LEN(SUBSTITUTE(AQ125,".",""))=2,LEFT(AQ125,vitri(".",AQ125,2)-1),TRUE,LEFT(AQ125,vitri(".",AQ125,1)-1))</f>
        <v/>
      </c>
    </row>
    <row r="126" spans="13:54" x14ac:dyDescent="0.25">
      <c r="M126" s="379"/>
      <c r="T126" s="226"/>
      <c r="V126" s="226"/>
      <c r="AB126" s="210" t="str">
        <f t="shared" si="4"/>
        <v/>
      </c>
      <c r="AP126" s="210" t="str">
        <f t="shared" si="5"/>
        <v/>
      </c>
      <c r="AQ126" s="263"/>
      <c r="AR126" s="210" t="str">
        <f t="shared" si="6"/>
        <v/>
      </c>
      <c r="AS126" s="217"/>
      <c r="AT126" s="210" t="s">
        <v>503</v>
      </c>
      <c r="AU126" s="263"/>
      <c r="AV126" s="217"/>
      <c r="BB126" s="206" t="str">
        <f t="array" ref="BB126">_xlfn.IFS(AQ126="","",LEN(AQ126)-LEN(SUBSTITUTE(AQ126,".",""))=3,LEFT(AQ126,vitri(".",AQ126,3)-1),LEN(AQ126)-LEN(SUBSTITUTE(AQ126,".",""))=2,LEFT(AQ126,vitri(".",AQ126,2)-1),TRUE,LEFT(AQ126,vitri(".",AQ126,1)-1))</f>
        <v/>
      </c>
    </row>
    <row r="127" spans="13:54" x14ac:dyDescent="0.25">
      <c r="M127" s="379"/>
      <c r="T127" s="226"/>
      <c r="V127" s="226"/>
      <c r="AB127" s="210" t="str">
        <f t="shared" si="4"/>
        <v/>
      </c>
      <c r="AP127" s="210" t="str">
        <f t="shared" si="5"/>
        <v/>
      </c>
      <c r="AQ127" s="263"/>
      <c r="AR127" s="210" t="str">
        <f t="shared" si="6"/>
        <v/>
      </c>
      <c r="AS127" s="217"/>
      <c r="AT127" s="210" t="s">
        <v>503</v>
      </c>
      <c r="AU127" s="263"/>
      <c r="AV127" s="217"/>
      <c r="BB127" s="206" t="str">
        <f t="array" ref="BB127">_xlfn.IFS(AQ127="","",LEN(AQ127)-LEN(SUBSTITUTE(AQ127,".",""))=3,LEFT(AQ127,vitri(".",AQ127,3)-1),LEN(AQ127)-LEN(SUBSTITUTE(AQ127,".",""))=2,LEFT(AQ127,vitri(".",AQ127,2)-1),TRUE,LEFT(AQ127,vitri(".",AQ127,1)-1))</f>
        <v/>
      </c>
    </row>
    <row r="128" spans="13:54" x14ac:dyDescent="0.25">
      <c r="M128" s="379"/>
      <c r="T128" s="226"/>
      <c r="V128" s="226"/>
      <c r="AB128" s="210" t="str">
        <f t="shared" si="4"/>
        <v/>
      </c>
      <c r="AP128" s="210" t="str">
        <f t="shared" si="5"/>
        <v/>
      </c>
      <c r="AQ128" s="263"/>
      <c r="AR128" s="210" t="str">
        <f t="shared" si="6"/>
        <v/>
      </c>
      <c r="AS128" s="217"/>
      <c r="AT128" s="210" t="s">
        <v>503</v>
      </c>
      <c r="AU128" s="263"/>
      <c r="AV128" s="217"/>
      <c r="BB128" s="206" t="str">
        <f t="array" ref="BB128">_xlfn.IFS(AQ128="","",LEN(AQ128)-LEN(SUBSTITUTE(AQ128,".",""))=3,LEFT(AQ128,vitri(".",AQ128,3)-1),LEN(AQ128)-LEN(SUBSTITUTE(AQ128,".",""))=2,LEFT(AQ128,vitri(".",AQ128,2)-1),TRUE,LEFT(AQ128,vitri(".",AQ128,1)-1))</f>
        <v/>
      </c>
    </row>
    <row r="129" spans="13:54" x14ac:dyDescent="0.25">
      <c r="M129" s="379"/>
      <c r="T129" s="226"/>
      <c r="V129" s="226"/>
      <c r="AB129" s="210" t="str">
        <f t="shared" si="4"/>
        <v/>
      </c>
      <c r="AP129" s="210" t="str">
        <f t="shared" si="5"/>
        <v/>
      </c>
      <c r="AQ129" s="263"/>
      <c r="AR129" s="210" t="str">
        <f t="shared" si="6"/>
        <v/>
      </c>
      <c r="AS129" s="217"/>
      <c r="AT129" s="210" t="s">
        <v>503</v>
      </c>
      <c r="AU129" s="263"/>
      <c r="AV129" s="217"/>
      <c r="BB129" s="206" t="str">
        <f t="array" ref="BB129">_xlfn.IFS(AQ129="","",LEN(AQ129)-LEN(SUBSTITUTE(AQ129,".",""))=3,LEFT(AQ129,vitri(".",AQ129,3)-1),LEN(AQ129)-LEN(SUBSTITUTE(AQ129,".",""))=2,LEFT(AQ129,vitri(".",AQ129,2)-1),TRUE,LEFT(AQ129,vitri(".",AQ129,1)-1))</f>
        <v/>
      </c>
    </row>
    <row r="130" spans="13:54" x14ac:dyDescent="0.25">
      <c r="M130" s="379"/>
      <c r="T130" s="226"/>
      <c r="V130" s="226"/>
      <c r="AB130" s="210" t="str">
        <f t="shared" si="4"/>
        <v/>
      </c>
      <c r="AP130" s="210" t="str">
        <f t="shared" si="5"/>
        <v/>
      </c>
      <c r="AQ130" s="263"/>
      <c r="AR130" s="210" t="str">
        <f t="shared" si="6"/>
        <v/>
      </c>
      <c r="AS130" s="217"/>
      <c r="AT130" s="210" t="s">
        <v>503</v>
      </c>
      <c r="AU130" s="263"/>
      <c r="AV130" s="217"/>
      <c r="BB130" s="206" t="str">
        <f t="array" ref="BB130">_xlfn.IFS(AQ130="","",LEN(AQ130)-LEN(SUBSTITUTE(AQ130,".",""))=3,LEFT(AQ130,vitri(".",AQ130,3)-1),LEN(AQ130)-LEN(SUBSTITUTE(AQ130,".",""))=2,LEFT(AQ130,vitri(".",AQ130,2)-1),TRUE,LEFT(AQ130,vitri(".",AQ130,1)-1))</f>
        <v/>
      </c>
    </row>
    <row r="131" spans="13:54" x14ac:dyDescent="0.25">
      <c r="M131" s="379"/>
      <c r="T131" s="226"/>
      <c r="V131" s="226"/>
      <c r="AB131" s="210" t="str">
        <f t="shared" si="4"/>
        <v/>
      </c>
      <c r="AP131" s="210" t="str">
        <f t="shared" si="5"/>
        <v/>
      </c>
      <c r="AQ131" s="263"/>
      <c r="AR131" s="210" t="str">
        <f t="shared" si="6"/>
        <v/>
      </c>
      <c r="AS131" s="217"/>
      <c r="AT131" s="210" t="s">
        <v>503</v>
      </c>
      <c r="AU131" s="263"/>
      <c r="AV131" s="217"/>
      <c r="BB131" s="206" t="str">
        <f t="array" ref="BB131">_xlfn.IFS(AQ131="","",LEN(AQ131)-LEN(SUBSTITUTE(AQ131,".",""))=3,LEFT(AQ131,vitri(".",AQ131,3)-1),LEN(AQ131)-LEN(SUBSTITUTE(AQ131,".",""))=2,LEFT(AQ131,vitri(".",AQ131,2)-1),TRUE,LEFT(AQ131,vitri(".",AQ131,1)-1))</f>
        <v/>
      </c>
    </row>
    <row r="132" spans="13:54" x14ac:dyDescent="0.25">
      <c r="M132" s="379"/>
      <c r="T132" s="226"/>
      <c r="V132" s="226"/>
      <c r="AB132" s="210" t="str">
        <f t="shared" si="4"/>
        <v/>
      </c>
      <c r="AP132" s="210" t="str">
        <f t="shared" si="5"/>
        <v/>
      </c>
      <c r="AQ132" s="263"/>
      <c r="AR132" s="210" t="str">
        <f t="shared" si="6"/>
        <v/>
      </c>
      <c r="AS132" s="217"/>
      <c r="AT132" s="210" t="s">
        <v>503</v>
      </c>
      <c r="AU132" s="263"/>
      <c r="AV132" s="217"/>
      <c r="BB132" s="206" t="str">
        <f t="array" ref="BB132">_xlfn.IFS(AQ132="","",LEN(AQ132)-LEN(SUBSTITUTE(AQ132,".",""))=3,LEFT(AQ132,vitri(".",AQ132,3)-1),LEN(AQ132)-LEN(SUBSTITUTE(AQ132,".",""))=2,LEFT(AQ132,vitri(".",AQ132,2)-1),TRUE,LEFT(AQ132,vitri(".",AQ132,1)-1))</f>
        <v/>
      </c>
    </row>
    <row r="133" spans="13:54" x14ac:dyDescent="0.25">
      <c r="M133" s="379"/>
      <c r="T133" s="226"/>
      <c r="V133" s="226"/>
      <c r="AB133" s="210" t="str">
        <f t="shared" ref="AB133:AB196" si="8">IF(Z133="","",Z133*1)</f>
        <v/>
      </c>
      <c r="AP133" s="210" t="str">
        <f t="shared" si="5"/>
        <v/>
      </c>
      <c r="AQ133" s="263"/>
      <c r="AR133" s="210" t="str">
        <f t="shared" si="6"/>
        <v/>
      </c>
      <c r="AS133" s="217"/>
      <c r="AT133" s="210" t="s">
        <v>503</v>
      </c>
      <c r="AU133" s="263"/>
      <c r="AV133" s="217"/>
      <c r="BB133" s="206" t="str">
        <f t="array" ref="BB133">_xlfn.IFS(AQ133="","",LEN(AQ133)-LEN(SUBSTITUTE(AQ133,".",""))=3,LEFT(AQ133,vitri(".",AQ133,3)-1),LEN(AQ133)-LEN(SUBSTITUTE(AQ133,".",""))=2,LEFT(AQ133,vitri(".",AQ133,2)-1),TRUE,LEFT(AQ133,vitri(".",AQ133,1)-1))</f>
        <v/>
      </c>
    </row>
    <row r="134" spans="13:54" x14ac:dyDescent="0.25">
      <c r="M134" s="379"/>
      <c r="T134" s="226"/>
      <c r="V134" s="226"/>
      <c r="AB134" s="210" t="str">
        <f t="shared" si="8"/>
        <v/>
      </c>
      <c r="AP134" s="210" t="str">
        <f t="shared" ref="AP134:AP197" si="9">IF(AQ134="","",AP133+1)</f>
        <v/>
      </c>
      <c r="AQ134" s="263"/>
      <c r="AR134" s="210" t="str">
        <f t="shared" ref="AR134:AR197" si="10">IF(AP134="","",AP134)</f>
        <v/>
      </c>
      <c r="AS134" s="217"/>
      <c r="AT134" s="210" t="s">
        <v>503</v>
      </c>
      <c r="AU134" s="263"/>
      <c r="AV134" s="217"/>
      <c r="BB134" s="206" t="str">
        <f t="array" ref="BB134">_xlfn.IFS(AQ134="","",LEN(AQ134)-LEN(SUBSTITUTE(AQ134,".",""))=3,LEFT(AQ134,vitri(".",AQ134,3)-1),LEN(AQ134)-LEN(SUBSTITUTE(AQ134,".",""))=2,LEFT(AQ134,vitri(".",AQ134,2)-1),TRUE,LEFT(AQ134,vitri(".",AQ134,1)-1))</f>
        <v/>
      </c>
    </row>
    <row r="135" spans="13:54" x14ac:dyDescent="0.25">
      <c r="M135" s="379"/>
      <c r="T135" s="226"/>
      <c r="V135" s="226"/>
      <c r="AB135" s="210" t="str">
        <f t="shared" si="8"/>
        <v/>
      </c>
      <c r="AP135" s="210" t="str">
        <f t="shared" si="9"/>
        <v/>
      </c>
      <c r="AQ135" s="263"/>
      <c r="AR135" s="210" t="str">
        <f t="shared" si="10"/>
        <v/>
      </c>
      <c r="AS135" s="217"/>
      <c r="AT135" s="210" t="s">
        <v>503</v>
      </c>
      <c r="AU135" s="263"/>
      <c r="AV135" s="217"/>
      <c r="BB135" s="206" t="str">
        <f t="array" ref="BB135">_xlfn.IFS(AQ135="","",LEN(AQ135)-LEN(SUBSTITUTE(AQ135,".",""))=3,LEFT(AQ135,vitri(".",AQ135,3)-1),LEN(AQ135)-LEN(SUBSTITUTE(AQ135,".",""))=2,LEFT(AQ135,vitri(".",AQ135,2)-1),TRUE,LEFT(AQ135,vitri(".",AQ135,1)-1))</f>
        <v/>
      </c>
    </row>
    <row r="136" spans="13:54" x14ac:dyDescent="0.25">
      <c r="M136" s="379"/>
      <c r="T136" s="226"/>
      <c r="V136" s="226"/>
      <c r="AB136" s="210" t="str">
        <f t="shared" si="8"/>
        <v/>
      </c>
      <c r="AP136" s="210" t="str">
        <f t="shared" si="9"/>
        <v/>
      </c>
      <c r="AQ136" s="263"/>
      <c r="AR136" s="210" t="str">
        <f t="shared" si="10"/>
        <v/>
      </c>
      <c r="AS136" s="217"/>
      <c r="AT136" s="210" t="s">
        <v>503</v>
      </c>
      <c r="AU136" s="263"/>
      <c r="AV136" s="217"/>
      <c r="BB136" s="206" t="str">
        <f t="array" ref="BB136">_xlfn.IFS(AQ136="","",LEN(AQ136)-LEN(SUBSTITUTE(AQ136,".",""))=3,LEFT(AQ136,vitri(".",AQ136,3)-1),LEN(AQ136)-LEN(SUBSTITUTE(AQ136,".",""))=2,LEFT(AQ136,vitri(".",AQ136,2)-1),TRUE,LEFT(AQ136,vitri(".",AQ136,1)-1))</f>
        <v/>
      </c>
    </row>
    <row r="137" spans="13:54" x14ac:dyDescent="0.25">
      <c r="M137" s="379"/>
      <c r="T137" s="226"/>
      <c r="V137" s="226"/>
      <c r="AB137" s="210" t="str">
        <f t="shared" si="8"/>
        <v/>
      </c>
      <c r="AP137" s="210" t="str">
        <f t="shared" si="9"/>
        <v/>
      </c>
      <c r="AQ137" s="263"/>
      <c r="AR137" s="210" t="str">
        <f t="shared" si="10"/>
        <v/>
      </c>
      <c r="AS137" s="217"/>
      <c r="AT137" s="210" t="s">
        <v>503</v>
      </c>
      <c r="AU137" s="263"/>
      <c r="AV137" s="217"/>
      <c r="BB137" s="206" t="str">
        <f t="array" ref="BB137">_xlfn.IFS(AQ137="","",LEN(AQ137)-LEN(SUBSTITUTE(AQ137,".",""))=3,LEFT(AQ137,vitri(".",AQ137,3)-1),LEN(AQ137)-LEN(SUBSTITUTE(AQ137,".",""))=2,LEFT(AQ137,vitri(".",AQ137,2)-1),TRUE,LEFT(AQ137,vitri(".",AQ137,1)-1))</f>
        <v/>
      </c>
    </row>
    <row r="138" spans="13:54" x14ac:dyDescent="0.25">
      <c r="M138" s="379"/>
      <c r="T138" s="226"/>
      <c r="V138" s="226"/>
      <c r="AB138" s="210" t="str">
        <f t="shared" si="8"/>
        <v/>
      </c>
      <c r="AP138" s="210" t="str">
        <f t="shared" si="9"/>
        <v/>
      </c>
      <c r="AQ138" s="263"/>
      <c r="AR138" s="210" t="str">
        <f t="shared" si="10"/>
        <v/>
      </c>
      <c r="AS138" s="217"/>
      <c r="AT138" s="210" t="s">
        <v>503</v>
      </c>
      <c r="AU138" s="263"/>
      <c r="AV138" s="217"/>
      <c r="BB138" s="206" t="str">
        <f t="array" ref="BB138">_xlfn.IFS(AQ138="","",LEN(AQ138)-LEN(SUBSTITUTE(AQ138,".",""))=3,LEFT(AQ138,vitri(".",AQ138,3)-1),LEN(AQ138)-LEN(SUBSTITUTE(AQ138,".",""))=2,LEFT(AQ138,vitri(".",AQ138,2)-1),TRUE,LEFT(AQ138,vitri(".",AQ138,1)-1))</f>
        <v/>
      </c>
    </row>
    <row r="139" spans="13:54" x14ac:dyDescent="0.25">
      <c r="M139" s="379"/>
      <c r="T139" s="226"/>
      <c r="V139" s="226"/>
      <c r="AB139" s="210" t="str">
        <f t="shared" si="8"/>
        <v/>
      </c>
      <c r="AP139" s="210" t="str">
        <f t="shared" si="9"/>
        <v/>
      </c>
      <c r="AQ139" s="263"/>
      <c r="AR139" s="210" t="str">
        <f t="shared" si="10"/>
        <v/>
      </c>
      <c r="AS139" s="217"/>
      <c r="AT139" s="210" t="s">
        <v>503</v>
      </c>
      <c r="AU139" s="263"/>
      <c r="AV139" s="217"/>
      <c r="BB139" s="206" t="str">
        <f t="array" ref="BB139">_xlfn.IFS(AQ139="","",LEN(AQ139)-LEN(SUBSTITUTE(AQ139,".",""))=3,LEFT(AQ139,vitri(".",AQ139,3)-1),LEN(AQ139)-LEN(SUBSTITUTE(AQ139,".",""))=2,LEFT(AQ139,vitri(".",AQ139,2)-1),TRUE,LEFT(AQ139,vitri(".",AQ139,1)-1))</f>
        <v/>
      </c>
    </row>
    <row r="140" spans="13:54" x14ac:dyDescent="0.25">
      <c r="M140" s="379"/>
      <c r="T140" s="226"/>
      <c r="V140" s="226"/>
      <c r="AB140" s="210" t="str">
        <f t="shared" si="8"/>
        <v/>
      </c>
      <c r="AP140" s="210" t="str">
        <f t="shared" si="9"/>
        <v/>
      </c>
      <c r="AQ140" s="263"/>
      <c r="AR140" s="210" t="str">
        <f t="shared" si="10"/>
        <v/>
      </c>
      <c r="AS140" s="217"/>
      <c r="AT140" s="210" t="s">
        <v>503</v>
      </c>
      <c r="AU140" s="263"/>
      <c r="AV140" s="217"/>
      <c r="BB140" s="206" t="str">
        <f t="array" ref="BB140">_xlfn.IFS(AQ140="","",LEN(AQ140)-LEN(SUBSTITUTE(AQ140,".",""))=3,LEFT(AQ140,vitri(".",AQ140,3)-1),LEN(AQ140)-LEN(SUBSTITUTE(AQ140,".",""))=2,LEFT(AQ140,vitri(".",AQ140,2)-1),TRUE,LEFT(AQ140,vitri(".",AQ140,1)-1))</f>
        <v/>
      </c>
    </row>
    <row r="141" spans="13:54" x14ac:dyDescent="0.25">
      <c r="M141" s="379"/>
      <c r="T141" s="226"/>
      <c r="V141" s="226"/>
      <c r="AB141" s="210" t="str">
        <f t="shared" si="8"/>
        <v/>
      </c>
      <c r="AP141" s="210" t="str">
        <f t="shared" si="9"/>
        <v/>
      </c>
      <c r="AQ141" s="263"/>
      <c r="AR141" s="210" t="str">
        <f t="shared" si="10"/>
        <v/>
      </c>
      <c r="AS141" s="217"/>
      <c r="AT141" s="210" t="s">
        <v>503</v>
      </c>
      <c r="AU141" s="263"/>
      <c r="AV141" s="217"/>
      <c r="BB141" s="206" t="str">
        <f t="array" ref="BB141">_xlfn.IFS(AQ141="","",LEN(AQ141)-LEN(SUBSTITUTE(AQ141,".",""))=3,LEFT(AQ141,vitri(".",AQ141,3)-1),LEN(AQ141)-LEN(SUBSTITUTE(AQ141,".",""))=2,LEFT(AQ141,vitri(".",AQ141,2)-1),TRUE,LEFT(AQ141,vitri(".",AQ141,1)-1))</f>
        <v/>
      </c>
    </row>
    <row r="142" spans="13:54" x14ac:dyDescent="0.25">
      <c r="M142" s="379"/>
      <c r="T142" s="226"/>
      <c r="V142" s="226"/>
      <c r="AB142" s="210" t="str">
        <f t="shared" si="8"/>
        <v/>
      </c>
      <c r="AP142" s="210" t="str">
        <f t="shared" si="9"/>
        <v/>
      </c>
      <c r="AQ142" s="263"/>
      <c r="AR142" s="210" t="str">
        <f t="shared" si="10"/>
        <v/>
      </c>
      <c r="AS142" s="217"/>
      <c r="AT142" s="210" t="s">
        <v>503</v>
      </c>
      <c r="AU142" s="263"/>
      <c r="AV142" s="217"/>
      <c r="BB142" s="206" t="str">
        <f t="array" ref="BB142">_xlfn.IFS(AQ142="","",LEN(AQ142)-LEN(SUBSTITUTE(AQ142,".",""))=3,LEFT(AQ142,vitri(".",AQ142,3)-1),LEN(AQ142)-LEN(SUBSTITUTE(AQ142,".",""))=2,LEFT(AQ142,vitri(".",AQ142,2)-1),TRUE,LEFT(AQ142,vitri(".",AQ142,1)-1))</f>
        <v/>
      </c>
    </row>
    <row r="143" spans="13:54" x14ac:dyDescent="0.25">
      <c r="M143" s="379"/>
      <c r="T143" s="226"/>
      <c r="V143" s="226"/>
      <c r="AB143" s="210" t="str">
        <f t="shared" si="8"/>
        <v/>
      </c>
      <c r="AP143" s="210" t="str">
        <f t="shared" si="9"/>
        <v/>
      </c>
      <c r="AQ143" s="263"/>
      <c r="AR143" s="210" t="str">
        <f t="shared" si="10"/>
        <v/>
      </c>
      <c r="AS143" s="217"/>
      <c r="AT143" s="210" t="s">
        <v>503</v>
      </c>
      <c r="AU143" s="263"/>
      <c r="AV143" s="217"/>
      <c r="BB143" s="206" t="str">
        <f t="array" ref="BB143">_xlfn.IFS(AQ143="","",LEN(AQ143)-LEN(SUBSTITUTE(AQ143,".",""))=3,LEFT(AQ143,vitri(".",AQ143,3)-1),LEN(AQ143)-LEN(SUBSTITUTE(AQ143,".",""))=2,LEFT(AQ143,vitri(".",AQ143,2)-1),TRUE,LEFT(AQ143,vitri(".",AQ143,1)-1))</f>
        <v/>
      </c>
    </row>
    <row r="144" spans="13:54" x14ac:dyDescent="0.25">
      <c r="M144" s="379"/>
      <c r="T144" s="226"/>
      <c r="V144" s="226"/>
      <c r="AB144" s="210" t="str">
        <f t="shared" si="8"/>
        <v/>
      </c>
      <c r="AP144" s="210" t="str">
        <f t="shared" si="9"/>
        <v/>
      </c>
      <c r="AQ144" s="263"/>
      <c r="AR144" s="210" t="str">
        <f t="shared" si="10"/>
        <v/>
      </c>
      <c r="AS144" s="217"/>
      <c r="AT144" s="210" t="s">
        <v>503</v>
      </c>
      <c r="AU144" s="263"/>
      <c r="AV144" s="217"/>
      <c r="BB144" s="206" t="str">
        <f t="array" ref="BB144">_xlfn.IFS(AQ144="","",LEN(AQ144)-LEN(SUBSTITUTE(AQ144,".",""))=3,LEFT(AQ144,vitri(".",AQ144,3)-1),LEN(AQ144)-LEN(SUBSTITUTE(AQ144,".",""))=2,LEFT(AQ144,vitri(".",AQ144,2)-1),TRUE,LEFT(AQ144,vitri(".",AQ144,1)-1))</f>
        <v/>
      </c>
    </row>
    <row r="145" spans="13:54" x14ac:dyDescent="0.25">
      <c r="M145" s="379"/>
      <c r="T145" s="226"/>
      <c r="V145" s="226"/>
      <c r="AB145" s="210" t="str">
        <f t="shared" si="8"/>
        <v/>
      </c>
      <c r="AP145" s="210" t="str">
        <f t="shared" si="9"/>
        <v/>
      </c>
      <c r="AQ145" s="263"/>
      <c r="AR145" s="210" t="str">
        <f t="shared" si="10"/>
        <v/>
      </c>
      <c r="AS145" s="217"/>
      <c r="AT145" s="210" t="s">
        <v>503</v>
      </c>
      <c r="AU145" s="263"/>
      <c r="AV145" s="217"/>
      <c r="BB145" s="206" t="str">
        <f t="array" ref="BB145">_xlfn.IFS(AQ145="","",LEN(AQ145)-LEN(SUBSTITUTE(AQ145,".",""))=3,LEFT(AQ145,vitri(".",AQ145,3)-1),LEN(AQ145)-LEN(SUBSTITUTE(AQ145,".",""))=2,LEFT(AQ145,vitri(".",AQ145,2)-1),TRUE,LEFT(AQ145,vitri(".",AQ145,1)-1))</f>
        <v/>
      </c>
    </row>
    <row r="146" spans="13:54" x14ac:dyDescent="0.25">
      <c r="M146" s="379"/>
      <c r="T146" s="226"/>
      <c r="V146" s="226"/>
      <c r="AB146" s="210" t="str">
        <f t="shared" si="8"/>
        <v/>
      </c>
      <c r="AP146" s="210" t="str">
        <f t="shared" si="9"/>
        <v/>
      </c>
      <c r="AQ146" s="263"/>
      <c r="AR146" s="210" t="str">
        <f t="shared" si="10"/>
        <v/>
      </c>
      <c r="AS146" s="217"/>
      <c r="AT146" s="210" t="s">
        <v>503</v>
      </c>
      <c r="AU146" s="263"/>
      <c r="AV146" s="217"/>
      <c r="BB146" s="206" t="str">
        <f t="array" ref="BB146">_xlfn.IFS(AQ146="","",LEN(AQ146)-LEN(SUBSTITUTE(AQ146,".",""))=3,LEFT(AQ146,vitri(".",AQ146,3)-1),LEN(AQ146)-LEN(SUBSTITUTE(AQ146,".",""))=2,LEFT(AQ146,vitri(".",AQ146,2)-1),TRUE,LEFT(AQ146,vitri(".",AQ146,1)-1))</f>
        <v/>
      </c>
    </row>
    <row r="147" spans="13:54" x14ac:dyDescent="0.25">
      <c r="M147" s="379"/>
      <c r="T147" s="226"/>
      <c r="V147" s="226"/>
      <c r="AB147" s="210" t="str">
        <f t="shared" si="8"/>
        <v/>
      </c>
      <c r="AP147" s="210" t="str">
        <f t="shared" si="9"/>
        <v/>
      </c>
      <c r="AQ147" s="263"/>
      <c r="AR147" s="210" t="str">
        <f t="shared" si="10"/>
        <v/>
      </c>
      <c r="AS147" s="217"/>
      <c r="AT147" s="210" t="s">
        <v>503</v>
      </c>
      <c r="AU147" s="263"/>
      <c r="AV147" s="217"/>
      <c r="BB147" s="206" t="str">
        <f t="array" ref="BB147">_xlfn.IFS(AQ147="","",LEN(AQ147)-LEN(SUBSTITUTE(AQ147,".",""))=3,LEFT(AQ147,vitri(".",AQ147,3)-1),LEN(AQ147)-LEN(SUBSTITUTE(AQ147,".",""))=2,LEFT(AQ147,vitri(".",AQ147,2)-1),TRUE,LEFT(AQ147,vitri(".",AQ147,1)-1))</f>
        <v/>
      </c>
    </row>
    <row r="148" spans="13:54" x14ac:dyDescent="0.25">
      <c r="M148" s="379"/>
      <c r="T148" s="226"/>
      <c r="V148" s="226"/>
      <c r="AB148" s="210" t="str">
        <f t="shared" si="8"/>
        <v/>
      </c>
      <c r="AP148" s="210" t="str">
        <f t="shared" si="9"/>
        <v/>
      </c>
      <c r="AQ148" s="263"/>
      <c r="AR148" s="210" t="str">
        <f t="shared" si="10"/>
        <v/>
      </c>
      <c r="AS148" s="217"/>
      <c r="AT148" s="210" t="s">
        <v>503</v>
      </c>
      <c r="AU148" s="263"/>
      <c r="AV148" s="217"/>
      <c r="BB148" s="206" t="str">
        <f t="array" ref="BB148">_xlfn.IFS(AQ148="","",LEN(AQ148)-LEN(SUBSTITUTE(AQ148,".",""))=3,LEFT(AQ148,vitri(".",AQ148,3)-1),LEN(AQ148)-LEN(SUBSTITUTE(AQ148,".",""))=2,LEFT(AQ148,vitri(".",AQ148,2)-1),TRUE,LEFT(AQ148,vitri(".",AQ148,1)-1))</f>
        <v/>
      </c>
    </row>
    <row r="149" spans="13:54" x14ac:dyDescent="0.25">
      <c r="M149" s="379"/>
      <c r="T149" s="226"/>
      <c r="V149" s="226"/>
      <c r="AB149" s="210" t="str">
        <f t="shared" si="8"/>
        <v/>
      </c>
      <c r="AP149" s="210" t="str">
        <f t="shared" si="9"/>
        <v/>
      </c>
      <c r="AQ149" s="263"/>
      <c r="AR149" s="210" t="str">
        <f t="shared" si="10"/>
        <v/>
      </c>
      <c r="AS149" s="217"/>
      <c r="AT149" s="210" t="s">
        <v>503</v>
      </c>
      <c r="AU149" s="263"/>
      <c r="AV149" s="217"/>
      <c r="BB149" s="206" t="str">
        <f t="array" ref="BB149">_xlfn.IFS(AQ149="","",LEN(AQ149)-LEN(SUBSTITUTE(AQ149,".",""))=3,LEFT(AQ149,vitri(".",AQ149,3)-1),LEN(AQ149)-LEN(SUBSTITUTE(AQ149,".",""))=2,LEFT(AQ149,vitri(".",AQ149,2)-1),TRUE,LEFT(AQ149,vitri(".",AQ149,1)-1))</f>
        <v/>
      </c>
    </row>
    <row r="150" spans="13:54" x14ac:dyDescent="0.25">
      <c r="M150" s="379"/>
      <c r="T150" s="226"/>
      <c r="V150" s="226"/>
      <c r="AB150" s="210" t="str">
        <f t="shared" si="8"/>
        <v/>
      </c>
      <c r="AP150" s="210" t="str">
        <f t="shared" si="9"/>
        <v/>
      </c>
      <c r="AQ150" s="263"/>
      <c r="AR150" s="210" t="str">
        <f t="shared" si="10"/>
        <v/>
      </c>
      <c r="AS150" s="217"/>
      <c r="AT150" s="210" t="s">
        <v>503</v>
      </c>
      <c r="AU150" s="263"/>
      <c r="AV150" s="217"/>
      <c r="BB150" s="206" t="str">
        <f t="array" ref="BB150">_xlfn.IFS(AQ150="","",LEN(AQ150)-LEN(SUBSTITUTE(AQ150,".",""))=3,LEFT(AQ150,vitri(".",AQ150,3)-1),LEN(AQ150)-LEN(SUBSTITUTE(AQ150,".",""))=2,LEFT(AQ150,vitri(".",AQ150,2)-1),TRUE,LEFT(AQ150,vitri(".",AQ150,1)-1))</f>
        <v/>
      </c>
    </row>
    <row r="151" spans="13:54" x14ac:dyDescent="0.25">
      <c r="M151" s="379"/>
      <c r="T151" s="226"/>
      <c r="V151" s="226"/>
      <c r="AB151" s="210" t="str">
        <f t="shared" si="8"/>
        <v/>
      </c>
      <c r="AP151" s="210" t="str">
        <f t="shared" si="9"/>
        <v/>
      </c>
      <c r="AQ151" s="263"/>
      <c r="AR151" s="210" t="str">
        <f t="shared" si="10"/>
        <v/>
      </c>
      <c r="AS151" s="217"/>
      <c r="AT151" s="210" t="s">
        <v>503</v>
      </c>
      <c r="AU151" s="263"/>
      <c r="AV151" s="217"/>
      <c r="BB151" s="206" t="str">
        <f t="array" ref="BB151">_xlfn.IFS(AQ151="","",LEN(AQ151)-LEN(SUBSTITUTE(AQ151,".",""))=3,LEFT(AQ151,vitri(".",AQ151,3)-1),LEN(AQ151)-LEN(SUBSTITUTE(AQ151,".",""))=2,LEFT(AQ151,vitri(".",AQ151,2)-1),TRUE,LEFT(AQ151,vitri(".",AQ151,1)-1))</f>
        <v/>
      </c>
    </row>
    <row r="152" spans="13:54" x14ac:dyDescent="0.25">
      <c r="M152" s="379"/>
      <c r="T152" s="226"/>
      <c r="V152" s="226"/>
      <c r="AB152" s="210" t="str">
        <f t="shared" si="8"/>
        <v/>
      </c>
      <c r="AP152" s="210" t="str">
        <f t="shared" si="9"/>
        <v/>
      </c>
      <c r="AQ152" s="263"/>
      <c r="AR152" s="210" t="str">
        <f t="shared" si="10"/>
        <v/>
      </c>
      <c r="AS152" s="217"/>
      <c r="AT152" s="210" t="s">
        <v>503</v>
      </c>
      <c r="AU152" s="263"/>
      <c r="AV152" s="217"/>
      <c r="BB152" s="206" t="str">
        <f t="array" ref="BB152">_xlfn.IFS(AQ152="","",LEN(AQ152)-LEN(SUBSTITUTE(AQ152,".",""))=3,LEFT(AQ152,vitri(".",AQ152,3)-1),LEN(AQ152)-LEN(SUBSTITUTE(AQ152,".",""))=2,LEFT(AQ152,vitri(".",AQ152,2)-1),TRUE,LEFT(AQ152,vitri(".",AQ152,1)-1))</f>
        <v/>
      </c>
    </row>
    <row r="153" spans="13:54" x14ac:dyDescent="0.25">
      <c r="M153" s="379"/>
      <c r="T153" s="226"/>
      <c r="V153" s="226"/>
      <c r="AB153" s="210" t="str">
        <f t="shared" si="8"/>
        <v/>
      </c>
      <c r="AP153" s="210" t="str">
        <f t="shared" si="9"/>
        <v/>
      </c>
      <c r="AQ153" s="263"/>
      <c r="AR153" s="210" t="str">
        <f t="shared" si="10"/>
        <v/>
      </c>
      <c r="AS153" s="217"/>
      <c r="AT153" s="210" t="s">
        <v>503</v>
      </c>
      <c r="AU153" s="263"/>
      <c r="AV153" s="217"/>
      <c r="BB153" s="206" t="str">
        <f t="array" ref="BB153">_xlfn.IFS(AQ153="","",LEN(AQ153)-LEN(SUBSTITUTE(AQ153,".",""))=3,LEFT(AQ153,vitri(".",AQ153,3)-1),LEN(AQ153)-LEN(SUBSTITUTE(AQ153,".",""))=2,LEFT(AQ153,vitri(".",AQ153,2)-1),TRUE,LEFT(AQ153,vitri(".",AQ153,1)-1))</f>
        <v/>
      </c>
    </row>
    <row r="154" spans="13:54" x14ac:dyDescent="0.25">
      <c r="M154" s="379"/>
      <c r="T154" s="226"/>
      <c r="V154" s="226"/>
      <c r="AB154" s="210" t="str">
        <f t="shared" si="8"/>
        <v/>
      </c>
      <c r="AP154" s="210" t="str">
        <f t="shared" si="9"/>
        <v/>
      </c>
      <c r="AQ154" s="263"/>
      <c r="AR154" s="210" t="str">
        <f t="shared" si="10"/>
        <v/>
      </c>
      <c r="AS154" s="217"/>
      <c r="AT154" s="210" t="s">
        <v>503</v>
      </c>
      <c r="AU154" s="263"/>
      <c r="AV154" s="217"/>
      <c r="BB154" s="206" t="str">
        <f t="array" ref="BB154">_xlfn.IFS(AQ154="","",LEN(AQ154)-LEN(SUBSTITUTE(AQ154,".",""))=3,LEFT(AQ154,vitri(".",AQ154,3)-1),LEN(AQ154)-LEN(SUBSTITUTE(AQ154,".",""))=2,LEFT(AQ154,vitri(".",AQ154,2)-1),TRUE,LEFT(AQ154,vitri(".",AQ154,1)-1))</f>
        <v/>
      </c>
    </row>
    <row r="155" spans="13:54" x14ac:dyDescent="0.25">
      <c r="M155" s="379"/>
      <c r="T155" s="226"/>
      <c r="V155" s="226"/>
      <c r="AB155" s="210" t="str">
        <f t="shared" si="8"/>
        <v/>
      </c>
      <c r="AP155" s="210" t="str">
        <f t="shared" si="9"/>
        <v/>
      </c>
      <c r="AQ155" s="263"/>
      <c r="AR155" s="210" t="str">
        <f t="shared" si="10"/>
        <v/>
      </c>
      <c r="AS155" s="217"/>
      <c r="AT155" s="210" t="s">
        <v>503</v>
      </c>
      <c r="AU155" s="263"/>
      <c r="AV155" s="217"/>
      <c r="BB155" s="206" t="str">
        <f t="array" ref="BB155">_xlfn.IFS(AQ155="","",LEN(AQ155)-LEN(SUBSTITUTE(AQ155,".",""))=3,LEFT(AQ155,vitri(".",AQ155,3)-1),LEN(AQ155)-LEN(SUBSTITUTE(AQ155,".",""))=2,LEFT(AQ155,vitri(".",AQ155,2)-1),TRUE,LEFT(AQ155,vitri(".",AQ155,1)-1))</f>
        <v/>
      </c>
    </row>
    <row r="156" spans="13:54" x14ac:dyDescent="0.25">
      <c r="M156" s="379"/>
      <c r="T156" s="226"/>
      <c r="V156" s="226"/>
      <c r="AB156" s="210" t="str">
        <f t="shared" si="8"/>
        <v/>
      </c>
      <c r="AP156" s="210" t="str">
        <f t="shared" si="9"/>
        <v/>
      </c>
      <c r="AQ156" s="263"/>
      <c r="AR156" s="210" t="str">
        <f t="shared" si="10"/>
        <v/>
      </c>
      <c r="AS156" s="217"/>
      <c r="AT156" s="210" t="s">
        <v>503</v>
      </c>
      <c r="AU156" s="263"/>
      <c r="AV156" s="217"/>
      <c r="BB156" s="206" t="str">
        <f t="array" ref="BB156">_xlfn.IFS(AQ156="","",LEN(AQ156)-LEN(SUBSTITUTE(AQ156,".",""))=3,LEFT(AQ156,vitri(".",AQ156,3)-1),LEN(AQ156)-LEN(SUBSTITUTE(AQ156,".",""))=2,LEFT(AQ156,vitri(".",AQ156,2)-1),TRUE,LEFT(AQ156,vitri(".",AQ156,1)-1))</f>
        <v/>
      </c>
    </row>
    <row r="157" spans="13:54" x14ac:dyDescent="0.25">
      <c r="M157" s="379"/>
      <c r="T157" s="226"/>
      <c r="V157" s="226"/>
      <c r="AB157" s="210" t="str">
        <f t="shared" si="8"/>
        <v/>
      </c>
      <c r="AP157" s="210" t="str">
        <f t="shared" si="9"/>
        <v/>
      </c>
      <c r="AQ157" s="263"/>
      <c r="AR157" s="210" t="str">
        <f t="shared" si="10"/>
        <v/>
      </c>
      <c r="AS157" s="217"/>
      <c r="AT157" s="210" t="s">
        <v>503</v>
      </c>
      <c r="AU157" s="263"/>
      <c r="AV157" s="217"/>
      <c r="BB157" s="206" t="str">
        <f t="array" ref="BB157">_xlfn.IFS(AQ157="","",LEN(AQ157)-LEN(SUBSTITUTE(AQ157,".",""))=3,LEFT(AQ157,vitri(".",AQ157,3)-1),LEN(AQ157)-LEN(SUBSTITUTE(AQ157,".",""))=2,LEFT(AQ157,vitri(".",AQ157,2)-1),TRUE,LEFT(AQ157,vitri(".",AQ157,1)-1))</f>
        <v/>
      </c>
    </row>
    <row r="158" spans="13:54" x14ac:dyDescent="0.25">
      <c r="M158" s="379"/>
      <c r="T158" s="226"/>
      <c r="V158" s="226"/>
      <c r="AB158" s="210" t="str">
        <f t="shared" si="8"/>
        <v/>
      </c>
      <c r="AP158" s="210" t="str">
        <f t="shared" si="9"/>
        <v/>
      </c>
      <c r="AQ158" s="263"/>
      <c r="AR158" s="210" t="str">
        <f t="shared" si="10"/>
        <v/>
      </c>
      <c r="AS158" s="217"/>
      <c r="AT158" s="210" t="s">
        <v>503</v>
      </c>
      <c r="AU158" s="263"/>
      <c r="AV158" s="217"/>
      <c r="BB158" s="206" t="str">
        <f t="array" ref="BB158">_xlfn.IFS(AQ158="","",LEN(AQ158)-LEN(SUBSTITUTE(AQ158,".",""))=3,LEFT(AQ158,vitri(".",AQ158,3)-1),LEN(AQ158)-LEN(SUBSTITUTE(AQ158,".",""))=2,LEFT(AQ158,vitri(".",AQ158,2)-1),TRUE,LEFT(AQ158,vitri(".",AQ158,1)-1))</f>
        <v/>
      </c>
    </row>
    <row r="159" spans="13:54" x14ac:dyDescent="0.25">
      <c r="M159" s="379"/>
      <c r="T159" s="226"/>
      <c r="V159" s="226"/>
      <c r="AB159" s="210" t="str">
        <f t="shared" si="8"/>
        <v/>
      </c>
      <c r="AP159" s="210" t="str">
        <f t="shared" si="9"/>
        <v/>
      </c>
      <c r="AQ159" s="263"/>
      <c r="AR159" s="210" t="str">
        <f t="shared" si="10"/>
        <v/>
      </c>
      <c r="AS159" s="217"/>
      <c r="AT159" s="210" t="s">
        <v>503</v>
      </c>
      <c r="AU159" s="263"/>
      <c r="AV159" s="217"/>
      <c r="BB159" s="206" t="str">
        <f t="array" ref="BB159">_xlfn.IFS(AQ159="","",LEN(AQ159)-LEN(SUBSTITUTE(AQ159,".",""))=3,LEFT(AQ159,vitri(".",AQ159,3)-1),LEN(AQ159)-LEN(SUBSTITUTE(AQ159,".",""))=2,LEFT(AQ159,vitri(".",AQ159,2)-1),TRUE,LEFT(AQ159,vitri(".",AQ159,1)-1))</f>
        <v/>
      </c>
    </row>
    <row r="160" spans="13:54" x14ac:dyDescent="0.25">
      <c r="M160" s="379"/>
      <c r="T160" s="226"/>
      <c r="V160" s="226"/>
      <c r="AB160" s="210" t="str">
        <f t="shared" si="8"/>
        <v/>
      </c>
      <c r="AP160" s="210" t="str">
        <f t="shared" si="9"/>
        <v/>
      </c>
      <c r="AQ160" s="263"/>
      <c r="AR160" s="210" t="str">
        <f t="shared" si="10"/>
        <v/>
      </c>
      <c r="AS160" s="217"/>
      <c r="AT160" s="210" t="s">
        <v>503</v>
      </c>
      <c r="AU160" s="263"/>
      <c r="AV160" s="217"/>
      <c r="BB160" s="206" t="str">
        <f t="array" ref="BB160">_xlfn.IFS(AQ160="","",LEN(AQ160)-LEN(SUBSTITUTE(AQ160,".",""))=3,LEFT(AQ160,vitri(".",AQ160,3)-1),LEN(AQ160)-LEN(SUBSTITUTE(AQ160,".",""))=2,LEFT(AQ160,vitri(".",AQ160,2)-1),TRUE,LEFT(AQ160,vitri(".",AQ160,1)-1))</f>
        <v/>
      </c>
    </row>
    <row r="161" spans="13:54" x14ac:dyDescent="0.25">
      <c r="M161" s="379"/>
      <c r="T161" s="226"/>
      <c r="V161" s="226"/>
      <c r="AB161" s="210" t="str">
        <f t="shared" si="8"/>
        <v/>
      </c>
      <c r="AP161" s="210" t="str">
        <f t="shared" si="9"/>
        <v/>
      </c>
      <c r="AQ161" s="263"/>
      <c r="AR161" s="210" t="str">
        <f t="shared" si="10"/>
        <v/>
      </c>
      <c r="AS161" s="217"/>
      <c r="AT161" s="210" t="s">
        <v>503</v>
      </c>
      <c r="AU161" s="263"/>
      <c r="AV161" s="217"/>
      <c r="BB161" s="206" t="str">
        <f t="array" ref="BB161">_xlfn.IFS(AQ161="","",LEN(AQ161)-LEN(SUBSTITUTE(AQ161,".",""))=3,LEFT(AQ161,vitri(".",AQ161,3)-1),LEN(AQ161)-LEN(SUBSTITUTE(AQ161,".",""))=2,LEFT(AQ161,vitri(".",AQ161,2)-1),TRUE,LEFT(AQ161,vitri(".",AQ161,1)-1))</f>
        <v/>
      </c>
    </row>
    <row r="162" spans="13:54" x14ac:dyDescent="0.25">
      <c r="M162" s="379"/>
      <c r="T162" s="226"/>
      <c r="V162" s="226"/>
      <c r="AB162" s="210" t="str">
        <f t="shared" si="8"/>
        <v/>
      </c>
      <c r="AP162" s="210" t="str">
        <f t="shared" si="9"/>
        <v/>
      </c>
      <c r="AQ162" s="263"/>
      <c r="AR162" s="210" t="str">
        <f t="shared" si="10"/>
        <v/>
      </c>
      <c r="AS162" s="217"/>
      <c r="AT162" s="210" t="s">
        <v>503</v>
      </c>
      <c r="AU162" s="263"/>
      <c r="AV162" s="217"/>
      <c r="BB162" s="206" t="str">
        <f t="array" ref="BB162">_xlfn.IFS(AQ162="","",LEN(AQ162)-LEN(SUBSTITUTE(AQ162,".",""))=3,LEFT(AQ162,vitri(".",AQ162,3)-1),LEN(AQ162)-LEN(SUBSTITUTE(AQ162,".",""))=2,LEFT(AQ162,vitri(".",AQ162,2)-1),TRUE,LEFT(AQ162,vitri(".",AQ162,1)-1))</f>
        <v/>
      </c>
    </row>
    <row r="163" spans="13:54" x14ac:dyDescent="0.25">
      <c r="M163" s="379"/>
      <c r="T163" s="226"/>
      <c r="V163" s="226"/>
      <c r="AB163" s="210" t="str">
        <f t="shared" si="8"/>
        <v/>
      </c>
      <c r="AP163" s="210" t="str">
        <f t="shared" si="9"/>
        <v/>
      </c>
      <c r="AQ163" s="263"/>
      <c r="AR163" s="210" t="str">
        <f t="shared" si="10"/>
        <v/>
      </c>
      <c r="AS163" s="217"/>
      <c r="AT163" s="210" t="s">
        <v>503</v>
      </c>
      <c r="AU163" s="263"/>
      <c r="AV163" s="217"/>
      <c r="BB163" s="206" t="str">
        <f t="array" ref="BB163">_xlfn.IFS(AQ163="","",LEN(AQ163)-LEN(SUBSTITUTE(AQ163,".",""))=3,LEFT(AQ163,vitri(".",AQ163,3)-1),LEN(AQ163)-LEN(SUBSTITUTE(AQ163,".",""))=2,LEFT(AQ163,vitri(".",AQ163,2)-1),TRUE,LEFT(AQ163,vitri(".",AQ163,1)-1))</f>
        <v/>
      </c>
    </row>
    <row r="164" spans="13:54" x14ac:dyDescent="0.25">
      <c r="M164" s="379"/>
      <c r="T164" s="226"/>
      <c r="V164" s="226"/>
      <c r="AB164" s="210" t="str">
        <f t="shared" si="8"/>
        <v/>
      </c>
      <c r="AP164" s="210" t="str">
        <f t="shared" si="9"/>
        <v/>
      </c>
      <c r="AQ164" s="263"/>
      <c r="AR164" s="210" t="str">
        <f t="shared" si="10"/>
        <v/>
      </c>
      <c r="AS164" s="217"/>
      <c r="AT164" s="210" t="s">
        <v>503</v>
      </c>
      <c r="AU164" s="263"/>
      <c r="AV164" s="217"/>
      <c r="BB164" s="206" t="str">
        <f t="array" ref="BB164">_xlfn.IFS(AQ164="","",LEN(AQ164)-LEN(SUBSTITUTE(AQ164,".",""))=3,LEFT(AQ164,vitri(".",AQ164,3)-1),LEN(AQ164)-LEN(SUBSTITUTE(AQ164,".",""))=2,LEFT(AQ164,vitri(".",AQ164,2)-1),TRUE,LEFT(AQ164,vitri(".",AQ164,1)-1))</f>
        <v/>
      </c>
    </row>
    <row r="165" spans="13:54" x14ac:dyDescent="0.25">
      <c r="M165" s="379"/>
      <c r="T165" s="226"/>
      <c r="V165" s="226"/>
      <c r="AB165" s="210" t="str">
        <f t="shared" si="8"/>
        <v/>
      </c>
      <c r="AP165" s="210" t="str">
        <f t="shared" si="9"/>
        <v/>
      </c>
      <c r="AQ165" s="263"/>
      <c r="AR165" s="210" t="str">
        <f t="shared" si="10"/>
        <v/>
      </c>
      <c r="AS165" s="217"/>
      <c r="AT165" s="210" t="s">
        <v>503</v>
      </c>
      <c r="AU165" s="263"/>
      <c r="AV165" s="217"/>
      <c r="BB165" s="206" t="str">
        <f t="array" ref="BB165">_xlfn.IFS(AQ165="","",LEN(AQ165)-LEN(SUBSTITUTE(AQ165,".",""))=3,LEFT(AQ165,vitri(".",AQ165,3)-1),LEN(AQ165)-LEN(SUBSTITUTE(AQ165,".",""))=2,LEFT(AQ165,vitri(".",AQ165,2)-1),TRUE,LEFT(AQ165,vitri(".",AQ165,1)-1))</f>
        <v/>
      </c>
    </row>
    <row r="166" spans="13:54" x14ac:dyDescent="0.25">
      <c r="M166" s="379"/>
      <c r="T166" s="226"/>
      <c r="V166" s="226"/>
      <c r="AB166" s="210" t="str">
        <f t="shared" si="8"/>
        <v/>
      </c>
      <c r="AP166" s="210" t="str">
        <f t="shared" si="9"/>
        <v/>
      </c>
      <c r="AQ166" s="263"/>
      <c r="AR166" s="210" t="str">
        <f t="shared" si="10"/>
        <v/>
      </c>
      <c r="AS166" s="217"/>
      <c r="AT166" s="210" t="s">
        <v>503</v>
      </c>
      <c r="AU166" s="263"/>
      <c r="AV166" s="217"/>
      <c r="BB166" s="206" t="str">
        <f t="array" ref="BB166">_xlfn.IFS(AQ166="","",LEN(AQ166)-LEN(SUBSTITUTE(AQ166,".",""))=3,LEFT(AQ166,vitri(".",AQ166,3)-1),LEN(AQ166)-LEN(SUBSTITUTE(AQ166,".",""))=2,LEFT(AQ166,vitri(".",AQ166,2)-1),TRUE,LEFT(AQ166,vitri(".",AQ166,1)-1))</f>
        <v/>
      </c>
    </row>
    <row r="167" spans="13:54" x14ac:dyDescent="0.25">
      <c r="M167" s="379"/>
      <c r="T167" s="226"/>
      <c r="V167" s="226"/>
      <c r="AB167" s="210" t="str">
        <f t="shared" si="8"/>
        <v/>
      </c>
      <c r="AP167" s="210" t="str">
        <f t="shared" si="9"/>
        <v/>
      </c>
      <c r="AQ167" s="263"/>
      <c r="AR167" s="210" t="str">
        <f t="shared" si="10"/>
        <v/>
      </c>
      <c r="AS167" s="217"/>
      <c r="AT167" s="210" t="s">
        <v>503</v>
      </c>
      <c r="AU167" s="263"/>
      <c r="AV167" s="217"/>
      <c r="BB167" s="206" t="str">
        <f t="array" ref="BB167">_xlfn.IFS(AQ167="","",LEN(AQ167)-LEN(SUBSTITUTE(AQ167,".",""))=3,LEFT(AQ167,vitri(".",AQ167,3)-1),LEN(AQ167)-LEN(SUBSTITUTE(AQ167,".",""))=2,LEFT(AQ167,vitri(".",AQ167,2)-1),TRUE,LEFT(AQ167,vitri(".",AQ167,1)-1))</f>
        <v/>
      </c>
    </row>
    <row r="168" spans="13:54" x14ac:dyDescent="0.25">
      <c r="M168" s="379"/>
      <c r="T168" s="226"/>
      <c r="V168" s="226"/>
      <c r="AB168" s="210" t="str">
        <f t="shared" si="8"/>
        <v/>
      </c>
      <c r="AP168" s="210" t="str">
        <f t="shared" si="9"/>
        <v/>
      </c>
      <c r="AQ168" s="263"/>
      <c r="AR168" s="210" t="str">
        <f t="shared" si="10"/>
        <v/>
      </c>
      <c r="AS168" s="217"/>
      <c r="AT168" s="210" t="s">
        <v>503</v>
      </c>
      <c r="AU168" s="263"/>
      <c r="AV168" s="217"/>
      <c r="BB168" s="206" t="str">
        <f t="array" ref="BB168">_xlfn.IFS(AQ168="","",LEN(AQ168)-LEN(SUBSTITUTE(AQ168,".",""))=3,LEFT(AQ168,vitri(".",AQ168,3)-1),LEN(AQ168)-LEN(SUBSTITUTE(AQ168,".",""))=2,LEFT(AQ168,vitri(".",AQ168,2)-1),TRUE,LEFT(AQ168,vitri(".",AQ168,1)-1))</f>
        <v/>
      </c>
    </row>
    <row r="169" spans="13:54" x14ac:dyDescent="0.25">
      <c r="M169" s="379"/>
      <c r="T169" s="226"/>
      <c r="V169" s="226"/>
      <c r="AB169" s="210" t="str">
        <f t="shared" si="8"/>
        <v/>
      </c>
      <c r="AP169" s="210" t="str">
        <f t="shared" si="9"/>
        <v/>
      </c>
      <c r="AQ169" s="263"/>
      <c r="AR169" s="210" t="str">
        <f t="shared" si="10"/>
        <v/>
      </c>
      <c r="AS169" s="217"/>
      <c r="AT169" s="210" t="s">
        <v>503</v>
      </c>
      <c r="AU169" s="263"/>
      <c r="AV169" s="217"/>
      <c r="BB169" s="206" t="str">
        <f t="array" ref="BB169">_xlfn.IFS(AQ169="","",LEN(AQ169)-LEN(SUBSTITUTE(AQ169,".",""))=3,LEFT(AQ169,vitri(".",AQ169,3)-1),LEN(AQ169)-LEN(SUBSTITUTE(AQ169,".",""))=2,LEFT(AQ169,vitri(".",AQ169,2)-1),TRUE,LEFT(AQ169,vitri(".",AQ169,1)-1))</f>
        <v/>
      </c>
    </row>
    <row r="170" spans="13:54" x14ac:dyDescent="0.25">
      <c r="M170" s="379"/>
      <c r="T170" s="226"/>
      <c r="V170" s="226"/>
      <c r="AB170" s="210" t="str">
        <f t="shared" si="8"/>
        <v/>
      </c>
      <c r="AP170" s="210" t="str">
        <f t="shared" si="9"/>
        <v/>
      </c>
      <c r="AQ170" s="263"/>
      <c r="AR170" s="210" t="str">
        <f t="shared" si="10"/>
        <v/>
      </c>
      <c r="AS170" s="217"/>
      <c r="AT170" s="210" t="s">
        <v>503</v>
      </c>
      <c r="AU170" s="263"/>
      <c r="AV170" s="217"/>
      <c r="BB170" s="206" t="str">
        <f t="array" ref="BB170">_xlfn.IFS(AQ170="","",LEN(AQ170)-LEN(SUBSTITUTE(AQ170,".",""))=3,LEFT(AQ170,vitri(".",AQ170,3)-1),LEN(AQ170)-LEN(SUBSTITUTE(AQ170,".",""))=2,LEFT(AQ170,vitri(".",AQ170,2)-1),TRUE,LEFT(AQ170,vitri(".",AQ170,1)-1))</f>
        <v/>
      </c>
    </row>
    <row r="171" spans="13:54" x14ac:dyDescent="0.25">
      <c r="M171" s="379"/>
      <c r="T171" s="226"/>
      <c r="V171" s="226"/>
      <c r="AB171" s="210" t="str">
        <f t="shared" si="8"/>
        <v/>
      </c>
      <c r="AP171" s="210" t="str">
        <f t="shared" si="9"/>
        <v/>
      </c>
      <c r="AQ171" s="263"/>
      <c r="AR171" s="210" t="str">
        <f t="shared" si="10"/>
        <v/>
      </c>
      <c r="AS171" s="217"/>
      <c r="AT171" s="210" t="s">
        <v>503</v>
      </c>
      <c r="AU171" s="263"/>
      <c r="AV171" s="217"/>
      <c r="BB171" s="206" t="str">
        <f t="array" ref="BB171">_xlfn.IFS(AQ171="","",LEN(AQ171)-LEN(SUBSTITUTE(AQ171,".",""))=3,LEFT(AQ171,vitri(".",AQ171,3)-1),LEN(AQ171)-LEN(SUBSTITUTE(AQ171,".",""))=2,LEFT(AQ171,vitri(".",AQ171,2)-1),TRUE,LEFT(AQ171,vitri(".",AQ171,1)-1))</f>
        <v/>
      </c>
    </row>
    <row r="172" spans="13:54" x14ac:dyDescent="0.25">
      <c r="M172" s="379"/>
      <c r="T172" s="226"/>
      <c r="V172" s="226"/>
      <c r="AB172" s="210" t="str">
        <f t="shared" si="8"/>
        <v/>
      </c>
      <c r="AP172" s="210" t="str">
        <f t="shared" si="9"/>
        <v/>
      </c>
      <c r="AQ172" s="263"/>
      <c r="AR172" s="210" t="str">
        <f t="shared" si="10"/>
        <v/>
      </c>
      <c r="AS172" s="217"/>
      <c r="AT172" s="210" t="s">
        <v>503</v>
      </c>
      <c r="AU172" s="263"/>
      <c r="AV172" s="217"/>
      <c r="BB172" s="206" t="str">
        <f t="array" ref="BB172">_xlfn.IFS(AQ172="","",LEN(AQ172)-LEN(SUBSTITUTE(AQ172,".",""))=3,LEFT(AQ172,vitri(".",AQ172,3)-1),LEN(AQ172)-LEN(SUBSTITUTE(AQ172,".",""))=2,LEFT(AQ172,vitri(".",AQ172,2)-1),TRUE,LEFT(AQ172,vitri(".",AQ172,1)-1))</f>
        <v/>
      </c>
    </row>
    <row r="173" spans="13:54" x14ac:dyDescent="0.25">
      <c r="M173" s="379"/>
      <c r="T173" s="226"/>
      <c r="V173" s="226"/>
      <c r="AB173" s="210" t="str">
        <f t="shared" si="8"/>
        <v/>
      </c>
      <c r="AP173" s="210" t="str">
        <f t="shared" si="9"/>
        <v/>
      </c>
      <c r="AQ173" s="263"/>
      <c r="AR173" s="210" t="str">
        <f t="shared" si="10"/>
        <v/>
      </c>
      <c r="AS173" s="217"/>
      <c r="AT173" s="210" t="s">
        <v>503</v>
      </c>
      <c r="AU173" s="263"/>
      <c r="AV173" s="217"/>
      <c r="BB173" s="206" t="str">
        <f t="array" ref="BB173">_xlfn.IFS(AQ173="","",LEN(AQ173)-LEN(SUBSTITUTE(AQ173,".",""))=3,LEFT(AQ173,vitri(".",AQ173,3)-1),LEN(AQ173)-LEN(SUBSTITUTE(AQ173,".",""))=2,LEFT(AQ173,vitri(".",AQ173,2)-1),TRUE,LEFT(AQ173,vitri(".",AQ173,1)-1))</f>
        <v/>
      </c>
    </row>
    <row r="174" spans="13:54" x14ac:dyDescent="0.25">
      <c r="M174" s="379"/>
      <c r="T174" s="226"/>
      <c r="V174" s="226"/>
      <c r="AB174" s="210" t="str">
        <f t="shared" si="8"/>
        <v/>
      </c>
      <c r="AP174" s="210" t="str">
        <f t="shared" si="9"/>
        <v/>
      </c>
      <c r="AQ174" s="263"/>
      <c r="AR174" s="210" t="str">
        <f t="shared" si="10"/>
        <v/>
      </c>
      <c r="AS174" s="217"/>
      <c r="AT174" s="210" t="s">
        <v>503</v>
      </c>
      <c r="AU174" s="263"/>
      <c r="AV174" s="217"/>
      <c r="BB174" s="206" t="str">
        <f t="array" ref="BB174">_xlfn.IFS(AQ174="","",LEN(AQ174)-LEN(SUBSTITUTE(AQ174,".",""))=3,LEFT(AQ174,vitri(".",AQ174,3)-1),LEN(AQ174)-LEN(SUBSTITUTE(AQ174,".",""))=2,LEFT(AQ174,vitri(".",AQ174,2)-1),TRUE,LEFT(AQ174,vitri(".",AQ174,1)-1))</f>
        <v/>
      </c>
    </row>
    <row r="175" spans="13:54" x14ac:dyDescent="0.25">
      <c r="M175" s="379"/>
      <c r="T175" s="226"/>
      <c r="V175" s="226"/>
      <c r="AB175" s="210" t="str">
        <f t="shared" si="8"/>
        <v/>
      </c>
      <c r="AP175" s="210" t="str">
        <f t="shared" si="9"/>
        <v/>
      </c>
      <c r="AQ175" s="263"/>
      <c r="AR175" s="210" t="str">
        <f t="shared" si="10"/>
        <v/>
      </c>
      <c r="AS175" s="217"/>
      <c r="AT175" s="210" t="s">
        <v>503</v>
      </c>
      <c r="AU175" s="263"/>
      <c r="AV175" s="217"/>
      <c r="BB175" s="206" t="str">
        <f t="array" ref="BB175">_xlfn.IFS(AQ175="","",LEN(AQ175)-LEN(SUBSTITUTE(AQ175,".",""))=3,LEFT(AQ175,vitri(".",AQ175,3)-1),LEN(AQ175)-LEN(SUBSTITUTE(AQ175,".",""))=2,LEFT(AQ175,vitri(".",AQ175,2)-1),TRUE,LEFT(AQ175,vitri(".",AQ175,1)-1))</f>
        <v/>
      </c>
    </row>
    <row r="176" spans="13:54" x14ac:dyDescent="0.25">
      <c r="M176" s="379"/>
      <c r="T176" s="226"/>
      <c r="V176" s="226"/>
      <c r="AB176" s="210" t="str">
        <f t="shared" si="8"/>
        <v/>
      </c>
      <c r="AP176" s="210" t="str">
        <f t="shared" si="9"/>
        <v/>
      </c>
      <c r="AQ176" s="263"/>
      <c r="AR176" s="210" t="str">
        <f t="shared" si="10"/>
        <v/>
      </c>
      <c r="AS176" s="217"/>
      <c r="AT176" s="210" t="s">
        <v>503</v>
      </c>
      <c r="AU176" s="263"/>
      <c r="AV176" s="217"/>
      <c r="BB176" s="206" t="str">
        <f t="array" ref="BB176">_xlfn.IFS(AQ176="","",LEN(AQ176)-LEN(SUBSTITUTE(AQ176,".",""))=3,LEFT(AQ176,vitri(".",AQ176,3)-1),LEN(AQ176)-LEN(SUBSTITUTE(AQ176,".",""))=2,LEFT(AQ176,vitri(".",AQ176,2)-1),TRUE,LEFT(AQ176,vitri(".",AQ176,1)-1))</f>
        <v/>
      </c>
    </row>
    <row r="177" spans="13:54" x14ac:dyDescent="0.25">
      <c r="M177" s="379"/>
      <c r="T177" s="226"/>
      <c r="V177" s="226"/>
      <c r="AB177" s="210" t="str">
        <f t="shared" si="8"/>
        <v/>
      </c>
      <c r="AP177" s="210" t="str">
        <f t="shared" si="9"/>
        <v/>
      </c>
      <c r="AQ177" s="263"/>
      <c r="AR177" s="210" t="str">
        <f t="shared" si="10"/>
        <v/>
      </c>
      <c r="AS177" s="217"/>
      <c r="AT177" s="210" t="s">
        <v>503</v>
      </c>
      <c r="AU177" s="263"/>
      <c r="AV177" s="217"/>
      <c r="BB177" s="206" t="str">
        <f t="array" ref="BB177">_xlfn.IFS(AQ177="","",LEN(AQ177)-LEN(SUBSTITUTE(AQ177,".",""))=3,LEFT(AQ177,vitri(".",AQ177,3)-1),LEN(AQ177)-LEN(SUBSTITUTE(AQ177,".",""))=2,LEFT(AQ177,vitri(".",AQ177,2)-1),TRUE,LEFT(AQ177,vitri(".",AQ177,1)-1))</f>
        <v/>
      </c>
    </row>
    <row r="178" spans="13:54" x14ac:dyDescent="0.25">
      <c r="M178" s="379"/>
      <c r="T178" s="226"/>
      <c r="V178" s="226"/>
      <c r="AB178" s="210" t="str">
        <f t="shared" si="8"/>
        <v/>
      </c>
      <c r="AP178" s="210" t="str">
        <f t="shared" si="9"/>
        <v/>
      </c>
      <c r="AQ178" s="263"/>
      <c r="AR178" s="210" t="str">
        <f t="shared" si="10"/>
        <v/>
      </c>
      <c r="AS178" s="217"/>
      <c r="AT178" s="210" t="s">
        <v>503</v>
      </c>
      <c r="AU178" s="263"/>
      <c r="AV178" s="217"/>
      <c r="BB178" s="206" t="str">
        <f t="array" ref="BB178">_xlfn.IFS(AQ178="","",LEN(AQ178)-LEN(SUBSTITUTE(AQ178,".",""))=3,LEFT(AQ178,vitri(".",AQ178,3)-1),LEN(AQ178)-LEN(SUBSTITUTE(AQ178,".",""))=2,LEFT(AQ178,vitri(".",AQ178,2)-1),TRUE,LEFT(AQ178,vitri(".",AQ178,1)-1))</f>
        <v/>
      </c>
    </row>
    <row r="179" spans="13:54" x14ac:dyDescent="0.25">
      <c r="M179" s="379"/>
      <c r="T179" s="226"/>
      <c r="V179" s="226"/>
      <c r="AB179" s="210" t="str">
        <f t="shared" si="8"/>
        <v/>
      </c>
      <c r="AP179" s="210" t="str">
        <f t="shared" si="9"/>
        <v/>
      </c>
      <c r="AQ179" s="263"/>
      <c r="AR179" s="210" t="str">
        <f t="shared" si="10"/>
        <v/>
      </c>
      <c r="AS179" s="217"/>
      <c r="AT179" s="210" t="s">
        <v>503</v>
      </c>
      <c r="AU179" s="263"/>
      <c r="AV179" s="217"/>
      <c r="BB179" s="206" t="str">
        <f t="array" ref="BB179">_xlfn.IFS(AQ179="","",LEN(AQ179)-LEN(SUBSTITUTE(AQ179,".",""))=3,LEFT(AQ179,vitri(".",AQ179,3)-1),LEN(AQ179)-LEN(SUBSTITUTE(AQ179,".",""))=2,LEFT(AQ179,vitri(".",AQ179,2)-1),TRUE,LEFT(AQ179,vitri(".",AQ179,1)-1))</f>
        <v/>
      </c>
    </row>
    <row r="180" spans="13:54" x14ac:dyDescent="0.25">
      <c r="M180" s="379"/>
      <c r="T180" s="226"/>
      <c r="V180" s="226"/>
      <c r="AB180" s="210" t="str">
        <f t="shared" si="8"/>
        <v/>
      </c>
      <c r="AP180" s="210" t="str">
        <f t="shared" si="9"/>
        <v/>
      </c>
      <c r="AQ180" s="263"/>
      <c r="AR180" s="210" t="str">
        <f t="shared" si="10"/>
        <v/>
      </c>
      <c r="AS180" s="217"/>
      <c r="AT180" s="210" t="s">
        <v>503</v>
      </c>
      <c r="AU180" s="263"/>
      <c r="AV180" s="217"/>
      <c r="BB180" s="206" t="str">
        <f t="array" ref="BB180">_xlfn.IFS(AQ180="","",LEN(AQ180)-LEN(SUBSTITUTE(AQ180,".",""))=3,LEFT(AQ180,vitri(".",AQ180,3)-1),LEN(AQ180)-LEN(SUBSTITUTE(AQ180,".",""))=2,LEFT(AQ180,vitri(".",AQ180,2)-1),TRUE,LEFT(AQ180,vitri(".",AQ180,1)-1))</f>
        <v/>
      </c>
    </row>
    <row r="181" spans="13:54" x14ac:dyDescent="0.25">
      <c r="M181" s="379"/>
      <c r="T181" s="226"/>
      <c r="V181" s="226"/>
      <c r="AB181" s="210" t="str">
        <f t="shared" si="8"/>
        <v/>
      </c>
      <c r="AP181" s="210" t="str">
        <f t="shared" si="9"/>
        <v/>
      </c>
      <c r="AQ181" s="263"/>
      <c r="AR181" s="210" t="str">
        <f t="shared" si="10"/>
        <v/>
      </c>
      <c r="AS181" s="217"/>
      <c r="AT181" s="210" t="s">
        <v>503</v>
      </c>
      <c r="AU181" s="263"/>
      <c r="AV181" s="217"/>
      <c r="BB181" s="206" t="str">
        <f t="array" ref="BB181">_xlfn.IFS(AQ181="","",LEN(AQ181)-LEN(SUBSTITUTE(AQ181,".",""))=3,LEFT(AQ181,vitri(".",AQ181,3)-1),LEN(AQ181)-LEN(SUBSTITUTE(AQ181,".",""))=2,LEFT(AQ181,vitri(".",AQ181,2)-1),TRUE,LEFT(AQ181,vitri(".",AQ181,1)-1))</f>
        <v/>
      </c>
    </row>
    <row r="182" spans="13:54" x14ac:dyDescent="0.25">
      <c r="M182" s="379"/>
      <c r="T182" s="226"/>
      <c r="V182" s="226"/>
      <c r="AB182" s="210" t="str">
        <f t="shared" si="8"/>
        <v/>
      </c>
      <c r="AP182" s="210" t="str">
        <f t="shared" si="9"/>
        <v/>
      </c>
      <c r="AQ182" s="263"/>
      <c r="AR182" s="210" t="str">
        <f t="shared" si="10"/>
        <v/>
      </c>
      <c r="AS182" s="217"/>
      <c r="AT182" s="210" t="s">
        <v>503</v>
      </c>
      <c r="AU182" s="263"/>
      <c r="AV182" s="217"/>
      <c r="BB182" s="206" t="str">
        <f t="array" ref="BB182">_xlfn.IFS(AQ182="","",LEN(AQ182)-LEN(SUBSTITUTE(AQ182,".",""))=3,LEFT(AQ182,vitri(".",AQ182,3)-1),LEN(AQ182)-LEN(SUBSTITUTE(AQ182,".",""))=2,LEFT(AQ182,vitri(".",AQ182,2)-1),TRUE,LEFT(AQ182,vitri(".",AQ182,1)-1))</f>
        <v/>
      </c>
    </row>
    <row r="183" spans="13:54" x14ac:dyDescent="0.25">
      <c r="M183" s="379"/>
      <c r="T183" s="226"/>
      <c r="V183" s="226"/>
      <c r="AB183" s="210" t="str">
        <f t="shared" si="8"/>
        <v/>
      </c>
      <c r="AP183" s="210" t="str">
        <f t="shared" si="9"/>
        <v/>
      </c>
      <c r="AQ183" s="263"/>
      <c r="AR183" s="210" t="str">
        <f t="shared" si="10"/>
        <v/>
      </c>
      <c r="AS183" s="217"/>
      <c r="AT183" s="210" t="s">
        <v>503</v>
      </c>
      <c r="AU183" s="263"/>
      <c r="AV183" s="217"/>
      <c r="BB183" s="206" t="str">
        <f t="array" ref="BB183">_xlfn.IFS(AQ183="","",LEN(AQ183)-LEN(SUBSTITUTE(AQ183,".",""))=3,LEFT(AQ183,vitri(".",AQ183,3)-1),LEN(AQ183)-LEN(SUBSTITUTE(AQ183,".",""))=2,LEFT(AQ183,vitri(".",AQ183,2)-1),TRUE,LEFT(AQ183,vitri(".",AQ183,1)-1))</f>
        <v/>
      </c>
    </row>
    <row r="184" spans="13:54" x14ac:dyDescent="0.25">
      <c r="M184" s="379"/>
      <c r="T184" s="226"/>
      <c r="V184" s="226"/>
      <c r="AB184" s="210" t="str">
        <f t="shared" si="8"/>
        <v/>
      </c>
      <c r="AP184" s="210" t="str">
        <f t="shared" si="9"/>
        <v/>
      </c>
      <c r="AQ184" s="263"/>
      <c r="AR184" s="210" t="str">
        <f t="shared" si="10"/>
        <v/>
      </c>
      <c r="AS184" s="217"/>
      <c r="AT184" s="210" t="s">
        <v>503</v>
      </c>
      <c r="AU184" s="263"/>
      <c r="AV184" s="217"/>
      <c r="BB184" s="206" t="str">
        <f t="array" ref="BB184">_xlfn.IFS(AQ184="","",LEN(AQ184)-LEN(SUBSTITUTE(AQ184,".",""))=3,LEFT(AQ184,vitri(".",AQ184,3)-1),LEN(AQ184)-LEN(SUBSTITUTE(AQ184,".",""))=2,LEFT(AQ184,vitri(".",AQ184,2)-1),TRUE,LEFT(AQ184,vitri(".",AQ184,1)-1))</f>
        <v/>
      </c>
    </row>
    <row r="185" spans="13:54" x14ac:dyDescent="0.25">
      <c r="M185" s="379"/>
      <c r="T185" s="226"/>
      <c r="V185" s="226"/>
      <c r="AB185" s="210" t="str">
        <f t="shared" si="8"/>
        <v/>
      </c>
      <c r="AP185" s="210" t="str">
        <f t="shared" si="9"/>
        <v/>
      </c>
      <c r="AQ185" s="263"/>
      <c r="AR185" s="210" t="str">
        <f t="shared" si="10"/>
        <v/>
      </c>
      <c r="AS185" s="217"/>
      <c r="AT185" s="210" t="s">
        <v>503</v>
      </c>
      <c r="AU185" s="263"/>
      <c r="AV185" s="217"/>
      <c r="BB185" s="206" t="str">
        <f t="array" ref="BB185">_xlfn.IFS(AQ185="","",LEN(AQ185)-LEN(SUBSTITUTE(AQ185,".",""))=3,LEFT(AQ185,vitri(".",AQ185,3)-1),LEN(AQ185)-LEN(SUBSTITUTE(AQ185,".",""))=2,LEFT(AQ185,vitri(".",AQ185,2)-1),TRUE,LEFT(AQ185,vitri(".",AQ185,1)-1))</f>
        <v/>
      </c>
    </row>
    <row r="186" spans="13:54" x14ac:dyDescent="0.25">
      <c r="M186" s="379"/>
      <c r="T186" s="226"/>
      <c r="V186" s="226"/>
      <c r="AB186" s="210" t="str">
        <f t="shared" si="8"/>
        <v/>
      </c>
      <c r="AP186" s="210" t="str">
        <f t="shared" si="9"/>
        <v/>
      </c>
      <c r="AQ186" s="263"/>
      <c r="AR186" s="210" t="str">
        <f t="shared" si="10"/>
        <v/>
      </c>
      <c r="AS186" s="217"/>
      <c r="AT186" s="210" t="s">
        <v>503</v>
      </c>
      <c r="AU186" s="263"/>
      <c r="AV186" s="217"/>
      <c r="BB186" s="206" t="str">
        <f t="array" ref="BB186">_xlfn.IFS(AQ186="","",LEN(AQ186)-LEN(SUBSTITUTE(AQ186,".",""))=3,LEFT(AQ186,vitri(".",AQ186,3)-1),LEN(AQ186)-LEN(SUBSTITUTE(AQ186,".",""))=2,LEFT(AQ186,vitri(".",AQ186,2)-1),TRUE,LEFT(AQ186,vitri(".",AQ186,1)-1))</f>
        <v/>
      </c>
    </row>
    <row r="187" spans="13:54" x14ac:dyDescent="0.25">
      <c r="M187" s="379"/>
      <c r="T187" s="226"/>
      <c r="V187" s="226"/>
      <c r="AB187" s="210" t="str">
        <f t="shared" si="8"/>
        <v/>
      </c>
      <c r="AP187" s="210" t="str">
        <f t="shared" si="9"/>
        <v/>
      </c>
      <c r="AQ187" s="263"/>
      <c r="AR187" s="210" t="str">
        <f t="shared" si="10"/>
        <v/>
      </c>
      <c r="AS187" s="217"/>
      <c r="AT187" s="210" t="s">
        <v>503</v>
      </c>
      <c r="AU187" s="263"/>
      <c r="AV187" s="217"/>
      <c r="BB187" s="206" t="str">
        <f t="array" ref="BB187">_xlfn.IFS(AQ187="","",LEN(AQ187)-LEN(SUBSTITUTE(AQ187,".",""))=3,LEFT(AQ187,vitri(".",AQ187,3)-1),LEN(AQ187)-LEN(SUBSTITUTE(AQ187,".",""))=2,LEFT(AQ187,vitri(".",AQ187,2)-1),TRUE,LEFT(AQ187,vitri(".",AQ187,1)-1))</f>
        <v/>
      </c>
    </row>
    <row r="188" spans="13:54" x14ac:dyDescent="0.25">
      <c r="M188" s="379"/>
      <c r="T188" s="226"/>
      <c r="V188" s="226"/>
      <c r="AB188" s="210" t="str">
        <f t="shared" si="8"/>
        <v/>
      </c>
      <c r="AP188" s="210" t="str">
        <f t="shared" si="9"/>
        <v/>
      </c>
      <c r="AQ188" s="263"/>
      <c r="AR188" s="210" t="str">
        <f t="shared" si="10"/>
        <v/>
      </c>
      <c r="AS188" s="217"/>
      <c r="AT188" s="210" t="s">
        <v>503</v>
      </c>
      <c r="AU188" s="263"/>
      <c r="AV188" s="217"/>
      <c r="BB188" s="206" t="str">
        <f t="array" ref="BB188">_xlfn.IFS(AQ188="","",LEN(AQ188)-LEN(SUBSTITUTE(AQ188,".",""))=3,LEFT(AQ188,vitri(".",AQ188,3)-1),LEN(AQ188)-LEN(SUBSTITUTE(AQ188,".",""))=2,LEFT(AQ188,vitri(".",AQ188,2)-1),TRUE,LEFT(AQ188,vitri(".",AQ188,1)-1))</f>
        <v/>
      </c>
    </row>
    <row r="189" spans="13:54" x14ac:dyDescent="0.25">
      <c r="M189" s="379"/>
      <c r="T189" s="226"/>
      <c r="V189" s="226"/>
      <c r="AB189" s="210" t="str">
        <f t="shared" si="8"/>
        <v/>
      </c>
      <c r="AP189" s="210" t="str">
        <f t="shared" si="9"/>
        <v/>
      </c>
      <c r="AQ189" s="263"/>
      <c r="AR189" s="210" t="str">
        <f t="shared" si="10"/>
        <v/>
      </c>
      <c r="AS189" s="217"/>
      <c r="AT189" s="210" t="s">
        <v>503</v>
      </c>
      <c r="AU189" s="263"/>
      <c r="AV189" s="217"/>
      <c r="BB189" s="206" t="str">
        <f t="array" ref="BB189">_xlfn.IFS(AQ189="","",LEN(AQ189)-LEN(SUBSTITUTE(AQ189,".",""))=3,LEFT(AQ189,vitri(".",AQ189,3)-1),LEN(AQ189)-LEN(SUBSTITUTE(AQ189,".",""))=2,LEFT(AQ189,vitri(".",AQ189,2)-1),TRUE,LEFT(AQ189,vitri(".",AQ189,1)-1))</f>
        <v/>
      </c>
    </row>
    <row r="190" spans="13:54" x14ac:dyDescent="0.25">
      <c r="M190" s="379"/>
      <c r="T190" s="226"/>
      <c r="V190" s="226"/>
      <c r="AB190" s="210" t="str">
        <f t="shared" si="8"/>
        <v/>
      </c>
      <c r="AP190" s="210" t="str">
        <f t="shared" si="9"/>
        <v/>
      </c>
      <c r="AQ190" s="263"/>
      <c r="AR190" s="210" t="str">
        <f t="shared" si="10"/>
        <v/>
      </c>
      <c r="AS190" s="217"/>
      <c r="AT190" s="210" t="s">
        <v>503</v>
      </c>
      <c r="AU190" s="263"/>
      <c r="AV190" s="217"/>
      <c r="BB190" s="206" t="str">
        <f t="array" ref="BB190">_xlfn.IFS(AQ190="","",LEN(AQ190)-LEN(SUBSTITUTE(AQ190,".",""))=3,LEFT(AQ190,vitri(".",AQ190,3)-1),LEN(AQ190)-LEN(SUBSTITUTE(AQ190,".",""))=2,LEFT(AQ190,vitri(".",AQ190,2)-1),TRUE,LEFT(AQ190,vitri(".",AQ190,1)-1))</f>
        <v/>
      </c>
    </row>
    <row r="191" spans="13:54" x14ac:dyDescent="0.25">
      <c r="M191" s="379"/>
      <c r="T191" s="226"/>
      <c r="V191" s="226"/>
      <c r="AB191" s="210" t="str">
        <f t="shared" si="8"/>
        <v/>
      </c>
      <c r="AP191" s="210" t="str">
        <f t="shared" si="9"/>
        <v/>
      </c>
      <c r="AR191" s="210" t="str">
        <f t="shared" si="10"/>
        <v/>
      </c>
      <c r="AT191" s="210" t="s">
        <v>503</v>
      </c>
      <c r="BB191" s="206" t="str">
        <f t="array" ref="BB191">_xlfn.IFS(AQ191="","",LEN(AQ191)-LEN(SUBSTITUTE(AQ191,".",""))=3,LEFT(AQ191,vitri(".",AQ191,3)-1),LEN(AQ191)-LEN(SUBSTITUTE(AQ191,".",""))=2,LEFT(AQ191,vitri(".",AQ191,2)-1),TRUE,LEFT(AQ191,vitri(".",AQ191,1)-1))</f>
        <v/>
      </c>
    </row>
    <row r="192" spans="13:54" x14ac:dyDescent="0.25">
      <c r="M192" s="379"/>
      <c r="T192" s="226"/>
      <c r="V192" s="226"/>
      <c r="AB192" s="210" t="str">
        <f t="shared" si="8"/>
        <v/>
      </c>
      <c r="AP192" s="210" t="str">
        <f t="shared" si="9"/>
        <v/>
      </c>
      <c r="AR192" s="210" t="str">
        <f t="shared" si="10"/>
        <v/>
      </c>
      <c r="AT192" s="210" t="s">
        <v>503</v>
      </c>
      <c r="BB192" s="206" t="str">
        <f t="array" ref="BB192">_xlfn.IFS(AQ192="","",LEN(AQ192)-LEN(SUBSTITUTE(AQ192,".",""))=3,LEFT(AQ192,vitri(".",AQ192,3)-1),LEN(AQ192)-LEN(SUBSTITUTE(AQ192,".",""))=2,LEFT(AQ192,vitri(".",AQ192,2)-1),TRUE,LEFT(AQ192,vitri(".",AQ192,1)-1))</f>
        <v/>
      </c>
    </row>
    <row r="193" spans="13:54" x14ac:dyDescent="0.25">
      <c r="M193" s="379"/>
      <c r="T193" s="226"/>
      <c r="V193" s="226"/>
      <c r="AB193" s="210" t="str">
        <f t="shared" si="8"/>
        <v/>
      </c>
      <c r="AP193" s="210" t="str">
        <f t="shared" si="9"/>
        <v/>
      </c>
      <c r="AR193" s="210" t="str">
        <f t="shared" si="10"/>
        <v/>
      </c>
      <c r="AT193" s="210" t="s">
        <v>503</v>
      </c>
      <c r="BB193" s="206" t="str">
        <f t="array" ref="BB193">_xlfn.IFS(AQ193="","",LEN(AQ193)-LEN(SUBSTITUTE(AQ193,".",""))=3,LEFT(AQ193,vitri(".",AQ193,3)-1),LEN(AQ193)-LEN(SUBSTITUTE(AQ193,".",""))=2,LEFT(AQ193,vitri(".",AQ193,2)-1),TRUE,LEFT(AQ193,vitri(".",AQ193,1)-1))</f>
        <v/>
      </c>
    </row>
    <row r="194" spans="13:54" x14ac:dyDescent="0.25">
      <c r="M194" s="379"/>
      <c r="T194" s="226"/>
      <c r="V194" s="226"/>
      <c r="AB194" s="210" t="str">
        <f t="shared" si="8"/>
        <v/>
      </c>
      <c r="AP194" s="210" t="str">
        <f t="shared" si="9"/>
        <v/>
      </c>
      <c r="AR194" s="210" t="str">
        <f t="shared" si="10"/>
        <v/>
      </c>
      <c r="AT194" s="210" t="s">
        <v>503</v>
      </c>
      <c r="BB194" s="206" t="str">
        <f t="array" ref="BB194">_xlfn.IFS(AQ194="","",LEN(AQ194)-LEN(SUBSTITUTE(AQ194,".",""))=3,LEFT(AQ194,vitri(".",AQ194,3)-1),LEN(AQ194)-LEN(SUBSTITUTE(AQ194,".",""))=2,LEFT(AQ194,vitri(".",AQ194,2)-1),TRUE,LEFT(AQ194,vitri(".",AQ194,1)-1))</f>
        <v/>
      </c>
    </row>
    <row r="195" spans="13:54" x14ac:dyDescent="0.25">
      <c r="M195" s="379"/>
      <c r="T195" s="226"/>
      <c r="V195" s="226"/>
      <c r="AB195" s="210" t="str">
        <f t="shared" si="8"/>
        <v/>
      </c>
      <c r="AP195" s="210" t="str">
        <f t="shared" si="9"/>
        <v/>
      </c>
      <c r="AR195" s="210" t="str">
        <f t="shared" si="10"/>
        <v/>
      </c>
      <c r="AT195" s="210" t="s">
        <v>503</v>
      </c>
      <c r="BB195" s="206" t="str">
        <f t="array" ref="BB195">_xlfn.IFS(AQ195="","",LEN(AQ195)-LEN(SUBSTITUTE(AQ195,".",""))=3,LEFT(AQ195,vitri(".",AQ195,3)-1),LEN(AQ195)-LEN(SUBSTITUTE(AQ195,".",""))=2,LEFT(AQ195,vitri(".",AQ195,2)-1),TRUE,LEFT(AQ195,vitri(".",AQ195,1)-1))</f>
        <v/>
      </c>
    </row>
    <row r="196" spans="13:54" x14ac:dyDescent="0.25">
      <c r="M196" s="379"/>
      <c r="T196" s="226"/>
      <c r="V196" s="226"/>
      <c r="AB196" s="210" t="str">
        <f t="shared" si="8"/>
        <v/>
      </c>
      <c r="AP196" s="210" t="str">
        <f t="shared" si="9"/>
        <v/>
      </c>
      <c r="AR196" s="210" t="str">
        <f t="shared" si="10"/>
        <v/>
      </c>
      <c r="AT196" s="210" t="s">
        <v>503</v>
      </c>
      <c r="BB196" s="206" t="str">
        <f t="array" ref="BB196">_xlfn.IFS(AQ196="","",LEN(AQ196)-LEN(SUBSTITUTE(AQ196,".",""))=3,LEFT(AQ196,vitri(".",AQ196,3)-1),LEN(AQ196)-LEN(SUBSTITUTE(AQ196,".",""))=2,LEFT(AQ196,vitri(".",AQ196,2)-1),TRUE,LEFT(AQ196,vitri(".",AQ196,1)-1))</f>
        <v/>
      </c>
    </row>
    <row r="197" spans="13:54" x14ac:dyDescent="0.25">
      <c r="M197" s="379"/>
      <c r="T197" s="226"/>
      <c r="V197" s="226"/>
      <c r="AB197" s="210" t="str">
        <f t="shared" ref="AB197:AB202" si="11">IF(Z197="","",Z197*1)</f>
        <v/>
      </c>
      <c r="AP197" s="210" t="str">
        <f t="shared" si="9"/>
        <v/>
      </c>
      <c r="AR197" s="210" t="str">
        <f t="shared" si="10"/>
        <v/>
      </c>
      <c r="AT197" s="210" t="s">
        <v>503</v>
      </c>
      <c r="BB197" s="206" t="str">
        <f t="array" ref="BB197">_xlfn.IFS(AQ197="","",LEN(AQ197)-LEN(SUBSTITUTE(AQ197,".",""))=3,LEFT(AQ197,vitri(".",AQ197,3)-1),LEN(AQ197)-LEN(SUBSTITUTE(AQ197,".",""))=2,LEFT(AQ197,vitri(".",AQ197,2)-1),TRUE,LEFT(AQ197,vitri(".",AQ197,1)-1))</f>
        <v/>
      </c>
    </row>
    <row r="198" spans="13:54" x14ac:dyDescent="0.25">
      <c r="M198" s="379"/>
      <c r="T198" s="226"/>
      <c r="V198" s="226"/>
      <c r="AB198" s="210" t="str">
        <f t="shared" si="11"/>
        <v/>
      </c>
      <c r="AP198" s="210" t="str">
        <f>IF(AQ198="","",AP197+1)</f>
        <v/>
      </c>
      <c r="AR198" s="210" t="str">
        <f>IF(AP198="","",AP198)</f>
        <v/>
      </c>
      <c r="AT198" s="210" t="s">
        <v>503</v>
      </c>
      <c r="BB198" s="206" t="str">
        <f t="array" ref="BB198">_xlfn.IFS(AQ198="","",LEN(AQ198)-LEN(SUBSTITUTE(AQ198,".",""))=3,LEFT(AQ198,vitri(".",AQ198,3)-1),LEN(AQ198)-LEN(SUBSTITUTE(AQ198,".",""))=2,LEFT(AQ198,vitri(".",AQ198,2)-1),TRUE,LEFT(AQ198,vitri(".",AQ198,1)-1))</f>
        <v/>
      </c>
    </row>
    <row r="199" spans="13:54" x14ac:dyDescent="0.25">
      <c r="M199" s="379"/>
      <c r="T199" s="226"/>
      <c r="V199" s="226"/>
      <c r="AB199" s="210" t="str">
        <f t="shared" si="11"/>
        <v/>
      </c>
      <c r="AP199" s="210" t="str">
        <f>IF(AQ199="","",AP198+1)</f>
        <v/>
      </c>
      <c r="AR199" s="210" t="str">
        <f>IF(AP199="","",AP199)</f>
        <v/>
      </c>
      <c r="AT199" s="210" t="s">
        <v>503</v>
      </c>
      <c r="BB199" s="206" t="str">
        <f t="array" ref="BB199">_xlfn.IFS(AQ199="","",LEN(AQ199)-LEN(SUBSTITUTE(AQ199,".",""))=3,LEFT(AQ199,vitri(".",AQ199,3)-1),LEN(AQ199)-LEN(SUBSTITUTE(AQ199,".",""))=2,LEFT(AQ199,vitri(".",AQ199,2)-1),TRUE,LEFT(AQ199,vitri(".",AQ199,1)-1))</f>
        <v/>
      </c>
    </row>
    <row r="200" spans="13:54" x14ac:dyDescent="0.25">
      <c r="M200" s="379"/>
      <c r="T200" s="226"/>
      <c r="V200" s="226"/>
      <c r="AB200" s="210" t="str">
        <f t="shared" si="11"/>
        <v/>
      </c>
      <c r="AP200" s="210" t="str">
        <f>IF(AQ200="","",AP199+1)</f>
        <v/>
      </c>
      <c r="AR200" s="210" t="str">
        <f>IF(AP200="","",AP200)</f>
        <v/>
      </c>
      <c r="AT200" s="210" t="s">
        <v>503</v>
      </c>
      <c r="BB200" s="206" t="str">
        <f t="array" ref="BB200">_xlfn.IFS(AQ200="","",LEN(AQ200)-LEN(SUBSTITUTE(AQ200,".",""))=3,LEFT(AQ200,vitri(".",AQ200,3)-1),LEN(AQ200)-LEN(SUBSTITUTE(AQ200,".",""))=2,LEFT(AQ200,vitri(".",AQ200,2)-1),TRUE,LEFT(AQ200,vitri(".",AQ200,1)-1))</f>
        <v/>
      </c>
    </row>
    <row r="201" spans="13:54" x14ac:dyDescent="0.25">
      <c r="M201" s="379"/>
      <c r="T201" s="226"/>
      <c r="V201" s="226"/>
      <c r="AB201" s="210" t="str">
        <f t="shared" si="11"/>
        <v/>
      </c>
      <c r="AP201" s="210" t="str">
        <f>IF(AQ201="","",AP200+1)</f>
        <v/>
      </c>
      <c r="AR201" s="210" t="str">
        <f>IF(AS201="","",AR200+1)</f>
        <v/>
      </c>
      <c r="AT201" s="210" t="s">
        <v>503</v>
      </c>
      <c r="BB201" s="206" t="str">
        <f t="array" ref="BB201">_xlfn.IFS(AQ201="","",LEN(AQ201)-LEN(SUBSTITUTE(AQ201,".",""))=3,LEFT(AQ201,vitri(".",AQ201,3)-1),LEN(AQ201)-LEN(SUBSTITUTE(AQ201,".",""))=2,LEFT(AQ201,vitri(".",AQ201,2)-1),TRUE,LEFT(AQ201,vitri(".",AQ201,1)-1))</f>
        <v/>
      </c>
    </row>
    <row r="202" spans="13:54" x14ac:dyDescent="0.25">
      <c r="M202" s="379"/>
      <c r="T202" s="226"/>
      <c r="V202" s="226"/>
      <c r="AB202" s="210" t="str">
        <f t="shared" si="11"/>
        <v/>
      </c>
      <c r="BB202" s="206" t="str">
        <f t="array" ref="BB202">_xlfn.IFS(AQ202="","",LEN(AQ202)-LEN(SUBSTITUTE(AQ202,".",""))=3,LEFT(AQ202,vitri(".",AQ202,3)-1),LEN(AQ202)-LEN(SUBSTITUTE(AQ202,".",""))=2,LEFT(AQ202,vitri(".",AQ202,2)-1),TRUE,LEFT(AQ202,vitri(".",AQ202,1)-1))</f>
        <v/>
      </c>
    </row>
    <row r="203" spans="13:54" x14ac:dyDescent="0.25">
      <c r="M203" s="379"/>
      <c r="T203" s="226"/>
      <c r="V203" s="226"/>
      <c r="BB203" s="206" t="str">
        <f t="array" ref="BB203">_xlfn.IFS(AQ203="","",LEN(AQ203)-LEN(SUBSTITUTE(AQ203,".",""))=3,LEFT(AQ203,vitri(".",AQ203,3)-1),LEN(AQ203)-LEN(SUBSTITUTE(AQ203,".",""))=2,LEFT(AQ203,vitri(".",AQ203,2)-1),TRUE,LEFT(AQ203,vitri(".",AQ203,1)-1))</f>
        <v/>
      </c>
    </row>
    <row r="204" spans="13:54" x14ac:dyDescent="0.25">
      <c r="M204" s="379"/>
      <c r="T204" s="226"/>
      <c r="V204" s="226"/>
      <c r="BB204" s="206" t="str">
        <f t="array" ref="BB204">_xlfn.IFS(AQ204="","",LEN(AQ204)-LEN(SUBSTITUTE(AQ204,".",""))=3,LEFT(AQ204,vitri(".",AQ204,3)-1),LEN(AQ204)-LEN(SUBSTITUTE(AQ204,".",""))=2,LEFT(AQ204,vitri(".",AQ204,2)-1),TRUE,LEFT(AQ204,vitri(".",AQ204,1)-1))</f>
        <v/>
      </c>
    </row>
    <row r="205" spans="13:54" x14ac:dyDescent="0.25">
      <c r="M205" s="379"/>
      <c r="T205" s="226"/>
      <c r="V205" s="226"/>
      <c r="BB205" s="206" t="str">
        <f t="array" ref="BB205">_xlfn.IFS(AQ205="","",LEN(AQ205)-LEN(SUBSTITUTE(AQ205,".",""))=3,LEFT(AQ205,vitri(".",AQ205,3)-1),LEN(AQ205)-LEN(SUBSTITUTE(AQ205,".",""))=2,LEFT(AQ205,vitri(".",AQ205,2)-1),TRUE,LEFT(AQ205,vitri(".",AQ205,1)-1))</f>
        <v/>
      </c>
    </row>
    <row r="206" spans="13:54" x14ac:dyDescent="0.25">
      <c r="M206" s="379"/>
      <c r="T206" s="226"/>
      <c r="V206" s="226"/>
      <c r="BB206" s="206" t="str">
        <f t="array" ref="BB206">_xlfn.IFS(AQ206="","",LEN(AQ206)-LEN(SUBSTITUTE(AQ206,".",""))=3,LEFT(AQ206,vitri(".",AQ206,3)-1),LEN(AQ206)-LEN(SUBSTITUTE(AQ206,".",""))=2,LEFT(AQ206,vitri(".",AQ206,2)-1),TRUE,LEFT(AQ206,vitri(".",AQ206,1)-1))</f>
        <v/>
      </c>
    </row>
    <row r="207" spans="13:54" x14ac:dyDescent="0.25">
      <c r="M207" s="379"/>
      <c r="T207" s="226"/>
      <c r="V207" s="226"/>
      <c r="BB207" s="206" t="str">
        <f t="array" ref="BB207">_xlfn.IFS(AQ207="","",LEN(AQ207)-LEN(SUBSTITUTE(AQ207,".",""))=3,LEFT(AQ207,vitri(".",AQ207,3)-1),LEN(AQ207)-LEN(SUBSTITUTE(AQ207,".",""))=2,LEFT(AQ207,vitri(".",AQ207,2)-1),TRUE,LEFT(AQ207,vitri(".",AQ207,1)-1))</f>
        <v/>
      </c>
    </row>
    <row r="208" spans="13:54" x14ac:dyDescent="0.25">
      <c r="M208" s="379"/>
      <c r="T208" s="226"/>
      <c r="V208" s="226"/>
      <c r="BB208" s="206" t="str">
        <f t="array" ref="BB208">_xlfn.IFS(AQ208="","",LEN(AQ208)-LEN(SUBSTITUTE(AQ208,".",""))=3,LEFT(AQ208,vitri(".",AQ208,3)-1),LEN(AQ208)-LEN(SUBSTITUTE(AQ208,".",""))=2,LEFT(AQ208,vitri(".",AQ208,2)-1),TRUE,LEFT(AQ208,vitri(".",AQ208,1)-1))</f>
        <v/>
      </c>
    </row>
    <row r="209" spans="13:54" x14ac:dyDescent="0.25">
      <c r="M209" s="379"/>
      <c r="T209" s="226"/>
      <c r="V209" s="226"/>
      <c r="BB209" s="206" t="str">
        <f t="array" ref="BB209">_xlfn.IFS(AQ209="","",LEN(AQ209)-LEN(SUBSTITUTE(AQ209,".",""))=3,LEFT(AQ209,vitri(".",AQ209,3)-1),LEN(AQ209)-LEN(SUBSTITUTE(AQ209,".",""))=2,LEFT(AQ209,vitri(".",AQ209,2)-1),TRUE,LEFT(AQ209,vitri(".",AQ209,1)-1))</f>
        <v/>
      </c>
    </row>
    <row r="210" spans="13:54" x14ac:dyDescent="0.25">
      <c r="M210" s="379"/>
      <c r="T210" s="226"/>
      <c r="V210" s="226"/>
      <c r="BB210" s="206" t="str">
        <f t="array" ref="BB210">_xlfn.IFS(AQ210="","",LEN(AQ210)-LEN(SUBSTITUTE(AQ210,".",""))=3,LEFT(AQ210,vitri(".",AQ210,3)-1),LEN(AQ210)-LEN(SUBSTITUTE(AQ210,".",""))=2,LEFT(AQ210,vitri(".",AQ210,2)-1),TRUE,LEFT(AQ210,vitri(".",AQ210,1)-1))</f>
        <v/>
      </c>
    </row>
    <row r="211" spans="13:54" x14ac:dyDescent="0.25">
      <c r="M211" s="379"/>
      <c r="BB211" s="206" t="str">
        <f t="array" ref="BB211">_xlfn.IFS(AQ211="","",LEN(AQ211)-LEN(SUBSTITUTE(AQ211,".",""))=3,LEFT(AQ211,vitri(".",AQ211,3)-1),LEN(AQ211)-LEN(SUBSTITUTE(AQ211,".",""))=2,LEFT(AQ211,vitri(".",AQ211,2)-1),TRUE,LEFT(AQ211,vitri(".",AQ211,1)-1))</f>
        <v/>
      </c>
    </row>
    <row r="212" spans="13:54" x14ac:dyDescent="0.25">
      <c r="M212" s="379"/>
      <c r="BB212" s="206" t="str">
        <f t="array" ref="BB212">_xlfn.IFS(AQ212="","",LEN(AQ212)-LEN(SUBSTITUTE(AQ212,".",""))=3,LEFT(AQ212,vitri(".",AQ212,3)-1),LEN(AQ212)-LEN(SUBSTITUTE(AQ212,".",""))=2,LEFT(AQ212,vitri(".",AQ212,2)-1),TRUE,LEFT(AQ212,vitri(".",AQ212,1)-1))</f>
        <v/>
      </c>
    </row>
    <row r="213" spans="13:54" x14ac:dyDescent="0.25">
      <c r="M213" s="379"/>
      <c r="BB213" s="206" t="str">
        <f t="array" ref="BB213">_xlfn.IFS(AQ213="","",LEN(AQ213)-LEN(SUBSTITUTE(AQ213,".",""))=3,LEFT(AQ213,vitri(".",AQ213,3)-1),LEN(AQ213)-LEN(SUBSTITUTE(AQ213,".",""))=2,LEFT(AQ213,vitri(".",AQ213,2)-1),TRUE,LEFT(AQ213,vitri(".",AQ213,1)-1))</f>
        <v/>
      </c>
    </row>
    <row r="214" spans="13:54" x14ac:dyDescent="0.25">
      <c r="M214" s="379"/>
      <c r="BB214" s="206" t="str">
        <f t="array" ref="BB214">_xlfn.IFS(AQ214="","",LEN(AQ214)-LEN(SUBSTITUTE(AQ214,".",""))=3,LEFT(AQ214,vitri(".",AQ214,3)-1),LEN(AQ214)-LEN(SUBSTITUTE(AQ214,".",""))=2,LEFT(AQ214,vitri(".",AQ214,2)-1),TRUE,LEFT(AQ214,vitri(".",AQ214,1)-1))</f>
        <v/>
      </c>
    </row>
    <row r="215" spans="13:54" x14ac:dyDescent="0.25">
      <c r="M215" s="379"/>
      <c r="BB215" s="206" t="str">
        <f t="array" ref="BB215">_xlfn.IFS(AQ215="","",LEN(AQ215)-LEN(SUBSTITUTE(AQ215,".",""))=3,LEFT(AQ215,vitri(".",AQ215,3)-1),LEN(AQ215)-LEN(SUBSTITUTE(AQ215,".",""))=2,LEFT(AQ215,vitri(".",AQ215,2)-1),TRUE,LEFT(AQ215,vitri(".",AQ215,1)-1))</f>
        <v/>
      </c>
    </row>
    <row r="216" spans="13:54" x14ac:dyDescent="0.25">
      <c r="M216" s="379"/>
      <c r="BB216" s="206" t="str">
        <f t="array" ref="BB216">_xlfn.IFS(AQ216="","",LEN(AQ216)-LEN(SUBSTITUTE(AQ216,".",""))=3,LEFT(AQ216,vitri(".",AQ216,3)-1),LEN(AQ216)-LEN(SUBSTITUTE(AQ216,".",""))=2,LEFT(AQ216,vitri(".",AQ216,2)-1),TRUE,LEFT(AQ216,vitri(".",AQ216,1)-1))</f>
        <v/>
      </c>
    </row>
    <row r="217" spans="13:54" x14ac:dyDescent="0.25">
      <c r="M217" s="379"/>
      <c r="BB217" s="206" t="str">
        <f t="array" ref="BB217">_xlfn.IFS(AQ217="","",LEN(AQ217)-LEN(SUBSTITUTE(AQ217,".",""))=3,LEFT(AQ217,vitri(".",AQ217,3)-1),LEN(AQ217)-LEN(SUBSTITUTE(AQ217,".",""))=2,LEFT(AQ217,vitri(".",AQ217,2)-1),TRUE,LEFT(AQ217,vitri(".",AQ217,1)-1))</f>
        <v/>
      </c>
    </row>
    <row r="218" spans="13:54" x14ac:dyDescent="0.25">
      <c r="M218" s="379"/>
      <c r="BB218" s="206" t="str">
        <f t="array" ref="BB218">_xlfn.IFS(AQ218="","",LEN(AQ218)-LEN(SUBSTITUTE(AQ218,".",""))=3,LEFT(AQ218,vitri(".",AQ218,3)-1),LEN(AQ218)-LEN(SUBSTITUTE(AQ218,".",""))=2,LEFT(AQ218,vitri(".",AQ218,2)-1),TRUE,LEFT(AQ218,vitri(".",AQ218,1)-1))</f>
        <v/>
      </c>
    </row>
    <row r="219" spans="13:54" x14ac:dyDescent="0.25">
      <c r="M219" s="379"/>
      <c r="BB219" s="206" t="str">
        <f t="array" ref="BB219">_xlfn.IFS(AQ219="","",LEN(AQ219)-LEN(SUBSTITUTE(AQ219,".",""))=3,LEFT(AQ219,vitri(".",AQ219,3)-1),LEN(AQ219)-LEN(SUBSTITUTE(AQ219,".",""))=2,LEFT(AQ219,vitri(".",AQ219,2)-1),TRUE,LEFT(AQ219,vitri(".",AQ219,1)-1))</f>
        <v/>
      </c>
    </row>
    <row r="220" spans="13:54" x14ac:dyDescent="0.25">
      <c r="M220" s="379"/>
      <c r="BB220" s="206" t="str">
        <f t="array" ref="BB220">_xlfn.IFS(AQ220="","",LEN(AQ220)-LEN(SUBSTITUTE(AQ220,".",""))=3,LEFT(AQ220,vitri(".",AQ220,3)-1),LEN(AQ220)-LEN(SUBSTITUTE(AQ220,".",""))=2,LEFT(AQ220,vitri(".",AQ220,2)-1),TRUE,LEFT(AQ220,vitri(".",AQ220,1)-1))</f>
        <v/>
      </c>
    </row>
    <row r="221" spans="13:54" x14ac:dyDescent="0.25">
      <c r="M221" s="379"/>
      <c r="BB221" s="206" t="str">
        <f t="array" ref="BB221">_xlfn.IFS(AQ221="","",LEN(AQ221)-LEN(SUBSTITUTE(AQ221,".",""))=3,LEFT(AQ221,vitri(".",AQ221,3)-1),LEN(AQ221)-LEN(SUBSTITUTE(AQ221,".",""))=2,LEFT(AQ221,vitri(".",AQ221,2)-1),TRUE,LEFT(AQ221,vitri(".",AQ221,1)-1))</f>
        <v/>
      </c>
    </row>
    <row r="222" spans="13:54" x14ac:dyDescent="0.25">
      <c r="M222" s="379"/>
      <c r="BB222" s="206" t="str">
        <f t="array" ref="BB222">_xlfn.IFS(AQ222="","",LEN(AQ222)-LEN(SUBSTITUTE(AQ222,".",""))=3,LEFT(AQ222,vitri(".",AQ222,3)-1),LEN(AQ222)-LEN(SUBSTITUTE(AQ222,".",""))=2,LEFT(AQ222,vitri(".",AQ222,2)-1),TRUE,LEFT(AQ222,vitri(".",AQ222,1)-1))</f>
        <v/>
      </c>
    </row>
    <row r="223" spans="13:54" x14ac:dyDescent="0.25">
      <c r="M223" s="379"/>
      <c r="BB223" s="206" t="str">
        <f t="array" ref="BB223">_xlfn.IFS(AQ223="","",LEN(AQ223)-LEN(SUBSTITUTE(AQ223,".",""))=3,LEFT(AQ223,vitri(".",AQ223,3)-1),LEN(AQ223)-LEN(SUBSTITUTE(AQ223,".",""))=2,LEFT(AQ223,vitri(".",AQ223,2)-1),TRUE,LEFT(AQ223,vitri(".",AQ223,1)-1))</f>
        <v/>
      </c>
    </row>
    <row r="224" spans="13:54" x14ac:dyDescent="0.25">
      <c r="M224" s="379"/>
      <c r="BB224" s="206" t="str">
        <f t="array" ref="BB224">_xlfn.IFS(AQ224="","",LEN(AQ224)-LEN(SUBSTITUTE(AQ224,".",""))=3,LEFT(AQ224,vitri(".",AQ224,3)-1),LEN(AQ224)-LEN(SUBSTITUTE(AQ224,".",""))=2,LEFT(AQ224,vitri(".",AQ224,2)-1),TRUE,LEFT(AQ224,vitri(".",AQ224,1)-1))</f>
        <v/>
      </c>
    </row>
    <row r="225" spans="13:54" x14ac:dyDescent="0.25">
      <c r="M225" s="379"/>
      <c r="BB225" s="206" t="str">
        <f t="array" ref="BB225">_xlfn.IFS(AQ225="","",LEN(AQ225)-LEN(SUBSTITUTE(AQ225,".",""))=3,LEFT(AQ225,vitri(".",AQ225,3)-1),LEN(AQ225)-LEN(SUBSTITUTE(AQ225,".",""))=2,LEFT(AQ225,vitri(".",AQ225,2)-1),TRUE,LEFT(AQ225,vitri(".",AQ225,1)-1))</f>
        <v/>
      </c>
    </row>
    <row r="226" spans="13:54" x14ac:dyDescent="0.25">
      <c r="M226" s="379"/>
      <c r="BB226" s="206" t="str">
        <f t="array" ref="BB226">_xlfn.IFS(AQ226="","",LEN(AQ226)-LEN(SUBSTITUTE(AQ226,".",""))=3,LEFT(AQ226,vitri(".",AQ226,3)-1),LEN(AQ226)-LEN(SUBSTITUTE(AQ226,".",""))=2,LEFT(AQ226,vitri(".",AQ226,2)-1),TRUE,LEFT(AQ226,vitri(".",AQ226,1)-1))</f>
        <v/>
      </c>
    </row>
    <row r="227" spans="13:54" x14ac:dyDescent="0.25">
      <c r="M227" s="379"/>
      <c r="BB227" s="206" t="str">
        <f t="array" ref="BB227">_xlfn.IFS(AQ227="","",LEN(AQ227)-LEN(SUBSTITUTE(AQ227,".",""))=3,LEFT(AQ227,vitri(".",AQ227,3)-1),LEN(AQ227)-LEN(SUBSTITUTE(AQ227,".",""))=2,LEFT(AQ227,vitri(".",AQ227,2)-1),TRUE,LEFT(AQ227,vitri(".",AQ227,1)-1))</f>
        <v/>
      </c>
    </row>
    <row r="228" spans="13:54" x14ac:dyDescent="0.25">
      <c r="M228" s="379"/>
      <c r="BB228" s="206" t="str">
        <f t="array" ref="BB228">_xlfn.IFS(AQ228="","",LEN(AQ228)-LEN(SUBSTITUTE(AQ228,".",""))=3,LEFT(AQ228,vitri(".",AQ228,3)-1),LEN(AQ228)-LEN(SUBSTITUTE(AQ228,".",""))=2,LEFT(AQ228,vitri(".",AQ228,2)-1),TRUE,LEFT(AQ228,vitri(".",AQ228,1)-1))</f>
        <v/>
      </c>
    </row>
    <row r="229" spans="13:54" x14ac:dyDescent="0.25">
      <c r="M229" s="379"/>
      <c r="BB229" s="206" t="str">
        <f t="array" ref="BB229">_xlfn.IFS(AQ229="","",LEN(AQ229)-LEN(SUBSTITUTE(AQ229,".",""))=3,LEFT(AQ229,vitri(".",AQ229,3)-1),LEN(AQ229)-LEN(SUBSTITUTE(AQ229,".",""))=2,LEFT(AQ229,vitri(".",AQ229,2)-1),TRUE,LEFT(AQ229,vitri(".",AQ229,1)-1))</f>
        <v/>
      </c>
    </row>
    <row r="230" spans="13:54" x14ac:dyDescent="0.25">
      <c r="M230" s="379"/>
      <c r="BB230" s="206" t="str">
        <f t="array" ref="BB230">_xlfn.IFS(AQ230="","",LEN(AQ230)-LEN(SUBSTITUTE(AQ230,".",""))=3,LEFT(AQ230,vitri(".",AQ230,3)-1),LEN(AQ230)-LEN(SUBSTITUTE(AQ230,".",""))=2,LEFT(AQ230,vitri(".",AQ230,2)-1),TRUE,LEFT(AQ230,vitri(".",AQ230,1)-1))</f>
        <v/>
      </c>
    </row>
    <row r="231" spans="13:54" x14ac:dyDescent="0.25">
      <c r="M231" s="379"/>
      <c r="BB231" s="206" t="str">
        <f t="array" ref="BB231">_xlfn.IFS(AQ231="","",LEN(AQ231)-LEN(SUBSTITUTE(AQ231,".",""))=3,LEFT(AQ231,vitri(".",AQ231,3)-1),LEN(AQ231)-LEN(SUBSTITUTE(AQ231,".",""))=2,LEFT(AQ231,vitri(".",AQ231,2)-1),TRUE,LEFT(AQ231,vitri(".",AQ231,1)-1))</f>
        <v/>
      </c>
    </row>
    <row r="232" spans="13:54" x14ac:dyDescent="0.25">
      <c r="M232" s="379"/>
      <c r="BB232" s="206" t="str">
        <f t="array" ref="BB232">_xlfn.IFS(AQ232="","",LEN(AQ232)-LEN(SUBSTITUTE(AQ232,".",""))=3,LEFT(AQ232,vitri(".",AQ232,3)-1),LEN(AQ232)-LEN(SUBSTITUTE(AQ232,".",""))=2,LEFT(AQ232,vitri(".",AQ232,2)-1),TRUE,LEFT(AQ232,vitri(".",AQ232,1)-1))</f>
        <v/>
      </c>
    </row>
    <row r="233" spans="13:54" x14ac:dyDescent="0.25">
      <c r="M233" s="379"/>
      <c r="BB233" s="206" t="str">
        <f t="array" ref="BB233">_xlfn.IFS(AQ233="","",LEN(AQ233)-LEN(SUBSTITUTE(AQ233,".",""))=3,LEFT(AQ233,vitri(".",AQ233,3)-1),LEN(AQ233)-LEN(SUBSTITUTE(AQ233,".",""))=2,LEFT(AQ233,vitri(".",AQ233,2)-1),TRUE,LEFT(AQ233,vitri(".",AQ233,1)-1))</f>
        <v/>
      </c>
    </row>
    <row r="234" spans="13:54" x14ac:dyDescent="0.25">
      <c r="M234" s="379"/>
      <c r="BB234" s="206" t="str">
        <f t="array" ref="BB234">_xlfn.IFS(AQ234="","",LEN(AQ234)-LEN(SUBSTITUTE(AQ234,".",""))=3,LEFT(AQ234,vitri(".",AQ234,3)-1),LEN(AQ234)-LEN(SUBSTITUTE(AQ234,".",""))=2,LEFT(AQ234,vitri(".",AQ234,2)-1),TRUE,LEFT(AQ234,vitri(".",AQ234,1)-1))</f>
        <v/>
      </c>
    </row>
    <row r="235" spans="13:54" x14ac:dyDescent="0.25">
      <c r="M235" s="379"/>
      <c r="BB235" s="206" t="str">
        <f t="array" ref="BB235">_xlfn.IFS(AQ235="","",LEN(AQ235)-LEN(SUBSTITUTE(AQ235,".",""))=3,LEFT(AQ235,vitri(".",AQ235,3)-1),LEN(AQ235)-LEN(SUBSTITUTE(AQ235,".",""))=2,LEFT(AQ235,vitri(".",AQ235,2)-1),TRUE,LEFT(AQ235,vitri(".",AQ235,1)-1))</f>
        <v/>
      </c>
    </row>
    <row r="236" spans="13:54" x14ac:dyDescent="0.25">
      <c r="M236" s="379"/>
      <c r="BB236" s="206" t="str">
        <f t="array" ref="BB236">_xlfn.IFS(AQ236="","",LEN(AQ236)-LEN(SUBSTITUTE(AQ236,".",""))=3,LEFT(AQ236,vitri(".",AQ236,3)-1),LEN(AQ236)-LEN(SUBSTITUTE(AQ236,".",""))=2,LEFT(AQ236,vitri(".",AQ236,2)-1),TRUE,LEFT(AQ236,vitri(".",AQ236,1)-1))</f>
        <v/>
      </c>
    </row>
    <row r="237" spans="13:54" x14ac:dyDescent="0.25">
      <c r="M237" s="379"/>
      <c r="BB237" s="206" t="str">
        <f t="array" ref="BB237">_xlfn.IFS(AQ237="","",LEN(AQ237)-LEN(SUBSTITUTE(AQ237,".",""))=3,LEFT(AQ237,vitri(".",AQ237,3)-1),LEN(AQ237)-LEN(SUBSTITUTE(AQ237,".",""))=2,LEFT(AQ237,vitri(".",AQ237,2)-1),TRUE,LEFT(AQ237,vitri(".",AQ237,1)-1))</f>
        <v/>
      </c>
    </row>
    <row r="238" spans="13:54" x14ac:dyDescent="0.25">
      <c r="M238" s="379"/>
      <c r="BB238" s="206" t="str">
        <f t="array" ref="BB238">_xlfn.IFS(AQ238="","",LEN(AQ238)-LEN(SUBSTITUTE(AQ238,".",""))=3,LEFT(AQ238,vitri(".",AQ238,3)-1),LEN(AQ238)-LEN(SUBSTITUTE(AQ238,".",""))=2,LEFT(AQ238,vitri(".",AQ238,2)-1),TRUE,LEFT(AQ238,vitri(".",AQ238,1)-1))</f>
        <v/>
      </c>
    </row>
    <row r="239" spans="13:54" x14ac:dyDescent="0.25">
      <c r="M239" s="379"/>
      <c r="BB239" s="206" t="str">
        <f t="array" ref="BB239">_xlfn.IFS(AQ239="","",LEN(AQ239)-LEN(SUBSTITUTE(AQ239,".",""))=3,LEFT(AQ239,vitri(".",AQ239,3)-1),LEN(AQ239)-LEN(SUBSTITUTE(AQ239,".",""))=2,LEFT(AQ239,vitri(".",AQ239,2)-1),TRUE,LEFT(AQ239,vitri(".",AQ239,1)-1))</f>
        <v/>
      </c>
    </row>
    <row r="240" spans="13:54" x14ac:dyDescent="0.25">
      <c r="M240" s="379"/>
      <c r="BB240" s="206" t="str">
        <f t="array" ref="BB240">_xlfn.IFS(AQ240="","",LEN(AQ240)-LEN(SUBSTITUTE(AQ240,".",""))=3,LEFT(AQ240,vitri(".",AQ240,3)-1),LEN(AQ240)-LEN(SUBSTITUTE(AQ240,".",""))=2,LEFT(AQ240,vitri(".",AQ240,2)-1),TRUE,LEFT(AQ240,vitri(".",AQ240,1)-1))</f>
        <v/>
      </c>
    </row>
    <row r="241" spans="13:54" x14ac:dyDescent="0.25">
      <c r="M241" s="379"/>
      <c r="BB241" s="206" t="str">
        <f t="array" ref="BB241">_xlfn.IFS(AQ241="","",LEN(AQ241)-LEN(SUBSTITUTE(AQ241,".",""))=3,LEFT(AQ241,vitri(".",AQ241,3)-1),LEN(AQ241)-LEN(SUBSTITUTE(AQ241,".",""))=2,LEFT(AQ241,vitri(".",AQ241,2)-1),TRUE,LEFT(AQ241,vitri(".",AQ241,1)-1))</f>
        <v/>
      </c>
    </row>
    <row r="242" spans="13:54" x14ac:dyDescent="0.25">
      <c r="M242" s="379"/>
      <c r="BB242" s="206" t="str">
        <f t="array" ref="BB242">_xlfn.IFS(AQ242="","",LEN(AQ242)-LEN(SUBSTITUTE(AQ242,".",""))=3,LEFT(AQ242,vitri(".",AQ242,3)-1),LEN(AQ242)-LEN(SUBSTITUTE(AQ242,".",""))=2,LEFT(AQ242,vitri(".",AQ242,2)-1),TRUE,LEFT(AQ242,vitri(".",AQ242,1)-1))</f>
        <v/>
      </c>
    </row>
    <row r="243" spans="13:54" x14ac:dyDescent="0.25">
      <c r="M243" s="379"/>
      <c r="BB243" s="206" t="str">
        <f t="array" ref="BB243">_xlfn.IFS(AQ243="","",LEN(AQ243)-LEN(SUBSTITUTE(AQ243,".",""))=3,LEFT(AQ243,vitri(".",AQ243,3)-1),LEN(AQ243)-LEN(SUBSTITUTE(AQ243,".",""))=2,LEFT(AQ243,vitri(".",AQ243,2)-1),TRUE,LEFT(AQ243,vitri(".",AQ243,1)-1))</f>
        <v/>
      </c>
    </row>
    <row r="244" spans="13:54" x14ac:dyDescent="0.25">
      <c r="M244" s="379"/>
      <c r="BB244" s="206" t="str">
        <f t="array" ref="BB244">_xlfn.IFS(AQ244="","",LEN(AQ244)-LEN(SUBSTITUTE(AQ244,".",""))=3,LEFT(AQ244,vitri(".",AQ244,3)-1),LEN(AQ244)-LEN(SUBSTITUTE(AQ244,".",""))=2,LEFT(AQ244,vitri(".",AQ244,2)-1),TRUE,LEFT(AQ244,vitri(".",AQ244,1)-1))</f>
        <v/>
      </c>
    </row>
    <row r="245" spans="13:54" x14ac:dyDescent="0.25">
      <c r="M245" s="379"/>
      <c r="BB245" s="206" t="str">
        <f t="array" ref="BB245">_xlfn.IFS(AQ245="","",LEN(AQ245)-LEN(SUBSTITUTE(AQ245,".",""))=3,LEFT(AQ245,vitri(".",AQ245,3)-1),LEN(AQ245)-LEN(SUBSTITUTE(AQ245,".",""))=2,LEFT(AQ245,vitri(".",AQ245,2)-1),TRUE,LEFT(AQ245,vitri(".",AQ245,1)-1))</f>
        <v/>
      </c>
    </row>
    <row r="246" spans="13:54" x14ac:dyDescent="0.25">
      <c r="M246" s="379"/>
      <c r="BB246" s="206" t="str">
        <f t="array" ref="BB246">_xlfn.IFS(AQ246="","",LEN(AQ246)-LEN(SUBSTITUTE(AQ246,".",""))=3,LEFT(AQ246,vitri(".",AQ246,3)-1),LEN(AQ246)-LEN(SUBSTITUTE(AQ246,".",""))=2,LEFT(AQ246,vitri(".",AQ246,2)-1),TRUE,LEFT(AQ246,vitri(".",AQ246,1)-1))</f>
        <v/>
      </c>
    </row>
    <row r="247" spans="13:54" x14ac:dyDescent="0.25">
      <c r="M247" s="379"/>
      <c r="BB247" s="206" t="str">
        <f t="array" ref="BB247">_xlfn.IFS(AQ247="","",LEN(AQ247)-LEN(SUBSTITUTE(AQ247,".",""))=3,LEFT(AQ247,vitri(".",AQ247,3)-1),LEN(AQ247)-LEN(SUBSTITUTE(AQ247,".",""))=2,LEFT(AQ247,vitri(".",AQ247,2)-1),TRUE,LEFT(AQ247,vitri(".",AQ247,1)-1))</f>
        <v/>
      </c>
    </row>
    <row r="248" spans="13:54" x14ac:dyDescent="0.25">
      <c r="M248" s="379"/>
      <c r="BB248" s="206" t="str">
        <f t="array" ref="BB248">_xlfn.IFS(AQ248="","",LEN(AQ248)-LEN(SUBSTITUTE(AQ248,".",""))=3,LEFT(AQ248,vitri(".",AQ248,3)-1),LEN(AQ248)-LEN(SUBSTITUTE(AQ248,".",""))=2,LEFT(AQ248,vitri(".",AQ248,2)-1),TRUE,LEFT(AQ248,vitri(".",AQ248,1)-1))</f>
        <v/>
      </c>
    </row>
    <row r="249" spans="13:54" x14ac:dyDescent="0.25">
      <c r="M249" s="379"/>
      <c r="BB249" s="206" t="str">
        <f t="array" ref="BB249">_xlfn.IFS(AQ249="","",LEN(AQ249)-LEN(SUBSTITUTE(AQ249,".",""))=3,LEFT(AQ249,vitri(".",AQ249,3)-1),LEN(AQ249)-LEN(SUBSTITUTE(AQ249,".",""))=2,LEFT(AQ249,vitri(".",AQ249,2)-1),TRUE,LEFT(AQ249,vitri(".",AQ249,1)-1))</f>
        <v/>
      </c>
    </row>
    <row r="250" spans="13:54" x14ac:dyDescent="0.25">
      <c r="M250" s="379"/>
      <c r="BB250" s="206" t="str">
        <f t="array" ref="BB250">_xlfn.IFS(AQ250="","",LEN(AQ250)-LEN(SUBSTITUTE(AQ250,".",""))=3,LEFT(AQ250,vitri(".",AQ250,3)-1),LEN(AQ250)-LEN(SUBSTITUTE(AQ250,".",""))=2,LEFT(AQ250,vitri(".",AQ250,2)-1),TRUE,LEFT(AQ250,vitri(".",AQ250,1)-1))</f>
        <v/>
      </c>
    </row>
    <row r="251" spans="13:54" x14ac:dyDescent="0.25">
      <c r="M251" s="379"/>
      <c r="BB251" s="206" t="str">
        <f t="array" ref="BB251">_xlfn.IFS(AQ251="","",LEN(AQ251)-LEN(SUBSTITUTE(AQ251,".",""))=3,LEFT(AQ251,vitri(".",AQ251,3)-1),LEN(AQ251)-LEN(SUBSTITUTE(AQ251,".",""))=2,LEFT(AQ251,vitri(".",AQ251,2)-1),TRUE,LEFT(AQ251,vitri(".",AQ251,1)-1))</f>
        <v/>
      </c>
    </row>
    <row r="252" spans="13:54" x14ac:dyDescent="0.25">
      <c r="M252" s="379"/>
      <c r="BB252" s="206" t="str">
        <f t="array" ref="BB252">_xlfn.IFS(AQ252="","",LEN(AQ252)-LEN(SUBSTITUTE(AQ252,".",""))=3,LEFT(AQ252,vitri(".",AQ252,3)-1),LEN(AQ252)-LEN(SUBSTITUTE(AQ252,".",""))=2,LEFT(AQ252,vitri(".",AQ252,2)-1),TRUE,LEFT(AQ252,vitri(".",AQ252,1)-1))</f>
        <v/>
      </c>
    </row>
    <row r="253" spans="13:54" x14ac:dyDescent="0.25">
      <c r="M253" s="379"/>
      <c r="BB253" s="206" t="str">
        <f t="array" ref="BB253">_xlfn.IFS(AQ253="","",LEN(AQ253)-LEN(SUBSTITUTE(AQ253,".",""))=3,LEFT(AQ253,vitri(".",AQ253,3)-1),LEN(AQ253)-LEN(SUBSTITUTE(AQ253,".",""))=2,LEFT(AQ253,vitri(".",AQ253,2)-1),TRUE,LEFT(AQ253,vitri(".",AQ253,1)-1))</f>
        <v/>
      </c>
    </row>
    <row r="254" spans="13:54" x14ac:dyDescent="0.25">
      <c r="M254" s="379"/>
      <c r="BB254" s="206" t="str">
        <f t="array" ref="BB254">_xlfn.IFS(AQ254="","",LEN(AQ254)-LEN(SUBSTITUTE(AQ254,".",""))=3,LEFT(AQ254,vitri(".",AQ254,3)-1),LEN(AQ254)-LEN(SUBSTITUTE(AQ254,".",""))=2,LEFT(AQ254,vitri(".",AQ254,2)-1),TRUE,LEFT(AQ254,vitri(".",AQ254,1)-1))</f>
        <v/>
      </c>
    </row>
    <row r="255" spans="13:54" x14ac:dyDescent="0.25">
      <c r="M255" s="379"/>
      <c r="BB255" s="206" t="str">
        <f t="array" ref="BB255">_xlfn.IFS(AQ255="","",LEN(AQ255)-LEN(SUBSTITUTE(AQ255,".",""))=3,LEFT(AQ255,vitri(".",AQ255,3)-1),LEN(AQ255)-LEN(SUBSTITUTE(AQ255,".",""))=2,LEFT(AQ255,vitri(".",AQ255,2)-1),TRUE,LEFT(AQ255,vitri(".",AQ255,1)-1))</f>
        <v/>
      </c>
    </row>
    <row r="256" spans="13:54" x14ac:dyDescent="0.25">
      <c r="M256" s="379"/>
      <c r="BB256" s="206" t="str">
        <f t="array" ref="BB256">_xlfn.IFS(AQ256="","",LEN(AQ256)-LEN(SUBSTITUTE(AQ256,".",""))=3,LEFT(AQ256,vitri(".",AQ256,3)-1),LEN(AQ256)-LEN(SUBSTITUTE(AQ256,".",""))=2,LEFT(AQ256,vitri(".",AQ256,2)-1),TRUE,LEFT(AQ256,vitri(".",AQ256,1)-1))</f>
        <v/>
      </c>
    </row>
    <row r="257" spans="13:54" x14ac:dyDescent="0.25">
      <c r="M257" s="379"/>
      <c r="BB257" s="206" t="str">
        <f t="array" ref="BB257">_xlfn.IFS(AQ257="","",LEN(AQ257)-LEN(SUBSTITUTE(AQ257,".",""))=3,LEFT(AQ257,vitri(".",AQ257,3)-1),LEN(AQ257)-LEN(SUBSTITUTE(AQ257,".",""))=2,LEFT(AQ257,vitri(".",AQ257,2)-1),TRUE,LEFT(AQ257,vitri(".",AQ257,1)-1))</f>
        <v/>
      </c>
    </row>
    <row r="258" spans="13:54" x14ac:dyDescent="0.25">
      <c r="M258" s="379"/>
      <c r="BB258" s="206" t="str">
        <f t="array" ref="BB258">_xlfn.IFS(AQ258="","",LEN(AQ258)-LEN(SUBSTITUTE(AQ258,".",""))=3,LEFT(AQ258,vitri(".",AQ258,3)-1),LEN(AQ258)-LEN(SUBSTITUTE(AQ258,".",""))=2,LEFT(AQ258,vitri(".",AQ258,2)-1),TRUE,LEFT(AQ258,vitri(".",AQ258,1)-1))</f>
        <v/>
      </c>
    </row>
    <row r="259" spans="13:54" x14ac:dyDescent="0.25">
      <c r="M259" s="379"/>
      <c r="BB259" s="206" t="str">
        <f t="array" ref="BB259">_xlfn.IFS(AQ259="","",LEN(AQ259)-LEN(SUBSTITUTE(AQ259,".",""))=3,LEFT(AQ259,vitri(".",AQ259,3)-1),LEN(AQ259)-LEN(SUBSTITUTE(AQ259,".",""))=2,LEFT(AQ259,vitri(".",AQ259,2)-1),TRUE,LEFT(AQ259,vitri(".",AQ259,1)-1))</f>
        <v/>
      </c>
    </row>
    <row r="260" spans="13:54" x14ac:dyDescent="0.25">
      <c r="M260" s="379"/>
      <c r="BB260" s="206" t="str">
        <f t="array" ref="BB260">_xlfn.IFS(AQ260="","",LEN(AQ260)-LEN(SUBSTITUTE(AQ260,".",""))=3,LEFT(AQ260,vitri(".",AQ260,3)-1),LEN(AQ260)-LEN(SUBSTITUTE(AQ260,".",""))=2,LEFT(AQ260,vitri(".",AQ260,2)-1),TRUE,LEFT(AQ260,vitri(".",AQ260,1)-1))</f>
        <v/>
      </c>
    </row>
    <row r="261" spans="13:54" x14ac:dyDescent="0.25">
      <c r="M261" s="379"/>
      <c r="BB261" s="206" t="str">
        <f t="array" ref="BB261">_xlfn.IFS(AQ261="","",LEN(AQ261)-LEN(SUBSTITUTE(AQ261,".",""))=3,LEFT(AQ261,vitri(".",AQ261,3)-1),LEN(AQ261)-LEN(SUBSTITUTE(AQ261,".",""))=2,LEFT(AQ261,vitri(".",AQ261,2)-1),TRUE,LEFT(AQ261,vitri(".",AQ261,1)-1))</f>
        <v/>
      </c>
    </row>
    <row r="262" spans="13:54" x14ac:dyDescent="0.25">
      <c r="M262" s="379"/>
      <c r="BB262" s="206" t="str">
        <f t="array" ref="BB262">_xlfn.IFS(AQ262="","",LEN(AQ262)-LEN(SUBSTITUTE(AQ262,".",""))=3,LEFT(AQ262,vitri(".",AQ262,3)-1),LEN(AQ262)-LEN(SUBSTITUTE(AQ262,".",""))=2,LEFT(AQ262,vitri(".",AQ262,2)-1),TRUE,LEFT(AQ262,vitri(".",AQ262,1)-1))</f>
        <v/>
      </c>
    </row>
    <row r="263" spans="13:54" x14ac:dyDescent="0.25">
      <c r="M263" s="379"/>
      <c r="BB263" s="206" t="str">
        <f t="array" ref="BB263">_xlfn.IFS(AQ263="","",LEN(AQ263)-LEN(SUBSTITUTE(AQ263,".",""))=3,LEFT(AQ263,vitri(".",AQ263,3)-1),LEN(AQ263)-LEN(SUBSTITUTE(AQ263,".",""))=2,LEFT(AQ263,vitri(".",AQ263,2)-1),TRUE,LEFT(AQ263,vitri(".",AQ263,1)-1))</f>
        <v/>
      </c>
    </row>
    <row r="264" spans="13:54" x14ac:dyDescent="0.25">
      <c r="M264" s="379"/>
      <c r="BB264" s="206" t="str">
        <f t="array" ref="BB264">_xlfn.IFS(AQ264="","",LEN(AQ264)-LEN(SUBSTITUTE(AQ264,".",""))=3,LEFT(AQ264,vitri(".",AQ264,3)-1),LEN(AQ264)-LEN(SUBSTITUTE(AQ264,".",""))=2,LEFT(AQ264,vitri(".",AQ264,2)-1),TRUE,LEFT(AQ264,vitri(".",AQ264,1)-1))</f>
        <v/>
      </c>
    </row>
    <row r="265" spans="13:54" x14ac:dyDescent="0.25">
      <c r="M265" s="379"/>
      <c r="BB265" s="206" t="str">
        <f t="array" ref="BB265">_xlfn.IFS(AQ265="","",LEN(AQ265)-LEN(SUBSTITUTE(AQ265,".",""))=3,LEFT(AQ265,vitri(".",AQ265,3)-1),LEN(AQ265)-LEN(SUBSTITUTE(AQ265,".",""))=2,LEFT(AQ265,vitri(".",AQ265,2)-1),TRUE,LEFT(AQ265,vitri(".",AQ265,1)-1))</f>
        <v/>
      </c>
    </row>
    <row r="266" spans="13:54" x14ac:dyDescent="0.25">
      <c r="M266" s="379"/>
      <c r="BB266" s="206" t="str">
        <f t="array" ref="BB266">_xlfn.IFS(AQ266="","",LEN(AQ266)-LEN(SUBSTITUTE(AQ266,".",""))=3,LEFT(AQ266,vitri(".",AQ266,3)-1),LEN(AQ266)-LEN(SUBSTITUTE(AQ266,".",""))=2,LEFT(AQ266,vitri(".",AQ266,2)-1),TRUE,LEFT(AQ266,vitri(".",AQ266,1)-1))</f>
        <v/>
      </c>
    </row>
    <row r="267" spans="13:54" x14ac:dyDescent="0.25">
      <c r="M267" s="379"/>
      <c r="BB267" s="206" t="str">
        <f t="array" ref="BB267">_xlfn.IFS(AQ267="","",LEN(AQ267)-LEN(SUBSTITUTE(AQ267,".",""))=3,LEFT(AQ267,vitri(".",AQ267,3)-1),LEN(AQ267)-LEN(SUBSTITUTE(AQ267,".",""))=2,LEFT(AQ267,vitri(".",AQ267,2)-1),TRUE,LEFT(AQ267,vitri(".",AQ267,1)-1))</f>
        <v/>
      </c>
    </row>
    <row r="268" spans="13:54" x14ac:dyDescent="0.25">
      <c r="M268" s="379"/>
      <c r="BB268" s="206" t="str">
        <f t="array" ref="BB268">_xlfn.IFS(AQ268="","",LEN(AQ268)-LEN(SUBSTITUTE(AQ268,".",""))=3,LEFT(AQ268,vitri(".",AQ268,3)-1),LEN(AQ268)-LEN(SUBSTITUTE(AQ268,".",""))=2,LEFT(AQ268,vitri(".",AQ268,2)-1),TRUE,LEFT(AQ268,vitri(".",AQ268,1)-1))</f>
        <v/>
      </c>
    </row>
    <row r="269" spans="13:54" x14ac:dyDescent="0.25">
      <c r="M269" s="379"/>
      <c r="BB269" s="206" t="str">
        <f t="array" ref="BB269">_xlfn.IFS(AQ269="","",LEN(AQ269)-LEN(SUBSTITUTE(AQ269,".",""))=3,LEFT(AQ269,vitri(".",AQ269,3)-1),LEN(AQ269)-LEN(SUBSTITUTE(AQ269,".",""))=2,LEFT(AQ269,vitri(".",AQ269,2)-1),TRUE,LEFT(AQ269,vitri(".",AQ269,1)-1))</f>
        <v/>
      </c>
    </row>
    <row r="270" spans="13:54" x14ac:dyDescent="0.25">
      <c r="M270" s="379"/>
      <c r="BB270" s="206" t="str">
        <f t="array" ref="BB270">_xlfn.IFS(AQ270="","",LEN(AQ270)-LEN(SUBSTITUTE(AQ270,".",""))=3,LEFT(AQ270,vitri(".",AQ270,3)-1),LEN(AQ270)-LEN(SUBSTITUTE(AQ270,".",""))=2,LEFT(AQ270,vitri(".",AQ270,2)-1),TRUE,LEFT(AQ270,vitri(".",AQ270,1)-1))</f>
        <v/>
      </c>
    </row>
    <row r="271" spans="13:54" x14ac:dyDescent="0.25">
      <c r="M271" s="379"/>
      <c r="BB271" s="206" t="str">
        <f t="array" ref="BB271">_xlfn.IFS(AQ271="","",LEN(AQ271)-LEN(SUBSTITUTE(AQ271,".",""))=3,LEFT(AQ271,vitri(".",AQ271,3)-1),LEN(AQ271)-LEN(SUBSTITUTE(AQ271,".",""))=2,LEFT(AQ271,vitri(".",AQ271,2)-1),TRUE,LEFT(AQ271,vitri(".",AQ271,1)-1))</f>
        <v/>
      </c>
    </row>
    <row r="272" spans="13:54" x14ac:dyDescent="0.25">
      <c r="M272" s="379"/>
      <c r="BB272" s="206" t="str">
        <f t="array" ref="BB272">_xlfn.IFS(AQ272="","",LEN(AQ272)-LEN(SUBSTITUTE(AQ272,".",""))=3,LEFT(AQ272,vitri(".",AQ272,3)-1),LEN(AQ272)-LEN(SUBSTITUTE(AQ272,".",""))=2,LEFT(AQ272,vitri(".",AQ272,2)-1),TRUE,LEFT(AQ272,vitri(".",AQ272,1)-1))</f>
        <v/>
      </c>
    </row>
    <row r="273" spans="13:54" x14ac:dyDescent="0.25">
      <c r="M273" s="379"/>
      <c r="BB273" s="206" t="str">
        <f t="array" ref="BB273">_xlfn.IFS(AQ273="","",LEN(AQ273)-LEN(SUBSTITUTE(AQ273,".",""))=3,LEFT(AQ273,vitri(".",AQ273,3)-1),LEN(AQ273)-LEN(SUBSTITUTE(AQ273,".",""))=2,LEFT(AQ273,vitri(".",AQ273,2)-1),TRUE,LEFT(AQ273,vitri(".",AQ273,1)-1))</f>
        <v/>
      </c>
    </row>
    <row r="274" spans="13:54" x14ac:dyDescent="0.25">
      <c r="M274" s="379"/>
      <c r="BB274" s="206" t="str">
        <f t="array" ref="BB274">_xlfn.IFS(AQ274="","",LEN(AQ274)-LEN(SUBSTITUTE(AQ274,".",""))=3,LEFT(AQ274,vitri(".",AQ274,3)-1),LEN(AQ274)-LEN(SUBSTITUTE(AQ274,".",""))=2,LEFT(AQ274,vitri(".",AQ274,2)-1),TRUE,LEFT(AQ274,vitri(".",AQ274,1)-1))</f>
        <v/>
      </c>
    </row>
    <row r="275" spans="13:54" x14ac:dyDescent="0.25">
      <c r="M275" s="379"/>
      <c r="BB275" s="206" t="str">
        <f t="array" ref="BB275">_xlfn.IFS(AQ275="","",LEN(AQ275)-LEN(SUBSTITUTE(AQ275,".",""))=3,LEFT(AQ275,vitri(".",AQ275,3)-1),LEN(AQ275)-LEN(SUBSTITUTE(AQ275,".",""))=2,LEFT(AQ275,vitri(".",AQ275,2)-1),TRUE,LEFT(AQ275,vitri(".",AQ275,1)-1))</f>
        <v/>
      </c>
    </row>
    <row r="276" spans="13:54" x14ac:dyDescent="0.25">
      <c r="M276" s="379"/>
      <c r="BB276" s="206" t="str">
        <f t="array" ref="BB276">_xlfn.IFS(AQ276="","",LEN(AQ276)-LEN(SUBSTITUTE(AQ276,".",""))=3,LEFT(AQ276,vitri(".",AQ276,3)-1),LEN(AQ276)-LEN(SUBSTITUTE(AQ276,".",""))=2,LEFT(AQ276,vitri(".",AQ276,2)-1),TRUE,LEFT(AQ276,vitri(".",AQ276,1)-1))</f>
        <v/>
      </c>
    </row>
    <row r="277" spans="13:54" x14ac:dyDescent="0.25">
      <c r="M277" s="379"/>
      <c r="BB277" s="206" t="str">
        <f t="array" ref="BB277">_xlfn.IFS(AQ277="","",LEN(AQ277)-LEN(SUBSTITUTE(AQ277,".",""))=3,LEFT(AQ277,vitri(".",AQ277,3)-1),LEN(AQ277)-LEN(SUBSTITUTE(AQ277,".",""))=2,LEFT(AQ277,vitri(".",AQ277,2)-1),TRUE,LEFT(AQ277,vitri(".",AQ277,1)-1))</f>
        <v/>
      </c>
    </row>
    <row r="278" spans="13:54" x14ac:dyDescent="0.25">
      <c r="M278" s="379"/>
      <c r="BB278" s="206" t="str">
        <f t="array" ref="BB278">_xlfn.IFS(AQ278="","",LEN(AQ278)-LEN(SUBSTITUTE(AQ278,".",""))=3,LEFT(AQ278,vitri(".",AQ278,3)-1),LEN(AQ278)-LEN(SUBSTITUTE(AQ278,".",""))=2,LEFT(AQ278,vitri(".",AQ278,2)-1),TRUE,LEFT(AQ278,vitri(".",AQ278,1)-1))</f>
        <v/>
      </c>
    </row>
    <row r="279" spans="13:54" x14ac:dyDescent="0.25">
      <c r="M279" s="379"/>
      <c r="BB279" s="206" t="str">
        <f t="array" ref="BB279">_xlfn.IFS(AQ279="","",LEN(AQ279)-LEN(SUBSTITUTE(AQ279,".",""))=3,LEFT(AQ279,vitri(".",AQ279,3)-1),LEN(AQ279)-LEN(SUBSTITUTE(AQ279,".",""))=2,LEFT(AQ279,vitri(".",AQ279,2)-1),TRUE,LEFT(AQ279,vitri(".",AQ279,1)-1))</f>
        <v/>
      </c>
    </row>
    <row r="280" spans="13:54" x14ac:dyDescent="0.25">
      <c r="M280" s="379"/>
      <c r="BB280" s="206" t="str">
        <f t="array" ref="BB280">_xlfn.IFS(AQ280="","",LEN(AQ280)-LEN(SUBSTITUTE(AQ280,".",""))=3,LEFT(AQ280,vitri(".",AQ280,3)-1),LEN(AQ280)-LEN(SUBSTITUTE(AQ280,".",""))=2,LEFT(AQ280,vitri(".",AQ280,2)-1),TRUE,LEFT(AQ280,vitri(".",AQ280,1)-1))</f>
        <v/>
      </c>
    </row>
    <row r="281" spans="13:54" x14ac:dyDescent="0.25">
      <c r="M281" s="379"/>
      <c r="BB281" s="206" t="str">
        <f t="array" ref="BB281">_xlfn.IFS(AQ281="","",LEN(AQ281)-LEN(SUBSTITUTE(AQ281,".",""))=3,LEFT(AQ281,vitri(".",AQ281,3)-1),LEN(AQ281)-LEN(SUBSTITUTE(AQ281,".",""))=2,LEFT(AQ281,vitri(".",AQ281,2)-1),TRUE,LEFT(AQ281,vitri(".",AQ281,1)-1))</f>
        <v/>
      </c>
    </row>
    <row r="282" spans="13:54" x14ac:dyDescent="0.25">
      <c r="M282" s="379"/>
      <c r="BB282" s="206" t="str">
        <f t="array" ref="BB282">_xlfn.IFS(AQ282="","",LEN(AQ282)-LEN(SUBSTITUTE(AQ282,".",""))=3,LEFT(AQ282,vitri(".",AQ282,3)-1),LEN(AQ282)-LEN(SUBSTITUTE(AQ282,".",""))=2,LEFT(AQ282,vitri(".",AQ282,2)-1),TRUE,LEFT(AQ282,vitri(".",AQ282,1)-1))</f>
        <v/>
      </c>
    </row>
    <row r="283" spans="13:54" x14ac:dyDescent="0.25">
      <c r="M283" s="379"/>
      <c r="BB283" s="206" t="str">
        <f t="array" ref="BB283">_xlfn.IFS(AQ283="","",LEN(AQ283)-LEN(SUBSTITUTE(AQ283,".",""))=3,LEFT(AQ283,vitri(".",AQ283,3)-1),LEN(AQ283)-LEN(SUBSTITUTE(AQ283,".",""))=2,LEFT(AQ283,vitri(".",AQ283,2)-1),TRUE,LEFT(AQ283,vitri(".",AQ283,1)-1))</f>
        <v/>
      </c>
    </row>
    <row r="284" spans="13:54" x14ac:dyDescent="0.25">
      <c r="M284" s="379"/>
      <c r="BB284" s="206" t="str">
        <f t="array" ref="BB284">_xlfn.IFS(AQ284="","",LEN(AQ284)-LEN(SUBSTITUTE(AQ284,".",""))=3,LEFT(AQ284,vitri(".",AQ284,3)-1),LEN(AQ284)-LEN(SUBSTITUTE(AQ284,".",""))=2,LEFT(AQ284,vitri(".",AQ284,2)-1),TRUE,LEFT(AQ284,vitri(".",AQ284,1)-1))</f>
        <v/>
      </c>
    </row>
    <row r="285" spans="13:54" x14ac:dyDescent="0.25">
      <c r="M285" s="379"/>
      <c r="BB285" s="206" t="str">
        <f t="array" ref="BB285">_xlfn.IFS(AQ285="","",LEN(AQ285)-LEN(SUBSTITUTE(AQ285,".",""))=3,LEFT(AQ285,vitri(".",AQ285,3)-1),LEN(AQ285)-LEN(SUBSTITUTE(AQ285,".",""))=2,LEFT(AQ285,vitri(".",AQ285,2)-1),TRUE,LEFT(AQ285,vitri(".",AQ285,1)-1))</f>
        <v/>
      </c>
    </row>
    <row r="286" spans="13:54" x14ac:dyDescent="0.25">
      <c r="M286" s="379"/>
      <c r="BB286" s="206" t="str">
        <f t="array" ref="BB286">_xlfn.IFS(AQ286="","",LEN(AQ286)-LEN(SUBSTITUTE(AQ286,".",""))=3,LEFT(AQ286,vitri(".",AQ286,3)-1),LEN(AQ286)-LEN(SUBSTITUTE(AQ286,".",""))=2,LEFT(AQ286,vitri(".",AQ286,2)-1),TRUE,LEFT(AQ286,vitri(".",AQ286,1)-1))</f>
        <v/>
      </c>
    </row>
    <row r="287" spans="13:54" x14ac:dyDescent="0.25">
      <c r="M287" s="379"/>
      <c r="BB287" s="206" t="str">
        <f t="array" ref="BB287">_xlfn.IFS(AQ287="","",LEN(AQ287)-LEN(SUBSTITUTE(AQ287,".",""))=3,LEFT(AQ287,vitri(".",AQ287,3)-1),LEN(AQ287)-LEN(SUBSTITUTE(AQ287,".",""))=2,LEFT(AQ287,vitri(".",AQ287,2)-1),TRUE,LEFT(AQ287,vitri(".",AQ287,1)-1))</f>
        <v/>
      </c>
    </row>
    <row r="288" spans="13:54" x14ac:dyDescent="0.25">
      <c r="M288" s="379"/>
      <c r="BB288" s="206" t="str">
        <f t="array" ref="BB288">_xlfn.IFS(AQ288="","",LEN(AQ288)-LEN(SUBSTITUTE(AQ288,".",""))=3,LEFT(AQ288,vitri(".",AQ288,3)-1),LEN(AQ288)-LEN(SUBSTITUTE(AQ288,".",""))=2,LEFT(AQ288,vitri(".",AQ288,2)-1),TRUE,LEFT(AQ288,vitri(".",AQ288,1)-1))</f>
        <v/>
      </c>
    </row>
    <row r="289" spans="13:54" x14ac:dyDescent="0.25">
      <c r="M289" s="379"/>
      <c r="BB289" s="206" t="str">
        <f t="array" ref="BB289">_xlfn.IFS(AQ289="","",LEN(AQ289)-LEN(SUBSTITUTE(AQ289,".",""))=3,LEFT(AQ289,vitri(".",AQ289,3)-1),LEN(AQ289)-LEN(SUBSTITUTE(AQ289,".",""))=2,LEFT(AQ289,vitri(".",AQ289,2)-1),TRUE,LEFT(AQ289,vitri(".",AQ289,1)-1))</f>
        <v/>
      </c>
    </row>
    <row r="290" spans="13:54" x14ac:dyDescent="0.25">
      <c r="M290" s="379"/>
      <c r="BB290" s="206" t="str">
        <f t="array" ref="BB290">_xlfn.IFS(AQ290="","",LEN(AQ290)-LEN(SUBSTITUTE(AQ290,".",""))=3,LEFT(AQ290,vitri(".",AQ290,3)-1),LEN(AQ290)-LEN(SUBSTITUTE(AQ290,".",""))=2,LEFT(AQ290,vitri(".",AQ290,2)-1),TRUE,LEFT(AQ290,vitri(".",AQ290,1)-1))</f>
        <v/>
      </c>
    </row>
    <row r="291" spans="13:54" x14ac:dyDescent="0.25">
      <c r="M291" s="379"/>
      <c r="BB291" s="206" t="str">
        <f t="array" ref="BB291">_xlfn.IFS(AQ291="","",LEN(AQ291)-LEN(SUBSTITUTE(AQ291,".",""))=3,LEFT(AQ291,vitri(".",AQ291,3)-1),LEN(AQ291)-LEN(SUBSTITUTE(AQ291,".",""))=2,LEFT(AQ291,vitri(".",AQ291,2)-1),TRUE,LEFT(AQ291,vitri(".",AQ291,1)-1))</f>
        <v/>
      </c>
    </row>
    <row r="292" spans="13:54" x14ac:dyDescent="0.25">
      <c r="M292" s="379"/>
      <c r="BB292" s="206" t="str">
        <f t="array" ref="BB292">_xlfn.IFS(AQ292="","",LEN(AQ292)-LEN(SUBSTITUTE(AQ292,".",""))=3,LEFT(AQ292,vitri(".",AQ292,3)-1),LEN(AQ292)-LEN(SUBSTITUTE(AQ292,".",""))=2,LEFT(AQ292,vitri(".",AQ292,2)-1),TRUE,LEFT(AQ292,vitri(".",AQ292,1)-1))</f>
        <v/>
      </c>
    </row>
    <row r="293" spans="13:54" x14ac:dyDescent="0.25">
      <c r="M293" s="379"/>
      <c r="BB293" s="206" t="str">
        <f t="array" ref="BB293">_xlfn.IFS(AQ293="","",LEN(AQ293)-LEN(SUBSTITUTE(AQ293,".",""))=3,LEFT(AQ293,vitri(".",AQ293,3)-1),LEN(AQ293)-LEN(SUBSTITUTE(AQ293,".",""))=2,LEFT(AQ293,vitri(".",AQ293,2)-1),TRUE,LEFT(AQ293,vitri(".",AQ293,1)-1))</f>
        <v/>
      </c>
    </row>
    <row r="294" spans="13:54" x14ac:dyDescent="0.25">
      <c r="M294" s="379"/>
      <c r="BB294" s="206" t="str">
        <f t="array" ref="BB294">_xlfn.IFS(AQ294="","",LEN(AQ294)-LEN(SUBSTITUTE(AQ294,".",""))=3,LEFT(AQ294,vitri(".",AQ294,3)-1),LEN(AQ294)-LEN(SUBSTITUTE(AQ294,".",""))=2,LEFT(AQ294,vitri(".",AQ294,2)-1),TRUE,LEFT(AQ294,vitri(".",AQ294,1)-1))</f>
        <v/>
      </c>
    </row>
    <row r="295" spans="13:54" x14ac:dyDescent="0.25">
      <c r="M295" s="379"/>
      <c r="BB295" s="206" t="str">
        <f t="array" ref="BB295">_xlfn.IFS(AQ295="","",LEN(AQ295)-LEN(SUBSTITUTE(AQ295,".",""))=3,LEFT(AQ295,vitri(".",AQ295,3)-1),LEN(AQ295)-LEN(SUBSTITUTE(AQ295,".",""))=2,LEFT(AQ295,vitri(".",AQ295,2)-1),TRUE,LEFT(AQ295,vitri(".",AQ295,1)-1))</f>
        <v/>
      </c>
    </row>
    <row r="296" spans="13:54" x14ac:dyDescent="0.25">
      <c r="M296" s="379"/>
      <c r="BB296" s="206" t="str">
        <f t="array" ref="BB296">_xlfn.IFS(AQ296="","",LEN(AQ296)-LEN(SUBSTITUTE(AQ296,".",""))=3,LEFT(AQ296,vitri(".",AQ296,3)-1),LEN(AQ296)-LEN(SUBSTITUTE(AQ296,".",""))=2,LEFT(AQ296,vitri(".",AQ296,2)-1),TRUE,LEFT(AQ296,vitri(".",AQ296,1)-1))</f>
        <v/>
      </c>
    </row>
    <row r="297" spans="13:54" x14ac:dyDescent="0.25">
      <c r="M297" s="379"/>
      <c r="BB297" s="206" t="str">
        <f t="array" ref="BB297">_xlfn.IFS(AQ297="","",LEN(AQ297)-LEN(SUBSTITUTE(AQ297,".",""))=3,LEFT(AQ297,vitri(".",AQ297,3)-1),LEN(AQ297)-LEN(SUBSTITUTE(AQ297,".",""))=2,LEFT(AQ297,vitri(".",AQ297,2)-1),TRUE,LEFT(AQ297,vitri(".",AQ297,1)-1))</f>
        <v/>
      </c>
    </row>
    <row r="298" spans="13:54" x14ac:dyDescent="0.25">
      <c r="M298" s="379"/>
      <c r="BB298" s="206" t="str">
        <f t="array" ref="BB298">_xlfn.IFS(AQ298="","",LEN(AQ298)-LEN(SUBSTITUTE(AQ298,".",""))=3,LEFT(AQ298,vitri(".",AQ298,3)-1),LEN(AQ298)-LEN(SUBSTITUTE(AQ298,".",""))=2,LEFT(AQ298,vitri(".",AQ298,2)-1),TRUE,LEFT(AQ298,vitri(".",AQ298,1)-1))</f>
        <v/>
      </c>
    </row>
    <row r="299" spans="13:54" x14ac:dyDescent="0.25">
      <c r="M299" s="379"/>
      <c r="BB299" s="206" t="str">
        <f t="array" ref="BB299">_xlfn.IFS(AQ299="","",LEN(AQ299)-LEN(SUBSTITUTE(AQ299,".",""))=3,LEFT(AQ299,vitri(".",AQ299,3)-1),LEN(AQ299)-LEN(SUBSTITUTE(AQ299,".",""))=2,LEFT(AQ299,vitri(".",AQ299,2)-1),TRUE,LEFT(AQ299,vitri(".",AQ299,1)-1))</f>
        <v/>
      </c>
    </row>
    <row r="300" spans="13:54" x14ac:dyDescent="0.25">
      <c r="M300" s="379"/>
      <c r="BB300" s="206" t="str">
        <f t="array" ref="BB300">_xlfn.IFS(AQ300="","",LEN(AQ300)-LEN(SUBSTITUTE(AQ300,".",""))=3,LEFT(AQ300,vitri(".",AQ300,3)-1),LEN(AQ300)-LEN(SUBSTITUTE(AQ300,".",""))=2,LEFT(AQ300,vitri(".",AQ300,2)-1),TRUE,LEFT(AQ300,vitri(".",AQ300,1)-1))</f>
        <v/>
      </c>
    </row>
    <row r="301" spans="13:54" x14ac:dyDescent="0.25">
      <c r="M301" s="379"/>
      <c r="BB301" s="206" t="str">
        <f t="array" ref="BB301">_xlfn.IFS(AQ301="","",LEN(AQ301)-LEN(SUBSTITUTE(AQ301,".",""))=3,LEFT(AQ301,vitri(".",AQ301,3)-1),LEN(AQ301)-LEN(SUBSTITUTE(AQ301,".",""))=2,LEFT(AQ301,vitri(".",AQ301,2)-1),TRUE,LEFT(AQ301,vitri(".",AQ301,1)-1))</f>
        <v/>
      </c>
    </row>
    <row r="302" spans="13:54" x14ac:dyDescent="0.25">
      <c r="M302" s="379"/>
      <c r="BB302" s="206" t="str">
        <f t="array" ref="BB302">_xlfn.IFS(AQ302="","",LEN(AQ302)-LEN(SUBSTITUTE(AQ302,".",""))=3,LEFT(AQ302,vitri(".",AQ302,3)-1),LEN(AQ302)-LEN(SUBSTITUTE(AQ302,".",""))=2,LEFT(AQ302,vitri(".",AQ302,2)-1),TRUE,LEFT(AQ302,vitri(".",AQ302,1)-1))</f>
        <v/>
      </c>
    </row>
    <row r="303" spans="13:54" x14ac:dyDescent="0.25">
      <c r="M303" s="379"/>
      <c r="BB303" s="206" t="str">
        <f t="array" ref="BB303">_xlfn.IFS(AQ303="","",LEN(AQ303)-LEN(SUBSTITUTE(AQ303,".",""))=3,LEFT(AQ303,vitri(".",AQ303,3)-1),LEN(AQ303)-LEN(SUBSTITUTE(AQ303,".",""))=2,LEFT(AQ303,vitri(".",AQ303,2)-1),TRUE,LEFT(AQ303,vitri(".",AQ303,1)-1))</f>
        <v/>
      </c>
    </row>
    <row r="304" spans="13:54" x14ac:dyDescent="0.25">
      <c r="M304" s="379"/>
      <c r="BB304" s="206" t="str">
        <f t="array" ref="BB304">_xlfn.IFS(AQ304="","",LEN(AQ304)-LEN(SUBSTITUTE(AQ304,".",""))=3,LEFT(AQ304,vitri(".",AQ304,3)-1),LEN(AQ304)-LEN(SUBSTITUTE(AQ304,".",""))=2,LEFT(AQ304,vitri(".",AQ304,2)-1),TRUE,LEFT(AQ304,vitri(".",AQ304,1)-1))</f>
        <v/>
      </c>
    </row>
    <row r="305" spans="13:54" x14ac:dyDescent="0.25">
      <c r="M305" s="379"/>
      <c r="BB305" s="206" t="str">
        <f t="array" ref="BB305">_xlfn.IFS(AQ305="","",LEN(AQ305)-LEN(SUBSTITUTE(AQ305,".",""))=3,LEFT(AQ305,vitri(".",AQ305,3)-1),LEN(AQ305)-LEN(SUBSTITUTE(AQ305,".",""))=2,LEFT(AQ305,vitri(".",AQ305,2)-1),TRUE,LEFT(AQ305,vitri(".",AQ305,1)-1))</f>
        <v/>
      </c>
    </row>
    <row r="306" spans="13:54" x14ac:dyDescent="0.25">
      <c r="M306" s="379"/>
      <c r="BB306" s="206" t="str">
        <f t="array" ref="BB306">_xlfn.IFS(AQ306="","",LEN(AQ306)-LEN(SUBSTITUTE(AQ306,".",""))=3,LEFT(AQ306,vitri(".",AQ306,3)-1),LEN(AQ306)-LEN(SUBSTITUTE(AQ306,".",""))=2,LEFT(AQ306,vitri(".",AQ306,2)-1),TRUE,LEFT(AQ306,vitri(".",AQ306,1)-1))</f>
        <v/>
      </c>
    </row>
    <row r="307" spans="13:54" x14ac:dyDescent="0.25">
      <c r="M307" s="379"/>
      <c r="BB307" s="206" t="str">
        <f t="array" ref="BB307">_xlfn.IFS(AQ307="","",LEN(AQ307)-LEN(SUBSTITUTE(AQ307,".",""))=3,LEFT(AQ307,vitri(".",AQ307,3)-1),LEN(AQ307)-LEN(SUBSTITUTE(AQ307,".",""))=2,LEFT(AQ307,vitri(".",AQ307,2)-1),TRUE,LEFT(AQ307,vitri(".",AQ307,1)-1))</f>
        <v/>
      </c>
    </row>
    <row r="308" spans="13:54" x14ac:dyDescent="0.25">
      <c r="M308" s="379"/>
      <c r="BB308" s="206" t="str">
        <f t="array" ref="BB308">_xlfn.IFS(AQ308="","",LEN(AQ308)-LEN(SUBSTITUTE(AQ308,".",""))=3,LEFT(AQ308,vitri(".",AQ308,3)-1),LEN(AQ308)-LEN(SUBSTITUTE(AQ308,".",""))=2,LEFT(AQ308,vitri(".",AQ308,2)-1),TRUE,LEFT(AQ308,vitri(".",AQ308,1)-1))</f>
        <v/>
      </c>
    </row>
    <row r="309" spans="13:54" x14ac:dyDescent="0.25">
      <c r="M309" s="379"/>
      <c r="BB309" s="206" t="str">
        <f t="array" ref="BB309">_xlfn.IFS(AQ309="","",LEN(AQ309)-LEN(SUBSTITUTE(AQ309,".",""))=3,LEFT(AQ309,vitri(".",AQ309,3)-1),LEN(AQ309)-LEN(SUBSTITUTE(AQ309,".",""))=2,LEFT(AQ309,vitri(".",AQ309,2)-1),TRUE,LEFT(AQ309,vitri(".",AQ309,1)-1))</f>
        <v/>
      </c>
    </row>
    <row r="310" spans="13:54" x14ac:dyDescent="0.25">
      <c r="M310" s="379"/>
      <c r="BB310" s="206" t="str">
        <f t="array" ref="BB310">_xlfn.IFS(AQ310="","",LEN(AQ310)-LEN(SUBSTITUTE(AQ310,".",""))=3,LEFT(AQ310,vitri(".",AQ310,3)-1),LEN(AQ310)-LEN(SUBSTITUTE(AQ310,".",""))=2,LEFT(AQ310,vitri(".",AQ310,2)-1),TRUE,LEFT(AQ310,vitri(".",AQ310,1)-1))</f>
        <v/>
      </c>
    </row>
    <row r="311" spans="13:54" x14ac:dyDescent="0.25">
      <c r="M311" s="379"/>
      <c r="BB311" s="206" t="str">
        <f t="array" ref="BB311">_xlfn.IFS(AQ311="","",LEN(AQ311)-LEN(SUBSTITUTE(AQ311,".",""))=3,LEFT(AQ311,vitri(".",AQ311,3)-1),LEN(AQ311)-LEN(SUBSTITUTE(AQ311,".",""))=2,LEFT(AQ311,vitri(".",AQ311,2)-1),TRUE,LEFT(AQ311,vitri(".",AQ311,1)-1))</f>
        <v/>
      </c>
    </row>
    <row r="312" spans="13:54" x14ac:dyDescent="0.25">
      <c r="M312" s="379"/>
      <c r="BB312" s="206" t="str">
        <f t="array" ref="BB312">_xlfn.IFS(AQ312="","",LEN(AQ312)-LEN(SUBSTITUTE(AQ312,".",""))=3,LEFT(AQ312,vitri(".",AQ312,3)-1),LEN(AQ312)-LEN(SUBSTITUTE(AQ312,".",""))=2,LEFT(AQ312,vitri(".",AQ312,2)-1),TRUE,LEFT(AQ312,vitri(".",AQ312,1)-1))</f>
        <v/>
      </c>
    </row>
    <row r="313" spans="13:54" x14ac:dyDescent="0.25">
      <c r="M313" s="379"/>
      <c r="BB313" s="206" t="str">
        <f t="array" ref="BB313">_xlfn.IFS(AQ313="","",LEN(AQ313)-LEN(SUBSTITUTE(AQ313,".",""))=3,LEFT(AQ313,vitri(".",AQ313,3)-1),LEN(AQ313)-LEN(SUBSTITUTE(AQ313,".",""))=2,LEFT(AQ313,vitri(".",AQ313,2)-1),TRUE,LEFT(AQ313,vitri(".",AQ313,1)-1))</f>
        <v/>
      </c>
    </row>
    <row r="314" spans="13:54" x14ac:dyDescent="0.25">
      <c r="M314" s="379"/>
      <c r="BB314" s="206" t="str">
        <f t="array" ref="BB314">_xlfn.IFS(AQ314="","",LEN(AQ314)-LEN(SUBSTITUTE(AQ314,".",""))=3,LEFT(AQ314,vitri(".",AQ314,3)-1),LEN(AQ314)-LEN(SUBSTITUTE(AQ314,".",""))=2,LEFT(AQ314,vitri(".",AQ314,2)-1),TRUE,LEFT(AQ314,vitri(".",AQ314,1)-1))</f>
        <v/>
      </c>
    </row>
    <row r="315" spans="13:54" x14ac:dyDescent="0.25">
      <c r="M315" s="379"/>
      <c r="BB315" s="206" t="str">
        <f t="array" ref="BB315">_xlfn.IFS(AQ315="","",LEN(AQ315)-LEN(SUBSTITUTE(AQ315,".",""))=3,LEFT(AQ315,vitri(".",AQ315,3)-1),LEN(AQ315)-LEN(SUBSTITUTE(AQ315,".",""))=2,LEFT(AQ315,vitri(".",AQ315,2)-1),TRUE,LEFT(AQ315,vitri(".",AQ315,1)-1))</f>
        <v/>
      </c>
    </row>
    <row r="316" spans="13:54" x14ac:dyDescent="0.25">
      <c r="M316" s="379"/>
      <c r="BB316" s="206" t="str">
        <f t="array" ref="BB316">_xlfn.IFS(AQ316="","",LEN(AQ316)-LEN(SUBSTITUTE(AQ316,".",""))=3,LEFT(AQ316,vitri(".",AQ316,3)-1),LEN(AQ316)-LEN(SUBSTITUTE(AQ316,".",""))=2,LEFT(AQ316,vitri(".",AQ316,2)-1),TRUE,LEFT(AQ316,vitri(".",AQ316,1)-1))</f>
        <v/>
      </c>
    </row>
    <row r="317" spans="13:54" x14ac:dyDescent="0.25">
      <c r="M317" s="379"/>
      <c r="BB317" s="206" t="str">
        <f t="array" ref="BB317">_xlfn.IFS(AQ317="","",LEN(AQ317)-LEN(SUBSTITUTE(AQ317,".",""))=3,LEFT(AQ317,vitri(".",AQ317,3)-1),LEN(AQ317)-LEN(SUBSTITUTE(AQ317,".",""))=2,LEFT(AQ317,vitri(".",AQ317,2)-1),TRUE,LEFT(AQ317,vitri(".",AQ317,1)-1))</f>
        <v/>
      </c>
    </row>
    <row r="318" spans="13:54" x14ac:dyDescent="0.25">
      <c r="M318" s="379"/>
      <c r="BB318" s="206" t="str">
        <f t="array" ref="BB318">_xlfn.IFS(AQ318="","",LEN(AQ318)-LEN(SUBSTITUTE(AQ318,".",""))=3,LEFT(AQ318,vitri(".",AQ318,3)-1),LEN(AQ318)-LEN(SUBSTITUTE(AQ318,".",""))=2,LEFT(AQ318,vitri(".",AQ318,2)-1),TRUE,LEFT(AQ318,vitri(".",AQ318,1)-1))</f>
        <v/>
      </c>
    </row>
    <row r="319" spans="13:54" x14ac:dyDescent="0.25">
      <c r="M319" s="379"/>
      <c r="BB319" s="206" t="str">
        <f t="array" ref="BB319">_xlfn.IFS(AQ319="","",LEN(AQ319)-LEN(SUBSTITUTE(AQ319,".",""))=3,LEFT(AQ319,vitri(".",AQ319,3)-1),LEN(AQ319)-LEN(SUBSTITUTE(AQ319,".",""))=2,LEFT(AQ319,vitri(".",AQ319,2)-1),TRUE,LEFT(AQ319,vitri(".",AQ319,1)-1))</f>
        <v/>
      </c>
    </row>
    <row r="320" spans="13:54" x14ac:dyDescent="0.25">
      <c r="M320" s="379"/>
      <c r="BB320" s="206" t="str">
        <f t="array" ref="BB320">_xlfn.IFS(AQ320="","",LEN(AQ320)-LEN(SUBSTITUTE(AQ320,".",""))=3,LEFT(AQ320,vitri(".",AQ320,3)-1),LEN(AQ320)-LEN(SUBSTITUTE(AQ320,".",""))=2,LEFT(AQ320,vitri(".",AQ320,2)-1),TRUE,LEFT(AQ320,vitri(".",AQ320,1)-1))</f>
        <v/>
      </c>
    </row>
    <row r="321" spans="13:54" x14ac:dyDescent="0.25">
      <c r="M321" s="379"/>
      <c r="BB321" s="206" t="str">
        <f t="array" ref="BB321">_xlfn.IFS(AQ321="","",LEN(AQ321)-LEN(SUBSTITUTE(AQ321,".",""))=3,LEFT(AQ321,vitri(".",AQ321,3)-1),LEN(AQ321)-LEN(SUBSTITUTE(AQ321,".",""))=2,LEFT(AQ321,vitri(".",AQ321,2)-1),TRUE,LEFT(AQ321,vitri(".",AQ321,1)-1))</f>
        <v/>
      </c>
    </row>
    <row r="322" spans="13:54" x14ac:dyDescent="0.25">
      <c r="M322" s="379"/>
      <c r="BB322" s="206" t="str">
        <f t="array" ref="BB322">_xlfn.IFS(AQ322="","",LEN(AQ322)-LEN(SUBSTITUTE(AQ322,".",""))=3,LEFT(AQ322,vitri(".",AQ322,3)-1),LEN(AQ322)-LEN(SUBSTITUTE(AQ322,".",""))=2,LEFT(AQ322,vitri(".",AQ322,2)-1),TRUE,LEFT(AQ322,vitri(".",AQ322,1)-1))</f>
        <v/>
      </c>
    </row>
    <row r="323" spans="13:54" x14ac:dyDescent="0.25">
      <c r="M323" s="379"/>
      <c r="BB323" s="206" t="str">
        <f t="array" ref="BB323">_xlfn.IFS(AQ323="","",LEN(AQ323)-LEN(SUBSTITUTE(AQ323,".",""))=3,LEFT(AQ323,vitri(".",AQ323,3)-1),LEN(AQ323)-LEN(SUBSTITUTE(AQ323,".",""))=2,LEFT(AQ323,vitri(".",AQ323,2)-1),TRUE,LEFT(AQ323,vitri(".",AQ323,1)-1))</f>
        <v/>
      </c>
    </row>
    <row r="324" spans="13:54" x14ac:dyDescent="0.25">
      <c r="M324" s="379"/>
      <c r="BB324" s="206" t="str">
        <f t="array" ref="BB324">_xlfn.IFS(AQ324="","",LEN(AQ324)-LEN(SUBSTITUTE(AQ324,".",""))=3,LEFT(AQ324,vitri(".",AQ324,3)-1),LEN(AQ324)-LEN(SUBSTITUTE(AQ324,".",""))=2,LEFT(AQ324,vitri(".",AQ324,2)-1),TRUE,LEFT(AQ324,vitri(".",AQ324,1)-1))</f>
        <v/>
      </c>
    </row>
    <row r="325" spans="13:54" x14ac:dyDescent="0.25">
      <c r="M325" s="379"/>
      <c r="BB325" s="206" t="str">
        <f t="array" ref="BB325">_xlfn.IFS(AQ325="","",LEN(AQ325)-LEN(SUBSTITUTE(AQ325,".",""))=3,LEFT(AQ325,vitri(".",AQ325,3)-1),LEN(AQ325)-LEN(SUBSTITUTE(AQ325,".",""))=2,LEFT(AQ325,vitri(".",AQ325,2)-1),TRUE,LEFT(AQ325,vitri(".",AQ325,1)-1))</f>
        <v/>
      </c>
    </row>
    <row r="326" spans="13:54" x14ac:dyDescent="0.25">
      <c r="M326" s="379"/>
      <c r="BB326" s="206" t="str">
        <f t="array" ref="BB326">_xlfn.IFS(AQ326="","",LEN(AQ326)-LEN(SUBSTITUTE(AQ326,".",""))=3,LEFT(AQ326,vitri(".",AQ326,3)-1),LEN(AQ326)-LEN(SUBSTITUTE(AQ326,".",""))=2,LEFT(AQ326,vitri(".",AQ326,2)-1),TRUE,LEFT(AQ326,vitri(".",AQ326,1)-1))</f>
        <v/>
      </c>
    </row>
    <row r="327" spans="13:54" x14ac:dyDescent="0.25">
      <c r="M327" s="379"/>
      <c r="BB327" s="206" t="str">
        <f t="array" ref="BB327">_xlfn.IFS(AQ327="","",LEN(AQ327)-LEN(SUBSTITUTE(AQ327,".",""))=3,LEFT(AQ327,vitri(".",AQ327,3)-1),LEN(AQ327)-LEN(SUBSTITUTE(AQ327,".",""))=2,LEFT(AQ327,vitri(".",AQ327,2)-1),TRUE,LEFT(AQ327,vitri(".",AQ327,1)-1))</f>
        <v/>
      </c>
    </row>
    <row r="328" spans="13:54" x14ac:dyDescent="0.25">
      <c r="M328" s="379"/>
      <c r="BB328" s="206" t="str">
        <f t="array" ref="BB328">_xlfn.IFS(AQ328="","",LEN(AQ328)-LEN(SUBSTITUTE(AQ328,".",""))=3,LEFT(AQ328,vitri(".",AQ328,3)-1),LEN(AQ328)-LEN(SUBSTITUTE(AQ328,".",""))=2,LEFT(AQ328,vitri(".",AQ328,2)-1),TRUE,LEFT(AQ328,vitri(".",AQ328,1)-1))</f>
        <v/>
      </c>
    </row>
    <row r="329" spans="13:54" x14ac:dyDescent="0.25">
      <c r="M329" s="379"/>
      <c r="BB329" s="206" t="str">
        <f t="array" ref="BB329">_xlfn.IFS(AQ329="","",LEN(AQ329)-LEN(SUBSTITUTE(AQ329,".",""))=3,LEFT(AQ329,vitri(".",AQ329,3)-1),LEN(AQ329)-LEN(SUBSTITUTE(AQ329,".",""))=2,LEFT(AQ329,vitri(".",AQ329,2)-1),TRUE,LEFT(AQ329,vitri(".",AQ329,1)-1))</f>
        <v/>
      </c>
    </row>
    <row r="330" spans="13:54" x14ac:dyDescent="0.25">
      <c r="M330" s="379"/>
      <c r="BB330" s="206" t="str">
        <f t="array" ref="BB330">_xlfn.IFS(AQ330="","",LEN(AQ330)-LEN(SUBSTITUTE(AQ330,".",""))=3,LEFT(AQ330,vitri(".",AQ330,3)-1),LEN(AQ330)-LEN(SUBSTITUTE(AQ330,".",""))=2,LEFT(AQ330,vitri(".",AQ330,2)-1),TRUE,LEFT(AQ330,vitri(".",AQ330,1)-1))</f>
        <v/>
      </c>
    </row>
    <row r="331" spans="13:54" x14ac:dyDescent="0.25">
      <c r="M331" s="379"/>
      <c r="BB331" s="206" t="str">
        <f t="array" ref="BB331">_xlfn.IFS(AQ331="","",LEN(AQ331)-LEN(SUBSTITUTE(AQ331,".",""))=3,LEFT(AQ331,vitri(".",AQ331,3)-1),LEN(AQ331)-LEN(SUBSTITUTE(AQ331,".",""))=2,LEFT(AQ331,vitri(".",AQ331,2)-1),TRUE,LEFT(AQ331,vitri(".",AQ331,1)-1))</f>
        <v/>
      </c>
    </row>
    <row r="332" spans="13:54" x14ac:dyDescent="0.25">
      <c r="M332" s="379"/>
      <c r="BB332" s="206" t="str">
        <f t="array" ref="BB332">_xlfn.IFS(AQ332="","",LEN(AQ332)-LEN(SUBSTITUTE(AQ332,".",""))=3,LEFT(AQ332,vitri(".",AQ332,3)-1),LEN(AQ332)-LEN(SUBSTITUTE(AQ332,".",""))=2,LEFT(AQ332,vitri(".",AQ332,2)-1),TRUE,LEFT(AQ332,vitri(".",AQ332,1)-1))</f>
        <v/>
      </c>
    </row>
    <row r="333" spans="13:54" x14ac:dyDescent="0.25">
      <c r="M333" s="379"/>
      <c r="BB333" s="206" t="str">
        <f t="array" ref="BB333">_xlfn.IFS(AQ333="","",LEN(AQ333)-LEN(SUBSTITUTE(AQ333,".",""))=3,LEFT(AQ333,vitri(".",AQ333,3)-1),LEN(AQ333)-LEN(SUBSTITUTE(AQ333,".",""))=2,LEFT(AQ333,vitri(".",AQ333,2)-1),TRUE,LEFT(AQ333,vitri(".",AQ333,1)-1))</f>
        <v/>
      </c>
    </row>
    <row r="334" spans="13:54" x14ac:dyDescent="0.25">
      <c r="M334" s="379"/>
      <c r="BB334" s="206" t="str">
        <f t="array" ref="BB334">_xlfn.IFS(AQ334="","",LEN(AQ334)-LEN(SUBSTITUTE(AQ334,".",""))=3,LEFT(AQ334,vitri(".",AQ334,3)-1),LEN(AQ334)-LEN(SUBSTITUTE(AQ334,".",""))=2,LEFT(AQ334,vitri(".",AQ334,2)-1),TRUE,LEFT(AQ334,vitri(".",AQ334,1)-1))</f>
        <v/>
      </c>
    </row>
    <row r="335" spans="13:54" x14ac:dyDescent="0.25">
      <c r="M335" s="379"/>
      <c r="BB335" s="206" t="str">
        <f t="array" ref="BB335">_xlfn.IFS(AQ335="","",LEN(AQ335)-LEN(SUBSTITUTE(AQ335,".",""))=3,LEFT(AQ335,vitri(".",AQ335,3)-1),LEN(AQ335)-LEN(SUBSTITUTE(AQ335,".",""))=2,LEFT(AQ335,vitri(".",AQ335,2)-1),TRUE,LEFT(AQ335,vitri(".",AQ335,1)-1))</f>
        <v/>
      </c>
    </row>
    <row r="336" spans="13:54" x14ac:dyDescent="0.25">
      <c r="M336" s="379"/>
      <c r="BB336" s="206" t="str">
        <f t="array" ref="BB336">_xlfn.IFS(AQ336="","",LEN(AQ336)-LEN(SUBSTITUTE(AQ336,".",""))=3,LEFT(AQ336,vitri(".",AQ336,3)-1),LEN(AQ336)-LEN(SUBSTITUTE(AQ336,".",""))=2,LEFT(AQ336,vitri(".",AQ336,2)-1),TRUE,LEFT(AQ336,vitri(".",AQ336,1)-1))</f>
        <v/>
      </c>
    </row>
    <row r="337" spans="13:54" x14ac:dyDescent="0.25">
      <c r="M337" s="379"/>
      <c r="BB337" s="206" t="str">
        <f t="array" ref="BB337">_xlfn.IFS(AQ337="","",LEN(AQ337)-LEN(SUBSTITUTE(AQ337,".",""))=3,LEFT(AQ337,vitri(".",AQ337,3)-1),LEN(AQ337)-LEN(SUBSTITUTE(AQ337,".",""))=2,LEFT(AQ337,vitri(".",AQ337,2)-1),TRUE,LEFT(AQ337,vitri(".",AQ337,1)-1))</f>
        <v/>
      </c>
    </row>
    <row r="338" spans="13:54" x14ac:dyDescent="0.25">
      <c r="M338" s="379"/>
      <c r="BB338" s="206" t="str">
        <f t="array" ref="BB338">_xlfn.IFS(AQ338="","",LEN(AQ338)-LEN(SUBSTITUTE(AQ338,".",""))=3,LEFT(AQ338,vitri(".",AQ338,3)-1),LEN(AQ338)-LEN(SUBSTITUTE(AQ338,".",""))=2,LEFT(AQ338,vitri(".",AQ338,2)-1),TRUE,LEFT(AQ338,vitri(".",AQ338,1)-1))</f>
        <v/>
      </c>
    </row>
    <row r="339" spans="13:54" x14ac:dyDescent="0.25">
      <c r="M339" s="379"/>
      <c r="BB339" s="206" t="str">
        <f t="array" ref="BB339">_xlfn.IFS(AQ339="","",LEN(AQ339)-LEN(SUBSTITUTE(AQ339,".",""))=3,LEFT(AQ339,vitri(".",AQ339,3)-1),LEN(AQ339)-LEN(SUBSTITUTE(AQ339,".",""))=2,LEFT(AQ339,vitri(".",AQ339,2)-1),TRUE,LEFT(AQ339,vitri(".",AQ339,1)-1))</f>
        <v/>
      </c>
    </row>
    <row r="340" spans="13:54" x14ac:dyDescent="0.25">
      <c r="M340" s="379"/>
      <c r="BB340" s="206" t="str">
        <f t="array" ref="BB340">_xlfn.IFS(AQ340="","",LEN(AQ340)-LEN(SUBSTITUTE(AQ340,".",""))=3,LEFT(AQ340,vitri(".",AQ340,3)-1),LEN(AQ340)-LEN(SUBSTITUTE(AQ340,".",""))=2,LEFT(AQ340,vitri(".",AQ340,2)-1),TRUE,LEFT(AQ340,vitri(".",AQ340,1)-1))</f>
        <v/>
      </c>
    </row>
    <row r="341" spans="13:54" x14ac:dyDescent="0.25">
      <c r="M341" s="379"/>
      <c r="BB341" s="206" t="str">
        <f t="array" ref="BB341">_xlfn.IFS(AQ341="","",LEN(AQ341)-LEN(SUBSTITUTE(AQ341,".",""))=3,LEFT(AQ341,vitri(".",AQ341,3)-1),LEN(AQ341)-LEN(SUBSTITUTE(AQ341,".",""))=2,LEFT(AQ341,vitri(".",AQ341,2)-1),TRUE,LEFT(AQ341,vitri(".",AQ341,1)-1))</f>
        <v/>
      </c>
    </row>
    <row r="342" spans="13:54" x14ac:dyDescent="0.25">
      <c r="M342" s="379"/>
      <c r="BB342" s="206" t="str">
        <f t="array" ref="BB342">_xlfn.IFS(AQ342="","",LEN(AQ342)-LEN(SUBSTITUTE(AQ342,".",""))=3,LEFT(AQ342,vitri(".",AQ342,3)-1),LEN(AQ342)-LEN(SUBSTITUTE(AQ342,".",""))=2,LEFT(AQ342,vitri(".",AQ342,2)-1),TRUE,LEFT(AQ342,vitri(".",AQ342,1)-1))</f>
        <v/>
      </c>
    </row>
    <row r="343" spans="13:54" x14ac:dyDescent="0.25">
      <c r="M343" s="379"/>
      <c r="BB343" s="206" t="str">
        <f t="array" ref="BB343">_xlfn.IFS(AQ343="","",LEN(AQ343)-LEN(SUBSTITUTE(AQ343,".",""))=3,LEFT(AQ343,vitri(".",AQ343,3)-1),LEN(AQ343)-LEN(SUBSTITUTE(AQ343,".",""))=2,LEFT(AQ343,vitri(".",AQ343,2)-1),TRUE,LEFT(AQ343,vitri(".",AQ343,1)-1))</f>
        <v/>
      </c>
    </row>
    <row r="344" spans="13:54" x14ac:dyDescent="0.25">
      <c r="M344" s="379"/>
      <c r="BB344" s="206" t="str">
        <f t="array" ref="BB344">_xlfn.IFS(AQ344="","",LEN(AQ344)-LEN(SUBSTITUTE(AQ344,".",""))=3,LEFT(AQ344,vitri(".",AQ344,3)-1),LEN(AQ344)-LEN(SUBSTITUTE(AQ344,".",""))=2,LEFT(AQ344,vitri(".",AQ344,2)-1),TRUE,LEFT(AQ344,vitri(".",AQ344,1)-1))</f>
        <v/>
      </c>
    </row>
    <row r="345" spans="13:54" x14ac:dyDescent="0.25">
      <c r="M345" s="379"/>
      <c r="BB345" s="206" t="str">
        <f t="array" ref="BB345">_xlfn.IFS(AQ345="","",LEN(AQ345)-LEN(SUBSTITUTE(AQ345,".",""))=3,LEFT(AQ345,vitri(".",AQ345,3)-1),LEN(AQ345)-LEN(SUBSTITUTE(AQ345,".",""))=2,LEFT(AQ345,vitri(".",AQ345,2)-1),TRUE,LEFT(AQ345,vitri(".",AQ345,1)-1))</f>
        <v/>
      </c>
    </row>
    <row r="346" spans="13:54" x14ac:dyDescent="0.25">
      <c r="M346" s="379"/>
      <c r="BB346" s="206" t="str">
        <f t="array" ref="BB346">_xlfn.IFS(AQ346="","",LEN(AQ346)-LEN(SUBSTITUTE(AQ346,".",""))=3,LEFT(AQ346,vitri(".",AQ346,3)-1),LEN(AQ346)-LEN(SUBSTITUTE(AQ346,".",""))=2,LEFT(AQ346,vitri(".",AQ346,2)-1),TRUE,LEFT(AQ346,vitri(".",AQ346,1)-1))</f>
        <v/>
      </c>
    </row>
    <row r="347" spans="13:54" x14ac:dyDescent="0.25">
      <c r="M347" s="379"/>
      <c r="BB347" s="206" t="str">
        <f t="array" ref="BB347">_xlfn.IFS(AQ347="","",LEN(AQ347)-LEN(SUBSTITUTE(AQ347,".",""))=3,LEFT(AQ347,vitri(".",AQ347,3)-1),LEN(AQ347)-LEN(SUBSTITUTE(AQ347,".",""))=2,LEFT(AQ347,vitri(".",AQ347,2)-1),TRUE,LEFT(AQ347,vitri(".",AQ347,1)-1))</f>
        <v/>
      </c>
    </row>
    <row r="348" spans="13:54" x14ac:dyDescent="0.25">
      <c r="M348" s="379"/>
      <c r="BB348" s="206" t="str">
        <f t="array" ref="BB348">_xlfn.IFS(AQ348="","",LEN(AQ348)-LEN(SUBSTITUTE(AQ348,".",""))=3,LEFT(AQ348,vitri(".",AQ348,3)-1),LEN(AQ348)-LEN(SUBSTITUTE(AQ348,".",""))=2,LEFT(AQ348,vitri(".",AQ348,2)-1),TRUE,LEFT(AQ348,vitri(".",AQ348,1)-1))</f>
        <v/>
      </c>
    </row>
    <row r="349" spans="13:54" x14ac:dyDescent="0.25">
      <c r="M349" s="379"/>
      <c r="BB349" s="206" t="str">
        <f t="array" ref="BB349">_xlfn.IFS(AQ349="","",LEN(AQ349)-LEN(SUBSTITUTE(AQ349,".",""))=3,LEFT(AQ349,vitri(".",AQ349,3)-1),LEN(AQ349)-LEN(SUBSTITUTE(AQ349,".",""))=2,LEFT(AQ349,vitri(".",AQ349,2)-1),TRUE,LEFT(AQ349,vitri(".",AQ349,1)-1))</f>
        <v/>
      </c>
    </row>
    <row r="350" spans="13:54" x14ac:dyDescent="0.25">
      <c r="M350" s="379"/>
      <c r="BB350" s="206" t="str">
        <f t="array" ref="BB350">_xlfn.IFS(AQ350="","",LEN(AQ350)-LEN(SUBSTITUTE(AQ350,".",""))=3,LEFT(AQ350,vitri(".",AQ350,3)-1),LEN(AQ350)-LEN(SUBSTITUTE(AQ350,".",""))=2,LEFT(AQ350,vitri(".",AQ350,2)-1),TRUE,LEFT(AQ350,vitri(".",AQ350,1)-1))</f>
        <v/>
      </c>
    </row>
    <row r="351" spans="13:54" x14ac:dyDescent="0.25">
      <c r="M351" s="379"/>
      <c r="BB351" s="206" t="str">
        <f t="array" ref="BB351">_xlfn.IFS(AQ351="","",LEN(AQ351)-LEN(SUBSTITUTE(AQ351,".",""))=3,LEFT(AQ351,vitri(".",AQ351,3)-1),LEN(AQ351)-LEN(SUBSTITUTE(AQ351,".",""))=2,LEFT(AQ351,vitri(".",AQ351,2)-1),TRUE,LEFT(AQ351,vitri(".",AQ351,1)-1))</f>
        <v/>
      </c>
    </row>
    <row r="352" spans="13:54" x14ac:dyDescent="0.25">
      <c r="M352" s="379"/>
      <c r="BB352" s="206" t="str">
        <f t="array" ref="BB352">_xlfn.IFS(AQ352="","",LEN(AQ352)-LEN(SUBSTITUTE(AQ352,".",""))=3,LEFT(AQ352,vitri(".",AQ352,3)-1),LEN(AQ352)-LEN(SUBSTITUTE(AQ352,".",""))=2,LEFT(AQ352,vitri(".",AQ352,2)-1),TRUE,LEFT(AQ352,vitri(".",AQ352,1)-1))</f>
        <v/>
      </c>
    </row>
    <row r="353" spans="13:54" x14ac:dyDescent="0.25">
      <c r="M353" s="379"/>
      <c r="BB353" s="206" t="str">
        <f t="array" ref="BB353">_xlfn.IFS(AQ353="","",LEN(AQ353)-LEN(SUBSTITUTE(AQ353,".",""))=3,LEFT(AQ353,vitri(".",AQ353,3)-1),LEN(AQ353)-LEN(SUBSTITUTE(AQ353,".",""))=2,LEFT(AQ353,vitri(".",AQ353,2)-1),TRUE,LEFT(AQ353,vitri(".",AQ353,1)-1))</f>
        <v/>
      </c>
    </row>
    <row r="354" spans="13:54" x14ac:dyDescent="0.25">
      <c r="M354" s="379"/>
      <c r="BB354" s="206" t="str">
        <f t="array" ref="BB354">_xlfn.IFS(AQ354="","",LEN(AQ354)-LEN(SUBSTITUTE(AQ354,".",""))=3,LEFT(AQ354,vitri(".",AQ354,3)-1),LEN(AQ354)-LEN(SUBSTITUTE(AQ354,".",""))=2,LEFT(AQ354,vitri(".",AQ354,2)-1),TRUE,LEFT(AQ354,vitri(".",AQ354,1)-1))</f>
        <v/>
      </c>
    </row>
    <row r="355" spans="13:54" x14ac:dyDescent="0.25">
      <c r="M355" s="379"/>
      <c r="BB355" s="206" t="str">
        <f t="array" ref="BB355">_xlfn.IFS(AQ355="","",LEN(AQ355)-LEN(SUBSTITUTE(AQ355,".",""))=3,LEFT(AQ355,vitri(".",AQ355,3)-1),LEN(AQ355)-LEN(SUBSTITUTE(AQ355,".",""))=2,LEFT(AQ355,vitri(".",AQ355,2)-1),TRUE,LEFT(AQ355,vitri(".",AQ355,1)-1))</f>
        <v/>
      </c>
    </row>
    <row r="356" spans="13:54" x14ac:dyDescent="0.25">
      <c r="M356" s="379"/>
      <c r="BB356" s="206" t="str">
        <f t="array" ref="BB356">_xlfn.IFS(AQ356="","",LEN(AQ356)-LEN(SUBSTITUTE(AQ356,".",""))=3,LEFT(AQ356,vitri(".",AQ356,3)-1),LEN(AQ356)-LEN(SUBSTITUTE(AQ356,".",""))=2,LEFT(AQ356,vitri(".",AQ356,2)-1),TRUE,LEFT(AQ356,vitri(".",AQ356,1)-1))</f>
        <v/>
      </c>
    </row>
    <row r="357" spans="13:54" x14ac:dyDescent="0.25">
      <c r="M357" s="379"/>
      <c r="BB357" s="206" t="str">
        <f t="array" ref="BB357">_xlfn.IFS(AQ357="","",LEN(AQ357)-LEN(SUBSTITUTE(AQ357,".",""))=3,LEFT(AQ357,vitri(".",AQ357,3)-1),LEN(AQ357)-LEN(SUBSTITUTE(AQ357,".",""))=2,LEFT(AQ357,vitri(".",AQ357,2)-1),TRUE,LEFT(AQ357,vitri(".",AQ357,1)-1))</f>
        <v/>
      </c>
    </row>
    <row r="358" spans="13:54" x14ac:dyDescent="0.25">
      <c r="M358" s="379"/>
      <c r="BB358" s="206" t="str">
        <f t="array" ref="BB358">_xlfn.IFS(AQ358="","",LEN(AQ358)-LEN(SUBSTITUTE(AQ358,".",""))=3,LEFT(AQ358,vitri(".",AQ358,3)-1),LEN(AQ358)-LEN(SUBSTITUTE(AQ358,".",""))=2,LEFT(AQ358,vitri(".",AQ358,2)-1),TRUE,LEFT(AQ358,vitri(".",AQ358,1)-1))</f>
        <v/>
      </c>
    </row>
    <row r="359" spans="13:54" x14ac:dyDescent="0.25">
      <c r="M359" s="379"/>
      <c r="BB359" s="206" t="str">
        <f t="array" ref="BB359">_xlfn.IFS(AQ359="","",LEN(AQ359)-LEN(SUBSTITUTE(AQ359,".",""))=3,LEFT(AQ359,vitri(".",AQ359,3)-1),LEN(AQ359)-LEN(SUBSTITUTE(AQ359,".",""))=2,LEFT(AQ359,vitri(".",AQ359,2)-1),TRUE,LEFT(AQ359,vitri(".",AQ359,1)-1))</f>
        <v/>
      </c>
    </row>
    <row r="360" spans="13:54" x14ac:dyDescent="0.25">
      <c r="M360" s="379"/>
      <c r="BB360" s="206" t="str">
        <f t="array" ref="BB360">_xlfn.IFS(AQ360="","",LEN(AQ360)-LEN(SUBSTITUTE(AQ360,".",""))=3,LEFT(AQ360,vitri(".",AQ360,3)-1),LEN(AQ360)-LEN(SUBSTITUTE(AQ360,".",""))=2,LEFT(AQ360,vitri(".",AQ360,2)-1),TRUE,LEFT(AQ360,vitri(".",AQ360,1)-1))</f>
        <v/>
      </c>
    </row>
    <row r="361" spans="13:54" x14ac:dyDescent="0.25">
      <c r="M361" s="379"/>
      <c r="BB361" s="206" t="str">
        <f t="array" ref="BB361">_xlfn.IFS(AQ361="","",LEN(AQ361)-LEN(SUBSTITUTE(AQ361,".",""))=3,LEFT(AQ361,vitri(".",AQ361,3)-1),LEN(AQ361)-LEN(SUBSTITUTE(AQ361,".",""))=2,LEFT(AQ361,vitri(".",AQ361,2)-1),TRUE,LEFT(AQ361,vitri(".",AQ361,1)-1))</f>
        <v/>
      </c>
    </row>
    <row r="362" spans="13:54" x14ac:dyDescent="0.25">
      <c r="M362" s="379"/>
      <c r="BB362" s="206" t="str">
        <f t="array" ref="BB362">_xlfn.IFS(AQ362="","",LEN(AQ362)-LEN(SUBSTITUTE(AQ362,".",""))=3,LEFT(AQ362,vitri(".",AQ362,3)-1),LEN(AQ362)-LEN(SUBSTITUTE(AQ362,".",""))=2,LEFT(AQ362,vitri(".",AQ362,2)-1),TRUE,LEFT(AQ362,vitri(".",AQ362,1)-1))</f>
        <v/>
      </c>
    </row>
    <row r="363" spans="13:54" x14ac:dyDescent="0.25">
      <c r="M363" s="379"/>
      <c r="BB363" s="206" t="str">
        <f t="array" ref="BB363">_xlfn.IFS(AQ363="","",LEN(AQ363)-LEN(SUBSTITUTE(AQ363,".",""))=3,LEFT(AQ363,vitri(".",AQ363,3)-1),LEN(AQ363)-LEN(SUBSTITUTE(AQ363,".",""))=2,LEFT(AQ363,vitri(".",AQ363,2)-1),TRUE,LEFT(AQ363,vitri(".",AQ363,1)-1))</f>
        <v/>
      </c>
    </row>
    <row r="364" spans="13:54" x14ac:dyDescent="0.25">
      <c r="M364" s="379"/>
      <c r="BB364" s="206" t="str">
        <f t="array" ref="BB364">_xlfn.IFS(AQ364="","",LEN(AQ364)-LEN(SUBSTITUTE(AQ364,".",""))=3,LEFT(AQ364,vitri(".",AQ364,3)-1),LEN(AQ364)-LEN(SUBSTITUTE(AQ364,".",""))=2,LEFT(AQ364,vitri(".",AQ364,2)-1),TRUE,LEFT(AQ364,vitri(".",AQ364,1)-1))</f>
        <v/>
      </c>
    </row>
    <row r="365" spans="13:54" x14ac:dyDescent="0.25">
      <c r="M365" s="379"/>
      <c r="BB365" s="206" t="str">
        <f t="array" ref="BB365">_xlfn.IFS(AQ365="","",LEN(AQ365)-LEN(SUBSTITUTE(AQ365,".",""))=3,LEFT(AQ365,vitri(".",AQ365,3)-1),LEN(AQ365)-LEN(SUBSTITUTE(AQ365,".",""))=2,LEFT(AQ365,vitri(".",AQ365,2)-1),TRUE,LEFT(AQ365,vitri(".",AQ365,1)-1))</f>
        <v/>
      </c>
    </row>
    <row r="366" spans="13:54" x14ac:dyDescent="0.25">
      <c r="M366" s="379"/>
      <c r="BB366" s="206" t="str">
        <f t="array" ref="BB366">_xlfn.IFS(AQ366="","",LEN(AQ366)-LEN(SUBSTITUTE(AQ366,".",""))=3,LEFT(AQ366,vitri(".",AQ366,3)-1),LEN(AQ366)-LEN(SUBSTITUTE(AQ366,".",""))=2,LEFT(AQ366,vitri(".",AQ366,2)-1),TRUE,LEFT(AQ366,vitri(".",AQ366,1)-1))</f>
        <v/>
      </c>
    </row>
    <row r="367" spans="13:54" x14ac:dyDescent="0.25">
      <c r="M367" s="379"/>
      <c r="BB367" s="206" t="str">
        <f t="array" ref="BB367">_xlfn.IFS(AQ367="","",LEN(AQ367)-LEN(SUBSTITUTE(AQ367,".",""))=3,LEFT(AQ367,vitri(".",AQ367,3)-1),LEN(AQ367)-LEN(SUBSTITUTE(AQ367,".",""))=2,LEFT(AQ367,vitri(".",AQ367,2)-1),TRUE,LEFT(AQ367,vitri(".",AQ367,1)-1))</f>
        <v/>
      </c>
    </row>
    <row r="368" spans="13:54" x14ac:dyDescent="0.25">
      <c r="M368" s="379"/>
      <c r="BB368" s="206" t="str">
        <f t="array" ref="BB368">_xlfn.IFS(AQ368="","",LEN(AQ368)-LEN(SUBSTITUTE(AQ368,".",""))=3,LEFT(AQ368,vitri(".",AQ368,3)-1),LEN(AQ368)-LEN(SUBSTITUTE(AQ368,".",""))=2,LEFT(AQ368,vitri(".",AQ368,2)-1),TRUE,LEFT(AQ368,vitri(".",AQ368,1)-1))</f>
        <v/>
      </c>
    </row>
    <row r="369" spans="13:54" x14ac:dyDescent="0.25">
      <c r="M369" s="379"/>
      <c r="BB369" s="206" t="str">
        <f t="array" ref="BB369">_xlfn.IFS(AQ369="","",LEN(AQ369)-LEN(SUBSTITUTE(AQ369,".",""))=3,LEFT(AQ369,vitri(".",AQ369,3)-1),LEN(AQ369)-LEN(SUBSTITUTE(AQ369,".",""))=2,LEFT(AQ369,vitri(".",AQ369,2)-1),TRUE,LEFT(AQ369,vitri(".",AQ369,1)-1))</f>
        <v/>
      </c>
    </row>
    <row r="370" spans="13:54" x14ac:dyDescent="0.25">
      <c r="M370" s="379"/>
      <c r="BB370" s="206" t="str">
        <f t="array" ref="BB370">_xlfn.IFS(AQ370="","",LEN(AQ370)-LEN(SUBSTITUTE(AQ370,".",""))=3,LEFT(AQ370,vitri(".",AQ370,3)-1),LEN(AQ370)-LEN(SUBSTITUTE(AQ370,".",""))=2,LEFT(AQ370,vitri(".",AQ370,2)-1),TRUE,LEFT(AQ370,vitri(".",AQ370,1)-1))</f>
        <v/>
      </c>
    </row>
    <row r="371" spans="13:54" x14ac:dyDescent="0.25">
      <c r="M371" s="379"/>
      <c r="BB371" s="206" t="str">
        <f t="array" ref="BB371">_xlfn.IFS(AQ371="","",LEN(AQ371)-LEN(SUBSTITUTE(AQ371,".",""))=3,LEFT(AQ371,vitri(".",AQ371,3)-1),LEN(AQ371)-LEN(SUBSTITUTE(AQ371,".",""))=2,LEFT(AQ371,vitri(".",AQ371,2)-1),TRUE,LEFT(AQ371,vitri(".",AQ371,1)-1))</f>
        <v/>
      </c>
    </row>
    <row r="372" spans="13:54" x14ac:dyDescent="0.25">
      <c r="M372" s="379"/>
      <c r="BB372" s="206" t="str">
        <f t="array" ref="BB372">_xlfn.IFS(AQ372="","",LEN(AQ372)-LEN(SUBSTITUTE(AQ372,".",""))=3,LEFT(AQ372,vitri(".",AQ372,3)-1),LEN(AQ372)-LEN(SUBSTITUTE(AQ372,".",""))=2,LEFT(AQ372,vitri(".",AQ372,2)-1),TRUE,LEFT(AQ372,vitri(".",AQ372,1)-1))</f>
        <v/>
      </c>
    </row>
    <row r="373" spans="13:54" x14ac:dyDescent="0.25">
      <c r="M373" s="379"/>
      <c r="BB373" s="206" t="str">
        <f t="array" ref="BB373">_xlfn.IFS(AQ373="","",LEN(AQ373)-LEN(SUBSTITUTE(AQ373,".",""))=3,LEFT(AQ373,vitri(".",AQ373,3)-1),LEN(AQ373)-LEN(SUBSTITUTE(AQ373,".",""))=2,LEFT(AQ373,vitri(".",AQ373,2)-1),TRUE,LEFT(AQ373,vitri(".",AQ373,1)-1))</f>
        <v/>
      </c>
    </row>
    <row r="374" spans="13:54" x14ac:dyDescent="0.25">
      <c r="M374" s="379"/>
      <c r="BB374" s="206" t="str">
        <f t="array" ref="BB374">_xlfn.IFS(AQ374="","",LEN(AQ374)-LEN(SUBSTITUTE(AQ374,".",""))=3,LEFT(AQ374,vitri(".",AQ374,3)-1),LEN(AQ374)-LEN(SUBSTITUTE(AQ374,".",""))=2,LEFT(AQ374,vitri(".",AQ374,2)-1),TRUE,LEFT(AQ374,vitri(".",AQ374,1)-1))</f>
        <v/>
      </c>
    </row>
    <row r="375" spans="13:54" x14ac:dyDescent="0.25">
      <c r="M375" s="379"/>
      <c r="BB375" s="206" t="str">
        <f t="array" ref="BB375">_xlfn.IFS(AQ375="","",LEN(AQ375)-LEN(SUBSTITUTE(AQ375,".",""))=3,LEFT(AQ375,vitri(".",AQ375,3)-1),LEN(AQ375)-LEN(SUBSTITUTE(AQ375,".",""))=2,LEFT(AQ375,vitri(".",AQ375,2)-1),TRUE,LEFT(AQ375,vitri(".",AQ375,1)-1))</f>
        <v/>
      </c>
    </row>
    <row r="376" spans="13:54" x14ac:dyDescent="0.25">
      <c r="M376" s="379"/>
      <c r="BB376" s="206" t="str">
        <f t="array" ref="BB376">_xlfn.IFS(AQ376="","",LEN(AQ376)-LEN(SUBSTITUTE(AQ376,".",""))=3,LEFT(AQ376,vitri(".",AQ376,3)-1),LEN(AQ376)-LEN(SUBSTITUTE(AQ376,".",""))=2,LEFT(AQ376,vitri(".",AQ376,2)-1),TRUE,LEFT(AQ376,vitri(".",AQ376,1)-1))</f>
        <v/>
      </c>
    </row>
    <row r="377" spans="13:54" x14ac:dyDescent="0.25">
      <c r="M377" s="379"/>
      <c r="BB377" s="206" t="str">
        <f t="array" ref="BB377">_xlfn.IFS(AQ377="","",LEN(AQ377)-LEN(SUBSTITUTE(AQ377,".",""))=3,LEFT(AQ377,vitri(".",AQ377,3)-1),LEN(AQ377)-LEN(SUBSTITUTE(AQ377,".",""))=2,LEFT(AQ377,vitri(".",AQ377,2)-1),TRUE,LEFT(AQ377,vitri(".",AQ377,1)-1))</f>
        <v/>
      </c>
    </row>
    <row r="378" spans="13:54" x14ac:dyDescent="0.25">
      <c r="M378" s="379"/>
      <c r="BB378" s="206" t="str">
        <f t="array" ref="BB378">_xlfn.IFS(AQ378="","",LEN(AQ378)-LEN(SUBSTITUTE(AQ378,".",""))=3,LEFT(AQ378,vitri(".",AQ378,3)-1),LEN(AQ378)-LEN(SUBSTITUTE(AQ378,".",""))=2,LEFT(AQ378,vitri(".",AQ378,2)-1),TRUE,LEFT(AQ378,vitri(".",AQ378,1)-1))</f>
        <v/>
      </c>
    </row>
    <row r="379" spans="13:54" x14ac:dyDescent="0.25">
      <c r="M379" s="379"/>
      <c r="BB379" s="206" t="str">
        <f t="array" ref="BB379">_xlfn.IFS(AQ379="","",LEN(AQ379)-LEN(SUBSTITUTE(AQ379,".",""))=3,LEFT(AQ379,vitri(".",AQ379,3)-1),LEN(AQ379)-LEN(SUBSTITUTE(AQ379,".",""))=2,LEFT(AQ379,vitri(".",AQ379,2)-1),TRUE,LEFT(AQ379,vitri(".",AQ379,1)-1))</f>
        <v/>
      </c>
    </row>
    <row r="380" spans="13:54" x14ac:dyDescent="0.25">
      <c r="M380" s="379"/>
      <c r="BB380" s="206" t="str">
        <f t="array" ref="BB380">_xlfn.IFS(AQ380="","",LEN(AQ380)-LEN(SUBSTITUTE(AQ380,".",""))=3,LEFT(AQ380,vitri(".",AQ380,3)-1),LEN(AQ380)-LEN(SUBSTITUTE(AQ380,".",""))=2,LEFT(AQ380,vitri(".",AQ380,2)-1),TRUE,LEFT(AQ380,vitri(".",AQ380,1)-1))</f>
        <v/>
      </c>
    </row>
    <row r="381" spans="13:54" x14ac:dyDescent="0.25">
      <c r="M381" s="379"/>
      <c r="BB381" s="206" t="str">
        <f t="array" ref="BB381">_xlfn.IFS(AQ381="","",LEN(AQ381)-LEN(SUBSTITUTE(AQ381,".",""))=3,LEFT(AQ381,vitri(".",AQ381,3)-1),LEN(AQ381)-LEN(SUBSTITUTE(AQ381,".",""))=2,LEFT(AQ381,vitri(".",AQ381,2)-1),TRUE,LEFT(AQ381,vitri(".",AQ381,1)-1))</f>
        <v/>
      </c>
    </row>
    <row r="382" spans="13:54" x14ac:dyDescent="0.25">
      <c r="M382" s="379"/>
      <c r="BB382" s="206" t="str">
        <f t="array" ref="BB382">_xlfn.IFS(AQ382="","",LEN(AQ382)-LEN(SUBSTITUTE(AQ382,".",""))=3,LEFT(AQ382,vitri(".",AQ382,3)-1),LEN(AQ382)-LEN(SUBSTITUTE(AQ382,".",""))=2,LEFT(AQ382,vitri(".",AQ382,2)-1),TRUE,LEFT(AQ382,vitri(".",AQ382,1)-1))</f>
        <v/>
      </c>
    </row>
    <row r="383" spans="13:54" x14ac:dyDescent="0.25">
      <c r="M383" s="379"/>
      <c r="BB383" s="206" t="str">
        <f t="array" ref="BB383">_xlfn.IFS(AQ383="","",LEN(AQ383)-LEN(SUBSTITUTE(AQ383,".",""))=3,LEFT(AQ383,vitri(".",AQ383,3)-1),LEN(AQ383)-LEN(SUBSTITUTE(AQ383,".",""))=2,LEFT(AQ383,vitri(".",AQ383,2)-1),TRUE,LEFT(AQ383,vitri(".",AQ383,1)-1))</f>
        <v/>
      </c>
    </row>
    <row r="384" spans="13:54" x14ac:dyDescent="0.25">
      <c r="M384" s="379"/>
      <c r="BB384" s="206" t="str">
        <f t="array" ref="BB384">_xlfn.IFS(AQ384="","",LEN(AQ384)-LEN(SUBSTITUTE(AQ384,".",""))=3,LEFT(AQ384,vitri(".",AQ384,3)-1),LEN(AQ384)-LEN(SUBSTITUTE(AQ384,".",""))=2,LEFT(AQ384,vitri(".",AQ384,2)-1),TRUE,LEFT(AQ384,vitri(".",AQ384,1)-1))</f>
        <v/>
      </c>
    </row>
    <row r="385" spans="13:54" x14ac:dyDescent="0.25">
      <c r="M385" s="379"/>
      <c r="BB385" s="206" t="str">
        <f t="array" ref="BB385">_xlfn.IFS(AQ385="","",LEN(AQ385)-LEN(SUBSTITUTE(AQ385,".",""))=3,LEFT(AQ385,vitri(".",AQ385,3)-1),LEN(AQ385)-LEN(SUBSTITUTE(AQ385,".",""))=2,LEFT(AQ385,vitri(".",AQ385,2)-1),TRUE,LEFT(AQ385,vitri(".",AQ385,1)-1))</f>
        <v/>
      </c>
    </row>
    <row r="386" spans="13:54" x14ac:dyDescent="0.25">
      <c r="M386" s="379"/>
      <c r="BB386" s="206" t="str">
        <f t="array" ref="BB386">_xlfn.IFS(AQ386="","",LEN(AQ386)-LEN(SUBSTITUTE(AQ386,".",""))=3,LEFT(AQ386,vitri(".",AQ386,3)-1),LEN(AQ386)-LEN(SUBSTITUTE(AQ386,".",""))=2,LEFT(AQ386,vitri(".",AQ386,2)-1),TRUE,LEFT(AQ386,vitri(".",AQ386,1)-1))</f>
        <v/>
      </c>
    </row>
    <row r="387" spans="13:54" x14ac:dyDescent="0.25">
      <c r="M387" s="379"/>
      <c r="BB387" s="206" t="str">
        <f t="array" ref="BB387">_xlfn.IFS(AQ387="","",LEN(AQ387)-LEN(SUBSTITUTE(AQ387,".",""))=3,LEFT(AQ387,vitri(".",AQ387,3)-1),LEN(AQ387)-LEN(SUBSTITUTE(AQ387,".",""))=2,LEFT(AQ387,vitri(".",AQ387,2)-1),TRUE,LEFT(AQ387,vitri(".",AQ387,1)-1))</f>
        <v/>
      </c>
    </row>
    <row r="388" spans="13:54" x14ac:dyDescent="0.25">
      <c r="M388" s="379"/>
      <c r="BB388" s="206" t="str">
        <f t="array" ref="BB388">_xlfn.IFS(AQ388="","",LEN(AQ388)-LEN(SUBSTITUTE(AQ388,".",""))=3,LEFT(AQ388,vitri(".",AQ388,3)-1),LEN(AQ388)-LEN(SUBSTITUTE(AQ388,".",""))=2,LEFT(AQ388,vitri(".",AQ388,2)-1),TRUE,LEFT(AQ388,vitri(".",AQ388,1)-1))</f>
        <v/>
      </c>
    </row>
    <row r="389" spans="13:54" x14ac:dyDescent="0.25">
      <c r="M389" s="379"/>
      <c r="BB389" s="206" t="str">
        <f t="array" ref="BB389">_xlfn.IFS(AQ389="","",LEN(AQ389)-LEN(SUBSTITUTE(AQ389,".",""))=3,LEFT(AQ389,vitri(".",AQ389,3)-1),LEN(AQ389)-LEN(SUBSTITUTE(AQ389,".",""))=2,LEFT(AQ389,vitri(".",AQ389,2)-1),TRUE,LEFT(AQ389,vitri(".",AQ389,1)-1))</f>
        <v/>
      </c>
    </row>
    <row r="390" spans="13:54" x14ac:dyDescent="0.25">
      <c r="M390" s="379"/>
      <c r="BB390" s="206" t="str">
        <f t="array" ref="BB390">_xlfn.IFS(AQ390="","",LEN(AQ390)-LEN(SUBSTITUTE(AQ390,".",""))=3,LEFT(AQ390,vitri(".",AQ390,3)-1),LEN(AQ390)-LEN(SUBSTITUTE(AQ390,".",""))=2,LEFT(AQ390,vitri(".",AQ390,2)-1),TRUE,LEFT(AQ390,vitri(".",AQ390,1)-1))</f>
        <v/>
      </c>
    </row>
    <row r="391" spans="13:54" x14ac:dyDescent="0.25">
      <c r="M391" s="379"/>
      <c r="BB391" s="206" t="str">
        <f t="array" ref="BB391">_xlfn.IFS(AQ391="","",LEN(AQ391)-LEN(SUBSTITUTE(AQ391,".",""))=3,LEFT(AQ391,vitri(".",AQ391,3)-1),LEN(AQ391)-LEN(SUBSTITUTE(AQ391,".",""))=2,LEFT(AQ391,vitri(".",AQ391,2)-1),TRUE,LEFT(AQ391,vitri(".",AQ391,1)-1))</f>
        <v/>
      </c>
    </row>
    <row r="392" spans="13:54" x14ac:dyDescent="0.25">
      <c r="M392" s="379"/>
      <c r="BB392" s="206" t="str">
        <f t="array" ref="BB392">_xlfn.IFS(AQ392="","",LEN(AQ392)-LEN(SUBSTITUTE(AQ392,".",""))=3,LEFT(AQ392,vitri(".",AQ392,3)-1),LEN(AQ392)-LEN(SUBSTITUTE(AQ392,".",""))=2,LEFT(AQ392,vitri(".",AQ392,2)-1),TRUE,LEFT(AQ392,vitri(".",AQ392,1)-1))</f>
        <v/>
      </c>
    </row>
    <row r="393" spans="13:54" x14ac:dyDescent="0.25">
      <c r="M393" s="379"/>
      <c r="BB393" s="206" t="str">
        <f t="array" ref="BB393">_xlfn.IFS(AQ393="","",LEN(AQ393)-LEN(SUBSTITUTE(AQ393,".",""))=3,LEFT(AQ393,vitri(".",AQ393,3)-1),LEN(AQ393)-LEN(SUBSTITUTE(AQ393,".",""))=2,LEFT(AQ393,vitri(".",AQ393,2)-1),TRUE,LEFT(AQ393,vitri(".",AQ393,1)-1))</f>
        <v/>
      </c>
    </row>
    <row r="394" spans="13:54" x14ac:dyDescent="0.25">
      <c r="M394" s="379"/>
      <c r="BB394" s="206" t="str">
        <f t="array" ref="BB394">_xlfn.IFS(AQ394="","",LEN(AQ394)-LEN(SUBSTITUTE(AQ394,".",""))=3,LEFT(AQ394,vitri(".",AQ394,3)-1),LEN(AQ394)-LEN(SUBSTITUTE(AQ394,".",""))=2,LEFT(AQ394,vitri(".",AQ394,2)-1),TRUE,LEFT(AQ394,vitri(".",AQ394,1)-1))</f>
        <v/>
      </c>
    </row>
    <row r="395" spans="13:54" x14ac:dyDescent="0.25">
      <c r="M395" s="379"/>
      <c r="BB395" s="206" t="str">
        <f t="array" ref="BB395">_xlfn.IFS(AQ395="","",LEN(AQ395)-LEN(SUBSTITUTE(AQ395,".",""))=3,LEFT(AQ395,vitri(".",AQ395,3)-1),LEN(AQ395)-LEN(SUBSTITUTE(AQ395,".",""))=2,LEFT(AQ395,vitri(".",AQ395,2)-1),TRUE,LEFT(AQ395,vitri(".",AQ395,1)-1))</f>
        <v/>
      </c>
    </row>
    <row r="396" spans="13:54" x14ac:dyDescent="0.25">
      <c r="M396" s="379"/>
      <c r="BB396" s="206" t="str">
        <f t="array" ref="BB396">_xlfn.IFS(AQ396="","",LEN(AQ396)-LEN(SUBSTITUTE(AQ396,".",""))=3,LEFT(AQ396,vitri(".",AQ396,3)-1),LEN(AQ396)-LEN(SUBSTITUTE(AQ396,".",""))=2,LEFT(AQ396,vitri(".",AQ396,2)-1),TRUE,LEFT(AQ396,vitri(".",AQ396,1)-1))</f>
        <v/>
      </c>
    </row>
    <row r="397" spans="13:54" x14ac:dyDescent="0.25">
      <c r="M397" s="379"/>
      <c r="BB397" s="206" t="str">
        <f t="array" ref="BB397">_xlfn.IFS(AQ397="","",LEN(AQ397)-LEN(SUBSTITUTE(AQ397,".",""))=3,LEFT(AQ397,vitri(".",AQ397,3)-1),LEN(AQ397)-LEN(SUBSTITUTE(AQ397,".",""))=2,LEFT(AQ397,vitri(".",AQ397,2)-1),TRUE,LEFT(AQ397,vitri(".",AQ397,1)-1))</f>
        <v/>
      </c>
    </row>
    <row r="398" spans="13:54" x14ac:dyDescent="0.25">
      <c r="M398" s="379"/>
      <c r="BB398" s="206" t="str">
        <f t="array" ref="BB398">_xlfn.IFS(AQ398="","",LEN(AQ398)-LEN(SUBSTITUTE(AQ398,".",""))=3,LEFT(AQ398,vitri(".",AQ398,3)-1),LEN(AQ398)-LEN(SUBSTITUTE(AQ398,".",""))=2,LEFT(AQ398,vitri(".",AQ398,2)-1),TRUE,LEFT(AQ398,vitri(".",AQ398,1)-1))</f>
        <v/>
      </c>
    </row>
    <row r="399" spans="13:54" x14ac:dyDescent="0.25">
      <c r="M399" s="379"/>
      <c r="BB399" s="206" t="str">
        <f t="array" ref="BB399">_xlfn.IFS(AQ399="","",LEN(AQ399)-LEN(SUBSTITUTE(AQ399,".",""))=3,LEFT(AQ399,vitri(".",AQ399,3)-1),LEN(AQ399)-LEN(SUBSTITUTE(AQ399,".",""))=2,LEFT(AQ399,vitri(".",AQ399,2)-1),TRUE,LEFT(AQ399,vitri(".",AQ399,1)-1))</f>
        <v/>
      </c>
    </row>
    <row r="400" spans="13:54" x14ac:dyDescent="0.25">
      <c r="M400" s="379"/>
      <c r="BB400" s="206" t="str">
        <f t="array" ref="BB400">_xlfn.IFS(AQ400="","",LEN(AQ400)-LEN(SUBSTITUTE(AQ400,".",""))=3,LEFT(AQ400,vitri(".",AQ400,3)-1),LEN(AQ400)-LEN(SUBSTITUTE(AQ400,".",""))=2,LEFT(AQ400,vitri(".",AQ400,2)-1),TRUE,LEFT(AQ400,vitri(".",AQ400,1)-1))</f>
        <v/>
      </c>
    </row>
    <row r="401" spans="13:54" x14ac:dyDescent="0.25">
      <c r="M401" s="379"/>
      <c r="BB401" s="206" t="str">
        <f t="array" ref="BB401">_xlfn.IFS(AQ401="","",LEN(AQ401)-LEN(SUBSTITUTE(AQ401,".",""))=3,LEFT(AQ401,vitri(".",AQ401,3)-1),LEN(AQ401)-LEN(SUBSTITUTE(AQ401,".",""))=2,LEFT(AQ401,vitri(".",AQ401,2)-1),TRUE,LEFT(AQ401,vitri(".",AQ401,1)-1))</f>
        <v/>
      </c>
    </row>
    <row r="402" spans="13:54" x14ac:dyDescent="0.25">
      <c r="M402" s="379"/>
      <c r="BB402" s="206" t="str">
        <f t="array" ref="BB402">_xlfn.IFS(AQ402="","",LEN(AQ402)-LEN(SUBSTITUTE(AQ402,".",""))=3,LEFT(AQ402,vitri(".",AQ402,3)-1),LEN(AQ402)-LEN(SUBSTITUTE(AQ402,".",""))=2,LEFT(AQ402,vitri(".",AQ402,2)-1),TRUE,LEFT(AQ402,vitri(".",AQ402,1)-1))</f>
        <v/>
      </c>
    </row>
    <row r="403" spans="13:54" x14ac:dyDescent="0.25">
      <c r="M403" s="379"/>
      <c r="BB403" s="206" t="str">
        <f t="array" ref="BB403">_xlfn.IFS(AQ403="","",LEN(AQ403)-LEN(SUBSTITUTE(AQ403,".",""))=3,LEFT(AQ403,vitri(".",AQ403,3)-1),LEN(AQ403)-LEN(SUBSTITUTE(AQ403,".",""))=2,LEFT(AQ403,vitri(".",AQ403,2)-1),TRUE,LEFT(AQ403,vitri(".",AQ403,1)-1))</f>
        <v/>
      </c>
    </row>
    <row r="404" spans="13:54" x14ac:dyDescent="0.25">
      <c r="M404" s="379"/>
      <c r="BB404" s="206" t="str">
        <f t="array" ref="BB404">_xlfn.IFS(AQ404="","",LEN(AQ404)-LEN(SUBSTITUTE(AQ404,".",""))=3,LEFT(AQ404,vitri(".",AQ404,3)-1),LEN(AQ404)-LEN(SUBSTITUTE(AQ404,".",""))=2,LEFT(AQ404,vitri(".",AQ404,2)-1),TRUE,LEFT(AQ404,vitri(".",AQ404,1)-1))</f>
        <v/>
      </c>
    </row>
    <row r="405" spans="13:54" x14ac:dyDescent="0.25">
      <c r="M405" s="379"/>
      <c r="BB405" s="206" t="str">
        <f t="array" ref="BB405">_xlfn.IFS(AQ405="","",LEN(AQ405)-LEN(SUBSTITUTE(AQ405,".",""))=3,LEFT(AQ405,vitri(".",AQ405,3)-1),LEN(AQ405)-LEN(SUBSTITUTE(AQ405,".",""))=2,LEFT(AQ405,vitri(".",AQ405,2)-1),TRUE,LEFT(AQ405,vitri(".",AQ405,1)-1))</f>
        <v/>
      </c>
    </row>
    <row r="406" spans="13:54" x14ac:dyDescent="0.25">
      <c r="M406" s="379"/>
      <c r="BB406" s="206" t="str">
        <f t="array" ref="BB406">_xlfn.IFS(AQ406="","",LEN(AQ406)-LEN(SUBSTITUTE(AQ406,".",""))=3,LEFT(AQ406,vitri(".",AQ406,3)-1),LEN(AQ406)-LEN(SUBSTITUTE(AQ406,".",""))=2,LEFT(AQ406,vitri(".",AQ406,2)-1),TRUE,LEFT(AQ406,vitri(".",AQ406,1)-1))</f>
        <v/>
      </c>
    </row>
    <row r="407" spans="13:54" x14ac:dyDescent="0.25">
      <c r="M407" s="379"/>
      <c r="BB407" s="206" t="str">
        <f t="array" ref="BB407">_xlfn.IFS(AQ407="","",LEN(AQ407)-LEN(SUBSTITUTE(AQ407,".",""))=3,LEFT(AQ407,vitri(".",AQ407,3)-1),LEN(AQ407)-LEN(SUBSTITUTE(AQ407,".",""))=2,LEFT(AQ407,vitri(".",AQ407,2)-1),TRUE,LEFT(AQ407,vitri(".",AQ407,1)-1))</f>
        <v/>
      </c>
    </row>
    <row r="408" spans="13:54" x14ac:dyDescent="0.25">
      <c r="M408" s="379"/>
      <c r="BB408" s="206" t="str">
        <f t="array" ref="BB408">_xlfn.IFS(AQ408="","",LEN(AQ408)-LEN(SUBSTITUTE(AQ408,".",""))=3,LEFT(AQ408,vitri(".",AQ408,3)-1),LEN(AQ408)-LEN(SUBSTITUTE(AQ408,".",""))=2,LEFT(AQ408,vitri(".",AQ408,2)-1),TRUE,LEFT(AQ408,vitri(".",AQ408,1)-1))</f>
        <v/>
      </c>
    </row>
    <row r="409" spans="13:54" x14ac:dyDescent="0.25">
      <c r="M409" s="379"/>
      <c r="BB409" s="206" t="str">
        <f t="array" ref="BB409">_xlfn.IFS(AQ409="","",LEN(AQ409)-LEN(SUBSTITUTE(AQ409,".",""))=3,LEFT(AQ409,vitri(".",AQ409,3)-1),LEN(AQ409)-LEN(SUBSTITUTE(AQ409,".",""))=2,LEFT(AQ409,vitri(".",AQ409,2)-1),TRUE,LEFT(AQ409,vitri(".",AQ409,1)-1))</f>
        <v/>
      </c>
    </row>
    <row r="410" spans="13:54" x14ac:dyDescent="0.25">
      <c r="M410" s="379"/>
      <c r="BB410" s="206" t="str">
        <f t="array" ref="BB410">_xlfn.IFS(AQ410="","",LEN(AQ410)-LEN(SUBSTITUTE(AQ410,".",""))=3,LEFT(AQ410,vitri(".",AQ410,3)-1),LEN(AQ410)-LEN(SUBSTITUTE(AQ410,".",""))=2,LEFT(AQ410,vitri(".",AQ410,2)-1),TRUE,LEFT(AQ410,vitri(".",AQ410,1)-1))</f>
        <v/>
      </c>
    </row>
    <row r="411" spans="13:54" x14ac:dyDescent="0.25">
      <c r="M411" s="379"/>
      <c r="BB411" s="206" t="str">
        <f t="array" ref="BB411">_xlfn.IFS(AQ411="","",LEN(AQ411)-LEN(SUBSTITUTE(AQ411,".",""))=3,LEFT(AQ411,vitri(".",AQ411,3)-1),LEN(AQ411)-LEN(SUBSTITUTE(AQ411,".",""))=2,LEFT(AQ411,vitri(".",AQ411,2)-1),TRUE,LEFT(AQ411,vitri(".",AQ411,1)-1))</f>
        <v/>
      </c>
    </row>
    <row r="412" spans="13:54" x14ac:dyDescent="0.25">
      <c r="M412" s="379"/>
      <c r="BB412" s="206" t="str">
        <f t="array" ref="BB412">_xlfn.IFS(AQ412="","",LEN(AQ412)-LEN(SUBSTITUTE(AQ412,".",""))=3,LEFT(AQ412,vitri(".",AQ412,3)-1),LEN(AQ412)-LEN(SUBSTITUTE(AQ412,".",""))=2,LEFT(AQ412,vitri(".",AQ412,2)-1),TRUE,LEFT(AQ412,vitri(".",AQ412,1)-1))</f>
        <v/>
      </c>
    </row>
    <row r="413" spans="13:54" x14ac:dyDescent="0.25">
      <c r="M413" s="379"/>
      <c r="BB413" s="206" t="str">
        <f t="array" ref="BB413">_xlfn.IFS(AQ413="","",LEN(AQ413)-LEN(SUBSTITUTE(AQ413,".",""))=3,LEFT(AQ413,vitri(".",AQ413,3)-1),LEN(AQ413)-LEN(SUBSTITUTE(AQ413,".",""))=2,LEFT(AQ413,vitri(".",AQ413,2)-1),TRUE,LEFT(AQ413,vitri(".",AQ413,1)-1))</f>
        <v/>
      </c>
    </row>
    <row r="414" spans="13:54" x14ac:dyDescent="0.25">
      <c r="M414" s="379"/>
      <c r="BB414" s="206" t="str">
        <f t="array" ref="BB414">_xlfn.IFS(AQ414="","",LEN(AQ414)-LEN(SUBSTITUTE(AQ414,".",""))=3,LEFT(AQ414,vitri(".",AQ414,3)-1),LEN(AQ414)-LEN(SUBSTITUTE(AQ414,".",""))=2,LEFT(AQ414,vitri(".",AQ414,2)-1),TRUE,LEFT(AQ414,vitri(".",AQ414,1)-1))</f>
        <v/>
      </c>
    </row>
    <row r="415" spans="13:54" x14ac:dyDescent="0.25">
      <c r="M415" s="379"/>
      <c r="BB415" s="206" t="str">
        <f t="array" ref="BB415">_xlfn.IFS(AQ415="","",LEN(AQ415)-LEN(SUBSTITUTE(AQ415,".",""))=3,LEFT(AQ415,vitri(".",AQ415,3)-1),LEN(AQ415)-LEN(SUBSTITUTE(AQ415,".",""))=2,LEFT(AQ415,vitri(".",AQ415,2)-1),TRUE,LEFT(AQ415,vitri(".",AQ415,1)-1))</f>
        <v/>
      </c>
    </row>
    <row r="416" spans="13:54" x14ac:dyDescent="0.25">
      <c r="M416" s="379"/>
      <c r="BB416" s="206" t="str">
        <f t="array" ref="BB416">_xlfn.IFS(AQ416="","",LEN(AQ416)-LEN(SUBSTITUTE(AQ416,".",""))=3,LEFT(AQ416,vitri(".",AQ416,3)-1),LEN(AQ416)-LEN(SUBSTITUTE(AQ416,".",""))=2,LEFT(AQ416,vitri(".",AQ416,2)-1),TRUE,LEFT(AQ416,vitri(".",AQ416,1)-1))</f>
        <v/>
      </c>
    </row>
    <row r="417" spans="13:54" x14ac:dyDescent="0.25">
      <c r="M417" s="379"/>
      <c r="BB417" s="206" t="str">
        <f t="array" ref="BB417">_xlfn.IFS(AQ417="","",LEN(AQ417)-LEN(SUBSTITUTE(AQ417,".",""))=3,LEFT(AQ417,vitri(".",AQ417,3)-1),LEN(AQ417)-LEN(SUBSTITUTE(AQ417,".",""))=2,LEFT(AQ417,vitri(".",AQ417,2)-1),TRUE,LEFT(AQ417,vitri(".",AQ417,1)-1))</f>
        <v/>
      </c>
    </row>
    <row r="418" spans="13:54" x14ac:dyDescent="0.25">
      <c r="M418" s="379"/>
      <c r="BB418" s="206" t="str">
        <f t="array" ref="BB418">_xlfn.IFS(AQ418="","",LEN(AQ418)-LEN(SUBSTITUTE(AQ418,".",""))=3,LEFT(AQ418,vitri(".",AQ418,3)-1),LEN(AQ418)-LEN(SUBSTITUTE(AQ418,".",""))=2,LEFT(AQ418,vitri(".",AQ418,2)-1),TRUE,LEFT(AQ418,vitri(".",AQ418,1)-1))</f>
        <v/>
      </c>
    </row>
    <row r="419" spans="13:54" x14ac:dyDescent="0.25">
      <c r="M419" s="379"/>
      <c r="BB419" s="206" t="str">
        <f t="array" ref="BB419">_xlfn.IFS(AQ419="","",LEN(AQ419)-LEN(SUBSTITUTE(AQ419,".",""))=3,LEFT(AQ419,vitri(".",AQ419,3)-1),LEN(AQ419)-LEN(SUBSTITUTE(AQ419,".",""))=2,LEFT(AQ419,vitri(".",AQ419,2)-1),TRUE,LEFT(AQ419,vitri(".",AQ419,1)-1))</f>
        <v/>
      </c>
    </row>
    <row r="420" spans="13:54" x14ac:dyDescent="0.25">
      <c r="M420" s="379"/>
      <c r="BB420" s="206" t="str">
        <f t="array" ref="BB420">_xlfn.IFS(AQ420="","",LEN(AQ420)-LEN(SUBSTITUTE(AQ420,".",""))=3,LEFT(AQ420,vitri(".",AQ420,3)-1),LEN(AQ420)-LEN(SUBSTITUTE(AQ420,".",""))=2,LEFT(AQ420,vitri(".",AQ420,2)-1),TRUE,LEFT(AQ420,vitri(".",AQ420,1)-1))</f>
        <v/>
      </c>
    </row>
    <row r="421" spans="13:54" x14ac:dyDescent="0.25">
      <c r="M421" s="379"/>
      <c r="BB421" s="206" t="str">
        <f t="array" ref="BB421">_xlfn.IFS(AQ421="","",LEN(AQ421)-LEN(SUBSTITUTE(AQ421,".",""))=3,LEFT(AQ421,vitri(".",AQ421,3)-1),LEN(AQ421)-LEN(SUBSTITUTE(AQ421,".",""))=2,LEFT(AQ421,vitri(".",AQ421,2)-1),TRUE,LEFT(AQ421,vitri(".",AQ421,1)-1))</f>
        <v/>
      </c>
    </row>
    <row r="422" spans="13:54" x14ac:dyDescent="0.25">
      <c r="M422" s="379"/>
      <c r="BB422" s="206" t="str">
        <f t="array" ref="BB422">_xlfn.IFS(AQ422="","",LEN(AQ422)-LEN(SUBSTITUTE(AQ422,".",""))=3,LEFT(AQ422,vitri(".",AQ422,3)-1),LEN(AQ422)-LEN(SUBSTITUTE(AQ422,".",""))=2,LEFT(AQ422,vitri(".",AQ422,2)-1),TRUE,LEFT(AQ422,vitri(".",AQ422,1)-1))</f>
        <v/>
      </c>
    </row>
    <row r="423" spans="13:54" x14ac:dyDescent="0.25">
      <c r="M423" s="379"/>
      <c r="BB423" s="206" t="str">
        <f t="array" ref="BB423">_xlfn.IFS(AQ423="","",LEN(AQ423)-LEN(SUBSTITUTE(AQ423,".",""))=3,LEFT(AQ423,vitri(".",AQ423,3)-1),LEN(AQ423)-LEN(SUBSTITUTE(AQ423,".",""))=2,LEFT(AQ423,vitri(".",AQ423,2)-1),TRUE,LEFT(AQ423,vitri(".",AQ423,1)-1))</f>
        <v/>
      </c>
    </row>
    <row r="424" spans="13:54" x14ac:dyDescent="0.25">
      <c r="M424" s="379"/>
      <c r="BB424" s="206" t="str">
        <f t="array" ref="BB424">_xlfn.IFS(AQ424="","",LEN(AQ424)-LEN(SUBSTITUTE(AQ424,".",""))=3,LEFT(AQ424,vitri(".",AQ424,3)-1),LEN(AQ424)-LEN(SUBSTITUTE(AQ424,".",""))=2,LEFT(AQ424,vitri(".",AQ424,2)-1),TRUE,LEFT(AQ424,vitri(".",AQ424,1)-1))</f>
        <v/>
      </c>
    </row>
    <row r="425" spans="13:54" x14ac:dyDescent="0.25">
      <c r="M425" s="379"/>
      <c r="BB425" s="206" t="str">
        <f t="array" ref="BB425">_xlfn.IFS(AQ425="","",LEN(AQ425)-LEN(SUBSTITUTE(AQ425,".",""))=3,LEFT(AQ425,vitri(".",AQ425,3)-1),LEN(AQ425)-LEN(SUBSTITUTE(AQ425,".",""))=2,LEFT(AQ425,vitri(".",AQ425,2)-1),TRUE,LEFT(AQ425,vitri(".",AQ425,1)-1))</f>
        <v/>
      </c>
    </row>
    <row r="426" spans="13:54" x14ac:dyDescent="0.25">
      <c r="M426" s="379"/>
      <c r="BB426" s="206" t="str">
        <f t="array" ref="BB426">_xlfn.IFS(AQ426="","",LEN(AQ426)-LEN(SUBSTITUTE(AQ426,".",""))=3,LEFT(AQ426,vitri(".",AQ426,3)-1),LEN(AQ426)-LEN(SUBSTITUTE(AQ426,".",""))=2,LEFT(AQ426,vitri(".",AQ426,2)-1),TRUE,LEFT(AQ426,vitri(".",AQ426,1)-1))</f>
        <v/>
      </c>
    </row>
    <row r="427" spans="13:54" x14ac:dyDescent="0.25">
      <c r="M427" s="379"/>
      <c r="BB427" s="206" t="str">
        <f t="array" ref="BB427">_xlfn.IFS(AQ427="","",LEN(AQ427)-LEN(SUBSTITUTE(AQ427,".",""))=3,LEFT(AQ427,vitri(".",AQ427,3)-1),LEN(AQ427)-LEN(SUBSTITUTE(AQ427,".",""))=2,LEFT(AQ427,vitri(".",AQ427,2)-1),TRUE,LEFT(AQ427,vitri(".",AQ427,1)-1))</f>
        <v/>
      </c>
    </row>
    <row r="428" spans="13:54" x14ac:dyDescent="0.25">
      <c r="M428" s="379"/>
      <c r="BB428" s="206" t="str">
        <f t="array" ref="BB428">_xlfn.IFS(AQ428="","",LEN(AQ428)-LEN(SUBSTITUTE(AQ428,".",""))=3,LEFT(AQ428,vitri(".",AQ428,3)-1),LEN(AQ428)-LEN(SUBSTITUTE(AQ428,".",""))=2,LEFT(AQ428,vitri(".",AQ428,2)-1),TRUE,LEFT(AQ428,vitri(".",AQ428,1)-1))</f>
        <v/>
      </c>
    </row>
    <row r="429" spans="13:54" x14ac:dyDescent="0.25">
      <c r="M429" s="379"/>
      <c r="BB429" s="206" t="str">
        <f t="array" ref="BB429">_xlfn.IFS(AQ429="","",LEN(AQ429)-LEN(SUBSTITUTE(AQ429,".",""))=3,LEFT(AQ429,vitri(".",AQ429,3)-1),LEN(AQ429)-LEN(SUBSTITUTE(AQ429,".",""))=2,LEFT(AQ429,vitri(".",AQ429,2)-1),TRUE,LEFT(AQ429,vitri(".",AQ429,1)-1))</f>
        <v/>
      </c>
    </row>
    <row r="430" spans="13:54" x14ac:dyDescent="0.25">
      <c r="M430" s="379"/>
      <c r="BB430" s="206" t="str">
        <f t="array" ref="BB430">_xlfn.IFS(AQ430="","",LEN(AQ430)-LEN(SUBSTITUTE(AQ430,".",""))=3,LEFT(AQ430,vitri(".",AQ430,3)-1),LEN(AQ430)-LEN(SUBSTITUTE(AQ430,".",""))=2,LEFT(AQ430,vitri(".",AQ430,2)-1),TRUE,LEFT(AQ430,vitri(".",AQ430,1)-1))</f>
        <v/>
      </c>
    </row>
    <row r="431" spans="13:54" x14ac:dyDescent="0.25">
      <c r="M431" s="379"/>
      <c r="BB431" s="206" t="str">
        <f t="array" ref="BB431">_xlfn.IFS(AQ431="","",LEN(AQ431)-LEN(SUBSTITUTE(AQ431,".",""))=3,LEFT(AQ431,vitri(".",AQ431,3)-1),LEN(AQ431)-LEN(SUBSTITUTE(AQ431,".",""))=2,LEFT(AQ431,vitri(".",AQ431,2)-1),TRUE,LEFT(AQ431,vitri(".",AQ431,1)-1))</f>
        <v/>
      </c>
    </row>
    <row r="432" spans="13:54" x14ac:dyDescent="0.25">
      <c r="M432" s="379"/>
      <c r="BB432" s="206" t="str">
        <f t="array" ref="BB432">_xlfn.IFS(AQ432="","",LEN(AQ432)-LEN(SUBSTITUTE(AQ432,".",""))=3,LEFT(AQ432,vitri(".",AQ432,3)-1),LEN(AQ432)-LEN(SUBSTITUTE(AQ432,".",""))=2,LEFT(AQ432,vitri(".",AQ432,2)-1),TRUE,LEFT(AQ432,vitri(".",AQ432,1)-1))</f>
        <v/>
      </c>
    </row>
    <row r="433" spans="13:54" x14ac:dyDescent="0.25">
      <c r="M433" s="379"/>
      <c r="BB433" s="206" t="str">
        <f t="array" ref="BB433">_xlfn.IFS(AQ433="","",LEN(AQ433)-LEN(SUBSTITUTE(AQ433,".",""))=3,LEFT(AQ433,vitri(".",AQ433,3)-1),LEN(AQ433)-LEN(SUBSTITUTE(AQ433,".",""))=2,LEFT(AQ433,vitri(".",AQ433,2)-1),TRUE,LEFT(AQ433,vitri(".",AQ433,1)-1))</f>
        <v/>
      </c>
    </row>
    <row r="434" spans="13:54" x14ac:dyDescent="0.25">
      <c r="M434" s="379"/>
      <c r="BB434" s="206" t="str">
        <f t="array" ref="BB434">_xlfn.IFS(AQ434="","",LEN(AQ434)-LEN(SUBSTITUTE(AQ434,".",""))=3,LEFT(AQ434,vitri(".",AQ434,3)-1),LEN(AQ434)-LEN(SUBSTITUTE(AQ434,".",""))=2,LEFT(AQ434,vitri(".",AQ434,2)-1),TRUE,LEFT(AQ434,vitri(".",AQ434,1)-1))</f>
        <v/>
      </c>
    </row>
    <row r="435" spans="13:54" x14ac:dyDescent="0.25">
      <c r="M435" s="379"/>
      <c r="BB435" s="206" t="str">
        <f t="array" ref="BB435">_xlfn.IFS(AQ435="","",LEN(AQ435)-LEN(SUBSTITUTE(AQ435,".",""))=3,LEFT(AQ435,vitri(".",AQ435,3)-1),LEN(AQ435)-LEN(SUBSTITUTE(AQ435,".",""))=2,LEFT(AQ435,vitri(".",AQ435,2)-1),TRUE,LEFT(AQ435,vitri(".",AQ435,1)-1))</f>
        <v/>
      </c>
    </row>
    <row r="436" spans="13:54" x14ac:dyDescent="0.25">
      <c r="M436" s="379"/>
      <c r="BB436" s="206" t="str">
        <f t="array" ref="BB436">_xlfn.IFS(AQ436="","",LEN(AQ436)-LEN(SUBSTITUTE(AQ436,".",""))=3,LEFT(AQ436,vitri(".",AQ436,3)-1),LEN(AQ436)-LEN(SUBSTITUTE(AQ436,".",""))=2,LEFT(AQ436,vitri(".",AQ436,2)-1),TRUE,LEFT(AQ436,vitri(".",AQ436,1)-1))</f>
        <v/>
      </c>
    </row>
    <row r="437" spans="13:54" x14ac:dyDescent="0.25">
      <c r="M437" s="379"/>
      <c r="BB437" s="206" t="str">
        <f t="array" ref="BB437">_xlfn.IFS(AQ437="","",LEN(AQ437)-LEN(SUBSTITUTE(AQ437,".",""))=3,LEFT(AQ437,vitri(".",AQ437,3)-1),LEN(AQ437)-LEN(SUBSTITUTE(AQ437,".",""))=2,LEFT(AQ437,vitri(".",AQ437,2)-1),TRUE,LEFT(AQ437,vitri(".",AQ437,1)-1))</f>
        <v/>
      </c>
    </row>
    <row r="438" spans="13:54" x14ac:dyDescent="0.25">
      <c r="M438" s="379"/>
      <c r="BB438" s="206" t="str">
        <f t="array" ref="BB438">_xlfn.IFS(AQ438="","",LEN(AQ438)-LEN(SUBSTITUTE(AQ438,".",""))=3,LEFT(AQ438,vitri(".",AQ438,3)-1),LEN(AQ438)-LEN(SUBSTITUTE(AQ438,".",""))=2,LEFT(AQ438,vitri(".",AQ438,2)-1),TRUE,LEFT(AQ438,vitri(".",AQ438,1)-1))</f>
        <v/>
      </c>
    </row>
    <row r="439" spans="13:54" x14ac:dyDescent="0.25">
      <c r="M439" s="379"/>
      <c r="BB439" s="206" t="str">
        <f t="array" ref="BB439">_xlfn.IFS(AQ439="","",LEN(AQ439)-LEN(SUBSTITUTE(AQ439,".",""))=3,LEFT(AQ439,vitri(".",AQ439,3)-1),LEN(AQ439)-LEN(SUBSTITUTE(AQ439,".",""))=2,LEFT(AQ439,vitri(".",AQ439,2)-1),TRUE,LEFT(AQ439,vitri(".",AQ439,1)-1))</f>
        <v/>
      </c>
    </row>
    <row r="440" spans="13:54" x14ac:dyDescent="0.25">
      <c r="M440" s="379"/>
      <c r="BB440" s="206" t="str">
        <f t="array" ref="BB440">_xlfn.IFS(AQ440="","",LEN(AQ440)-LEN(SUBSTITUTE(AQ440,".",""))=3,LEFT(AQ440,vitri(".",AQ440,3)-1),LEN(AQ440)-LEN(SUBSTITUTE(AQ440,".",""))=2,LEFT(AQ440,vitri(".",AQ440,2)-1),TRUE,LEFT(AQ440,vitri(".",AQ440,1)-1))</f>
        <v/>
      </c>
    </row>
    <row r="441" spans="13:54" x14ac:dyDescent="0.25">
      <c r="M441" s="379"/>
      <c r="BB441" s="206" t="str">
        <f t="array" ref="BB441">_xlfn.IFS(AQ441="","",LEN(AQ441)-LEN(SUBSTITUTE(AQ441,".",""))=3,LEFT(AQ441,vitri(".",AQ441,3)-1),LEN(AQ441)-LEN(SUBSTITUTE(AQ441,".",""))=2,LEFT(AQ441,vitri(".",AQ441,2)-1),TRUE,LEFT(AQ441,vitri(".",AQ441,1)-1))</f>
        <v/>
      </c>
    </row>
    <row r="442" spans="13:54" x14ac:dyDescent="0.25">
      <c r="M442" s="379"/>
      <c r="BB442" s="206" t="str">
        <f t="array" ref="BB442">_xlfn.IFS(AQ442="","",LEN(AQ442)-LEN(SUBSTITUTE(AQ442,".",""))=3,LEFT(AQ442,vitri(".",AQ442,3)-1),LEN(AQ442)-LEN(SUBSTITUTE(AQ442,".",""))=2,LEFT(AQ442,vitri(".",AQ442,2)-1),TRUE,LEFT(AQ442,vitri(".",AQ442,1)-1))</f>
        <v/>
      </c>
    </row>
    <row r="443" spans="13:54" x14ac:dyDescent="0.25">
      <c r="M443" s="379"/>
      <c r="BB443" s="206" t="str">
        <f t="array" ref="BB443">_xlfn.IFS(AQ443="","",LEN(AQ443)-LEN(SUBSTITUTE(AQ443,".",""))=3,LEFT(AQ443,vitri(".",AQ443,3)-1),LEN(AQ443)-LEN(SUBSTITUTE(AQ443,".",""))=2,LEFT(AQ443,vitri(".",AQ443,2)-1),TRUE,LEFT(AQ443,vitri(".",AQ443,1)-1))</f>
        <v/>
      </c>
    </row>
    <row r="444" spans="13:54" x14ac:dyDescent="0.25">
      <c r="M444" s="379"/>
      <c r="BB444" s="206" t="str">
        <f t="array" ref="BB444">_xlfn.IFS(AQ444="","",LEN(AQ444)-LEN(SUBSTITUTE(AQ444,".",""))=3,LEFT(AQ444,vitri(".",AQ444,3)-1),LEN(AQ444)-LEN(SUBSTITUTE(AQ444,".",""))=2,LEFT(AQ444,vitri(".",AQ444,2)-1),TRUE,LEFT(AQ444,vitri(".",AQ444,1)-1))</f>
        <v/>
      </c>
    </row>
    <row r="445" spans="13:54" x14ac:dyDescent="0.25">
      <c r="M445" s="379"/>
      <c r="BB445" s="206" t="str">
        <f t="array" ref="BB445">_xlfn.IFS(AQ445="","",LEN(AQ445)-LEN(SUBSTITUTE(AQ445,".",""))=3,LEFT(AQ445,vitri(".",AQ445,3)-1),LEN(AQ445)-LEN(SUBSTITUTE(AQ445,".",""))=2,LEFT(AQ445,vitri(".",AQ445,2)-1),TRUE,LEFT(AQ445,vitri(".",AQ445,1)-1))</f>
        <v/>
      </c>
    </row>
    <row r="446" spans="13:54" x14ac:dyDescent="0.25">
      <c r="M446" s="379"/>
      <c r="BB446" s="206" t="str">
        <f t="array" ref="BB446">_xlfn.IFS(AQ446="","",LEN(AQ446)-LEN(SUBSTITUTE(AQ446,".",""))=3,LEFT(AQ446,vitri(".",AQ446,3)-1),LEN(AQ446)-LEN(SUBSTITUTE(AQ446,".",""))=2,LEFT(AQ446,vitri(".",AQ446,2)-1),TRUE,LEFT(AQ446,vitri(".",AQ446,1)-1))</f>
        <v/>
      </c>
    </row>
    <row r="447" spans="13:54" x14ac:dyDescent="0.25">
      <c r="M447" s="379"/>
      <c r="BB447" s="206" t="str">
        <f t="array" ref="BB447">_xlfn.IFS(AQ447="","",LEN(AQ447)-LEN(SUBSTITUTE(AQ447,".",""))=3,LEFT(AQ447,vitri(".",AQ447,3)-1),LEN(AQ447)-LEN(SUBSTITUTE(AQ447,".",""))=2,LEFT(AQ447,vitri(".",AQ447,2)-1),TRUE,LEFT(AQ447,vitri(".",AQ447,1)-1))</f>
        <v/>
      </c>
    </row>
    <row r="448" spans="13:54" x14ac:dyDescent="0.25">
      <c r="M448" s="379"/>
      <c r="BB448" s="206" t="str">
        <f t="array" ref="BB448">_xlfn.IFS(AQ448="","",LEN(AQ448)-LEN(SUBSTITUTE(AQ448,".",""))=3,LEFT(AQ448,vitri(".",AQ448,3)-1),LEN(AQ448)-LEN(SUBSTITUTE(AQ448,".",""))=2,LEFT(AQ448,vitri(".",AQ448,2)-1),TRUE,LEFT(AQ448,vitri(".",AQ448,1)-1))</f>
        <v/>
      </c>
    </row>
    <row r="449" spans="13:54" x14ac:dyDescent="0.25">
      <c r="M449" s="379"/>
      <c r="BB449" s="206" t="str">
        <f t="array" ref="BB449">_xlfn.IFS(AQ449="","",LEN(AQ449)-LEN(SUBSTITUTE(AQ449,".",""))=3,LEFT(AQ449,vitri(".",AQ449,3)-1),LEN(AQ449)-LEN(SUBSTITUTE(AQ449,".",""))=2,LEFT(AQ449,vitri(".",AQ449,2)-1),TRUE,LEFT(AQ449,vitri(".",AQ449,1)-1))</f>
        <v/>
      </c>
    </row>
    <row r="450" spans="13:54" x14ac:dyDescent="0.25">
      <c r="M450" s="379"/>
      <c r="BB450" s="206" t="str">
        <f t="array" ref="BB450">_xlfn.IFS(AQ450="","",LEN(AQ450)-LEN(SUBSTITUTE(AQ450,".",""))=3,LEFT(AQ450,vitri(".",AQ450,3)-1),LEN(AQ450)-LEN(SUBSTITUTE(AQ450,".",""))=2,LEFT(AQ450,vitri(".",AQ450,2)-1),TRUE,LEFT(AQ450,vitri(".",AQ450,1)-1))</f>
        <v/>
      </c>
    </row>
    <row r="451" spans="13:54" x14ac:dyDescent="0.25">
      <c r="M451" s="379"/>
      <c r="BB451" s="206" t="str">
        <f t="array" ref="BB451">_xlfn.IFS(AQ451="","",LEN(AQ451)-LEN(SUBSTITUTE(AQ451,".",""))=3,LEFT(AQ451,vitri(".",AQ451,3)-1),LEN(AQ451)-LEN(SUBSTITUTE(AQ451,".",""))=2,LEFT(AQ451,vitri(".",AQ451,2)-1),TRUE,LEFT(AQ451,vitri(".",AQ451,1)-1))</f>
        <v/>
      </c>
    </row>
    <row r="452" spans="13:54" x14ac:dyDescent="0.25">
      <c r="M452" s="379"/>
      <c r="BB452" s="206" t="str">
        <f t="array" ref="BB452">_xlfn.IFS(AQ452="","",LEN(AQ452)-LEN(SUBSTITUTE(AQ452,".",""))=3,LEFT(AQ452,vitri(".",AQ452,3)-1),LEN(AQ452)-LEN(SUBSTITUTE(AQ452,".",""))=2,LEFT(AQ452,vitri(".",AQ452,2)-1),TRUE,LEFT(AQ452,vitri(".",AQ452,1)-1))</f>
        <v/>
      </c>
    </row>
    <row r="453" spans="13:54" x14ac:dyDescent="0.25">
      <c r="M453" s="379"/>
      <c r="BB453" s="206" t="str">
        <f t="array" ref="BB453">_xlfn.IFS(AQ453="","",LEN(AQ453)-LEN(SUBSTITUTE(AQ453,".",""))=3,LEFT(AQ453,vitri(".",AQ453,3)-1),LEN(AQ453)-LEN(SUBSTITUTE(AQ453,".",""))=2,LEFT(AQ453,vitri(".",AQ453,2)-1),TRUE,LEFT(AQ453,vitri(".",AQ453,1)-1))</f>
        <v/>
      </c>
    </row>
    <row r="454" spans="13:54" x14ac:dyDescent="0.25">
      <c r="M454" s="379"/>
      <c r="BB454" s="206" t="str">
        <f t="array" ref="BB454">_xlfn.IFS(AQ454="","",LEN(AQ454)-LEN(SUBSTITUTE(AQ454,".",""))=3,LEFT(AQ454,vitri(".",AQ454,3)-1),LEN(AQ454)-LEN(SUBSTITUTE(AQ454,".",""))=2,LEFT(AQ454,vitri(".",AQ454,2)-1),TRUE,LEFT(AQ454,vitri(".",AQ454,1)-1))</f>
        <v/>
      </c>
    </row>
    <row r="455" spans="13:54" x14ac:dyDescent="0.25">
      <c r="M455" s="379"/>
      <c r="BB455" s="206" t="str">
        <f t="array" ref="BB455">_xlfn.IFS(AQ455="","",LEN(AQ455)-LEN(SUBSTITUTE(AQ455,".",""))=3,LEFT(AQ455,vitri(".",AQ455,3)-1),LEN(AQ455)-LEN(SUBSTITUTE(AQ455,".",""))=2,LEFT(AQ455,vitri(".",AQ455,2)-1),TRUE,LEFT(AQ455,vitri(".",AQ455,1)-1))</f>
        <v/>
      </c>
    </row>
    <row r="456" spans="13:54" x14ac:dyDescent="0.25">
      <c r="M456" s="379"/>
      <c r="BB456" s="206" t="str">
        <f t="array" ref="BB456">_xlfn.IFS(AQ456="","",LEN(AQ456)-LEN(SUBSTITUTE(AQ456,".",""))=3,LEFT(AQ456,vitri(".",AQ456,3)-1),LEN(AQ456)-LEN(SUBSTITUTE(AQ456,".",""))=2,LEFT(AQ456,vitri(".",AQ456,2)-1),TRUE,LEFT(AQ456,vitri(".",AQ456,1)-1))</f>
        <v/>
      </c>
    </row>
    <row r="457" spans="13:54" x14ac:dyDescent="0.25">
      <c r="M457" s="379"/>
      <c r="BB457" s="206" t="str">
        <f t="array" ref="BB457">_xlfn.IFS(AQ457="","",LEN(AQ457)-LEN(SUBSTITUTE(AQ457,".",""))=3,LEFT(AQ457,vitri(".",AQ457,3)-1),LEN(AQ457)-LEN(SUBSTITUTE(AQ457,".",""))=2,LEFT(AQ457,vitri(".",AQ457,2)-1),TRUE,LEFT(AQ457,vitri(".",AQ457,1)-1))</f>
        <v/>
      </c>
    </row>
    <row r="458" spans="13:54" x14ac:dyDescent="0.25">
      <c r="M458" s="379"/>
      <c r="BB458" s="206" t="str">
        <f t="array" ref="BB458">_xlfn.IFS(AQ458="","",LEN(AQ458)-LEN(SUBSTITUTE(AQ458,".",""))=3,LEFT(AQ458,vitri(".",AQ458,3)-1),LEN(AQ458)-LEN(SUBSTITUTE(AQ458,".",""))=2,LEFT(AQ458,vitri(".",AQ458,2)-1),TRUE,LEFT(AQ458,vitri(".",AQ458,1)-1))</f>
        <v/>
      </c>
    </row>
    <row r="459" spans="13:54" x14ac:dyDescent="0.25">
      <c r="M459" s="379"/>
      <c r="BB459" s="206" t="str">
        <f t="array" ref="BB459">_xlfn.IFS(AQ459="","",LEN(AQ459)-LEN(SUBSTITUTE(AQ459,".",""))=3,LEFT(AQ459,vitri(".",AQ459,3)-1),LEN(AQ459)-LEN(SUBSTITUTE(AQ459,".",""))=2,LEFT(AQ459,vitri(".",AQ459,2)-1),TRUE,LEFT(AQ459,vitri(".",AQ459,1)-1))</f>
        <v/>
      </c>
    </row>
    <row r="460" spans="13:54" x14ac:dyDescent="0.25">
      <c r="M460" s="379"/>
      <c r="BB460" s="206" t="str">
        <f t="array" ref="BB460">_xlfn.IFS(AQ460="","",LEN(AQ460)-LEN(SUBSTITUTE(AQ460,".",""))=3,LEFT(AQ460,vitri(".",AQ460,3)-1),LEN(AQ460)-LEN(SUBSTITUTE(AQ460,".",""))=2,LEFT(AQ460,vitri(".",AQ460,2)-1),TRUE,LEFT(AQ460,vitri(".",AQ460,1)-1))</f>
        <v/>
      </c>
    </row>
    <row r="461" spans="13:54" x14ac:dyDescent="0.25">
      <c r="M461" s="379"/>
      <c r="BB461" s="206" t="str">
        <f t="array" ref="BB461">_xlfn.IFS(AQ461="","",LEN(AQ461)-LEN(SUBSTITUTE(AQ461,".",""))=3,LEFT(AQ461,vitri(".",AQ461,3)-1),LEN(AQ461)-LEN(SUBSTITUTE(AQ461,".",""))=2,LEFT(AQ461,vitri(".",AQ461,2)-1),TRUE,LEFT(AQ461,vitri(".",AQ461,1)-1))</f>
        <v/>
      </c>
    </row>
    <row r="462" spans="13:54" x14ac:dyDescent="0.25">
      <c r="M462" s="379"/>
      <c r="BB462" s="206" t="str">
        <f t="array" ref="BB462">_xlfn.IFS(AQ462="","",LEN(AQ462)-LEN(SUBSTITUTE(AQ462,".",""))=3,LEFT(AQ462,vitri(".",AQ462,3)-1),LEN(AQ462)-LEN(SUBSTITUTE(AQ462,".",""))=2,LEFT(AQ462,vitri(".",AQ462,2)-1),TRUE,LEFT(AQ462,vitri(".",AQ462,1)-1))</f>
        <v/>
      </c>
    </row>
    <row r="463" spans="13:54" x14ac:dyDescent="0.25">
      <c r="M463" s="379"/>
      <c r="BB463" s="206" t="str">
        <f t="array" ref="BB463">_xlfn.IFS(AQ463="","",LEN(AQ463)-LEN(SUBSTITUTE(AQ463,".",""))=3,LEFT(AQ463,vitri(".",AQ463,3)-1),LEN(AQ463)-LEN(SUBSTITUTE(AQ463,".",""))=2,LEFT(AQ463,vitri(".",AQ463,2)-1),TRUE,LEFT(AQ463,vitri(".",AQ463,1)-1))</f>
        <v/>
      </c>
    </row>
    <row r="464" spans="13:54" x14ac:dyDescent="0.25">
      <c r="M464" s="379"/>
      <c r="BB464" s="206" t="str">
        <f t="array" ref="BB464">_xlfn.IFS(AQ464="","",LEN(AQ464)-LEN(SUBSTITUTE(AQ464,".",""))=3,LEFT(AQ464,vitri(".",AQ464,3)-1),LEN(AQ464)-LEN(SUBSTITUTE(AQ464,".",""))=2,LEFT(AQ464,vitri(".",AQ464,2)-1),TRUE,LEFT(AQ464,vitri(".",AQ464,1)-1))</f>
        <v/>
      </c>
    </row>
    <row r="465" spans="13:54" x14ac:dyDescent="0.25">
      <c r="M465" s="379"/>
      <c r="BB465" s="206" t="str">
        <f t="array" ref="BB465">_xlfn.IFS(AQ465="","",LEN(AQ465)-LEN(SUBSTITUTE(AQ465,".",""))=3,LEFT(AQ465,vitri(".",AQ465,3)-1),LEN(AQ465)-LEN(SUBSTITUTE(AQ465,".",""))=2,LEFT(AQ465,vitri(".",AQ465,2)-1),TRUE,LEFT(AQ465,vitri(".",AQ465,1)-1))</f>
        <v/>
      </c>
    </row>
    <row r="466" spans="13:54" x14ac:dyDescent="0.25">
      <c r="M466" s="379"/>
      <c r="BB466" s="206" t="str">
        <f t="array" ref="BB466">_xlfn.IFS(AQ466="","",LEN(AQ466)-LEN(SUBSTITUTE(AQ466,".",""))=3,LEFT(AQ466,vitri(".",AQ466,3)-1),LEN(AQ466)-LEN(SUBSTITUTE(AQ466,".",""))=2,LEFT(AQ466,vitri(".",AQ466,2)-1),TRUE,LEFT(AQ466,vitri(".",AQ466,1)-1))</f>
        <v/>
      </c>
    </row>
    <row r="467" spans="13:54" x14ac:dyDescent="0.25">
      <c r="M467" s="379"/>
      <c r="BB467" s="206" t="str">
        <f t="array" ref="BB467">_xlfn.IFS(AQ467="","",LEN(AQ467)-LEN(SUBSTITUTE(AQ467,".",""))=3,LEFT(AQ467,vitri(".",AQ467,3)-1),LEN(AQ467)-LEN(SUBSTITUTE(AQ467,".",""))=2,LEFT(AQ467,vitri(".",AQ467,2)-1),TRUE,LEFT(AQ467,vitri(".",AQ467,1)-1))</f>
        <v/>
      </c>
    </row>
    <row r="468" spans="13:54" x14ac:dyDescent="0.25">
      <c r="M468" s="379"/>
      <c r="BB468" s="206" t="str">
        <f t="array" ref="BB468">_xlfn.IFS(AQ468="","",LEN(AQ468)-LEN(SUBSTITUTE(AQ468,".",""))=3,LEFT(AQ468,vitri(".",AQ468,3)-1),LEN(AQ468)-LEN(SUBSTITUTE(AQ468,".",""))=2,LEFT(AQ468,vitri(".",AQ468,2)-1),TRUE,LEFT(AQ468,vitri(".",AQ468,1)-1))</f>
        <v/>
      </c>
    </row>
    <row r="469" spans="13:54" x14ac:dyDescent="0.25">
      <c r="M469" s="379"/>
      <c r="BB469" s="206" t="str">
        <f t="array" ref="BB469">_xlfn.IFS(AQ469="","",LEN(AQ469)-LEN(SUBSTITUTE(AQ469,".",""))=3,LEFT(AQ469,vitri(".",AQ469,3)-1),LEN(AQ469)-LEN(SUBSTITUTE(AQ469,".",""))=2,LEFT(AQ469,vitri(".",AQ469,2)-1),TRUE,LEFT(AQ469,vitri(".",AQ469,1)-1))</f>
        <v/>
      </c>
    </row>
    <row r="470" spans="13:54" x14ac:dyDescent="0.25">
      <c r="M470" s="379"/>
      <c r="BB470" s="206" t="str">
        <f t="array" ref="BB470">_xlfn.IFS(AQ470="","",LEN(AQ470)-LEN(SUBSTITUTE(AQ470,".",""))=3,LEFT(AQ470,vitri(".",AQ470,3)-1),LEN(AQ470)-LEN(SUBSTITUTE(AQ470,".",""))=2,LEFT(AQ470,vitri(".",AQ470,2)-1),TRUE,LEFT(AQ470,vitri(".",AQ470,1)-1))</f>
        <v/>
      </c>
    </row>
    <row r="471" spans="13:54" x14ac:dyDescent="0.25">
      <c r="M471" s="379"/>
      <c r="BB471" s="206" t="str">
        <f t="array" ref="BB471">_xlfn.IFS(AQ471="","",LEN(AQ471)-LEN(SUBSTITUTE(AQ471,".",""))=3,LEFT(AQ471,vitri(".",AQ471,3)-1),LEN(AQ471)-LEN(SUBSTITUTE(AQ471,".",""))=2,LEFT(AQ471,vitri(".",AQ471,2)-1),TRUE,LEFT(AQ471,vitri(".",AQ471,1)-1))</f>
        <v/>
      </c>
    </row>
    <row r="472" spans="13:54" x14ac:dyDescent="0.25">
      <c r="M472" s="379"/>
      <c r="BB472" s="206" t="str">
        <f t="array" ref="BB472">_xlfn.IFS(AQ472="","",LEN(AQ472)-LEN(SUBSTITUTE(AQ472,".",""))=3,LEFT(AQ472,vitri(".",AQ472,3)-1),LEN(AQ472)-LEN(SUBSTITUTE(AQ472,".",""))=2,LEFT(AQ472,vitri(".",AQ472,2)-1),TRUE,LEFT(AQ472,vitri(".",AQ472,1)-1))</f>
        <v/>
      </c>
    </row>
    <row r="473" spans="13:54" x14ac:dyDescent="0.25">
      <c r="M473" s="379"/>
      <c r="BB473" s="206" t="str">
        <f t="array" ref="BB473">_xlfn.IFS(AQ473="","",LEN(AQ473)-LEN(SUBSTITUTE(AQ473,".",""))=3,LEFT(AQ473,vitri(".",AQ473,3)-1),LEN(AQ473)-LEN(SUBSTITUTE(AQ473,".",""))=2,LEFT(AQ473,vitri(".",AQ473,2)-1),TRUE,LEFT(AQ473,vitri(".",AQ473,1)-1))</f>
        <v/>
      </c>
    </row>
    <row r="474" spans="13:54" x14ac:dyDescent="0.25">
      <c r="M474" s="379"/>
      <c r="BB474" s="206" t="str">
        <f t="array" ref="BB474">_xlfn.IFS(AQ474="","",LEN(AQ474)-LEN(SUBSTITUTE(AQ474,".",""))=3,LEFT(AQ474,vitri(".",AQ474,3)-1),LEN(AQ474)-LEN(SUBSTITUTE(AQ474,".",""))=2,LEFT(AQ474,vitri(".",AQ474,2)-1),TRUE,LEFT(AQ474,vitri(".",AQ474,1)-1))</f>
        <v/>
      </c>
    </row>
    <row r="475" spans="13:54" x14ac:dyDescent="0.25">
      <c r="M475" s="379"/>
      <c r="BB475" s="206" t="str">
        <f t="array" ref="BB475">_xlfn.IFS(AQ475="","",LEN(AQ475)-LEN(SUBSTITUTE(AQ475,".",""))=3,LEFT(AQ475,vitri(".",AQ475,3)-1),LEN(AQ475)-LEN(SUBSTITUTE(AQ475,".",""))=2,LEFT(AQ475,vitri(".",AQ475,2)-1),TRUE,LEFT(AQ475,vitri(".",AQ475,1)-1))</f>
        <v/>
      </c>
    </row>
    <row r="476" spans="13:54" x14ac:dyDescent="0.25">
      <c r="M476" s="379"/>
      <c r="BB476" s="206" t="str">
        <f t="array" ref="BB476">_xlfn.IFS(AQ476="","",LEN(AQ476)-LEN(SUBSTITUTE(AQ476,".",""))=3,LEFT(AQ476,vitri(".",AQ476,3)-1),LEN(AQ476)-LEN(SUBSTITUTE(AQ476,".",""))=2,LEFT(AQ476,vitri(".",AQ476,2)-1),TRUE,LEFT(AQ476,vitri(".",AQ476,1)-1))</f>
        <v/>
      </c>
    </row>
    <row r="477" spans="13:54" x14ac:dyDescent="0.25">
      <c r="M477" s="379"/>
      <c r="BB477" s="206" t="str">
        <f t="array" ref="BB477">_xlfn.IFS(AQ477="","",LEN(AQ477)-LEN(SUBSTITUTE(AQ477,".",""))=3,LEFT(AQ477,vitri(".",AQ477,3)-1),LEN(AQ477)-LEN(SUBSTITUTE(AQ477,".",""))=2,LEFT(AQ477,vitri(".",AQ477,2)-1),TRUE,LEFT(AQ477,vitri(".",AQ477,1)-1))</f>
        <v/>
      </c>
    </row>
    <row r="478" spans="13:54" x14ac:dyDescent="0.25">
      <c r="M478" s="379"/>
      <c r="BB478" s="206" t="str">
        <f t="array" ref="BB478">_xlfn.IFS(AQ478="","",LEN(AQ478)-LEN(SUBSTITUTE(AQ478,".",""))=3,LEFT(AQ478,vitri(".",AQ478,3)-1),LEN(AQ478)-LEN(SUBSTITUTE(AQ478,".",""))=2,LEFT(AQ478,vitri(".",AQ478,2)-1),TRUE,LEFT(AQ478,vitri(".",AQ478,1)-1))</f>
        <v/>
      </c>
    </row>
    <row r="479" spans="13:54" x14ac:dyDescent="0.25">
      <c r="M479" s="379"/>
      <c r="BB479" s="206" t="str">
        <f t="array" ref="BB479">_xlfn.IFS(AQ479="","",LEN(AQ479)-LEN(SUBSTITUTE(AQ479,".",""))=3,LEFT(AQ479,vitri(".",AQ479,3)-1),LEN(AQ479)-LEN(SUBSTITUTE(AQ479,".",""))=2,LEFT(AQ479,vitri(".",AQ479,2)-1),TRUE,LEFT(AQ479,vitri(".",AQ479,1)-1))</f>
        <v/>
      </c>
    </row>
    <row r="480" spans="13:54" x14ac:dyDescent="0.25">
      <c r="M480" s="379"/>
      <c r="BB480" s="206" t="str">
        <f t="array" ref="BB480">_xlfn.IFS(AQ480="","",LEN(AQ480)-LEN(SUBSTITUTE(AQ480,".",""))=3,LEFT(AQ480,vitri(".",AQ480,3)-1),LEN(AQ480)-LEN(SUBSTITUTE(AQ480,".",""))=2,LEFT(AQ480,vitri(".",AQ480,2)-1),TRUE,LEFT(AQ480,vitri(".",AQ480,1)-1))</f>
        <v/>
      </c>
    </row>
    <row r="481" spans="13:54" x14ac:dyDescent="0.25">
      <c r="M481" s="379"/>
      <c r="BB481" s="206" t="str">
        <f t="array" ref="BB481">_xlfn.IFS(AQ481="","",LEN(AQ481)-LEN(SUBSTITUTE(AQ481,".",""))=3,LEFT(AQ481,vitri(".",AQ481,3)-1),LEN(AQ481)-LEN(SUBSTITUTE(AQ481,".",""))=2,LEFT(AQ481,vitri(".",AQ481,2)-1),TRUE,LEFT(AQ481,vitri(".",AQ481,1)-1))</f>
        <v/>
      </c>
    </row>
    <row r="482" spans="13:54" x14ac:dyDescent="0.25">
      <c r="M482" s="379"/>
      <c r="BB482" s="206" t="str">
        <f t="array" ref="BB482">_xlfn.IFS(AQ482="","",LEN(AQ482)-LEN(SUBSTITUTE(AQ482,".",""))=3,LEFT(AQ482,vitri(".",AQ482,3)-1),LEN(AQ482)-LEN(SUBSTITUTE(AQ482,".",""))=2,LEFT(AQ482,vitri(".",AQ482,2)-1),TRUE,LEFT(AQ482,vitri(".",AQ482,1)-1))</f>
        <v/>
      </c>
    </row>
    <row r="483" spans="13:54" x14ac:dyDescent="0.25">
      <c r="M483" s="379"/>
      <c r="BB483" s="206" t="str">
        <f t="array" ref="BB483">_xlfn.IFS(AQ483="","",LEN(AQ483)-LEN(SUBSTITUTE(AQ483,".",""))=3,LEFT(AQ483,vitri(".",AQ483,3)-1),LEN(AQ483)-LEN(SUBSTITUTE(AQ483,".",""))=2,LEFT(AQ483,vitri(".",AQ483,2)-1),TRUE,LEFT(AQ483,vitri(".",AQ483,1)-1))</f>
        <v/>
      </c>
    </row>
    <row r="484" spans="13:54" x14ac:dyDescent="0.25">
      <c r="M484" s="379"/>
      <c r="BB484" s="206" t="str">
        <f t="array" ref="BB484">_xlfn.IFS(AQ484="","",LEN(AQ484)-LEN(SUBSTITUTE(AQ484,".",""))=3,LEFT(AQ484,vitri(".",AQ484,3)-1),LEN(AQ484)-LEN(SUBSTITUTE(AQ484,".",""))=2,LEFT(AQ484,vitri(".",AQ484,2)-1),TRUE,LEFT(AQ484,vitri(".",AQ484,1)-1))</f>
        <v/>
      </c>
    </row>
    <row r="485" spans="13:54" x14ac:dyDescent="0.25">
      <c r="M485" s="379"/>
      <c r="BB485" s="206" t="str">
        <f t="array" ref="BB485">_xlfn.IFS(AQ485="","",LEN(AQ485)-LEN(SUBSTITUTE(AQ485,".",""))=3,LEFT(AQ485,vitri(".",AQ485,3)-1),LEN(AQ485)-LEN(SUBSTITUTE(AQ485,".",""))=2,LEFT(AQ485,vitri(".",AQ485,2)-1),TRUE,LEFT(AQ485,vitri(".",AQ485,1)-1))</f>
        <v/>
      </c>
    </row>
    <row r="486" spans="13:54" x14ac:dyDescent="0.25">
      <c r="M486" s="379"/>
      <c r="BB486" s="206" t="str">
        <f t="array" ref="BB486">_xlfn.IFS(AQ486="","",LEN(AQ486)-LEN(SUBSTITUTE(AQ486,".",""))=3,LEFT(AQ486,vitri(".",AQ486,3)-1),LEN(AQ486)-LEN(SUBSTITUTE(AQ486,".",""))=2,LEFT(AQ486,vitri(".",AQ486,2)-1),TRUE,LEFT(AQ486,vitri(".",AQ486,1)-1))</f>
        <v/>
      </c>
    </row>
    <row r="487" spans="13:54" x14ac:dyDescent="0.25">
      <c r="M487" s="379"/>
      <c r="BB487" s="206" t="str">
        <f t="array" ref="BB487">_xlfn.IFS(AQ487="","",LEN(AQ487)-LEN(SUBSTITUTE(AQ487,".",""))=3,LEFT(AQ487,vitri(".",AQ487,3)-1),LEN(AQ487)-LEN(SUBSTITUTE(AQ487,".",""))=2,LEFT(AQ487,vitri(".",AQ487,2)-1),TRUE,LEFT(AQ487,vitri(".",AQ487,1)-1))</f>
        <v/>
      </c>
    </row>
    <row r="488" spans="13:54" x14ac:dyDescent="0.25">
      <c r="M488" s="379"/>
      <c r="BB488" s="206" t="str">
        <f t="array" ref="BB488">_xlfn.IFS(AQ488="","",LEN(AQ488)-LEN(SUBSTITUTE(AQ488,".",""))=3,LEFT(AQ488,vitri(".",AQ488,3)-1),LEN(AQ488)-LEN(SUBSTITUTE(AQ488,".",""))=2,LEFT(AQ488,vitri(".",AQ488,2)-1),TRUE,LEFT(AQ488,vitri(".",AQ488,1)-1))</f>
        <v/>
      </c>
    </row>
    <row r="489" spans="13:54" x14ac:dyDescent="0.25">
      <c r="M489" s="379"/>
      <c r="BB489" s="206" t="str">
        <f t="array" ref="BB489">_xlfn.IFS(AQ489="","",LEN(AQ489)-LEN(SUBSTITUTE(AQ489,".",""))=3,LEFT(AQ489,vitri(".",AQ489,3)-1),LEN(AQ489)-LEN(SUBSTITUTE(AQ489,".",""))=2,LEFT(AQ489,vitri(".",AQ489,2)-1),TRUE,LEFT(AQ489,vitri(".",AQ489,1)-1))</f>
        <v/>
      </c>
    </row>
    <row r="490" spans="13:54" x14ac:dyDescent="0.25">
      <c r="M490" s="379"/>
      <c r="BB490" s="206" t="str">
        <f t="array" ref="BB490">_xlfn.IFS(AQ490="","",LEN(AQ490)-LEN(SUBSTITUTE(AQ490,".",""))=3,LEFT(AQ490,vitri(".",AQ490,3)-1),LEN(AQ490)-LEN(SUBSTITUTE(AQ490,".",""))=2,LEFT(AQ490,vitri(".",AQ490,2)-1),TRUE,LEFT(AQ490,vitri(".",AQ490,1)-1))</f>
        <v/>
      </c>
    </row>
    <row r="491" spans="13:54" x14ac:dyDescent="0.25">
      <c r="M491" s="379"/>
      <c r="BB491" s="206" t="str">
        <f t="array" ref="BB491">_xlfn.IFS(AQ491="","",LEN(AQ491)-LEN(SUBSTITUTE(AQ491,".",""))=3,LEFT(AQ491,vitri(".",AQ491,3)-1),LEN(AQ491)-LEN(SUBSTITUTE(AQ491,".",""))=2,LEFT(AQ491,vitri(".",AQ491,2)-1),TRUE,LEFT(AQ491,vitri(".",AQ491,1)-1))</f>
        <v/>
      </c>
    </row>
    <row r="492" spans="13:54" x14ac:dyDescent="0.25">
      <c r="M492" s="379"/>
      <c r="BB492" s="206" t="str">
        <f t="array" ref="BB492">_xlfn.IFS(AQ492="","",LEN(AQ492)-LEN(SUBSTITUTE(AQ492,".",""))=3,LEFT(AQ492,vitri(".",AQ492,3)-1),LEN(AQ492)-LEN(SUBSTITUTE(AQ492,".",""))=2,LEFT(AQ492,vitri(".",AQ492,2)-1),TRUE,LEFT(AQ492,vitri(".",AQ492,1)-1))</f>
        <v/>
      </c>
    </row>
    <row r="493" spans="13:54" x14ac:dyDescent="0.25">
      <c r="M493" s="379"/>
      <c r="BB493" s="206" t="str">
        <f t="array" ref="BB493">_xlfn.IFS(AQ493="","",LEN(AQ493)-LEN(SUBSTITUTE(AQ493,".",""))=3,LEFT(AQ493,vitri(".",AQ493,3)-1),LEN(AQ493)-LEN(SUBSTITUTE(AQ493,".",""))=2,LEFT(AQ493,vitri(".",AQ493,2)-1),TRUE,LEFT(AQ493,vitri(".",AQ493,1)-1))</f>
        <v/>
      </c>
    </row>
    <row r="494" spans="13:54" x14ac:dyDescent="0.25">
      <c r="M494" s="379"/>
      <c r="BB494" s="206" t="str">
        <f t="array" ref="BB494">_xlfn.IFS(AQ494="","",LEN(AQ494)-LEN(SUBSTITUTE(AQ494,".",""))=3,LEFT(AQ494,vitri(".",AQ494,3)-1),LEN(AQ494)-LEN(SUBSTITUTE(AQ494,".",""))=2,LEFT(AQ494,vitri(".",AQ494,2)-1),TRUE,LEFT(AQ494,vitri(".",AQ494,1)-1))</f>
        <v/>
      </c>
    </row>
    <row r="495" spans="13:54" x14ac:dyDescent="0.25">
      <c r="M495" s="379"/>
      <c r="BB495" s="206" t="str">
        <f t="array" ref="BB495">_xlfn.IFS(AQ495="","",LEN(AQ495)-LEN(SUBSTITUTE(AQ495,".",""))=3,LEFT(AQ495,vitri(".",AQ495,3)-1),LEN(AQ495)-LEN(SUBSTITUTE(AQ495,".",""))=2,LEFT(AQ495,vitri(".",AQ495,2)-1),TRUE,LEFT(AQ495,vitri(".",AQ495,1)-1))</f>
        <v/>
      </c>
    </row>
    <row r="496" spans="13:54" x14ac:dyDescent="0.25">
      <c r="M496" s="379"/>
      <c r="BB496" s="206" t="str">
        <f t="array" ref="BB496">_xlfn.IFS(AQ496="","",LEN(AQ496)-LEN(SUBSTITUTE(AQ496,".",""))=3,LEFT(AQ496,vitri(".",AQ496,3)-1),LEN(AQ496)-LEN(SUBSTITUTE(AQ496,".",""))=2,LEFT(AQ496,vitri(".",AQ496,2)-1),TRUE,LEFT(AQ496,vitri(".",AQ496,1)-1))</f>
        <v/>
      </c>
    </row>
    <row r="497" spans="13:54" x14ac:dyDescent="0.25">
      <c r="M497" s="379"/>
      <c r="BB497" s="206" t="str">
        <f t="array" ref="BB497">_xlfn.IFS(AQ497="","",LEN(AQ497)-LEN(SUBSTITUTE(AQ497,".",""))=3,LEFT(AQ497,vitri(".",AQ497,3)-1),LEN(AQ497)-LEN(SUBSTITUTE(AQ497,".",""))=2,LEFT(AQ497,vitri(".",AQ497,2)-1),TRUE,LEFT(AQ497,vitri(".",AQ497,1)-1))</f>
        <v/>
      </c>
    </row>
    <row r="498" spans="13:54" x14ac:dyDescent="0.25">
      <c r="M498" s="379"/>
      <c r="BB498" s="206" t="str">
        <f t="array" ref="BB498">_xlfn.IFS(AQ498="","",LEN(AQ498)-LEN(SUBSTITUTE(AQ498,".",""))=3,LEFT(AQ498,vitri(".",AQ498,3)-1),LEN(AQ498)-LEN(SUBSTITUTE(AQ498,".",""))=2,LEFT(AQ498,vitri(".",AQ498,2)-1),TRUE,LEFT(AQ498,vitri(".",AQ498,1)-1))</f>
        <v/>
      </c>
    </row>
    <row r="499" spans="13:54" x14ac:dyDescent="0.25">
      <c r="M499" s="379"/>
      <c r="BB499" s="206" t="str">
        <f t="array" ref="BB499">_xlfn.IFS(AQ499="","",LEN(AQ499)-LEN(SUBSTITUTE(AQ499,".",""))=3,LEFT(AQ499,vitri(".",AQ499,3)-1),LEN(AQ499)-LEN(SUBSTITUTE(AQ499,".",""))=2,LEFT(AQ499,vitri(".",AQ499,2)-1),TRUE,LEFT(AQ499,vitri(".",AQ499,1)-1))</f>
        <v/>
      </c>
    </row>
    <row r="500" spans="13:54" x14ac:dyDescent="0.25">
      <c r="M500" s="379"/>
      <c r="BB500" s="206" t="str">
        <f t="array" ref="BB500">_xlfn.IFS(AQ500="","",LEN(AQ500)-LEN(SUBSTITUTE(AQ500,".",""))=3,LEFT(AQ500,vitri(".",AQ500,3)-1),LEN(AQ500)-LEN(SUBSTITUTE(AQ500,".",""))=2,LEFT(AQ500,vitri(".",AQ500,2)-1),TRUE,LEFT(AQ500,vitri(".",AQ500,1)-1))</f>
        <v/>
      </c>
    </row>
    <row r="501" spans="13:54" x14ac:dyDescent="0.25">
      <c r="M501" s="379"/>
      <c r="BB501" s="206" t="str">
        <f t="array" ref="BB501">_xlfn.IFS(AQ501="","",LEN(AQ501)-LEN(SUBSTITUTE(AQ501,".",""))=3,LEFT(AQ501,vitri(".",AQ501,3)-1),LEN(AQ501)-LEN(SUBSTITUTE(AQ501,".",""))=2,LEFT(AQ501,vitri(".",AQ501,2)-1),TRUE,LEFT(AQ501,vitri(".",AQ501,1)-1))</f>
        <v/>
      </c>
    </row>
    <row r="502" spans="13:54" x14ac:dyDescent="0.25">
      <c r="M502" s="379"/>
      <c r="BB502" s="206" t="str">
        <f t="array" ref="BB502">_xlfn.IFS(AQ502="","",LEN(AQ502)-LEN(SUBSTITUTE(AQ502,".",""))=3,LEFT(AQ502,vitri(".",AQ502,3)-1),LEN(AQ502)-LEN(SUBSTITUTE(AQ502,".",""))=2,LEFT(AQ502,vitri(".",AQ502,2)-1),TRUE,LEFT(AQ502,vitri(".",AQ502,1)-1))</f>
        <v/>
      </c>
    </row>
    <row r="503" spans="13:54" x14ac:dyDescent="0.25">
      <c r="M503" s="379"/>
      <c r="BB503" s="206" t="str">
        <f t="array" ref="BB503">_xlfn.IFS(AQ503="","",LEN(AQ503)-LEN(SUBSTITUTE(AQ503,".",""))=3,LEFT(AQ503,vitri(".",AQ503,3)-1),LEN(AQ503)-LEN(SUBSTITUTE(AQ503,".",""))=2,LEFT(AQ503,vitri(".",AQ503,2)-1),TRUE,LEFT(AQ503,vitri(".",AQ503,1)-1))</f>
        <v/>
      </c>
    </row>
    <row r="504" spans="13:54" x14ac:dyDescent="0.25">
      <c r="M504" s="379"/>
      <c r="BB504" s="206" t="str">
        <f t="array" ref="BB504">_xlfn.IFS(AQ504="","",LEN(AQ504)-LEN(SUBSTITUTE(AQ504,".",""))=3,LEFT(AQ504,vitri(".",AQ504,3)-1),LEN(AQ504)-LEN(SUBSTITUTE(AQ504,".",""))=2,LEFT(AQ504,vitri(".",AQ504,2)-1),TRUE,LEFT(AQ504,vitri(".",AQ504,1)-1))</f>
        <v/>
      </c>
    </row>
    <row r="505" spans="13:54" x14ac:dyDescent="0.25">
      <c r="M505" s="379"/>
      <c r="BB505" s="206" t="str">
        <f t="array" ref="BB505">_xlfn.IFS(AQ505="","",LEN(AQ505)-LEN(SUBSTITUTE(AQ505,".",""))=3,LEFT(AQ505,vitri(".",AQ505,3)-1),LEN(AQ505)-LEN(SUBSTITUTE(AQ505,".",""))=2,LEFT(AQ505,vitri(".",AQ505,2)-1),TRUE,LEFT(AQ505,vitri(".",AQ505,1)-1))</f>
        <v/>
      </c>
    </row>
    <row r="506" spans="13:54" x14ac:dyDescent="0.25">
      <c r="M506" s="379"/>
      <c r="BB506" s="206" t="str">
        <f t="array" ref="BB506">_xlfn.IFS(AQ506="","",LEN(AQ506)-LEN(SUBSTITUTE(AQ506,".",""))=3,LEFT(AQ506,vitri(".",AQ506,3)-1),LEN(AQ506)-LEN(SUBSTITUTE(AQ506,".",""))=2,LEFT(AQ506,vitri(".",AQ506,2)-1),TRUE,LEFT(AQ506,vitri(".",AQ506,1)-1))</f>
        <v/>
      </c>
    </row>
    <row r="507" spans="13:54" x14ac:dyDescent="0.25">
      <c r="M507" s="379"/>
      <c r="BB507" s="206" t="str">
        <f t="array" ref="BB507">_xlfn.IFS(AQ507="","",LEN(AQ507)-LEN(SUBSTITUTE(AQ507,".",""))=3,LEFT(AQ507,vitri(".",AQ507,3)-1),LEN(AQ507)-LEN(SUBSTITUTE(AQ507,".",""))=2,LEFT(AQ507,vitri(".",AQ507,2)-1),TRUE,LEFT(AQ507,vitri(".",AQ507,1)-1))</f>
        <v/>
      </c>
    </row>
    <row r="508" spans="13:54" x14ac:dyDescent="0.25">
      <c r="M508" s="379"/>
      <c r="BB508" s="206" t="str">
        <f t="array" ref="BB508">_xlfn.IFS(AQ508="","",LEN(AQ508)-LEN(SUBSTITUTE(AQ508,".",""))=3,LEFT(AQ508,vitri(".",AQ508,3)-1),LEN(AQ508)-LEN(SUBSTITUTE(AQ508,".",""))=2,LEFT(AQ508,vitri(".",AQ508,2)-1),TRUE,LEFT(AQ508,vitri(".",AQ508,1)-1))</f>
        <v/>
      </c>
    </row>
    <row r="509" spans="13:54" x14ac:dyDescent="0.25">
      <c r="M509" s="379"/>
      <c r="BB509" s="206" t="str">
        <f t="array" ref="BB509">_xlfn.IFS(AQ509="","",LEN(AQ509)-LEN(SUBSTITUTE(AQ509,".",""))=3,LEFT(AQ509,vitri(".",AQ509,3)-1),LEN(AQ509)-LEN(SUBSTITUTE(AQ509,".",""))=2,LEFT(AQ509,vitri(".",AQ509,2)-1),TRUE,LEFT(AQ509,vitri(".",AQ509,1)-1))</f>
        <v/>
      </c>
    </row>
    <row r="510" spans="13:54" x14ac:dyDescent="0.25">
      <c r="M510" s="379"/>
      <c r="BB510" s="206" t="str">
        <f t="array" ref="BB510">_xlfn.IFS(AQ510="","",LEN(AQ510)-LEN(SUBSTITUTE(AQ510,".",""))=3,LEFT(AQ510,vitri(".",AQ510,3)-1),LEN(AQ510)-LEN(SUBSTITUTE(AQ510,".",""))=2,LEFT(AQ510,vitri(".",AQ510,2)-1),TRUE,LEFT(AQ510,vitri(".",AQ510,1)-1))</f>
        <v/>
      </c>
    </row>
    <row r="511" spans="13:54" x14ac:dyDescent="0.25">
      <c r="M511" s="379"/>
      <c r="BB511" s="206" t="str">
        <f t="array" ref="BB511">_xlfn.IFS(AQ511="","",LEN(AQ511)-LEN(SUBSTITUTE(AQ511,".",""))=3,LEFT(AQ511,vitri(".",AQ511,3)-1),LEN(AQ511)-LEN(SUBSTITUTE(AQ511,".",""))=2,LEFT(AQ511,vitri(".",AQ511,2)-1),TRUE,LEFT(AQ511,vitri(".",AQ511,1)-1))</f>
        <v/>
      </c>
    </row>
    <row r="512" spans="13:54" x14ac:dyDescent="0.25">
      <c r="M512" s="379"/>
      <c r="BB512" s="206" t="str">
        <f t="array" ref="BB512">_xlfn.IFS(AQ512="","",LEN(AQ512)-LEN(SUBSTITUTE(AQ512,".",""))=3,LEFT(AQ512,vitri(".",AQ512,3)-1),LEN(AQ512)-LEN(SUBSTITUTE(AQ512,".",""))=2,LEFT(AQ512,vitri(".",AQ512,2)-1),TRUE,LEFT(AQ512,vitri(".",AQ512,1)-1))</f>
        <v/>
      </c>
    </row>
    <row r="513" spans="13:54" x14ac:dyDescent="0.25">
      <c r="M513" s="379"/>
      <c r="BB513" s="206" t="str">
        <f t="array" ref="BB513">_xlfn.IFS(AQ513="","",LEN(AQ513)-LEN(SUBSTITUTE(AQ513,".",""))=3,LEFT(AQ513,vitri(".",AQ513,3)-1),LEN(AQ513)-LEN(SUBSTITUTE(AQ513,".",""))=2,LEFT(AQ513,vitri(".",AQ513,2)-1),TRUE,LEFT(AQ513,vitri(".",AQ513,1)-1))</f>
        <v/>
      </c>
    </row>
    <row r="514" spans="13:54" x14ac:dyDescent="0.25">
      <c r="M514" s="379"/>
      <c r="BB514" s="206" t="str">
        <f t="array" ref="BB514">_xlfn.IFS(AQ514="","",LEN(AQ514)-LEN(SUBSTITUTE(AQ514,".",""))=3,LEFT(AQ514,vitri(".",AQ514,3)-1),LEN(AQ514)-LEN(SUBSTITUTE(AQ514,".",""))=2,LEFT(AQ514,vitri(".",AQ514,2)-1),TRUE,LEFT(AQ514,vitri(".",AQ514,1)-1))</f>
        <v/>
      </c>
    </row>
    <row r="515" spans="13:54" x14ac:dyDescent="0.25">
      <c r="M515" s="379"/>
      <c r="BB515" s="206" t="str">
        <f t="array" ref="BB515">_xlfn.IFS(AQ515="","",LEN(AQ515)-LEN(SUBSTITUTE(AQ515,".",""))=3,LEFT(AQ515,vitri(".",AQ515,3)-1),LEN(AQ515)-LEN(SUBSTITUTE(AQ515,".",""))=2,LEFT(AQ515,vitri(".",AQ515,2)-1),TRUE,LEFT(AQ515,vitri(".",AQ515,1)-1))</f>
        <v/>
      </c>
    </row>
    <row r="516" spans="13:54" x14ac:dyDescent="0.25">
      <c r="M516" s="379"/>
      <c r="BB516" s="206" t="str">
        <f t="array" ref="BB516">_xlfn.IFS(AQ516="","",LEN(AQ516)-LEN(SUBSTITUTE(AQ516,".",""))=3,LEFT(AQ516,vitri(".",AQ516,3)-1),LEN(AQ516)-LEN(SUBSTITUTE(AQ516,".",""))=2,LEFT(AQ516,vitri(".",AQ516,2)-1),TRUE,LEFT(AQ516,vitri(".",AQ516,1)-1))</f>
        <v/>
      </c>
    </row>
    <row r="517" spans="13:54" x14ac:dyDescent="0.25">
      <c r="M517" s="379"/>
      <c r="BB517" s="206" t="str">
        <f t="array" ref="BB517">_xlfn.IFS(AQ517="","",LEN(AQ517)-LEN(SUBSTITUTE(AQ517,".",""))=3,LEFT(AQ517,vitri(".",AQ517,3)-1),LEN(AQ517)-LEN(SUBSTITUTE(AQ517,".",""))=2,LEFT(AQ517,vitri(".",AQ517,2)-1),TRUE,LEFT(AQ517,vitri(".",AQ517,1)-1))</f>
        <v/>
      </c>
    </row>
    <row r="518" spans="13:54" x14ac:dyDescent="0.25">
      <c r="M518" s="379"/>
      <c r="BB518" s="206" t="str">
        <f t="array" ref="BB518">_xlfn.IFS(AQ518="","",LEN(AQ518)-LEN(SUBSTITUTE(AQ518,".",""))=3,LEFT(AQ518,vitri(".",AQ518,3)-1),LEN(AQ518)-LEN(SUBSTITUTE(AQ518,".",""))=2,LEFT(AQ518,vitri(".",AQ518,2)-1),TRUE,LEFT(AQ518,vitri(".",AQ518,1)-1))</f>
        <v/>
      </c>
    </row>
    <row r="519" spans="13:54" x14ac:dyDescent="0.25">
      <c r="M519" s="379"/>
      <c r="BB519" s="206" t="str">
        <f t="array" ref="BB519">_xlfn.IFS(AQ519="","",LEN(AQ519)-LEN(SUBSTITUTE(AQ519,".",""))=3,LEFT(AQ519,vitri(".",AQ519,3)-1),LEN(AQ519)-LEN(SUBSTITUTE(AQ519,".",""))=2,LEFT(AQ519,vitri(".",AQ519,2)-1),TRUE,LEFT(AQ519,vitri(".",AQ519,1)-1))</f>
        <v/>
      </c>
    </row>
    <row r="520" spans="13:54" x14ac:dyDescent="0.25">
      <c r="M520" s="379"/>
      <c r="BB520" s="206" t="str">
        <f t="array" ref="BB520">_xlfn.IFS(AQ520="","",LEN(AQ520)-LEN(SUBSTITUTE(AQ520,".",""))=3,LEFT(AQ520,vitri(".",AQ520,3)-1),LEN(AQ520)-LEN(SUBSTITUTE(AQ520,".",""))=2,LEFT(AQ520,vitri(".",AQ520,2)-1),TRUE,LEFT(AQ520,vitri(".",AQ520,1)-1))</f>
        <v/>
      </c>
    </row>
    <row r="521" spans="13:54" x14ac:dyDescent="0.25">
      <c r="M521" s="379"/>
      <c r="BB521" s="206" t="str">
        <f t="array" ref="BB521">_xlfn.IFS(AQ521="","",LEN(AQ521)-LEN(SUBSTITUTE(AQ521,".",""))=3,LEFT(AQ521,vitri(".",AQ521,3)-1),LEN(AQ521)-LEN(SUBSTITUTE(AQ521,".",""))=2,LEFT(AQ521,vitri(".",AQ521,2)-1),TRUE,LEFT(AQ521,vitri(".",AQ521,1)-1))</f>
        <v/>
      </c>
    </row>
    <row r="522" spans="13:54" x14ac:dyDescent="0.25">
      <c r="M522" s="379"/>
      <c r="BB522" s="206" t="str">
        <f t="array" ref="BB522">_xlfn.IFS(AQ522="","",LEN(AQ522)-LEN(SUBSTITUTE(AQ522,".",""))=3,LEFT(AQ522,vitri(".",AQ522,3)-1),LEN(AQ522)-LEN(SUBSTITUTE(AQ522,".",""))=2,LEFT(AQ522,vitri(".",AQ522,2)-1),TRUE,LEFT(AQ522,vitri(".",AQ522,1)-1))</f>
        <v/>
      </c>
    </row>
    <row r="523" spans="13:54" x14ac:dyDescent="0.25">
      <c r="M523" s="379"/>
      <c r="BB523" s="206" t="str">
        <f t="array" ref="BB523">_xlfn.IFS(AQ523="","",LEN(AQ523)-LEN(SUBSTITUTE(AQ523,".",""))=3,LEFT(AQ523,vitri(".",AQ523,3)-1),LEN(AQ523)-LEN(SUBSTITUTE(AQ523,".",""))=2,LEFT(AQ523,vitri(".",AQ523,2)-1),TRUE,LEFT(AQ523,vitri(".",AQ523,1)-1))</f>
        <v/>
      </c>
    </row>
    <row r="524" spans="13:54" x14ac:dyDescent="0.25">
      <c r="M524" s="379"/>
      <c r="BB524" s="206" t="str">
        <f t="array" ref="BB524">_xlfn.IFS(AQ524="","",LEN(AQ524)-LEN(SUBSTITUTE(AQ524,".",""))=3,LEFT(AQ524,vitri(".",AQ524,3)-1),LEN(AQ524)-LEN(SUBSTITUTE(AQ524,".",""))=2,LEFT(AQ524,vitri(".",AQ524,2)-1),TRUE,LEFT(AQ524,vitri(".",AQ524,1)-1))</f>
        <v/>
      </c>
    </row>
    <row r="525" spans="13:54" x14ac:dyDescent="0.25">
      <c r="M525" s="379"/>
      <c r="BB525" s="206" t="str">
        <f t="array" ref="BB525">_xlfn.IFS(AQ525="","",LEN(AQ525)-LEN(SUBSTITUTE(AQ525,".",""))=3,LEFT(AQ525,vitri(".",AQ525,3)-1),LEN(AQ525)-LEN(SUBSTITUTE(AQ525,".",""))=2,LEFT(AQ525,vitri(".",AQ525,2)-1),TRUE,LEFT(AQ525,vitri(".",AQ525,1)-1))</f>
        <v/>
      </c>
    </row>
    <row r="526" spans="13:54" x14ac:dyDescent="0.25">
      <c r="M526" s="379"/>
      <c r="BB526" s="206" t="str">
        <f t="array" ref="BB526">_xlfn.IFS(AQ526="","",LEN(AQ526)-LEN(SUBSTITUTE(AQ526,".",""))=3,LEFT(AQ526,vitri(".",AQ526,3)-1),LEN(AQ526)-LEN(SUBSTITUTE(AQ526,".",""))=2,LEFT(AQ526,vitri(".",AQ526,2)-1),TRUE,LEFT(AQ526,vitri(".",AQ526,1)-1))</f>
        <v/>
      </c>
    </row>
    <row r="527" spans="13:54" x14ac:dyDescent="0.25">
      <c r="M527" s="379"/>
      <c r="BB527" s="206" t="str">
        <f t="array" ref="BB527">_xlfn.IFS(AQ527="","",LEN(AQ527)-LEN(SUBSTITUTE(AQ527,".",""))=3,LEFT(AQ527,vitri(".",AQ527,3)-1),LEN(AQ527)-LEN(SUBSTITUTE(AQ527,".",""))=2,LEFT(AQ527,vitri(".",AQ527,2)-1),TRUE,LEFT(AQ527,vitri(".",AQ527,1)-1))</f>
        <v/>
      </c>
    </row>
    <row r="528" spans="13:54" x14ac:dyDescent="0.25">
      <c r="M528" s="379"/>
      <c r="BB528" s="206" t="str">
        <f t="array" ref="BB528">_xlfn.IFS(AQ528="","",LEN(AQ528)-LEN(SUBSTITUTE(AQ528,".",""))=3,LEFT(AQ528,vitri(".",AQ528,3)-1),LEN(AQ528)-LEN(SUBSTITUTE(AQ528,".",""))=2,LEFT(AQ528,vitri(".",AQ528,2)-1),TRUE,LEFT(AQ528,vitri(".",AQ528,1)-1))</f>
        <v/>
      </c>
    </row>
    <row r="529" spans="13:54" x14ac:dyDescent="0.25">
      <c r="M529" s="379"/>
      <c r="BB529" s="206" t="str">
        <f t="array" ref="BB529">_xlfn.IFS(AQ529="","",LEN(AQ529)-LEN(SUBSTITUTE(AQ529,".",""))=3,LEFT(AQ529,vitri(".",AQ529,3)-1),LEN(AQ529)-LEN(SUBSTITUTE(AQ529,".",""))=2,LEFT(AQ529,vitri(".",AQ529,2)-1),TRUE,LEFT(AQ529,vitri(".",AQ529,1)-1))</f>
        <v/>
      </c>
    </row>
    <row r="530" spans="13:54" x14ac:dyDescent="0.25">
      <c r="M530" s="379"/>
      <c r="BB530" s="206" t="str">
        <f t="array" ref="BB530">_xlfn.IFS(AQ530="","",LEN(AQ530)-LEN(SUBSTITUTE(AQ530,".",""))=3,LEFT(AQ530,vitri(".",AQ530,3)-1),LEN(AQ530)-LEN(SUBSTITUTE(AQ530,".",""))=2,LEFT(AQ530,vitri(".",AQ530,2)-1),TRUE,LEFT(AQ530,vitri(".",AQ530,1)-1))</f>
        <v/>
      </c>
    </row>
    <row r="531" spans="13:54" x14ac:dyDescent="0.25">
      <c r="M531" s="379"/>
      <c r="BB531" s="206" t="str">
        <f t="array" ref="BB531">_xlfn.IFS(AQ531="","",LEN(AQ531)-LEN(SUBSTITUTE(AQ531,".",""))=3,LEFT(AQ531,vitri(".",AQ531,3)-1),LEN(AQ531)-LEN(SUBSTITUTE(AQ531,".",""))=2,LEFT(AQ531,vitri(".",AQ531,2)-1),TRUE,LEFT(AQ531,vitri(".",AQ531,1)-1))</f>
        <v/>
      </c>
    </row>
    <row r="532" spans="13:54" x14ac:dyDescent="0.25">
      <c r="M532" s="379"/>
      <c r="BB532" s="206" t="str">
        <f t="array" ref="BB532">_xlfn.IFS(AQ532="","",LEN(AQ532)-LEN(SUBSTITUTE(AQ532,".",""))=3,LEFT(AQ532,vitri(".",AQ532,3)-1),LEN(AQ532)-LEN(SUBSTITUTE(AQ532,".",""))=2,LEFT(AQ532,vitri(".",AQ532,2)-1),TRUE,LEFT(AQ532,vitri(".",AQ532,1)-1))</f>
        <v/>
      </c>
    </row>
    <row r="533" spans="13:54" x14ac:dyDescent="0.25">
      <c r="M533" s="379"/>
      <c r="BB533" s="206" t="str">
        <f t="array" ref="BB533">_xlfn.IFS(AQ533="","",LEN(AQ533)-LEN(SUBSTITUTE(AQ533,".",""))=3,LEFT(AQ533,vitri(".",AQ533,3)-1),LEN(AQ533)-LEN(SUBSTITUTE(AQ533,".",""))=2,LEFT(AQ533,vitri(".",AQ533,2)-1),TRUE,LEFT(AQ533,vitri(".",AQ533,1)-1))</f>
        <v/>
      </c>
    </row>
    <row r="534" spans="13:54" x14ac:dyDescent="0.25">
      <c r="M534" s="379"/>
      <c r="BB534" s="206" t="str">
        <f t="array" ref="BB534">_xlfn.IFS(AQ534="","",LEN(AQ534)-LEN(SUBSTITUTE(AQ534,".",""))=3,LEFT(AQ534,vitri(".",AQ534,3)-1),LEN(AQ534)-LEN(SUBSTITUTE(AQ534,".",""))=2,LEFT(AQ534,vitri(".",AQ534,2)-1),TRUE,LEFT(AQ534,vitri(".",AQ534,1)-1))</f>
        <v/>
      </c>
    </row>
    <row r="535" spans="13:54" x14ac:dyDescent="0.25">
      <c r="M535" s="379"/>
      <c r="BB535" s="206" t="str">
        <f t="array" ref="BB535">_xlfn.IFS(AQ535="","",LEN(AQ535)-LEN(SUBSTITUTE(AQ535,".",""))=3,LEFT(AQ535,vitri(".",AQ535,3)-1),LEN(AQ535)-LEN(SUBSTITUTE(AQ535,".",""))=2,LEFT(AQ535,vitri(".",AQ535,2)-1),TRUE,LEFT(AQ535,vitri(".",AQ535,1)-1))</f>
        <v/>
      </c>
    </row>
    <row r="536" spans="13:54" x14ac:dyDescent="0.25">
      <c r="M536" s="379"/>
      <c r="BB536" s="206" t="str">
        <f t="array" ref="BB536">_xlfn.IFS(AQ536="","",LEN(AQ536)-LEN(SUBSTITUTE(AQ536,".",""))=3,LEFT(AQ536,vitri(".",AQ536,3)-1),LEN(AQ536)-LEN(SUBSTITUTE(AQ536,".",""))=2,LEFT(AQ536,vitri(".",AQ536,2)-1),TRUE,LEFT(AQ536,vitri(".",AQ536,1)-1))</f>
        <v/>
      </c>
    </row>
    <row r="537" spans="13:54" x14ac:dyDescent="0.25">
      <c r="M537" s="379"/>
      <c r="BB537" s="206" t="str">
        <f t="array" ref="BB537">_xlfn.IFS(AQ537="","",LEN(AQ537)-LEN(SUBSTITUTE(AQ537,".",""))=3,LEFT(AQ537,vitri(".",AQ537,3)-1),LEN(AQ537)-LEN(SUBSTITUTE(AQ537,".",""))=2,LEFT(AQ537,vitri(".",AQ537,2)-1),TRUE,LEFT(AQ537,vitri(".",AQ537,1)-1))</f>
        <v/>
      </c>
    </row>
    <row r="538" spans="13:54" x14ac:dyDescent="0.25">
      <c r="M538" s="379"/>
      <c r="BB538" s="206" t="str">
        <f t="array" ref="BB538">_xlfn.IFS(AQ538="","",LEN(AQ538)-LEN(SUBSTITUTE(AQ538,".",""))=3,LEFT(AQ538,vitri(".",AQ538,3)-1),LEN(AQ538)-LEN(SUBSTITUTE(AQ538,".",""))=2,LEFT(AQ538,vitri(".",AQ538,2)-1),TRUE,LEFT(AQ538,vitri(".",AQ538,1)-1))</f>
        <v/>
      </c>
    </row>
    <row r="539" spans="13:54" x14ac:dyDescent="0.25">
      <c r="M539" s="379"/>
      <c r="BB539" s="206" t="str">
        <f t="array" ref="BB539">_xlfn.IFS(AQ539="","",LEN(AQ539)-LEN(SUBSTITUTE(AQ539,".",""))=3,LEFT(AQ539,vitri(".",AQ539,3)-1),LEN(AQ539)-LEN(SUBSTITUTE(AQ539,".",""))=2,LEFT(AQ539,vitri(".",AQ539,2)-1),TRUE,LEFT(AQ539,vitri(".",AQ539,1)-1))</f>
        <v/>
      </c>
    </row>
    <row r="540" spans="13:54" x14ac:dyDescent="0.25">
      <c r="M540" s="379"/>
      <c r="BB540" s="206" t="str">
        <f t="array" ref="BB540">_xlfn.IFS(AQ540="","",LEN(AQ540)-LEN(SUBSTITUTE(AQ540,".",""))=3,LEFT(AQ540,vitri(".",AQ540,3)-1),LEN(AQ540)-LEN(SUBSTITUTE(AQ540,".",""))=2,LEFT(AQ540,vitri(".",AQ540,2)-1),TRUE,LEFT(AQ540,vitri(".",AQ540,1)-1))</f>
        <v/>
      </c>
    </row>
    <row r="541" spans="13:54" x14ac:dyDescent="0.25">
      <c r="M541" s="379"/>
      <c r="BB541" s="206" t="str">
        <f t="array" ref="BB541">_xlfn.IFS(AQ541="","",LEN(AQ541)-LEN(SUBSTITUTE(AQ541,".",""))=3,LEFT(AQ541,vitri(".",AQ541,3)-1),LEN(AQ541)-LEN(SUBSTITUTE(AQ541,".",""))=2,LEFT(AQ541,vitri(".",AQ541,2)-1),TRUE,LEFT(AQ541,vitri(".",AQ541,1)-1))</f>
        <v/>
      </c>
    </row>
    <row r="542" spans="13:54" x14ac:dyDescent="0.25">
      <c r="M542" s="379"/>
      <c r="BB542" s="206" t="str">
        <f t="array" ref="BB542">_xlfn.IFS(AQ542="","",LEN(AQ542)-LEN(SUBSTITUTE(AQ542,".",""))=3,LEFT(AQ542,vitri(".",AQ542,3)-1),LEN(AQ542)-LEN(SUBSTITUTE(AQ542,".",""))=2,LEFT(AQ542,vitri(".",AQ542,2)-1),TRUE,LEFT(AQ542,vitri(".",AQ542,1)-1))</f>
        <v/>
      </c>
    </row>
    <row r="543" spans="13:54" x14ac:dyDescent="0.25">
      <c r="M543" s="379"/>
      <c r="BB543" s="206" t="str">
        <f t="array" ref="BB543">_xlfn.IFS(AQ543="","",LEN(AQ543)-LEN(SUBSTITUTE(AQ543,".",""))=3,LEFT(AQ543,vitri(".",AQ543,3)-1),LEN(AQ543)-LEN(SUBSTITUTE(AQ543,".",""))=2,LEFT(AQ543,vitri(".",AQ543,2)-1),TRUE,LEFT(AQ543,vitri(".",AQ543,1)-1))</f>
        <v/>
      </c>
    </row>
    <row r="544" spans="13:54" x14ac:dyDescent="0.25">
      <c r="M544" s="379"/>
      <c r="BB544" s="206" t="str">
        <f t="array" ref="BB544">_xlfn.IFS(AQ544="","",LEN(AQ544)-LEN(SUBSTITUTE(AQ544,".",""))=3,LEFT(AQ544,vitri(".",AQ544,3)-1),LEN(AQ544)-LEN(SUBSTITUTE(AQ544,".",""))=2,LEFT(AQ544,vitri(".",AQ544,2)-1),TRUE,LEFT(AQ544,vitri(".",AQ544,1)-1))</f>
        <v/>
      </c>
    </row>
    <row r="545" spans="13:54" x14ac:dyDescent="0.25">
      <c r="M545" s="379"/>
      <c r="BB545" s="206" t="str">
        <f t="array" ref="BB545">_xlfn.IFS(AQ545="","",LEN(AQ545)-LEN(SUBSTITUTE(AQ545,".",""))=3,LEFT(AQ545,vitri(".",AQ545,3)-1),LEN(AQ545)-LEN(SUBSTITUTE(AQ545,".",""))=2,LEFT(AQ545,vitri(".",AQ545,2)-1),TRUE,LEFT(AQ545,vitri(".",AQ545,1)-1))</f>
        <v/>
      </c>
    </row>
    <row r="546" spans="13:54" x14ac:dyDescent="0.25">
      <c r="M546" s="379"/>
      <c r="BB546" s="206" t="str">
        <f t="array" ref="BB546">_xlfn.IFS(AQ546="","",LEN(AQ546)-LEN(SUBSTITUTE(AQ546,".",""))=3,LEFT(AQ546,vitri(".",AQ546,3)-1),LEN(AQ546)-LEN(SUBSTITUTE(AQ546,".",""))=2,LEFT(AQ546,vitri(".",AQ546,2)-1),TRUE,LEFT(AQ546,vitri(".",AQ546,1)-1))</f>
        <v/>
      </c>
    </row>
    <row r="547" spans="13:54" x14ac:dyDescent="0.25">
      <c r="M547" s="379"/>
      <c r="BB547" s="206" t="str">
        <f t="array" ref="BB547">_xlfn.IFS(AQ547="","",LEN(AQ547)-LEN(SUBSTITUTE(AQ547,".",""))=3,LEFT(AQ547,vitri(".",AQ547,3)-1),LEN(AQ547)-LEN(SUBSTITUTE(AQ547,".",""))=2,LEFT(AQ547,vitri(".",AQ547,2)-1),TRUE,LEFT(AQ547,vitri(".",AQ547,1)-1))</f>
        <v/>
      </c>
    </row>
    <row r="548" spans="13:54" x14ac:dyDescent="0.25">
      <c r="M548" s="379"/>
      <c r="BB548" s="206" t="str">
        <f t="array" ref="BB548">_xlfn.IFS(AQ548="","",LEN(AQ548)-LEN(SUBSTITUTE(AQ548,".",""))=3,LEFT(AQ548,vitri(".",AQ548,3)-1),LEN(AQ548)-LEN(SUBSTITUTE(AQ548,".",""))=2,LEFT(AQ548,vitri(".",AQ548,2)-1),TRUE,LEFT(AQ548,vitri(".",AQ548,1)-1))</f>
        <v/>
      </c>
    </row>
    <row r="549" spans="13:54" x14ac:dyDescent="0.25">
      <c r="M549" s="379"/>
      <c r="BB549" s="206" t="str">
        <f t="array" ref="BB549">_xlfn.IFS(AQ549="","",LEN(AQ549)-LEN(SUBSTITUTE(AQ549,".",""))=3,LEFT(AQ549,vitri(".",AQ549,3)-1),LEN(AQ549)-LEN(SUBSTITUTE(AQ549,".",""))=2,LEFT(AQ549,vitri(".",AQ549,2)-1),TRUE,LEFT(AQ549,vitri(".",AQ549,1)-1))</f>
        <v/>
      </c>
    </row>
    <row r="550" spans="13:54" x14ac:dyDescent="0.25">
      <c r="M550" s="379"/>
      <c r="BB550" s="206" t="str">
        <f t="array" ref="BB550">_xlfn.IFS(AQ550="","",LEN(AQ550)-LEN(SUBSTITUTE(AQ550,".",""))=3,LEFT(AQ550,vitri(".",AQ550,3)-1),LEN(AQ550)-LEN(SUBSTITUTE(AQ550,".",""))=2,LEFT(AQ550,vitri(".",AQ550,2)-1),TRUE,LEFT(AQ550,vitri(".",AQ550,1)-1))</f>
        <v/>
      </c>
    </row>
    <row r="551" spans="13:54" x14ac:dyDescent="0.25">
      <c r="M551" s="379"/>
      <c r="BB551" s="206" t="str">
        <f t="array" ref="BB551">_xlfn.IFS(AQ551="","",LEN(AQ551)-LEN(SUBSTITUTE(AQ551,".",""))=3,LEFT(AQ551,vitri(".",AQ551,3)-1),LEN(AQ551)-LEN(SUBSTITUTE(AQ551,".",""))=2,LEFT(AQ551,vitri(".",AQ551,2)-1),TRUE,LEFT(AQ551,vitri(".",AQ551,1)-1))</f>
        <v/>
      </c>
    </row>
    <row r="552" spans="13:54" x14ac:dyDescent="0.25">
      <c r="M552" s="379"/>
      <c r="BB552" s="206" t="str">
        <f t="array" ref="BB552">_xlfn.IFS(AQ552="","",LEN(AQ552)-LEN(SUBSTITUTE(AQ552,".",""))=3,LEFT(AQ552,vitri(".",AQ552,3)-1),LEN(AQ552)-LEN(SUBSTITUTE(AQ552,".",""))=2,LEFT(AQ552,vitri(".",AQ552,2)-1),TRUE,LEFT(AQ552,vitri(".",AQ552,1)-1))</f>
        <v/>
      </c>
    </row>
    <row r="553" spans="13:54" x14ac:dyDescent="0.25">
      <c r="M553" s="379"/>
      <c r="BB553" s="206" t="str">
        <f t="array" ref="BB553">_xlfn.IFS(AQ553="","",LEN(AQ553)-LEN(SUBSTITUTE(AQ553,".",""))=3,LEFT(AQ553,vitri(".",AQ553,3)-1),LEN(AQ553)-LEN(SUBSTITUTE(AQ553,".",""))=2,LEFT(AQ553,vitri(".",AQ553,2)-1),TRUE,LEFT(AQ553,vitri(".",AQ553,1)-1))</f>
        <v/>
      </c>
    </row>
    <row r="554" spans="13:54" x14ac:dyDescent="0.25">
      <c r="M554" s="379"/>
      <c r="BB554" s="206" t="str">
        <f t="array" ref="BB554">_xlfn.IFS(AQ554="","",LEN(AQ554)-LEN(SUBSTITUTE(AQ554,".",""))=3,LEFT(AQ554,vitri(".",AQ554,3)-1),LEN(AQ554)-LEN(SUBSTITUTE(AQ554,".",""))=2,LEFT(AQ554,vitri(".",AQ554,2)-1),TRUE,LEFT(AQ554,vitri(".",AQ554,1)-1))</f>
        <v/>
      </c>
    </row>
    <row r="555" spans="13:54" x14ac:dyDescent="0.25">
      <c r="M555" s="379"/>
      <c r="BB555" s="206" t="str">
        <f t="array" ref="BB555">_xlfn.IFS(AQ555="","",LEN(AQ555)-LEN(SUBSTITUTE(AQ555,".",""))=3,LEFT(AQ555,vitri(".",AQ555,3)-1),LEN(AQ555)-LEN(SUBSTITUTE(AQ555,".",""))=2,LEFT(AQ555,vitri(".",AQ555,2)-1),TRUE,LEFT(AQ555,vitri(".",AQ555,1)-1))</f>
        <v/>
      </c>
    </row>
    <row r="556" spans="13:54" x14ac:dyDescent="0.25">
      <c r="M556" s="379"/>
      <c r="BB556" s="206" t="str">
        <f t="array" ref="BB556">_xlfn.IFS(AQ556="","",LEN(AQ556)-LEN(SUBSTITUTE(AQ556,".",""))=3,LEFT(AQ556,vitri(".",AQ556,3)-1),LEN(AQ556)-LEN(SUBSTITUTE(AQ556,".",""))=2,LEFT(AQ556,vitri(".",AQ556,2)-1),TRUE,LEFT(AQ556,vitri(".",AQ556,1)-1))</f>
        <v/>
      </c>
    </row>
    <row r="557" spans="13:54" x14ac:dyDescent="0.25">
      <c r="M557" s="379"/>
      <c r="BB557" s="206" t="str">
        <f t="array" ref="BB557">_xlfn.IFS(AQ557="","",LEN(AQ557)-LEN(SUBSTITUTE(AQ557,".",""))=3,LEFT(AQ557,vitri(".",AQ557,3)-1),LEN(AQ557)-LEN(SUBSTITUTE(AQ557,".",""))=2,LEFT(AQ557,vitri(".",AQ557,2)-1),TRUE,LEFT(AQ557,vitri(".",AQ557,1)-1))</f>
        <v/>
      </c>
    </row>
    <row r="558" spans="13:54" x14ac:dyDescent="0.25">
      <c r="M558" s="379"/>
      <c r="BB558" s="206" t="str">
        <f t="array" ref="BB558">_xlfn.IFS(AQ558="","",LEN(AQ558)-LEN(SUBSTITUTE(AQ558,".",""))=3,LEFT(AQ558,vitri(".",AQ558,3)-1),LEN(AQ558)-LEN(SUBSTITUTE(AQ558,".",""))=2,LEFT(AQ558,vitri(".",AQ558,2)-1),TRUE,LEFT(AQ558,vitri(".",AQ558,1)-1))</f>
        <v/>
      </c>
    </row>
    <row r="559" spans="13:54" x14ac:dyDescent="0.25">
      <c r="M559" s="379"/>
      <c r="BB559" s="206" t="str">
        <f t="array" ref="BB559">_xlfn.IFS(AQ559="","",LEN(AQ559)-LEN(SUBSTITUTE(AQ559,".",""))=3,LEFT(AQ559,vitri(".",AQ559,3)-1),LEN(AQ559)-LEN(SUBSTITUTE(AQ559,".",""))=2,LEFT(AQ559,vitri(".",AQ559,2)-1),TRUE,LEFT(AQ559,vitri(".",AQ559,1)-1))</f>
        <v/>
      </c>
    </row>
    <row r="560" spans="13:54" x14ac:dyDescent="0.25">
      <c r="M560" s="379"/>
      <c r="BB560" s="206" t="str">
        <f t="array" ref="BB560">_xlfn.IFS(AQ560="","",LEN(AQ560)-LEN(SUBSTITUTE(AQ560,".",""))=3,LEFT(AQ560,vitri(".",AQ560,3)-1),LEN(AQ560)-LEN(SUBSTITUTE(AQ560,".",""))=2,LEFT(AQ560,vitri(".",AQ560,2)-1),TRUE,LEFT(AQ560,vitri(".",AQ560,1)-1))</f>
        <v/>
      </c>
    </row>
    <row r="561" spans="13:54" x14ac:dyDescent="0.25">
      <c r="M561" s="379"/>
      <c r="BB561" s="206" t="str">
        <f t="array" ref="BB561">_xlfn.IFS(AQ561="","",LEN(AQ561)-LEN(SUBSTITUTE(AQ561,".",""))=3,LEFT(AQ561,vitri(".",AQ561,3)-1),LEN(AQ561)-LEN(SUBSTITUTE(AQ561,".",""))=2,LEFT(AQ561,vitri(".",AQ561,2)-1),TRUE,LEFT(AQ561,vitri(".",AQ561,1)-1))</f>
        <v/>
      </c>
    </row>
    <row r="562" spans="13:54" x14ac:dyDescent="0.25">
      <c r="M562" s="379"/>
      <c r="BB562" s="206" t="str">
        <f t="array" ref="BB562">_xlfn.IFS(AQ562="","",LEN(AQ562)-LEN(SUBSTITUTE(AQ562,".",""))=3,LEFT(AQ562,vitri(".",AQ562,3)-1),LEN(AQ562)-LEN(SUBSTITUTE(AQ562,".",""))=2,LEFT(AQ562,vitri(".",AQ562,2)-1),TRUE,LEFT(AQ562,vitri(".",AQ562,1)-1))</f>
        <v/>
      </c>
    </row>
    <row r="563" spans="13:54" x14ac:dyDescent="0.25">
      <c r="M563" s="379"/>
      <c r="BB563" s="206" t="str">
        <f t="array" ref="BB563">_xlfn.IFS(AQ563="","",LEN(AQ563)-LEN(SUBSTITUTE(AQ563,".",""))=3,LEFT(AQ563,vitri(".",AQ563,3)-1),LEN(AQ563)-LEN(SUBSTITUTE(AQ563,".",""))=2,LEFT(AQ563,vitri(".",AQ563,2)-1),TRUE,LEFT(AQ563,vitri(".",AQ563,1)-1))</f>
        <v/>
      </c>
    </row>
    <row r="564" spans="13:54" x14ac:dyDescent="0.25">
      <c r="M564" s="379"/>
      <c r="BB564" s="206" t="str">
        <f t="array" ref="BB564">_xlfn.IFS(AQ564="","",LEN(AQ564)-LEN(SUBSTITUTE(AQ564,".",""))=3,LEFT(AQ564,vitri(".",AQ564,3)-1),LEN(AQ564)-LEN(SUBSTITUTE(AQ564,".",""))=2,LEFT(AQ564,vitri(".",AQ564,2)-1),TRUE,LEFT(AQ564,vitri(".",AQ564,1)-1))</f>
        <v/>
      </c>
    </row>
    <row r="565" spans="13:54" x14ac:dyDescent="0.25">
      <c r="M565" s="379"/>
      <c r="BB565" s="206" t="str">
        <f t="array" ref="BB565">_xlfn.IFS(AQ565="","",LEN(AQ565)-LEN(SUBSTITUTE(AQ565,".",""))=3,LEFT(AQ565,vitri(".",AQ565,3)-1),LEN(AQ565)-LEN(SUBSTITUTE(AQ565,".",""))=2,LEFT(AQ565,vitri(".",AQ565,2)-1),TRUE,LEFT(AQ565,vitri(".",AQ565,1)-1))</f>
        <v/>
      </c>
    </row>
    <row r="566" spans="13:54" x14ac:dyDescent="0.25">
      <c r="M566" s="379"/>
      <c r="BB566" s="206" t="str">
        <f t="array" ref="BB566">_xlfn.IFS(AQ566="","",LEN(AQ566)-LEN(SUBSTITUTE(AQ566,".",""))=3,LEFT(AQ566,vitri(".",AQ566,3)-1),LEN(AQ566)-LEN(SUBSTITUTE(AQ566,".",""))=2,LEFT(AQ566,vitri(".",AQ566,2)-1),TRUE,LEFT(AQ566,vitri(".",AQ566,1)-1))</f>
        <v/>
      </c>
    </row>
    <row r="567" spans="13:54" x14ac:dyDescent="0.25">
      <c r="M567" s="379"/>
      <c r="BB567" s="206" t="str">
        <f t="array" ref="BB567">_xlfn.IFS(AQ567="","",LEN(AQ567)-LEN(SUBSTITUTE(AQ567,".",""))=3,LEFT(AQ567,vitri(".",AQ567,3)-1),LEN(AQ567)-LEN(SUBSTITUTE(AQ567,".",""))=2,LEFT(AQ567,vitri(".",AQ567,2)-1),TRUE,LEFT(AQ567,vitri(".",AQ567,1)-1))</f>
        <v/>
      </c>
    </row>
    <row r="568" spans="13:54" x14ac:dyDescent="0.25">
      <c r="M568" s="379"/>
      <c r="BB568" s="206" t="str">
        <f t="array" ref="BB568">_xlfn.IFS(AQ568="","",LEN(AQ568)-LEN(SUBSTITUTE(AQ568,".",""))=3,LEFT(AQ568,vitri(".",AQ568,3)-1),LEN(AQ568)-LEN(SUBSTITUTE(AQ568,".",""))=2,LEFT(AQ568,vitri(".",AQ568,2)-1),TRUE,LEFT(AQ568,vitri(".",AQ568,1)-1))</f>
        <v/>
      </c>
    </row>
    <row r="569" spans="13:54" x14ac:dyDescent="0.25">
      <c r="M569" s="379"/>
      <c r="BB569" s="206" t="str">
        <f t="array" ref="BB569">_xlfn.IFS(AQ569="","",LEN(AQ569)-LEN(SUBSTITUTE(AQ569,".",""))=3,LEFT(AQ569,vitri(".",AQ569,3)-1),LEN(AQ569)-LEN(SUBSTITUTE(AQ569,".",""))=2,LEFT(AQ569,vitri(".",AQ569,2)-1),TRUE,LEFT(AQ569,vitri(".",AQ569,1)-1))</f>
        <v/>
      </c>
    </row>
    <row r="570" spans="13:54" x14ac:dyDescent="0.25">
      <c r="M570" s="379"/>
      <c r="BB570" s="206" t="str">
        <f t="array" ref="BB570">_xlfn.IFS(AQ570="","",LEN(AQ570)-LEN(SUBSTITUTE(AQ570,".",""))=3,LEFT(AQ570,vitri(".",AQ570,3)-1),LEN(AQ570)-LEN(SUBSTITUTE(AQ570,".",""))=2,LEFT(AQ570,vitri(".",AQ570,2)-1),TRUE,LEFT(AQ570,vitri(".",AQ570,1)-1))</f>
        <v/>
      </c>
    </row>
    <row r="571" spans="13:54" x14ac:dyDescent="0.25">
      <c r="M571" s="379"/>
      <c r="BB571" s="206" t="str">
        <f t="array" ref="BB571">_xlfn.IFS(AQ571="","",LEN(AQ571)-LEN(SUBSTITUTE(AQ571,".",""))=3,LEFT(AQ571,vitri(".",AQ571,3)-1),LEN(AQ571)-LEN(SUBSTITUTE(AQ571,".",""))=2,LEFT(AQ571,vitri(".",AQ571,2)-1),TRUE,LEFT(AQ571,vitri(".",AQ571,1)-1))</f>
        <v/>
      </c>
    </row>
    <row r="572" spans="13:54" x14ac:dyDescent="0.25">
      <c r="M572" s="379"/>
      <c r="BB572" s="206" t="str">
        <f t="array" ref="BB572">_xlfn.IFS(AQ572="","",LEN(AQ572)-LEN(SUBSTITUTE(AQ572,".",""))=3,LEFT(AQ572,vitri(".",AQ572,3)-1),LEN(AQ572)-LEN(SUBSTITUTE(AQ572,".",""))=2,LEFT(AQ572,vitri(".",AQ572,2)-1),TRUE,LEFT(AQ572,vitri(".",AQ572,1)-1))</f>
        <v/>
      </c>
    </row>
    <row r="573" spans="13:54" x14ac:dyDescent="0.25">
      <c r="M573" s="379"/>
      <c r="BB573" s="206" t="str">
        <f t="array" ref="BB573">_xlfn.IFS(AQ573="","",LEN(AQ573)-LEN(SUBSTITUTE(AQ573,".",""))=3,LEFT(AQ573,vitri(".",AQ573,3)-1),LEN(AQ573)-LEN(SUBSTITUTE(AQ573,".",""))=2,LEFT(AQ573,vitri(".",AQ573,2)-1),TRUE,LEFT(AQ573,vitri(".",AQ573,1)-1))</f>
        <v/>
      </c>
    </row>
    <row r="574" spans="13:54" x14ac:dyDescent="0.25">
      <c r="M574" s="379"/>
      <c r="BB574" s="206" t="str">
        <f t="array" ref="BB574">_xlfn.IFS(AQ574="","",LEN(AQ574)-LEN(SUBSTITUTE(AQ574,".",""))=3,LEFT(AQ574,vitri(".",AQ574,3)-1),LEN(AQ574)-LEN(SUBSTITUTE(AQ574,".",""))=2,LEFT(AQ574,vitri(".",AQ574,2)-1),TRUE,LEFT(AQ574,vitri(".",AQ574,1)-1))</f>
        <v/>
      </c>
    </row>
    <row r="575" spans="13:54" x14ac:dyDescent="0.25">
      <c r="M575" s="379"/>
      <c r="BB575" s="206" t="str">
        <f t="array" ref="BB575">_xlfn.IFS(AQ575="","",LEN(AQ575)-LEN(SUBSTITUTE(AQ575,".",""))=3,LEFT(AQ575,vitri(".",AQ575,3)-1),LEN(AQ575)-LEN(SUBSTITUTE(AQ575,".",""))=2,LEFT(AQ575,vitri(".",AQ575,2)-1),TRUE,LEFT(AQ575,vitri(".",AQ575,1)-1))</f>
        <v/>
      </c>
    </row>
    <row r="576" spans="13:54" x14ac:dyDescent="0.25">
      <c r="M576" s="379"/>
      <c r="BB576" s="206" t="str">
        <f t="array" ref="BB576">_xlfn.IFS(AQ576="","",LEN(AQ576)-LEN(SUBSTITUTE(AQ576,".",""))=3,LEFT(AQ576,vitri(".",AQ576,3)-1),LEN(AQ576)-LEN(SUBSTITUTE(AQ576,".",""))=2,LEFT(AQ576,vitri(".",AQ576,2)-1),TRUE,LEFT(AQ576,vitri(".",AQ576,1)-1))</f>
        <v/>
      </c>
    </row>
    <row r="577" spans="13:54" x14ac:dyDescent="0.25">
      <c r="M577" s="379"/>
      <c r="BB577" s="206" t="str">
        <f t="array" ref="BB577">_xlfn.IFS(AQ577="","",LEN(AQ577)-LEN(SUBSTITUTE(AQ577,".",""))=3,LEFT(AQ577,vitri(".",AQ577,3)-1),LEN(AQ577)-LEN(SUBSTITUTE(AQ577,".",""))=2,LEFT(AQ577,vitri(".",AQ577,2)-1),TRUE,LEFT(AQ577,vitri(".",AQ577,1)-1))</f>
        <v/>
      </c>
    </row>
    <row r="578" spans="13:54" x14ac:dyDescent="0.25">
      <c r="M578" s="379"/>
      <c r="BB578" s="206" t="str">
        <f t="array" ref="BB578">_xlfn.IFS(AQ578="","",LEN(AQ578)-LEN(SUBSTITUTE(AQ578,".",""))=3,LEFT(AQ578,vitri(".",AQ578,3)-1),LEN(AQ578)-LEN(SUBSTITUTE(AQ578,".",""))=2,LEFT(AQ578,vitri(".",AQ578,2)-1),TRUE,LEFT(AQ578,vitri(".",AQ578,1)-1))</f>
        <v/>
      </c>
    </row>
    <row r="579" spans="13:54" x14ac:dyDescent="0.25">
      <c r="M579" s="379"/>
      <c r="BB579" s="206" t="str">
        <f t="array" ref="BB579">_xlfn.IFS(AQ579="","",LEN(AQ579)-LEN(SUBSTITUTE(AQ579,".",""))=3,LEFT(AQ579,vitri(".",AQ579,3)-1),LEN(AQ579)-LEN(SUBSTITUTE(AQ579,".",""))=2,LEFT(AQ579,vitri(".",AQ579,2)-1),TRUE,LEFT(AQ579,vitri(".",AQ579,1)-1))</f>
        <v/>
      </c>
    </row>
    <row r="580" spans="13:54" x14ac:dyDescent="0.25">
      <c r="M580" s="379"/>
      <c r="BB580" s="206" t="str">
        <f t="array" ref="BB580">_xlfn.IFS(AQ580="","",LEN(AQ580)-LEN(SUBSTITUTE(AQ580,".",""))=3,LEFT(AQ580,vitri(".",AQ580,3)-1),LEN(AQ580)-LEN(SUBSTITUTE(AQ580,".",""))=2,LEFT(AQ580,vitri(".",AQ580,2)-1),TRUE,LEFT(AQ580,vitri(".",AQ580,1)-1))</f>
        <v/>
      </c>
    </row>
    <row r="581" spans="13:54" x14ac:dyDescent="0.25">
      <c r="M581" s="379"/>
      <c r="BB581" s="206" t="str">
        <f t="array" ref="BB581">_xlfn.IFS(AQ581="","",LEN(AQ581)-LEN(SUBSTITUTE(AQ581,".",""))=3,LEFT(AQ581,vitri(".",AQ581,3)-1),LEN(AQ581)-LEN(SUBSTITUTE(AQ581,".",""))=2,LEFT(AQ581,vitri(".",AQ581,2)-1),TRUE,LEFT(AQ581,vitri(".",AQ581,1)-1))</f>
        <v/>
      </c>
    </row>
    <row r="582" spans="13:54" x14ac:dyDescent="0.25">
      <c r="M582" s="379"/>
      <c r="BB582" s="206" t="str">
        <f t="array" ref="BB582">_xlfn.IFS(AQ582="","",LEN(AQ582)-LEN(SUBSTITUTE(AQ582,".",""))=3,LEFT(AQ582,vitri(".",AQ582,3)-1),LEN(AQ582)-LEN(SUBSTITUTE(AQ582,".",""))=2,LEFT(AQ582,vitri(".",AQ582,2)-1),TRUE,LEFT(AQ582,vitri(".",AQ582,1)-1))</f>
        <v/>
      </c>
    </row>
    <row r="583" spans="13:54" x14ac:dyDescent="0.25">
      <c r="M583" s="379"/>
      <c r="BB583" s="206" t="str">
        <f t="array" ref="BB583">_xlfn.IFS(AQ583="","",LEN(AQ583)-LEN(SUBSTITUTE(AQ583,".",""))=3,LEFT(AQ583,vitri(".",AQ583,3)-1),LEN(AQ583)-LEN(SUBSTITUTE(AQ583,".",""))=2,LEFT(AQ583,vitri(".",AQ583,2)-1),TRUE,LEFT(AQ583,vitri(".",AQ583,1)-1))</f>
        <v/>
      </c>
    </row>
    <row r="584" spans="13:54" x14ac:dyDescent="0.25">
      <c r="M584" s="379"/>
      <c r="BB584" s="206" t="str">
        <f t="array" ref="BB584">_xlfn.IFS(AQ584="","",LEN(AQ584)-LEN(SUBSTITUTE(AQ584,".",""))=3,LEFT(AQ584,vitri(".",AQ584,3)-1),LEN(AQ584)-LEN(SUBSTITUTE(AQ584,".",""))=2,LEFT(AQ584,vitri(".",AQ584,2)-1),TRUE,LEFT(AQ584,vitri(".",AQ584,1)-1))</f>
        <v/>
      </c>
    </row>
    <row r="585" spans="13:54" x14ac:dyDescent="0.25">
      <c r="M585" s="379"/>
      <c r="BB585" s="206" t="str">
        <f t="array" ref="BB585">_xlfn.IFS(AQ585="","",LEN(AQ585)-LEN(SUBSTITUTE(AQ585,".",""))=3,LEFT(AQ585,vitri(".",AQ585,3)-1),LEN(AQ585)-LEN(SUBSTITUTE(AQ585,".",""))=2,LEFT(AQ585,vitri(".",AQ585,2)-1),TRUE,LEFT(AQ585,vitri(".",AQ585,1)-1))</f>
        <v/>
      </c>
    </row>
    <row r="586" spans="13:54" x14ac:dyDescent="0.25">
      <c r="M586" s="379"/>
      <c r="BB586" s="206" t="str">
        <f t="array" ref="BB586">_xlfn.IFS(AQ586="","",LEN(AQ586)-LEN(SUBSTITUTE(AQ586,".",""))=3,LEFT(AQ586,vitri(".",AQ586,3)-1),LEN(AQ586)-LEN(SUBSTITUTE(AQ586,".",""))=2,LEFT(AQ586,vitri(".",AQ586,2)-1),TRUE,LEFT(AQ586,vitri(".",AQ586,1)-1))</f>
        <v/>
      </c>
    </row>
    <row r="587" spans="13:54" x14ac:dyDescent="0.25">
      <c r="M587" s="379"/>
      <c r="BB587" s="206" t="str">
        <f t="array" ref="BB587">_xlfn.IFS(AQ587="","",LEN(AQ587)-LEN(SUBSTITUTE(AQ587,".",""))=3,LEFT(AQ587,vitri(".",AQ587,3)-1),LEN(AQ587)-LEN(SUBSTITUTE(AQ587,".",""))=2,LEFT(AQ587,vitri(".",AQ587,2)-1),TRUE,LEFT(AQ587,vitri(".",AQ587,1)-1))</f>
        <v/>
      </c>
    </row>
    <row r="588" spans="13:54" x14ac:dyDescent="0.25">
      <c r="M588" s="379"/>
      <c r="BB588" s="206" t="str">
        <f t="array" ref="BB588">_xlfn.IFS(AQ588="","",LEN(AQ588)-LEN(SUBSTITUTE(AQ588,".",""))=3,LEFT(AQ588,vitri(".",AQ588,3)-1),LEN(AQ588)-LEN(SUBSTITUTE(AQ588,".",""))=2,LEFT(AQ588,vitri(".",AQ588,2)-1),TRUE,LEFT(AQ588,vitri(".",AQ588,1)-1))</f>
        <v/>
      </c>
    </row>
    <row r="589" spans="13:54" x14ac:dyDescent="0.25">
      <c r="M589" s="379"/>
      <c r="BB589" s="206" t="str">
        <f t="array" ref="BB589">_xlfn.IFS(AQ589="","",LEN(AQ589)-LEN(SUBSTITUTE(AQ589,".",""))=3,LEFT(AQ589,vitri(".",AQ589,3)-1),LEN(AQ589)-LEN(SUBSTITUTE(AQ589,".",""))=2,LEFT(AQ589,vitri(".",AQ589,2)-1),TRUE,LEFT(AQ589,vitri(".",AQ589,1)-1))</f>
        <v/>
      </c>
    </row>
    <row r="590" spans="13:54" x14ac:dyDescent="0.25">
      <c r="M590" s="379"/>
      <c r="BB590" s="206" t="str">
        <f t="array" ref="BB590">_xlfn.IFS(AQ590="","",LEN(AQ590)-LEN(SUBSTITUTE(AQ590,".",""))=3,LEFT(AQ590,vitri(".",AQ590,3)-1),LEN(AQ590)-LEN(SUBSTITUTE(AQ590,".",""))=2,LEFT(AQ590,vitri(".",AQ590,2)-1),TRUE,LEFT(AQ590,vitri(".",AQ590,1)-1))</f>
        <v/>
      </c>
    </row>
    <row r="591" spans="13:54" x14ac:dyDescent="0.25">
      <c r="M591" s="379"/>
      <c r="BB591" s="206" t="str">
        <f t="array" ref="BB591">_xlfn.IFS(AQ591="","",LEN(AQ591)-LEN(SUBSTITUTE(AQ591,".",""))=3,LEFT(AQ591,vitri(".",AQ591,3)-1),LEN(AQ591)-LEN(SUBSTITUTE(AQ591,".",""))=2,LEFT(AQ591,vitri(".",AQ591,2)-1),TRUE,LEFT(AQ591,vitri(".",AQ591,1)-1))</f>
        <v/>
      </c>
    </row>
    <row r="592" spans="13:54" x14ac:dyDescent="0.25">
      <c r="M592" s="379"/>
      <c r="BB592" s="206" t="str">
        <f t="array" ref="BB592">_xlfn.IFS(AQ592="","",LEN(AQ592)-LEN(SUBSTITUTE(AQ592,".",""))=3,LEFT(AQ592,vitri(".",AQ592,3)-1),LEN(AQ592)-LEN(SUBSTITUTE(AQ592,".",""))=2,LEFT(AQ592,vitri(".",AQ592,2)-1),TRUE,LEFT(AQ592,vitri(".",AQ592,1)-1))</f>
        <v/>
      </c>
    </row>
    <row r="593" spans="13:54" x14ac:dyDescent="0.25">
      <c r="M593" s="379"/>
      <c r="BB593" s="206" t="str">
        <f t="array" ref="BB593">_xlfn.IFS(AQ593="","",LEN(AQ593)-LEN(SUBSTITUTE(AQ593,".",""))=3,LEFT(AQ593,vitri(".",AQ593,3)-1),LEN(AQ593)-LEN(SUBSTITUTE(AQ593,".",""))=2,LEFT(AQ593,vitri(".",AQ593,2)-1),TRUE,LEFT(AQ593,vitri(".",AQ593,1)-1))</f>
        <v/>
      </c>
    </row>
    <row r="594" spans="13:54" x14ac:dyDescent="0.25">
      <c r="M594" s="379"/>
      <c r="BB594" s="206" t="str">
        <f t="array" ref="BB594">_xlfn.IFS(AQ594="","",LEN(AQ594)-LEN(SUBSTITUTE(AQ594,".",""))=3,LEFT(AQ594,vitri(".",AQ594,3)-1),LEN(AQ594)-LEN(SUBSTITUTE(AQ594,".",""))=2,LEFT(AQ594,vitri(".",AQ594,2)-1),TRUE,LEFT(AQ594,vitri(".",AQ594,1)-1))</f>
        <v/>
      </c>
    </row>
    <row r="595" spans="13:54" x14ac:dyDescent="0.25">
      <c r="M595" s="379"/>
      <c r="BB595" s="206" t="str">
        <f t="array" ref="BB595">_xlfn.IFS(AQ595="","",LEN(AQ595)-LEN(SUBSTITUTE(AQ595,".",""))=3,LEFT(AQ595,vitri(".",AQ595,3)-1),LEN(AQ595)-LEN(SUBSTITUTE(AQ595,".",""))=2,LEFT(AQ595,vitri(".",AQ595,2)-1),TRUE,LEFT(AQ595,vitri(".",AQ595,1)-1))</f>
        <v/>
      </c>
    </row>
    <row r="596" spans="13:54" x14ac:dyDescent="0.25">
      <c r="M596" s="379"/>
      <c r="BB596" s="206" t="str">
        <f t="array" ref="BB596">_xlfn.IFS(AQ596="","",LEN(AQ596)-LEN(SUBSTITUTE(AQ596,".",""))=3,LEFT(AQ596,vitri(".",AQ596,3)-1),LEN(AQ596)-LEN(SUBSTITUTE(AQ596,".",""))=2,LEFT(AQ596,vitri(".",AQ596,2)-1),TRUE,LEFT(AQ596,vitri(".",AQ596,1)-1))</f>
        <v/>
      </c>
    </row>
    <row r="597" spans="13:54" x14ac:dyDescent="0.25">
      <c r="M597" s="379"/>
      <c r="BB597" s="206" t="str">
        <f t="array" ref="BB597">_xlfn.IFS(AQ597="","",LEN(AQ597)-LEN(SUBSTITUTE(AQ597,".",""))=3,LEFT(AQ597,vitri(".",AQ597,3)-1),LEN(AQ597)-LEN(SUBSTITUTE(AQ597,".",""))=2,LEFT(AQ597,vitri(".",AQ597,2)-1),TRUE,LEFT(AQ597,vitri(".",AQ597,1)-1))</f>
        <v/>
      </c>
    </row>
    <row r="598" spans="13:54" x14ac:dyDescent="0.25">
      <c r="M598" s="379"/>
      <c r="BB598" s="206" t="str">
        <f t="array" ref="BB598">_xlfn.IFS(AQ598="","",LEN(AQ598)-LEN(SUBSTITUTE(AQ598,".",""))=3,LEFT(AQ598,vitri(".",AQ598,3)-1),LEN(AQ598)-LEN(SUBSTITUTE(AQ598,".",""))=2,LEFT(AQ598,vitri(".",AQ598,2)-1),TRUE,LEFT(AQ598,vitri(".",AQ598,1)-1))</f>
        <v/>
      </c>
    </row>
    <row r="599" spans="13:54" x14ac:dyDescent="0.25">
      <c r="M599" s="379"/>
      <c r="BB599" s="206" t="str">
        <f t="array" ref="BB599">_xlfn.IFS(AQ599="","",LEN(AQ599)-LEN(SUBSTITUTE(AQ599,".",""))=3,LEFT(AQ599,vitri(".",AQ599,3)-1),LEN(AQ599)-LEN(SUBSTITUTE(AQ599,".",""))=2,LEFT(AQ599,vitri(".",AQ599,2)-1),TRUE,LEFT(AQ599,vitri(".",AQ599,1)-1))</f>
        <v/>
      </c>
    </row>
    <row r="600" spans="13:54" x14ac:dyDescent="0.25">
      <c r="M600" s="379"/>
      <c r="BB600" s="206" t="str">
        <f t="array" ref="BB600">_xlfn.IFS(AQ600="","",LEN(AQ600)-LEN(SUBSTITUTE(AQ600,".",""))=3,LEFT(AQ600,vitri(".",AQ600,3)-1),LEN(AQ600)-LEN(SUBSTITUTE(AQ600,".",""))=2,LEFT(AQ600,vitri(".",AQ600,2)-1),TRUE,LEFT(AQ600,vitri(".",AQ600,1)-1))</f>
        <v/>
      </c>
    </row>
    <row r="601" spans="13:54" x14ac:dyDescent="0.25">
      <c r="M601" s="379"/>
      <c r="BB601" s="206" t="str">
        <f t="array" ref="BB601">_xlfn.IFS(AQ601="","",LEN(AQ601)-LEN(SUBSTITUTE(AQ601,".",""))=3,LEFT(AQ601,vitri(".",AQ601,3)-1),LEN(AQ601)-LEN(SUBSTITUTE(AQ601,".",""))=2,LEFT(AQ601,vitri(".",AQ601,2)-1),TRUE,LEFT(AQ601,vitri(".",AQ601,1)-1))</f>
        <v/>
      </c>
    </row>
    <row r="602" spans="13:54" x14ac:dyDescent="0.25">
      <c r="M602" s="379"/>
      <c r="BB602" s="206" t="str">
        <f t="array" ref="BB602">_xlfn.IFS(AQ602="","",LEN(AQ602)-LEN(SUBSTITUTE(AQ602,".",""))=3,LEFT(AQ602,vitri(".",AQ602,3)-1),LEN(AQ602)-LEN(SUBSTITUTE(AQ602,".",""))=2,LEFT(AQ602,vitri(".",AQ602,2)-1),TRUE,LEFT(AQ602,vitri(".",AQ602,1)-1))</f>
        <v/>
      </c>
    </row>
    <row r="603" spans="13:54" x14ac:dyDescent="0.25">
      <c r="M603" s="379"/>
      <c r="BB603" s="206" t="str">
        <f t="array" ref="BB603">_xlfn.IFS(AQ603="","",LEN(AQ603)-LEN(SUBSTITUTE(AQ603,".",""))=3,LEFT(AQ603,vitri(".",AQ603,3)-1),LEN(AQ603)-LEN(SUBSTITUTE(AQ603,".",""))=2,LEFT(AQ603,vitri(".",AQ603,2)-1),TRUE,LEFT(AQ603,vitri(".",AQ603,1)-1))</f>
        <v/>
      </c>
    </row>
    <row r="604" spans="13:54" x14ac:dyDescent="0.25">
      <c r="M604" s="379"/>
      <c r="BB604" s="206" t="str">
        <f t="array" ref="BB604">_xlfn.IFS(AQ604="","",LEN(AQ604)-LEN(SUBSTITUTE(AQ604,".",""))=3,LEFT(AQ604,vitri(".",AQ604,3)-1),LEN(AQ604)-LEN(SUBSTITUTE(AQ604,".",""))=2,LEFT(AQ604,vitri(".",AQ604,2)-1),TRUE,LEFT(AQ604,vitri(".",AQ604,1)-1))</f>
        <v/>
      </c>
    </row>
    <row r="605" spans="13:54" x14ac:dyDescent="0.25">
      <c r="M605" s="379"/>
      <c r="BB605" s="206" t="str">
        <f t="array" ref="BB605">_xlfn.IFS(AQ605="","",LEN(AQ605)-LEN(SUBSTITUTE(AQ605,".",""))=3,LEFT(AQ605,vitri(".",AQ605,3)-1),LEN(AQ605)-LEN(SUBSTITUTE(AQ605,".",""))=2,LEFT(AQ605,vitri(".",AQ605,2)-1),TRUE,LEFT(AQ605,vitri(".",AQ605,1)-1))</f>
        <v/>
      </c>
    </row>
    <row r="606" spans="13:54" x14ac:dyDescent="0.25">
      <c r="M606" s="379"/>
      <c r="BB606" s="206" t="str">
        <f t="array" ref="BB606">_xlfn.IFS(AQ606="","",LEN(AQ606)-LEN(SUBSTITUTE(AQ606,".",""))=3,LEFT(AQ606,vitri(".",AQ606,3)-1),LEN(AQ606)-LEN(SUBSTITUTE(AQ606,".",""))=2,LEFT(AQ606,vitri(".",AQ606,2)-1),TRUE,LEFT(AQ606,vitri(".",AQ606,1)-1))</f>
        <v/>
      </c>
    </row>
    <row r="607" spans="13:54" x14ac:dyDescent="0.25">
      <c r="M607" s="379"/>
      <c r="BB607" s="206" t="str">
        <f t="array" ref="BB607">_xlfn.IFS(AQ607="","",LEN(AQ607)-LEN(SUBSTITUTE(AQ607,".",""))=3,LEFT(AQ607,vitri(".",AQ607,3)-1),LEN(AQ607)-LEN(SUBSTITUTE(AQ607,".",""))=2,LEFT(AQ607,vitri(".",AQ607,2)-1),TRUE,LEFT(AQ607,vitri(".",AQ607,1)-1))</f>
        <v/>
      </c>
    </row>
    <row r="608" spans="13:54" x14ac:dyDescent="0.25">
      <c r="M608" s="379"/>
      <c r="BB608" s="206" t="str">
        <f t="array" ref="BB608">_xlfn.IFS(AQ608="","",LEN(AQ608)-LEN(SUBSTITUTE(AQ608,".",""))=3,LEFT(AQ608,vitri(".",AQ608,3)-1),LEN(AQ608)-LEN(SUBSTITUTE(AQ608,".",""))=2,LEFT(AQ608,vitri(".",AQ608,2)-1),TRUE,LEFT(AQ608,vitri(".",AQ608,1)-1))</f>
        <v/>
      </c>
    </row>
    <row r="609" spans="13:54" x14ac:dyDescent="0.25">
      <c r="M609" s="379"/>
      <c r="BB609" s="206" t="str">
        <f t="array" ref="BB609">_xlfn.IFS(AQ609="","",LEN(AQ609)-LEN(SUBSTITUTE(AQ609,".",""))=3,LEFT(AQ609,vitri(".",AQ609,3)-1),LEN(AQ609)-LEN(SUBSTITUTE(AQ609,".",""))=2,LEFT(AQ609,vitri(".",AQ609,2)-1),TRUE,LEFT(AQ609,vitri(".",AQ609,1)-1))</f>
        <v/>
      </c>
    </row>
    <row r="610" spans="13:54" x14ac:dyDescent="0.25">
      <c r="M610" s="379"/>
      <c r="BB610" s="206" t="str">
        <f t="array" ref="BB610">_xlfn.IFS(AQ610="","",LEN(AQ610)-LEN(SUBSTITUTE(AQ610,".",""))=3,LEFT(AQ610,vitri(".",AQ610,3)-1),LEN(AQ610)-LEN(SUBSTITUTE(AQ610,".",""))=2,LEFT(AQ610,vitri(".",AQ610,2)-1),TRUE,LEFT(AQ610,vitri(".",AQ610,1)-1))</f>
        <v/>
      </c>
    </row>
    <row r="611" spans="13:54" x14ac:dyDescent="0.25">
      <c r="M611" s="379"/>
      <c r="BB611" s="206" t="str">
        <f t="array" ref="BB611">_xlfn.IFS(AQ611="","",LEN(AQ611)-LEN(SUBSTITUTE(AQ611,".",""))=3,LEFT(AQ611,vitri(".",AQ611,3)-1),LEN(AQ611)-LEN(SUBSTITUTE(AQ611,".",""))=2,LEFT(AQ611,vitri(".",AQ611,2)-1),TRUE,LEFT(AQ611,vitri(".",AQ611,1)-1))</f>
        <v/>
      </c>
    </row>
    <row r="612" spans="13:54" x14ac:dyDescent="0.25">
      <c r="M612" s="379"/>
      <c r="BB612" s="206" t="str">
        <f t="array" ref="BB612">_xlfn.IFS(AQ612="","",LEN(AQ612)-LEN(SUBSTITUTE(AQ612,".",""))=3,LEFT(AQ612,vitri(".",AQ612,3)-1),LEN(AQ612)-LEN(SUBSTITUTE(AQ612,".",""))=2,LEFT(AQ612,vitri(".",AQ612,2)-1),TRUE,LEFT(AQ612,vitri(".",AQ612,1)-1))</f>
        <v/>
      </c>
    </row>
    <row r="613" spans="13:54" x14ac:dyDescent="0.25">
      <c r="M613" s="379"/>
      <c r="BB613" s="206" t="str">
        <f t="array" ref="BB613">_xlfn.IFS(AQ613="","",LEN(AQ613)-LEN(SUBSTITUTE(AQ613,".",""))=3,LEFT(AQ613,vitri(".",AQ613,3)-1),LEN(AQ613)-LEN(SUBSTITUTE(AQ613,".",""))=2,LEFT(AQ613,vitri(".",AQ613,2)-1),TRUE,LEFT(AQ613,vitri(".",AQ613,1)-1))</f>
        <v/>
      </c>
    </row>
    <row r="614" spans="13:54" x14ac:dyDescent="0.25">
      <c r="M614" s="379"/>
      <c r="BB614" s="206" t="str">
        <f t="array" ref="BB614">_xlfn.IFS(AQ614="","",LEN(AQ614)-LEN(SUBSTITUTE(AQ614,".",""))=3,LEFT(AQ614,vitri(".",AQ614,3)-1),LEN(AQ614)-LEN(SUBSTITUTE(AQ614,".",""))=2,LEFT(AQ614,vitri(".",AQ614,2)-1),TRUE,LEFT(AQ614,vitri(".",AQ614,1)-1))</f>
        <v/>
      </c>
    </row>
    <row r="615" spans="13:54" x14ac:dyDescent="0.25">
      <c r="M615" s="379"/>
      <c r="BB615" s="206" t="str">
        <f t="array" ref="BB615">_xlfn.IFS(AQ615="","",LEN(AQ615)-LEN(SUBSTITUTE(AQ615,".",""))=3,LEFT(AQ615,vitri(".",AQ615,3)-1),LEN(AQ615)-LEN(SUBSTITUTE(AQ615,".",""))=2,LEFT(AQ615,vitri(".",AQ615,2)-1),TRUE,LEFT(AQ615,vitri(".",AQ615,1)-1))</f>
        <v/>
      </c>
    </row>
    <row r="616" spans="13:54" x14ac:dyDescent="0.25">
      <c r="M616" s="379"/>
      <c r="BB616" s="206" t="str">
        <f t="array" ref="BB616">_xlfn.IFS(AQ616="","",LEN(AQ616)-LEN(SUBSTITUTE(AQ616,".",""))=3,LEFT(AQ616,vitri(".",AQ616,3)-1),LEN(AQ616)-LEN(SUBSTITUTE(AQ616,".",""))=2,LEFT(AQ616,vitri(".",AQ616,2)-1),TRUE,LEFT(AQ616,vitri(".",AQ616,1)-1))</f>
        <v/>
      </c>
    </row>
    <row r="617" spans="13:54" x14ac:dyDescent="0.25">
      <c r="M617" s="379"/>
      <c r="BB617" s="206" t="str">
        <f t="array" ref="BB617">_xlfn.IFS(AQ617="","",LEN(AQ617)-LEN(SUBSTITUTE(AQ617,".",""))=3,LEFT(AQ617,vitri(".",AQ617,3)-1),LEN(AQ617)-LEN(SUBSTITUTE(AQ617,".",""))=2,LEFT(AQ617,vitri(".",AQ617,2)-1),TRUE,LEFT(AQ617,vitri(".",AQ617,1)-1))</f>
        <v/>
      </c>
    </row>
    <row r="618" spans="13:54" x14ac:dyDescent="0.25">
      <c r="M618" s="379"/>
      <c r="BB618" s="206" t="str">
        <f t="array" ref="BB618">_xlfn.IFS(AQ618="","",LEN(AQ618)-LEN(SUBSTITUTE(AQ618,".",""))=3,LEFT(AQ618,vitri(".",AQ618,3)-1),LEN(AQ618)-LEN(SUBSTITUTE(AQ618,".",""))=2,LEFT(AQ618,vitri(".",AQ618,2)-1),TRUE,LEFT(AQ618,vitri(".",AQ618,1)-1))</f>
        <v/>
      </c>
    </row>
    <row r="619" spans="13:54" x14ac:dyDescent="0.25">
      <c r="M619" s="379"/>
      <c r="BB619" s="206" t="str">
        <f t="array" ref="BB619">_xlfn.IFS(AQ619="","",LEN(AQ619)-LEN(SUBSTITUTE(AQ619,".",""))=3,LEFT(AQ619,vitri(".",AQ619,3)-1),LEN(AQ619)-LEN(SUBSTITUTE(AQ619,".",""))=2,LEFT(AQ619,vitri(".",AQ619,2)-1),TRUE,LEFT(AQ619,vitri(".",AQ619,1)-1))</f>
        <v/>
      </c>
    </row>
    <row r="620" spans="13:54" x14ac:dyDescent="0.25">
      <c r="M620" s="379"/>
      <c r="BB620" s="206" t="str">
        <f t="array" ref="BB620">_xlfn.IFS(AQ620="","",LEN(AQ620)-LEN(SUBSTITUTE(AQ620,".",""))=3,LEFT(AQ620,vitri(".",AQ620,3)-1),LEN(AQ620)-LEN(SUBSTITUTE(AQ620,".",""))=2,LEFT(AQ620,vitri(".",AQ620,2)-1),TRUE,LEFT(AQ620,vitri(".",AQ620,1)-1))</f>
        <v/>
      </c>
    </row>
    <row r="621" spans="13:54" x14ac:dyDescent="0.25">
      <c r="M621" s="379"/>
      <c r="BB621" s="206" t="str">
        <f t="array" ref="BB621">_xlfn.IFS(AQ621="","",LEN(AQ621)-LEN(SUBSTITUTE(AQ621,".",""))=3,LEFT(AQ621,vitri(".",AQ621,3)-1),LEN(AQ621)-LEN(SUBSTITUTE(AQ621,".",""))=2,LEFT(AQ621,vitri(".",AQ621,2)-1),TRUE,LEFT(AQ621,vitri(".",AQ621,1)-1))</f>
        <v/>
      </c>
    </row>
    <row r="622" spans="13:54" x14ac:dyDescent="0.25">
      <c r="M622" s="379"/>
      <c r="BB622" s="206" t="str">
        <f t="array" ref="BB622">_xlfn.IFS(AQ622="","",LEN(AQ622)-LEN(SUBSTITUTE(AQ622,".",""))=3,LEFT(AQ622,vitri(".",AQ622,3)-1),LEN(AQ622)-LEN(SUBSTITUTE(AQ622,".",""))=2,LEFT(AQ622,vitri(".",AQ622,2)-1),TRUE,LEFT(AQ622,vitri(".",AQ622,1)-1))</f>
        <v/>
      </c>
    </row>
    <row r="623" spans="13:54" x14ac:dyDescent="0.25">
      <c r="M623" s="379"/>
      <c r="BB623" s="206" t="str">
        <f t="array" ref="BB623">_xlfn.IFS(AQ623="","",LEN(AQ623)-LEN(SUBSTITUTE(AQ623,".",""))=3,LEFT(AQ623,vitri(".",AQ623,3)-1),LEN(AQ623)-LEN(SUBSTITUTE(AQ623,".",""))=2,LEFT(AQ623,vitri(".",AQ623,2)-1),TRUE,LEFT(AQ623,vitri(".",AQ623,1)-1))</f>
        <v/>
      </c>
    </row>
    <row r="624" spans="13:54" x14ac:dyDescent="0.25">
      <c r="M624" s="379"/>
      <c r="BB624" s="206" t="str">
        <f t="array" ref="BB624">_xlfn.IFS(AQ624="","",LEN(AQ624)-LEN(SUBSTITUTE(AQ624,".",""))=3,LEFT(AQ624,vitri(".",AQ624,3)-1),LEN(AQ624)-LEN(SUBSTITUTE(AQ624,".",""))=2,LEFT(AQ624,vitri(".",AQ624,2)-1),TRUE,LEFT(AQ624,vitri(".",AQ624,1)-1))</f>
        <v/>
      </c>
    </row>
    <row r="625" spans="13:54" x14ac:dyDescent="0.25">
      <c r="M625" s="379"/>
      <c r="BB625" s="206" t="str">
        <f t="array" ref="BB625">_xlfn.IFS(AQ625="","",LEN(AQ625)-LEN(SUBSTITUTE(AQ625,".",""))=3,LEFT(AQ625,vitri(".",AQ625,3)-1),LEN(AQ625)-LEN(SUBSTITUTE(AQ625,".",""))=2,LEFT(AQ625,vitri(".",AQ625,2)-1),TRUE,LEFT(AQ625,vitri(".",AQ625,1)-1))</f>
        <v/>
      </c>
    </row>
    <row r="626" spans="13:54" x14ac:dyDescent="0.25">
      <c r="M626" s="379"/>
      <c r="BB626" s="206" t="str">
        <f t="array" ref="BB626">_xlfn.IFS(AQ626="","",LEN(AQ626)-LEN(SUBSTITUTE(AQ626,".",""))=3,LEFT(AQ626,vitri(".",AQ626,3)-1),LEN(AQ626)-LEN(SUBSTITUTE(AQ626,".",""))=2,LEFT(AQ626,vitri(".",AQ626,2)-1),TRUE,LEFT(AQ626,vitri(".",AQ626,1)-1))</f>
        <v/>
      </c>
    </row>
    <row r="627" spans="13:54" x14ac:dyDescent="0.25">
      <c r="M627" s="379"/>
      <c r="BB627" s="206" t="str">
        <f t="array" ref="BB627">_xlfn.IFS(AQ627="","",LEN(AQ627)-LEN(SUBSTITUTE(AQ627,".",""))=3,LEFT(AQ627,vitri(".",AQ627,3)-1),LEN(AQ627)-LEN(SUBSTITUTE(AQ627,".",""))=2,LEFT(AQ627,vitri(".",AQ627,2)-1),TRUE,LEFT(AQ627,vitri(".",AQ627,1)-1))</f>
        <v/>
      </c>
    </row>
    <row r="628" spans="13:54" x14ac:dyDescent="0.25">
      <c r="M628" s="379"/>
      <c r="BB628" s="206" t="str">
        <f t="array" ref="BB628">_xlfn.IFS(AQ628="","",LEN(AQ628)-LEN(SUBSTITUTE(AQ628,".",""))=3,LEFT(AQ628,vitri(".",AQ628,3)-1),LEN(AQ628)-LEN(SUBSTITUTE(AQ628,".",""))=2,LEFT(AQ628,vitri(".",AQ628,2)-1),TRUE,LEFT(AQ628,vitri(".",AQ628,1)-1))</f>
        <v/>
      </c>
    </row>
    <row r="629" spans="13:54" x14ac:dyDescent="0.25">
      <c r="M629" s="379"/>
      <c r="BB629" s="206" t="str">
        <f t="array" ref="BB629">_xlfn.IFS(AQ629="","",LEN(AQ629)-LEN(SUBSTITUTE(AQ629,".",""))=3,LEFT(AQ629,vitri(".",AQ629,3)-1),LEN(AQ629)-LEN(SUBSTITUTE(AQ629,".",""))=2,LEFT(AQ629,vitri(".",AQ629,2)-1),TRUE,LEFT(AQ629,vitri(".",AQ629,1)-1))</f>
        <v/>
      </c>
    </row>
    <row r="630" spans="13:54" x14ac:dyDescent="0.25">
      <c r="M630" s="379"/>
      <c r="BB630" s="206" t="str">
        <f t="array" ref="BB630">_xlfn.IFS(AQ630="","",LEN(AQ630)-LEN(SUBSTITUTE(AQ630,".",""))=3,LEFT(AQ630,vitri(".",AQ630,3)-1),LEN(AQ630)-LEN(SUBSTITUTE(AQ630,".",""))=2,LEFT(AQ630,vitri(".",AQ630,2)-1),TRUE,LEFT(AQ630,vitri(".",AQ630,1)-1))</f>
        <v/>
      </c>
    </row>
    <row r="631" spans="13:54" x14ac:dyDescent="0.25">
      <c r="M631" s="379"/>
      <c r="BB631" s="206" t="str">
        <f t="array" ref="BB631">_xlfn.IFS(AQ631="","",LEN(AQ631)-LEN(SUBSTITUTE(AQ631,".",""))=3,LEFT(AQ631,vitri(".",AQ631,3)-1),LEN(AQ631)-LEN(SUBSTITUTE(AQ631,".",""))=2,LEFT(AQ631,vitri(".",AQ631,2)-1),TRUE,LEFT(AQ631,vitri(".",AQ631,1)-1))</f>
        <v/>
      </c>
    </row>
    <row r="632" spans="13:54" x14ac:dyDescent="0.25">
      <c r="M632" s="379"/>
      <c r="BB632" s="206" t="str">
        <f t="array" ref="BB632">_xlfn.IFS(AQ632="","",LEN(AQ632)-LEN(SUBSTITUTE(AQ632,".",""))=3,LEFT(AQ632,vitri(".",AQ632,3)-1),LEN(AQ632)-LEN(SUBSTITUTE(AQ632,".",""))=2,LEFT(AQ632,vitri(".",AQ632,2)-1),TRUE,LEFT(AQ632,vitri(".",AQ632,1)-1))</f>
        <v/>
      </c>
    </row>
    <row r="633" spans="13:54" x14ac:dyDescent="0.25">
      <c r="M633" s="379"/>
      <c r="BB633" s="206" t="str">
        <f t="array" ref="BB633">_xlfn.IFS(AQ633="","",LEN(AQ633)-LEN(SUBSTITUTE(AQ633,".",""))=3,LEFT(AQ633,vitri(".",AQ633,3)-1),LEN(AQ633)-LEN(SUBSTITUTE(AQ633,".",""))=2,LEFT(AQ633,vitri(".",AQ633,2)-1),TRUE,LEFT(AQ633,vitri(".",AQ633,1)-1))</f>
        <v/>
      </c>
    </row>
    <row r="634" spans="13:54" x14ac:dyDescent="0.25">
      <c r="M634" s="379"/>
      <c r="BB634" s="206" t="str">
        <f t="array" ref="BB634">_xlfn.IFS(AQ634="","",LEN(AQ634)-LEN(SUBSTITUTE(AQ634,".",""))=3,LEFT(AQ634,vitri(".",AQ634,3)-1),LEN(AQ634)-LEN(SUBSTITUTE(AQ634,".",""))=2,LEFT(AQ634,vitri(".",AQ634,2)-1),TRUE,LEFT(AQ634,vitri(".",AQ634,1)-1))</f>
        <v/>
      </c>
    </row>
    <row r="635" spans="13:54" x14ac:dyDescent="0.25">
      <c r="M635" s="379"/>
      <c r="BB635" s="206" t="str">
        <f t="array" ref="BB635">_xlfn.IFS(AQ635="","",LEN(AQ635)-LEN(SUBSTITUTE(AQ635,".",""))=3,LEFT(AQ635,vitri(".",AQ635,3)-1),LEN(AQ635)-LEN(SUBSTITUTE(AQ635,".",""))=2,LEFT(AQ635,vitri(".",AQ635,2)-1),TRUE,LEFT(AQ635,vitri(".",AQ635,1)-1))</f>
        <v/>
      </c>
    </row>
    <row r="636" spans="13:54" x14ac:dyDescent="0.25">
      <c r="M636" s="379"/>
      <c r="BB636" s="206" t="str">
        <f t="array" ref="BB636">_xlfn.IFS(AQ636="","",LEN(AQ636)-LEN(SUBSTITUTE(AQ636,".",""))=3,LEFT(AQ636,vitri(".",AQ636,3)-1),LEN(AQ636)-LEN(SUBSTITUTE(AQ636,".",""))=2,LEFT(AQ636,vitri(".",AQ636,2)-1),TRUE,LEFT(AQ636,vitri(".",AQ636,1)-1))</f>
        <v/>
      </c>
    </row>
    <row r="637" spans="13:54" x14ac:dyDescent="0.25">
      <c r="M637" s="379"/>
      <c r="BB637" s="206" t="str">
        <f t="array" ref="BB637">_xlfn.IFS(AQ637="","",LEN(AQ637)-LEN(SUBSTITUTE(AQ637,".",""))=3,LEFT(AQ637,vitri(".",AQ637,3)-1),LEN(AQ637)-LEN(SUBSTITUTE(AQ637,".",""))=2,LEFT(AQ637,vitri(".",AQ637,2)-1),TRUE,LEFT(AQ637,vitri(".",AQ637,1)-1))</f>
        <v/>
      </c>
    </row>
    <row r="638" spans="13:54" x14ac:dyDescent="0.25">
      <c r="M638" s="379"/>
      <c r="BB638" s="206" t="str">
        <f t="array" ref="BB638">_xlfn.IFS(AQ638="","",LEN(AQ638)-LEN(SUBSTITUTE(AQ638,".",""))=3,LEFT(AQ638,vitri(".",AQ638,3)-1),LEN(AQ638)-LEN(SUBSTITUTE(AQ638,".",""))=2,LEFT(AQ638,vitri(".",AQ638,2)-1),TRUE,LEFT(AQ638,vitri(".",AQ638,1)-1))</f>
        <v/>
      </c>
    </row>
    <row r="639" spans="13:54" x14ac:dyDescent="0.25">
      <c r="M639" s="379"/>
      <c r="BB639" s="206" t="str">
        <f t="array" ref="BB639">_xlfn.IFS(AQ639="","",LEN(AQ639)-LEN(SUBSTITUTE(AQ639,".",""))=3,LEFT(AQ639,vitri(".",AQ639,3)-1),LEN(AQ639)-LEN(SUBSTITUTE(AQ639,".",""))=2,LEFT(AQ639,vitri(".",AQ639,2)-1),TRUE,LEFT(AQ639,vitri(".",AQ639,1)-1))</f>
        <v/>
      </c>
    </row>
    <row r="640" spans="13:54" x14ac:dyDescent="0.25">
      <c r="M640" s="379"/>
      <c r="BB640" s="206" t="str">
        <f t="array" ref="BB640">_xlfn.IFS(AQ640="","",LEN(AQ640)-LEN(SUBSTITUTE(AQ640,".",""))=3,LEFT(AQ640,vitri(".",AQ640,3)-1),LEN(AQ640)-LEN(SUBSTITUTE(AQ640,".",""))=2,LEFT(AQ640,vitri(".",AQ640,2)-1),TRUE,LEFT(AQ640,vitri(".",AQ640,1)-1))</f>
        <v/>
      </c>
    </row>
    <row r="641" spans="13:54" x14ac:dyDescent="0.25">
      <c r="M641" s="379"/>
      <c r="BB641" s="206" t="str">
        <f t="array" ref="BB641">_xlfn.IFS(AQ641="","",LEN(AQ641)-LEN(SUBSTITUTE(AQ641,".",""))=3,LEFT(AQ641,vitri(".",AQ641,3)-1),LEN(AQ641)-LEN(SUBSTITUTE(AQ641,".",""))=2,LEFT(AQ641,vitri(".",AQ641,2)-1),TRUE,LEFT(AQ641,vitri(".",AQ641,1)-1))</f>
        <v/>
      </c>
    </row>
    <row r="642" spans="13:54" x14ac:dyDescent="0.25">
      <c r="M642" s="379"/>
      <c r="BB642" s="206" t="str">
        <f t="array" ref="BB642">_xlfn.IFS(AQ642="","",LEN(AQ642)-LEN(SUBSTITUTE(AQ642,".",""))=3,LEFT(AQ642,vitri(".",AQ642,3)-1),LEN(AQ642)-LEN(SUBSTITUTE(AQ642,".",""))=2,LEFT(AQ642,vitri(".",AQ642,2)-1),TRUE,LEFT(AQ642,vitri(".",AQ642,1)-1))</f>
        <v/>
      </c>
    </row>
    <row r="643" spans="13:54" x14ac:dyDescent="0.25">
      <c r="M643" s="379"/>
      <c r="BB643" s="206" t="str">
        <f t="array" ref="BB643">_xlfn.IFS(AQ643="","",LEN(AQ643)-LEN(SUBSTITUTE(AQ643,".",""))=3,LEFT(AQ643,vitri(".",AQ643,3)-1),LEN(AQ643)-LEN(SUBSTITUTE(AQ643,".",""))=2,LEFT(AQ643,vitri(".",AQ643,2)-1),TRUE,LEFT(AQ643,vitri(".",AQ643,1)-1))</f>
        <v/>
      </c>
    </row>
    <row r="644" spans="13:54" x14ac:dyDescent="0.25">
      <c r="M644" s="379"/>
      <c r="BB644" s="206" t="str">
        <f t="array" ref="BB644">_xlfn.IFS(AQ644="","",LEN(AQ644)-LEN(SUBSTITUTE(AQ644,".",""))=3,LEFT(AQ644,vitri(".",AQ644,3)-1),LEN(AQ644)-LEN(SUBSTITUTE(AQ644,".",""))=2,LEFT(AQ644,vitri(".",AQ644,2)-1),TRUE,LEFT(AQ644,vitri(".",AQ644,1)-1))</f>
        <v/>
      </c>
    </row>
    <row r="645" spans="13:54" x14ac:dyDescent="0.25">
      <c r="M645" s="379"/>
      <c r="BB645" s="206" t="str">
        <f t="array" ref="BB645">_xlfn.IFS(AQ645="","",LEN(AQ645)-LEN(SUBSTITUTE(AQ645,".",""))=3,LEFT(AQ645,vitri(".",AQ645,3)-1),LEN(AQ645)-LEN(SUBSTITUTE(AQ645,".",""))=2,LEFT(AQ645,vitri(".",AQ645,2)-1),TRUE,LEFT(AQ645,vitri(".",AQ645,1)-1))</f>
        <v/>
      </c>
    </row>
    <row r="646" spans="13:54" x14ac:dyDescent="0.25">
      <c r="M646" s="379"/>
      <c r="BB646" s="206" t="str">
        <f t="array" ref="BB646">_xlfn.IFS(AQ646="","",LEN(AQ646)-LEN(SUBSTITUTE(AQ646,".",""))=3,LEFT(AQ646,vitri(".",AQ646,3)-1),LEN(AQ646)-LEN(SUBSTITUTE(AQ646,".",""))=2,LEFT(AQ646,vitri(".",AQ646,2)-1),TRUE,LEFT(AQ646,vitri(".",AQ646,1)-1))</f>
        <v/>
      </c>
    </row>
    <row r="647" spans="13:54" x14ac:dyDescent="0.25">
      <c r="M647" s="379"/>
      <c r="BB647" s="206" t="str">
        <f t="array" ref="BB647">_xlfn.IFS(AQ647="","",LEN(AQ647)-LEN(SUBSTITUTE(AQ647,".",""))=3,LEFT(AQ647,vitri(".",AQ647,3)-1),LEN(AQ647)-LEN(SUBSTITUTE(AQ647,".",""))=2,LEFT(AQ647,vitri(".",AQ647,2)-1),TRUE,LEFT(AQ647,vitri(".",AQ647,1)-1))</f>
        <v/>
      </c>
    </row>
    <row r="648" spans="13:54" x14ac:dyDescent="0.25">
      <c r="M648" s="379"/>
      <c r="BB648" s="206" t="str">
        <f t="array" ref="BB648">_xlfn.IFS(AQ648="","",LEN(AQ648)-LEN(SUBSTITUTE(AQ648,".",""))=3,LEFT(AQ648,vitri(".",AQ648,3)-1),LEN(AQ648)-LEN(SUBSTITUTE(AQ648,".",""))=2,LEFT(AQ648,vitri(".",AQ648,2)-1),TRUE,LEFT(AQ648,vitri(".",AQ648,1)-1))</f>
        <v/>
      </c>
    </row>
    <row r="649" spans="13:54" x14ac:dyDescent="0.25">
      <c r="M649" s="379"/>
      <c r="BB649" s="206" t="str">
        <f t="array" ref="BB649">_xlfn.IFS(AQ649="","",LEN(AQ649)-LEN(SUBSTITUTE(AQ649,".",""))=3,LEFT(AQ649,vitri(".",AQ649,3)-1),LEN(AQ649)-LEN(SUBSTITUTE(AQ649,".",""))=2,LEFT(AQ649,vitri(".",AQ649,2)-1),TRUE,LEFT(AQ649,vitri(".",AQ649,1)-1))</f>
        <v/>
      </c>
    </row>
    <row r="650" spans="13:54" x14ac:dyDescent="0.25">
      <c r="M650" s="379"/>
      <c r="BB650" s="206" t="str">
        <f t="array" ref="BB650">_xlfn.IFS(AQ650="","",LEN(AQ650)-LEN(SUBSTITUTE(AQ650,".",""))=3,LEFT(AQ650,vitri(".",AQ650,3)-1),LEN(AQ650)-LEN(SUBSTITUTE(AQ650,".",""))=2,LEFT(AQ650,vitri(".",AQ650,2)-1),TRUE,LEFT(AQ650,vitri(".",AQ650,1)-1))</f>
        <v/>
      </c>
    </row>
    <row r="651" spans="13:54" x14ac:dyDescent="0.25">
      <c r="M651" s="379"/>
      <c r="BB651" s="206" t="str">
        <f t="array" ref="BB651">_xlfn.IFS(AQ651="","",LEN(AQ651)-LEN(SUBSTITUTE(AQ651,".",""))=3,LEFT(AQ651,vitri(".",AQ651,3)-1),LEN(AQ651)-LEN(SUBSTITUTE(AQ651,".",""))=2,LEFT(AQ651,vitri(".",AQ651,2)-1),TRUE,LEFT(AQ651,vitri(".",AQ651,1)-1))</f>
        <v/>
      </c>
    </row>
    <row r="652" spans="13:54" x14ac:dyDescent="0.25">
      <c r="M652" s="379"/>
      <c r="BB652" s="206" t="str">
        <f t="array" ref="BB652">_xlfn.IFS(AQ652="","",LEN(AQ652)-LEN(SUBSTITUTE(AQ652,".",""))=3,LEFT(AQ652,vitri(".",AQ652,3)-1),LEN(AQ652)-LEN(SUBSTITUTE(AQ652,".",""))=2,LEFT(AQ652,vitri(".",AQ652,2)-1),TRUE,LEFT(AQ652,vitri(".",AQ652,1)-1))</f>
        <v/>
      </c>
    </row>
    <row r="653" spans="13:54" x14ac:dyDescent="0.25">
      <c r="M653" s="379"/>
      <c r="BB653" s="206" t="str">
        <f t="array" ref="BB653">_xlfn.IFS(AQ653="","",LEN(AQ653)-LEN(SUBSTITUTE(AQ653,".",""))=3,LEFT(AQ653,vitri(".",AQ653,3)-1),LEN(AQ653)-LEN(SUBSTITUTE(AQ653,".",""))=2,LEFT(AQ653,vitri(".",AQ653,2)-1),TRUE,LEFT(AQ653,vitri(".",AQ653,1)-1))</f>
        <v/>
      </c>
    </row>
    <row r="654" spans="13:54" x14ac:dyDescent="0.25">
      <c r="M654" s="379"/>
      <c r="BB654" s="206" t="str">
        <f t="array" ref="BB654">_xlfn.IFS(AQ654="","",LEN(AQ654)-LEN(SUBSTITUTE(AQ654,".",""))=3,LEFT(AQ654,vitri(".",AQ654,3)-1),LEN(AQ654)-LEN(SUBSTITUTE(AQ654,".",""))=2,LEFT(AQ654,vitri(".",AQ654,2)-1),TRUE,LEFT(AQ654,vitri(".",AQ654,1)-1))</f>
        <v/>
      </c>
    </row>
    <row r="655" spans="13:54" x14ac:dyDescent="0.25">
      <c r="M655" s="379"/>
      <c r="BB655" s="206" t="str">
        <f t="array" ref="BB655">_xlfn.IFS(AQ655="","",LEN(AQ655)-LEN(SUBSTITUTE(AQ655,".",""))=3,LEFT(AQ655,vitri(".",AQ655,3)-1),LEN(AQ655)-LEN(SUBSTITUTE(AQ655,".",""))=2,LEFT(AQ655,vitri(".",AQ655,2)-1),TRUE,LEFT(AQ655,vitri(".",AQ655,1)-1))</f>
        <v/>
      </c>
    </row>
    <row r="656" spans="13:54" x14ac:dyDescent="0.25">
      <c r="M656" s="379"/>
      <c r="BB656" s="206" t="str">
        <f t="array" ref="BB656">_xlfn.IFS(AQ656="","",LEN(AQ656)-LEN(SUBSTITUTE(AQ656,".",""))=3,LEFT(AQ656,vitri(".",AQ656,3)-1),LEN(AQ656)-LEN(SUBSTITUTE(AQ656,".",""))=2,LEFT(AQ656,vitri(".",AQ656,2)-1),TRUE,LEFT(AQ656,vitri(".",AQ656,1)-1))</f>
        <v/>
      </c>
    </row>
    <row r="657" spans="13:54" x14ac:dyDescent="0.25">
      <c r="M657" s="379"/>
      <c r="BB657" s="206" t="str">
        <f t="array" ref="BB657">_xlfn.IFS(AQ657="","",LEN(AQ657)-LEN(SUBSTITUTE(AQ657,".",""))=3,LEFT(AQ657,vitri(".",AQ657,3)-1),LEN(AQ657)-LEN(SUBSTITUTE(AQ657,".",""))=2,LEFT(AQ657,vitri(".",AQ657,2)-1),TRUE,LEFT(AQ657,vitri(".",AQ657,1)-1))</f>
        <v/>
      </c>
    </row>
    <row r="658" spans="13:54" x14ac:dyDescent="0.25">
      <c r="M658" s="379"/>
      <c r="BB658" s="206" t="str">
        <f t="array" ref="BB658">_xlfn.IFS(AQ658="","",LEN(AQ658)-LEN(SUBSTITUTE(AQ658,".",""))=3,LEFT(AQ658,vitri(".",AQ658,3)-1),LEN(AQ658)-LEN(SUBSTITUTE(AQ658,".",""))=2,LEFT(AQ658,vitri(".",AQ658,2)-1),TRUE,LEFT(AQ658,vitri(".",AQ658,1)-1))</f>
        <v/>
      </c>
    </row>
    <row r="659" spans="13:54" x14ac:dyDescent="0.25">
      <c r="M659" s="379"/>
      <c r="BB659" s="206" t="str">
        <f t="array" ref="BB659">_xlfn.IFS(AQ659="","",LEN(AQ659)-LEN(SUBSTITUTE(AQ659,".",""))=3,LEFT(AQ659,vitri(".",AQ659,3)-1),LEN(AQ659)-LEN(SUBSTITUTE(AQ659,".",""))=2,LEFT(AQ659,vitri(".",AQ659,2)-1),TRUE,LEFT(AQ659,vitri(".",AQ659,1)-1))</f>
        <v/>
      </c>
    </row>
    <row r="660" spans="13:54" x14ac:dyDescent="0.25">
      <c r="M660" s="379"/>
      <c r="BB660" s="206" t="str">
        <f t="array" ref="BB660">_xlfn.IFS(AQ660="","",LEN(AQ660)-LEN(SUBSTITUTE(AQ660,".",""))=3,LEFT(AQ660,vitri(".",AQ660,3)-1),LEN(AQ660)-LEN(SUBSTITUTE(AQ660,".",""))=2,LEFT(AQ660,vitri(".",AQ660,2)-1),TRUE,LEFT(AQ660,vitri(".",AQ660,1)-1))</f>
        <v/>
      </c>
    </row>
    <row r="661" spans="13:54" x14ac:dyDescent="0.25">
      <c r="M661" s="379"/>
      <c r="BB661" s="206" t="str">
        <f t="array" ref="BB661">_xlfn.IFS(AQ661="","",LEN(AQ661)-LEN(SUBSTITUTE(AQ661,".",""))=3,LEFT(AQ661,vitri(".",AQ661,3)-1),LEN(AQ661)-LEN(SUBSTITUTE(AQ661,".",""))=2,LEFT(AQ661,vitri(".",AQ661,2)-1),TRUE,LEFT(AQ661,vitri(".",AQ661,1)-1))</f>
        <v/>
      </c>
    </row>
    <row r="662" spans="13:54" x14ac:dyDescent="0.25">
      <c r="M662" s="379"/>
      <c r="BB662" s="206" t="str">
        <f t="array" ref="BB662">_xlfn.IFS(AQ662="","",LEN(AQ662)-LEN(SUBSTITUTE(AQ662,".",""))=3,LEFT(AQ662,vitri(".",AQ662,3)-1),LEN(AQ662)-LEN(SUBSTITUTE(AQ662,".",""))=2,LEFT(AQ662,vitri(".",AQ662,2)-1),TRUE,LEFT(AQ662,vitri(".",AQ662,1)-1))</f>
        <v/>
      </c>
    </row>
    <row r="663" spans="13:54" x14ac:dyDescent="0.25">
      <c r="M663" s="379"/>
      <c r="BB663" s="206" t="str">
        <f t="array" ref="BB663">_xlfn.IFS(AQ663="","",LEN(AQ663)-LEN(SUBSTITUTE(AQ663,".",""))=3,LEFT(AQ663,vitri(".",AQ663,3)-1),LEN(AQ663)-LEN(SUBSTITUTE(AQ663,".",""))=2,LEFT(AQ663,vitri(".",AQ663,2)-1),TRUE,LEFT(AQ663,vitri(".",AQ663,1)-1))</f>
        <v/>
      </c>
    </row>
    <row r="664" spans="13:54" x14ac:dyDescent="0.25">
      <c r="M664" s="379"/>
      <c r="BB664" s="206" t="str">
        <f t="array" ref="BB664">_xlfn.IFS(AQ664="","",LEN(AQ664)-LEN(SUBSTITUTE(AQ664,".",""))=3,LEFT(AQ664,vitri(".",AQ664,3)-1),LEN(AQ664)-LEN(SUBSTITUTE(AQ664,".",""))=2,LEFT(AQ664,vitri(".",AQ664,2)-1),TRUE,LEFT(AQ664,vitri(".",AQ664,1)-1))</f>
        <v/>
      </c>
    </row>
    <row r="665" spans="13:54" x14ac:dyDescent="0.25">
      <c r="M665" s="379"/>
      <c r="BB665" s="206" t="str">
        <f t="array" ref="BB665">_xlfn.IFS(AQ665="","",LEN(AQ665)-LEN(SUBSTITUTE(AQ665,".",""))=3,LEFT(AQ665,vitri(".",AQ665,3)-1),LEN(AQ665)-LEN(SUBSTITUTE(AQ665,".",""))=2,LEFT(AQ665,vitri(".",AQ665,2)-1),TRUE,LEFT(AQ665,vitri(".",AQ665,1)-1))</f>
        <v/>
      </c>
    </row>
    <row r="666" spans="13:54" x14ac:dyDescent="0.25">
      <c r="M666" s="379"/>
      <c r="BB666" s="206" t="str">
        <f t="array" ref="BB666">_xlfn.IFS(AQ666="","",LEN(AQ666)-LEN(SUBSTITUTE(AQ666,".",""))=3,LEFT(AQ666,vitri(".",AQ666,3)-1),LEN(AQ666)-LEN(SUBSTITUTE(AQ666,".",""))=2,LEFT(AQ666,vitri(".",AQ666,2)-1),TRUE,LEFT(AQ666,vitri(".",AQ666,1)-1))</f>
        <v/>
      </c>
    </row>
    <row r="667" spans="13:54" x14ac:dyDescent="0.25">
      <c r="M667" s="379"/>
      <c r="BB667" s="206" t="str">
        <f t="array" ref="BB667">_xlfn.IFS(AQ667="","",LEN(AQ667)-LEN(SUBSTITUTE(AQ667,".",""))=3,LEFT(AQ667,vitri(".",AQ667,3)-1),LEN(AQ667)-LEN(SUBSTITUTE(AQ667,".",""))=2,LEFT(AQ667,vitri(".",AQ667,2)-1),TRUE,LEFT(AQ667,vitri(".",AQ667,1)-1))</f>
        <v/>
      </c>
    </row>
    <row r="668" spans="13:54" x14ac:dyDescent="0.25">
      <c r="M668" s="379"/>
      <c r="BB668" s="206" t="str">
        <f t="array" ref="BB668">_xlfn.IFS(AQ668="","",LEN(AQ668)-LEN(SUBSTITUTE(AQ668,".",""))=3,LEFT(AQ668,vitri(".",AQ668,3)-1),LEN(AQ668)-LEN(SUBSTITUTE(AQ668,".",""))=2,LEFT(AQ668,vitri(".",AQ668,2)-1),TRUE,LEFT(AQ668,vitri(".",AQ668,1)-1))</f>
        <v/>
      </c>
    </row>
    <row r="669" spans="13:54" x14ac:dyDescent="0.25">
      <c r="M669" s="379"/>
      <c r="BB669" s="206" t="str">
        <f t="array" ref="BB669">_xlfn.IFS(AQ669="","",LEN(AQ669)-LEN(SUBSTITUTE(AQ669,".",""))=3,LEFT(AQ669,vitri(".",AQ669,3)-1),LEN(AQ669)-LEN(SUBSTITUTE(AQ669,".",""))=2,LEFT(AQ669,vitri(".",AQ669,2)-1),TRUE,LEFT(AQ669,vitri(".",AQ669,1)-1))</f>
        <v/>
      </c>
    </row>
    <row r="670" spans="13:54" x14ac:dyDescent="0.25">
      <c r="M670" s="379"/>
      <c r="BB670" s="206" t="str">
        <f t="array" ref="BB670">_xlfn.IFS(AQ670="","",LEN(AQ670)-LEN(SUBSTITUTE(AQ670,".",""))=3,LEFT(AQ670,vitri(".",AQ670,3)-1),LEN(AQ670)-LEN(SUBSTITUTE(AQ670,".",""))=2,LEFT(AQ670,vitri(".",AQ670,2)-1),TRUE,LEFT(AQ670,vitri(".",AQ670,1)-1))</f>
        <v/>
      </c>
    </row>
    <row r="671" spans="13:54" x14ac:dyDescent="0.25">
      <c r="M671" s="379"/>
      <c r="BB671" s="206" t="str">
        <f t="array" ref="BB671">_xlfn.IFS(AQ671="","",LEN(AQ671)-LEN(SUBSTITUTE(AQ671,".",""))=3,LEFT(AQ671,vitri(".",AQ671,3)-1),LEN(AQ671)-LEN(SUBSTITUTE(AQ671,".",""))=2,LEFT(AQ671,vitri(".",AQ671,2)-1),TRUE,LEFT(AQ671,vitri(".",AQ671,1)-1))</f>
        <v/>
      </c>
    </row>
    <row r="672" spans="13:54" x14ac:dyDescent="0.25">
      <c r="M672" s="379"/>
      <c r="BB672" s="206" t="str">
        <f t="array" ref="BB672">_xlfn.IFS(AQ672="","",LEN(AQ672)-LEN(SUBSTITUTE(AQ672,".",""))=3,LEFT(AQ672,vitri(".",AQ672,3)-1),LEN(AQ672)-LEN(SUBSTITUTE(AQ672,".",""))=2,LEFT(AQ672,vitri(".",AQ672,2)-1),TRUE,LEFT(AQ672,vitri(".",AQ672,1)-1))</f>
        <v/>
      </c>
    </row>
    <row r="673" spans="13:54" x14ac:dyDescent="0.25">
      <c r="M673" s="379"/>
      <c r="BB673" s="206" t="str">
        <f t="array" ref="BB673">_xlfn.IFS(AQ673="","",LEN(AQ673)-LEN(SUBSTITUTE(AQ673,".",""))=3,LEFT(AQ673,vitri(".",AQ673,3)-1),LEN(AQ673)-LEN(SUBSTITUTE(AQ673,".",""))=2,LEFT(AQ673,vitri(".",AQ673,2)-1),TRUE,LEFT(AQ673,vitri(".",AQ673,1)-1))</f>
        <v/>
      </c>
    </row>
    <row r="674" spans="13:54" x14ac:dyDescent="0.25">
      <c r="M674" s="379"/>
      <c r="BB674" s="206" t="str">
        <f t="array" ref="BB674">_xlfn.IFS(AQ674="","",LEN(AQ674)-LEN(SUBSTITUTE(AQ674,".",""))=3,LEFT(AQ674,vitri(".",AQ674,3)-1),LEN(AQ674)-LEN(SUBSTITUTE(AQ674,".",""))=2,LEFT(AQ674,vitri(".",AQ674,2)-1),TRUE,LEFT(AQ674,vitri(".",AQ674,1)-1))</f>
        <v/>
      </c>
    </row>
    <row r="675" spans="13:54" x14ac:dyDescent="0.25">
      <c r="M675" s="379"/>
      <c r="BB675" s="206" t="str">
        <f t="array" ref="BB675">_xlfn.IFS(AQ675="","",LEN(AQ675)-LEN(SUBSTITUTE(AQ675,".",""))=3,LEFT(AQ675,vitri(".",AQ675,3)-1),LEN(AQ675)-LEN(SUBSTITUTE(AQ675,".",""))=2,LEFT(AQ675,vitri(".",AQ675,2)-1),TRUE,LEFT(AQ675,vitri(".",AQ675,1)-1))</f>
        <v/>
      </c>
    </row>
    <row r="676" spans="13:54" x14ac:dyDescent="0.25">
      <c r="M676" s="379"/>
      <c r="BB676" s="206" t="str">
        <f t="array" ref="BB676">_xlfn.IFS(AQ676="","",LEN(AQ676)-LEN(SUBSTITUTE(AQ676,".",""))=3,LEFT(AQ676,vitri(".",AQ676,3)-1),LEN(AQ676)-LEN(SUBSTITUTE(AQ676,".",""))=2,LEFT(AQ676,vitri(".",AQ676,2)-1),TRUE,LEFT(AQ676,vitri(".",AQ676,1)-1))</f>
        <v/>
      </c>
    </row>
    <row r="677" spans="13:54" x14ac:dyDescent="0.25">
      <c r="M677" s="379"/>
      <c r="BB677" s="206" t="str">
        <f t="array" ref="BB677">_xlfn.IFS(AQ677="","",LEN(AQ677)-LEN(SUBSTITUTE(AQ677,".",""))=3,LEFT(AQ677,vitri(".",AQ677,3)-1),LEN(AQ677)-LEN(SUBSTITUTE(AQ677,".",""))=2,LEFT(AQ677,vitri(".",AQ677,2)-1),TRUE,LEFT(AQ677,vitri(".",AQ677,1)-1))</f>
        <v/>
      </c>
    </row>
    <row r="678" spans="13:54" x14ac:dyDescent="0.25">
      <c r="M678" s="379"/>
      <c r="BB678" s="206" t="str">
        <f t="array" ref="BB678">_xlfn.IFS(AQ678="","",LEN(AQ678)-LEN(SUBSTITUTE(AQ678,".",""))=3,LEFT(AQ678,vitri(".",AQ678,3)-1),LEN(AQ678)-LEN(SUBSTITUTE(AQ678,".",""))=2,LEFT(AQ678,vitri(".",AQ678,2)-1),TRUE,LEFT(AQ678,vitri(".",AQ678,1)-1))</f>
        <v/>
      </c>
    </row>
    <row r="679" spans="13:54" x14ac:dyDescent="0.25">
      <c r="M679" s="379"/>
      <c r="BB679" s="206" t="str">
        <f t="array" ref="BB679">_xlfn.IFS(AQ679="","",LEN(AQ679)-LEN(SUBSTITUTE(AQ679,".",""))=3,LEFT(AQ679,vitri(".",AQ679,3)-1),LEN(AQ679)-LEN(SUBSTITUTE(AQ679,".",""))=2,LEFT(AQ679,vitri(".",AQ679,2)-1),TRUE,LEFT(AQ679,vitri(".",AQ679,1)-1))</f>
        <v/>
      </c>
    </row>
    <row r="680" spans="13:54" x14ac:dyDescent="0.25">
      <c r="M680" s="379"/>
      <c r="BB680" s="206" t="str">
        <f t="array" ref="BB680">_xlfn.IFS(AQ680="","",LEN(AQ680)-LEN(SUBSTITUTE(AQ680,".",""))=3,LEFT(AQ680,vitri(".",AQ680,3)-1),LEN(AQ680)-LEN(SUBSTITUTE(AQ680,".",""))=2,LEFT(AQ680,vitri(".",AQ680,2)-1),TRUE,LEFT(AQ680,vitri(".",AQ680,1)-1))</f>
        <v/>
      </c>
    </row>
    <row r="681" spans="13:54" x14ac:dyDescent="0.25">
      <c r="M681" s="379"/>
      <c r="BB681" s="206" t="str">
        <f t="array" ref="BB681">_xlfn.IFS(AQ681="","",LEN(AQ681)-LEN(SUBSTITUTE(AQ681,".",""))=3,LEFT(AQ681,vitri(".",AQ681,3)-1),LEN(AQ681)-LEN(SUBSTITUTE(AQ681,".",""))=2,LEFT(AQ681,vitri(".",AQ681,2)-1),TRUE,LEFT(AQ681,vitri(".",AQ681,1)-1))</f>
        <v/>
      </c>
    </row>
    <row r="682" spans="13:54" x14ac:dyDescent="0.25">
      <c r="M682" s="379"/>
      <c r="BB682" s="206" t="str">
        <f t="array" ref="BB682">_xlfn.IFS(AQ682="","",LEN(AQ682)-LEN(SUBSTITUTE(AQ682,".",""))=3,LEFT(AQ682,vitri(".",AQ682,3)-1),LEN(AQ682)-LEN(SUBSTITUTE(AQ682,".",""))=2,LEFT(AQ682,vitri(".",AQ682,2)-1),TRUE,LEFT(AQ682,vitri(".",AQ682,1)-1))</f>
        <v/>
      </c>
    </row>
    <row r="683" spans="13:54" x14ac:dyDescent="0.25">
      <c r="M683" s="379"/>
      <c r="BB683" s="206" t="str">
        <f t="array" ref="BB683">_xlfn.IFS(AQ683="","",LEN(AQ683)-LEN(SUBSTITUTE(AQ683,".",""))=3,LEFT(AQ683,vitri(".",AQ683,3)-1),LEN(AQ683)-LEN(SUBSTITUTE(AQ683,".",""))=2,LEFT(AQ683,vitri(".",AQ683,2)-1),TRUE,LEFT(AQ683,vitri(".",AQ683,1)-1))</f>
        <v/>
      </c>
    </row>
    <row r="684" spans="13:54" x14ac:dyDescent="0.25">
      <c r="M684" s="379"/>
      <c r="BB684" s="206" t="str">
        <f t="array" ref="BB684">_xlfn.IFS(AQ684="","",LEN(AQ684)-LEN(SUBSTITUTE(AQ684,".",""))=3,LEFT(AQ684,vitri(".",AQ684,3)-1),LEN(AQ684)-LEN(SUBSTITUTE(AQ684,".",""))=2,LEFT(AQ684,vitri(".",AQ684,2)-1),TRUE,LEFT(AQ684,vitri(".",AQ684,1)-1))</f>
        <v/>
      </c>
    </row>
    <row r="685" spans="13:54" x14ac:dyDescent="0.25">
      <c r="M685" s="379"/>
      <c r="BB685" s="206" t="str">
        <f t="array" ref="BB685">_xlfn.IFS(AQ685="","",LEN(AQ685)-LEN(SUBSTITUTE(AQ685,".",""))=3,LEFT(AQ685,vitri(".",AQ685,3)-1),LEN(AQ685)-LEN(SUBSTITUTE(AQ685,".",""))=2,LEFT(AQ685,vitri(".",AQ685,2)-1),TRUE,LEFT(AQ685,vitri(".",AQ685,1)-1))</f>
        <v/>
      </c>
    </row>
    <row r="686" spans="13:54" x14ac:dyDescent="0.25">
      <c r="M686" s="379"/>
      <c r="BB686" s="206" t="str">
        <f t="array" ref="BB686">_xlfn.IFS(AQ686="","",LEN(AQ686)-LEN(SUBSTITUTE(AQ686,".",""))=3,LEFT(AQ686,vitri(".",AQ686,3)-1),LEN(AQ686)-LEN(SUBSTITUTE(AQ686,".",""))=2,LEFT(AQ686,vitri(".",AQ686,2)-1),TRUE,LEFT(AQ686,vitri(".",AQ686,1)-1))</f>
        <v/>
      </c>
    </row>
    <row r="687" spans="13:54" x14ac:dyDescent="0.25">
      <c r="M687" s="379"/>
      <c r="BB687" s="206" t="str">
        <f t="array" ref="BB687">_xlfn.IFS(AQ687="","",LEN(AQ687)-LEN(SUBSTITUTE(AQ687,".",""))=3,LEFT(AQ687,vitri(".",AQ687,3)-1),LEN(AQ687)-LEN(SUBSTITUTE(AQ687,".",""))=2,LEFT(AQ687,vitri(".",AQ687,2)-1),TRUE,LEFT(AQ687,vitri(".",AQ687,1)-1))</f>
        <v/>
      </c>
    </row>
    <row r="688" spans="13:54" x14ac:dyDescent="0.25">
      <c r="M688" s="379"/>
      <c r="BB688" s="206" t="str">
        <f t="array" ref="BB688">_xlfn.IFS(AQ688="","",LEN(AQ688)-LEN(SUBSTITUTE(AQ688,".",""))=3,LEFT(AQ688,vitri(".",AQ688,3)-1),LEN(AQ688)-LEN(SUBSTITUTE(AQ688,".",""))=2,LEFT(AQ688,vitri(".",AQ688,2)-1),TRUE,LEFT(AQ688,vitri(".",AQ688,1)-1))</f>
        <v/>
      </c>
    </row>
    <row r="689" spans="13:54" x14ac:dyDescent="0.25">
      <c r="M689" s="379"/>
      <c r="BB689" s="206" t="str">
        <f t="array" ref="BB689">_xlfn.IFS(AQ689="","",LEN(AQ689)-LEN(SUBSTITUTE(AQ689,".",""))=3,LEFT(AQ689,vitri(".",AQ689,3)-1),LEN(AQ689)-LEN(SUBSTITUTE(AQ689,".",""))=2,LEFT(AQ689,vitri(".",AQ689,2)-1),TRUE,LEFT(AQ689,vitri(".",AQ689,1)-1))</f>
        <v/>
      </c>
    </row>
    <row r="690" spans="13:54" x14ac:dyDescent="0.25">
      <c r="M690" s="379"/>
      <c r="BB690" s="206" t="str">
        <f t="array" ref="BB690">_xlfn.IFS(AQ690="","",LEN(AQ690)-LEN(SUBSTITUTE(AQ690,".",""))=3,LEFT(AQ690,vitri(".",AQ690,3)-1),LEN(AQ690)-LEN(SUBSTITUTE(AQ690,".",""))=2,LEFT(AQ690,vitri(".",AQ690,2)-1),TRUE,LEFT(AQ690,vitri(".",AQ690,1)-1))</f>
        <v/>
      </c>
    </row>
    <row r="691" spans="13:54" x14ac:dyDescent="0.25">
      <c r="M691" s="379"/>
      <c r="BB691" s="206" t="str">
        <f t="array" ref="BB691">_xlfn.IFS(AQ691="","",LEN(AQ691)-LEN(SUBSTITUTE(AQ691,".",""))=3,LEFT(AQ691,vitri(".",AQ691,3)-1),LEN(AQ691)-LEN(SUBSTITUTE(AQ691,".",""))=2,LEFT(AQ691,vitri(".",AQ691,2)-1),TRUE,LEFT(AQ691,vitri(".",AQ691,1)-1))</f>
        <v/>
      </c>
    </row>
    <row r="692" spans="13:54" x14ac:dyDescent="0.25">
      <c r="M692" s="379"/>
      <c r="BB692" s="206" t="str">
        <f t="array" ref="BB692">_xlfn.IFS(AQ692="","",LEN(AQ692)-LEN(SUBSTITUTE(AQ692,".",""))=3,LEFT(AQ692,vitri(".",AQ692,3)-1),LEN(AQ692)-LEN(SUBSTITUTE(AQ692,".",""))=2,LEFT(AQ692,vitri(".",AQ692,2)-1),TRUE,LEFT(AQ692,vitri(".",AQ692,1)-1))</f>
        <v/>
      </c>
    </row>
    <row r="693" spans="13:54" x14ac:dyDescent="0.25">
      <c r="M693" s="379"/>
      <c r="BB693" s="206" t="str">
        <f t="array" ref="BB693">_xlfn.IFS(AQ693="","",LEN(AQ693)-LEN(SUBSTITUTE(AQ693,".",""))=3,LEFT(AQ693,vitri(".",AQ693,3)-1),LEN(AQ693)-LEN(SUBSTITUTE(AQ693,".",""))=2,LEFT(AQ693,vitri(".",AQ693,2)-1),TRUE,LEFT(AQ693,vitri(".",AQ693,1)-1))</f>
        <v/>
      </c>
    </row>
    <row r="694" spans="13:54" x14ac:dyDescent="0.25">
      <c r="M694" s="379"/>
      <c r="BB694" s="206" t="str">
        <f t="array" ref="BB694">_xlfn.IFS(AQ694="","",LEN(AQ694)-LEN(SUBSTITUTE(AQ694,".",""))=3,LEFT(AQ694,vitri(".",AQ694,3)-1),LEN(AQ694)-LEN(SUBSTITUTE(AQ694,".",""))=2,LEFT(AQ694,vitri(".",AQ694,2)-1),TRUE,LEFT(AQ694,vitri(".",AQ694,1)-1))</f>
        <v/>
      </c>
    </row>
    <row r="695" spans="13:54" x14ac:dyDescent="0.25">
      <c r="M695" s="379"/>
      <c r="BB695" s="206" t="str">
        <f t="array" ref="BB695">_xlfn.IFS(AQ695="","",LEN(AQ695)-LEN(SUBSTITUTE(AQ695,".",""))=3,LEFT(AQ695,vitri(".",AQ695,3)-1),LEN(AQ695)-LEN(SUBSTITUTE(AQ695,".",""))=2,LEFT(AQ695,vitri(".",AQ695,2)-1),TRUE,LEFT(AQ695,vitri(".",AQ695,1)-1))</f>
        <v/>
      </c>
    </row>
    <row r="696" spans="13:54" x14ac:dyDescent="0.25">
      <c r="M696" s="379"/>
      <c r="BB696" s="206" t="str">
        <f t="array" ref="BB696">_xlfn.IFS(AQ696="","",LEN(AQ696)-LEN(SUBSTITUTE(AQ696,".",""))=3,LEFT(AQ696,vitri(".",AQ696,3)-1),LEN(AQ696)-LEN(SUBSTITUTE(AQ696,".",""))=2,LEFT(AQ696,vitri(".",AQ696,2)-1),TRUE,LEFT(AQ696,vitri(".",AQ696,1)-1))</f>
        <v/>
      </c>
    </row>
    <row r="697" spans="13:54" x14ac:dyDescent="0.25">
      <c r="M697" s="379"/>
      <c r="BB697" s="206" t="str">
        <f t="array" ref="BB697">_xlfn.IFS(AQ697="","",LEN(AQ697)-LEN(SUBSTITUTE(AQ697,".",""))=3,LEFT(AQ697,vitri(".",AQ697,3)-1),LEN(AQ697)-LEN(SUBSTITUTE(AQ697,".",""))=2,LEFT(AQ697,vitri(".",AQ697,2)-1),TRUE,LEFT(AQ697,vitri(".",AQ697,1)-1))</f>
        <v/>
      </c>
    </row>
    <row r="698" spans="13:54" x14ac:dyDescent="0.25">
      <c r="M698" s="379"/>
      <c r="BB698" s="206" t="str">
        <f t="array" ref="BB698">_xlfn.IFS(AQ698="","",LEN(AQ698)-LEN(SUBSTITUTE(AQ698,".",""))=3,LEFT(AQ698,vitri(".",AQ698,3)-1),LEN(AQ698)-LEN(SUBSTITUTE(AQ698,".",""))=2,LEFT(AQ698,vitri(".",AQ698,2)-1),TRUE,LEFT(AQ698,vitri(".",AQ698,1)-1))</f>
        <v/>
      </c>
    </row>
    <row r="699" spans="13:54" x14ac:dyDescent="0.25">
      <c r="M699" s="379"/>
      <c r="BB699" s="206" t="str">
        <f t="array" ref="BB699">_xlfn.IFS(AQ699="","",LEN(AQ699)-LEN(SUBSTITUTE(AQ699,".",""))=3,LEFT(AQ699,vitri(".",AQ699,3)-1),LEN(AQ699)-LEN(SUBSTITUTE(AQ699,".",""))=2,LEFT(AQ699,vitri(".",AQ699,2)-1),TRUE,LEFT(AQ699,vitri(".",AQ699,1)-1))</f>
        <v/>
      </c>
    </row>
    <row r="700" spans="13:54" x14ac:dyDescent="0.25">
      <c r="M700" s="379"/>
      <c r="BB700" s="206" t="str">
        <f t="array" ref="BB700">_xlfn.IFS(AQ700="","",LEN(AQ700)-LEN(SUBSTITUTE(AQ700,".",""))=3,LEFT(AQ700,vitri(".",AQ700,3)-1),LEN(AQ700)-LEN(SUBSTITUTE(AQ700,".",""))=2,LEFT(AQ700,vitri(".",AQ700,2)-1),TRUE,LEFT(AQ700,vitri(".",AQ700,1)-1))</f>
        <v/>
      </c>
    </row>
    <row r="701" spans="13:54" x14ac:dyDescent="0.25">
      <c r="M701" s="379"/>
      <c r="BB701" s="206" t="str">
        <f t="array" ref="BB701">_xlfn.IFS(AQ701="","",LEN(AQ701)-LEN(SUBSTITUTE(AQ701,".",""))=3,LEFT(AQ701,vitri(".",AQ701,3)-1),LEN(AQ701)-LEN(SUBSTITUTE(AQ701,".",""))=2,LEFT(AQ701,vitri(".",AQ701,2)-1),TRUE,LEFT(AQ701,vitri(".",AQ701,1)-1))</f>
        <v/>
      </c>
    </row>
    <row r="702" spans="13:54" x14ac:dyDescent="0.25">
      <c r="M702" s="379"/>
      <c r="BB702" s="206" t="str">
        <f t="array" ref="BB702">_xlfn.IFS(AQ702="","",LEN(AQ702)-LEN(SUBSTITUTE(AQ702,".",""))=3,LEFT(AQ702,vitri(".",AQ702,3)-1),LEN(AQ702)-LEN(SUBSTITUTE(AQ702,".",""))=2,LEFT(AQ702,vitri(".",AQ702,2)-1),TRUE,LEFT(AQ702,vitri(".",AQ702,1)-1))</f>
        <v/>
      </c>
    </row>
    <row r="703" spans="13:54" x14ac:dyDescent="0.25">
      <c r="M703" s="379"/>
      <c r="BB703" s="206" t="str">
        <f t="array" ref="BB703">_xlfn.IFS(AQ703="","",LEN(AQ703)-LEN(SUBSTITUTE(AQ703,".",""))=3,LEFT(AQ703,vitri(".",AQ703,3)-1),LEN(AQ703)-LEN(SUBSTITUTE(AQ703,".",""))=2,LEFT(AQ703,vitri(".",AQ703,2)-1),TRUE,LEFT(AQ703,vitri(".",AQ703,1)-1))</f>
        <v/>
      </c>
    </row>
    <row r="704" spans="13:54" x14ac:dyDescent="0.25">
      <c r="M704" s="379"/>
      <c r="BB704" s="206" t="str">
        <f t="array" ref="BB704">_xlfn.IFS(AQ704="","",LEN(AQ704)-LEN(SUBSTITUTE(AQ704,".",""))=3,LEFT(AQ704,vitri(".",AQ704,3)-1),LEN(AQ704)-LEN(SUBSTITUTE(AQ704,".",""))=2,LEFT(AQ704,vitri(".",AQ704,2)-1),TRUE,LEFT(AQ704,vitri(".",AQ704,1)-1))</f>
        <v/>
      </c>
    </row>
    <row r="705" spans="13:54" x14ac:dyDescent="0.25">
      <c r="M705" s="379"/>
      <c r="BB705" s="206" t="str">
        <f t="array" ref="BB705">_xlfn.IFS(AQ705="","",LEN(AQ705)-LEN(SUBSTITUTE(AQ705,".",""))=3,LEFT(AQ705,vitri(".",AQ705,3)-1),LEN(AQ705)-LEN(SUBSTITUTE(AQ705,".",""))=2,LEFT(AQ705,vitri(".",AQ705,2)-1),TRUE,LEFT(AQ705,vitri(".",AQ705,1)-1))</f>
        <v/>
      </c>
    </row>
    <row r="706" spans="13:54" x14ac:dyDescent="0.25">
      <c r="M706" s="379"/>
      <c r="BB706" s="206" t="str">
        <f t="array" ref="BB706">_xlfn.IFS(AQ706="","",LEN(AQ706)-LEN(SUBSTITUTE(AQ706,".",""))=3,LEFT(AQ706,vitri(".",AQ706,3)-1),LEN(AQ706)-LEN(SUBSTITUTE(AQ706,".",""))=2,LEFT(AQ706,vitri(".",AQ706,2)-1),TRUE,LEFT(AQ706,vitri(".",AQ706,1)-1))</f>
        <v/>
      </c>
    </row>
    <row r="707" spans="13:54" x14ac:dyDescent="0.25">
      <c r="M707" s="379"/>
      <c r="BB707" s="206" t="str">
        <f t="array" ref="BB707">_xlfn.IFS(AQ707="","",LEN(AQ707)-LEN(SUBSTITUTE(AQ707,".",""))=3,LEFT(AQ707,vitri(".",AQ707,3)-1),LEN(AQ707)-LEN(SUBSTITUTE(AQ707,".",""))=2,LEFT(AQ707,vitri(".",AQ707,2)-1),TRUE,LEFT(AQ707,vitri(".",AQ707,1)-1))</f>
        <v/>
      </c>
    </row>
    <row r="708" spans="13:54" x14ac:dyDescent="0.25">
      <c r="M708" s="379"/>
      <c r="BB708" s="206" t="str">
        <f t="array" ref="BB708">_xlfn.IFS(AQ708="","",LEN(AQ708)-LEN(SUBSTITUTE(AQ708,".",""))=3,LEFT(AQ708,vitri(".",AQ708,3)-1),LEN(AQ708)-LEN(SUBSTITUTE(AQ708,".",""))=2,LEFT(AQ708,vitri(".",AQ708,2)-1),TRUE,LEFT(AQ708,vitri(".",AQ708,1)-1))</f>
        <v/>
      </c>
    </row>
    <row r="709" spans="13:54" x14ac:dyDescent="0.25">
      <c r="M709" s="379"/>
      <c r="BB709" s="206" t="str">
        <f t="array" ref="BB709">_xlfn.IFS(AQ709="","",LEN(AQ709)-LEN(SUBSTITUTE(AQ709,".",""))=3,LEFT(AQ709,vitri(".",AQ709,3)-1),LEN(AQ709)-LEN(SUBSTITUTE(AQ709,".",""))=2,LEFT(AQ709,vitri(".",AQ709,2)-1),TRUE,LEFT(AQ709,vitri(".",AQ709,1)-1))</f>
        <v/>
      </c>
    </row>
    <row r="710" spans="13:54" x14ac:dyDescent="0.25">
      <c r="M710" s="379"/>
      <c r="BB710" s="206" t="str">
        <f t="array" ref="BB710">_xlfn.IFS(AQ710="","",LEN(AQ710)-LEN(SUBSTITUTE(AQ710,".",""))=3,LEFT(AQ710,vitri(".",AQ710,3)-1),LEN(AQ710)-LEN(SUBSTITUTE(AQ710,".",""))=2,LEFT(AQ710,vitri(".",AQ710,2)-1),TRUE,LEFT(AQ710,vitri(".",AQ710,1)-1))</f>
        <v/>
      </c>
    </row>
    <row r="711" spans="13:54" x14ac:dyDescent="0.25">
      <c r="M711" s="379"/>
      <c r="BB711" s="206" t="str">
        <f t="array" ref="BB711">_xlfn.IFS(AQ711="","",LEN(AQ711)-LEN(SUBSTITUTE(AQ711,".",""))=3,LEFT(AQ711,vitri(".",AQ711,3)-1),LEN(AQ711)-LEN(SUBSTITUTE(AQ711,".",""))=2,LEFT(AQ711,vitri(".",AQ711,2)-1),TRUE,LEFT(AQ711,vitri(".",AQ711,1)-1))</f>
        <v/>
      </c>
    </row>
    <row r="712" spans="13:54" x14ac:dyDescent="0.25">
      <c r="M712" s="379"/>
      <c r="BB712" s="206" t="str">
        <f t="array" ref="BB712">_xlfn.IFS(AQ712="","",LEN(AQ712)-LEN(SUBSTITUTE(AQ712,".",""))=3,LEFT(AQ712,vitri(".",AQ712,3)-1),LEN(AQ712)-LEN(SUBSTITUTE(AQ712,".",""))=2,LEFT(AQ712,vitri(".",AQ712,2)-1),TRUE,LEFT(AQ712,vitri(".",AQ712,1)-1))</f>
        <v/>
      </c>
    </row>
    <row r="713" spans="13:54" x14ac:dyDescent="0.25">
      <c r="M713" s="379"/>
      <c r="BB713" s="206" t="str">
        <f t="array" ref="BB713">_xlfn.IFS(AQ713="","",LEN(AQ713)-LEN(SUBSTITUTE(AQ713,".",""))=3,LEFT(AQ713,vitri(".",AQ713,3)-1),LEN(AQ713)-LEN(SUBSTITUTE(AQ713,".",""))=2,LEFT(AQ713,vitri(".",AQ713,2)-1),TRUE,LEFT(AQ713,vitri(".",AQ713,1)-1))</f>
        <v/>
      </c>
    </row>
    <row r="714" spans="13:54" x14ac:dyDescent="0.25">
      <c r="M714" s="379"/>
      <c r="BB714" s="206" t="str">
        <f t="array" ref="BB714">_xlfn.IFS(AQ714="","",LEN(AQ714)-LEN(SUBSTITUTE(AQ714,".",""))=3,LEFT(AQ714,vitri(".",AQ714,3)-1),LEN(AQ714)-LEN(SUBSTITUTE(AQ714,".",""))=2,LEFT(AQ714,vitri(".",AQ714,2)-1),TRUE,LEFT(AQ714,vitri(".",AQ714,1)-1))</f>
        <v/>
      </c>
    </row>
    <row r="715" spans="13:54" x14ac:dyDescent="0.25">
      <c r="M715" s="379"/>
      <c r="BB715" s="206" t="str">
        <f t="array" ref="BB715">_xlfn.IFS(AQ715="","",LEN(AQ715)-LEN(SUBSTITUTE(AQ715,".",""))=3,LEFT(AQ715,vitri(".",AQ715,3)-1),LEN(AQ715)-LEN(SUBSTITUTE(AQ715,".",""))=2,LEFT(AQ715,vitri(".",AQ715,2)-1),TRUE,LEFT(AQ715,vitri(".",AQ715,1)-1))</f>
        <v/>
      </c>
    </row>
    <row r="716" spans="13:54" x14ac:dyDescent="0.25">
      <c r="M716" s="379"/>
      <c r="BB716" s="206" t="str">
        <f t="array" ref="BB716">_xlfn.IFS(AQ716="","",LEN(AQ716)-LEN(SUBSTITUTE(AQ716,".",""))=3,LEFT(AQ716,vitri(".",AQ716,3)-1),LEN(AQ716)-LEN(SUBSTITUTE(AQ716,".",""))=2,LEFT(AQ716,vitri(".",AQ716,2)-1),TRUE,LEFT(AQ716,vitri(".",AQ716,1)-1))</f>
        <v/>
      </c>
    </row>
    <row r="717" spans="13:54" x14ac:dyDescent="0.25">
      <c r="M717" s="379"/>
      <c r="BB717" s="206" t="str">
        <f t="array" ref="BB717">_xlfn.IFS(AQ717="","",LEN(AQ717)-LEN(SUBSTITUTE(AQ717,".",""))=3,LEFT(AQ717,vitri(".",AQ717,3)-1),LEN(AQ717)-LEN(SUBSTITUTE(AQ717,".",""))=2,LEFT(AQ717,vitri(".",AQ717,2)-1),TRUE,LEFT(AQ717,vitri(".",AQ717,1)-1))</f>
        <v/>
      </c>
    </row>
    <row r="718" spans="13:54" x14ac:dyDescent="0.25">
      <c r="M718" s="379"/>
      <c r="BB718" s="206" t="str">
        <f t="array" ref="BB718">_xlfn.IFS(AQ718="","",LEN(AQ718)-LEN(SUBSTITUTE(AQ718,".",""))=3,LEFT(AQ718,vitri(".",AQ718,3)-1),LEN(AQ718)-LEN(SUBSTITUTE(AQ718,".",""))=2,LEFT(AQ718,vitri(".",AQ718,2)-1),TRUE,LEFT(AQ718,vitri(".",AQ718,1)-1))</f>
        <v/>
      </c>
    </row>
    <row r="719" spans="13:54" x14ac:dyDescent="0.25">
      <c r="M719" s="379"/>
      <c r="BB719" s="206" t="str">
        <f t="array" ref="BB719">_xlfn.IFS(AQ719="","",LEN(AQ719)-LEN(SUBSTITUTE(AQ719,".",""))=3,LEFT(AQ719,vitri(".",AQ719,3)-1),LEN(AQ719)-LEN(SUBSTITUTE(AQ719,".",""))=2,LEFT(AQ719,vitri(".",AQ719,2)-1),TRUE,LEFT(AQ719,vitri(".",AQ719,1)-1))</f>
        <v/>
      </c>
    </row>
    <row r="720" spans="13:54" x14ac:dyDescent="0.25">
      <c r="M720" s="379"/>
      <c r="BB720" s="206" t="str">
        <f t="array" ref="BB720">_xlfn.IFS(AQ720="","",LEN(AQ720)-LEN(SUBSTITUTE(AQ720,".",""))=3,LEFT(AQ720,vitri(".",AQ720,3)-1),LEN(AQ720)-LEN(SUBSTITUTE(AQ720,".",""))=2,LEFT(AQ720,vitri(".",AQ720,2)-1),TRUE,LEFT(AQ720,vitri(".",AQ720,1)-1))</f>
        <v/>
      </c>
    </row>
    <row r="721" spans="13:54" x14ac:dyDescent="0.25">
      <c r="M721" s="379"/>
      <c r="BB721" s="206" t="str">
        <f t="array" ref="BB721">_xlfn.IFS(AQ721="","",LEN(AQ721)-LEN(SUBSTITUTE(AQ721,".",""))=3,LEFT(AQ721,vitri(".",AQ721,3)-1),LEN(AQ721)-LEN(SUBSTITUTE(AQ721,".",""))=2,LEFT(AQ721,vitri(".",AQ721,2)-1),TRUE,LEFT(AQ721,vitri(".",AQ721,1)-1))</f>
        <v/>
      </c>
    </row>
    <row r="722" spans="13:54" x14ac:dyDescent="0.25">
      <c r="M722" s="379"/>
      <c r="BB722" s="206" t="str">
        <f t="array" ref="BB722">_xlfn.IFS(AQ722="","",LEN(AQ722)-LEN(SUBSTITUTE(AQ722,".",""))=3,LEFT(AQ722,vitri(".",AQ722,3)-1),LEN(AQ722)-LEN(SUBSTITUTE(AQ722,".",""))=2,LEFT(AQ722,vitri(".",AQ722,2)-1),TRUE,LEFT(AQ722,vitri(".",AQ722,1)-1))</f>
        <v/>
      </c>
    </row>
    <row r="723" spans="13:54" x14ac:dyDescent="0.25">
      <c r="M723" s="379"/>
      <c r="BB723" s="206" t="str">
        <f t="array" ref="BB723">_xlfn.IFS(AQ723="","",LEN(AQ723)-LEN(SUBSTITUTE(AQ723,".",""))=3,LEFT(AQ723,vitri(".",AQ723,3)-1),LEN(AQ723)-LEN(SUBSTITUTE(AQ723,".",""))=2,LEFT(AQ723,vitri(".",AQ723,2)-1),TRUE,LEFT(AQ723,vitri(".",AQ723,1)-1))</f>
        <v/>
      </c>
    </row>
    <row r="724" spans="13:54" x14ac:dyDescent="0.25">
      <c r="M724" s="379"/>
      <c r="BB724" s="206" t="str">
        <f t="array" ref="BB724">_xlfn.IFS(AQ724="","",LEN(AQ724)-LEN(SUBSTITUTE(AQ724,".",""))=3,LEFT(AQ724,vitri(".",AQ724,3)-1),LEN(AQ724)-LEN(SUBSTITUTE(AQ724,".",""))=2,LEFT(AQ724,vitri(".",AQ724,2)-1),TRUE,LEFT(AQ724,vitri(".",AQ724,1)-1))</f>
        <v/>
      </c>
    </row>
    <row r="725" spans="13:54" x14ac:dyDescent="0.25">
      <c r="M725" s="379"/>
      <c r="BB725" s="206" t="str">
        <f t="array" ref="BB725">_xlfn.IFS(AQ725="","",LEN(AQ725)-LEN(SUBSTITUTE(AQ725,".",""))=3,LEFT(AQ725,vitri(".",AQ725,3)-1),LEN(AQ725)-LEN(SUBSTITUTE(AQ725,".",""))=2,LEFT(AQ725,vitri(".",AQ725,2)-1),TRUE,LEFT(AQ725,vitri(".",AQ725,1)-1))</f>
        <v/>
      </c>
    </row>
    <row r="726" spans="13:54" x14ac:dyDescent="0.25">
      <c r="M726" s="379"/>
      <c r="BB726" s="206" t="str">
        <f t="array" ref="BB726">_xlfn.IFS(AQ726="","",LEN(AQ726)-LEN(SUBSTITUTE(AQ726,".",""))=3,LEFT(AQ726,vitri(".",AQ726,3)-1),LEN(AQ726)-LEN(SUBSTITUTE(AQ726,".",""))=2,LEFT(AQ726,vitri(".",AQ726,2)-1),TRUE,LEFT(AQ726,vitri(".",AQ726,1)-1))</f>
        <v/>
      </c>
    </row>
    <row r="727" spans="13:54" x14ac:dyDescent="0.25">
      <c r="M727" s="379"/>
      <c r="BB727" s="206" t="str">
        <f t="array" ref="BB727">_xlfn.IFS(AQ727="","",LEN(AQ727)-LEN(SUBSTITUTE(AQ727,".",""))=3,LEFT(AQ727,vitri(".",AQ727,3)-1),LEN(AQ727)-LEN(SUBSTITUTE(AQ727,".",""))=2,LEFT(AQ727,vitri(".",AQ727,2)-1),TRUE,LEFT(AQ727,vitri(".",AQ727,1)-1))</f>
        <v/>
      </c>
    </row>
    <row r="728" spans="13:54" x14ac:dyDescent="0.25">
      <c r="M728" s="379"/>
      <c r="BB728" s="206" t="str">
        <f t="array" ref="BB728">_xlfn.IFS(AQ728="","",LEN(AQ728)-LEN(SUBSTITUTE(AQ728,".",""))=3,LEFT(AQ728,vitri(".",AQ728,3)-1),LEN(AQ728)-LEN(SUBSTITUTE(AQ728,".",""))=2,LEFT(AQ728,vitri(".",AQ728,2)-1),TRUE,LEFT(AQ728,vitri(".",AQ728,1)-1))</f>
        <v/>
      </c>
    </row>
    <row r="729" spans="13:54" x14ac:dyDescent="0.25">
      <c r="M729" s="379"/>
      <c r="BB729" s="206" t="str">
        <f t="array" ref="BB729">_xlfn.IFS(AQ729="","",LEN(AQ729)-LEN(SUBSTITUTE(AQ729,".",""))=3,LEFT(AQ729,vitri(".",AQ729,3)-1),LEN(AQ729)-LEN(SUBSTITUTE(AQ729,".",""))=2,LEFT(AQ729,vitri(".",AQ729,2)-1),TRUE,LEFT(AQ729,vitri(".",AQ729,1)-1))</f>
        <v/>
      </c>
    </row>
    <row r="730" spans="13:54" x14ac:dyDescent="0.25">
      <c r="M730" s="379"/>
      <c r="BB730" s="206" t="str">
        <f t="array" ref="BB730">_xlfn.IFS(AQ730="","",LEN(AQ730)-LEN(SUBSTITUTE(AQ730,".",""))=3,LEFT(AQ730,vitri(".",AQ730,3)-1),LEN(AQ730)-LEN(SUBSTITUTE(AQ730,".",""))=2,LEFT(AQ730,vitri(".",AQ730,2)-1),TRUE,LEFT(AQ730,vitri(".",AQ730,1)-1))</f>
        <v/>
      </c>
    </row>
    <row r="731" spans="13:54" x14ac:dyDescent="0.25">
      <c r="M731" s="379"/>
      <c r="BB731" s="206" t="str">
        <f t="array" ref="BB731">_xlfn.IFS(AQ731="","",LEN(AQ731)-LEN(SUBSTITUTE(AQ731,".",""))=3,LEFT(AQ731,vitri(".",AQ731,3)-1),LEN(AQ731)-LEN(SUBSTITUTE(AQ731,".",""))=2,LEFT(AQ731,vitri(".",AQ731,2)-1),TRUE,LEFT(AQ731,vitri(".",AQ731,1)-1))</f>
        <v/>
      </c>
    </row>
    <row r="732" spans="13:54" x14ac:dyDescent="0.25">
      <c r="M732" s="379"/>
      <c r="BB732" s="206" t="str">
        <f t="array" ref="BB732">_xlfn.IFS(AQ732="","",LEN(AQ732)-LEN(SUBSTITUTE(AQ732,".",""))=3,LEFT(AQ732,vitri(".",AQ732,3)-1),LEN(AQ732)-LEN(SUBSTITUTE(AQ732,".",""))=2,LEFT(AQ732,vitri(".",AQ732,2)-1),TRUE,LEFT(AQ732,vitri(".",AQ732,1)-1))</f>
        <v/>
      </c>
    </row>
    <row r="733" spans="13:54" x14ac:dyDescent="0.25">
      <c r="M733" s="379"/>
      <c r="BB733" s="206" t="str">
        <f t="array" ref="BB733">_xlfn.IFS(AQ733="","",LEN(AQ733)-LEN(SUBSTITUTE(AQ733,".",""))=3,LEFT(AQ733,vitri(".",AQ733,3)-1),LEN(AQ733)-LEN(SUBSTITUTE(AQ733,".",""))=2,LEFT(AQ733,vitri(".",AQ733,2)-1),TRUE,LEFT(AQ733,vitri(".",AQ733,1)-1))</f>
        <v/>
      </c>
    </row>
    <row r="734" spans="13:54" x14ac:dyDescent="0.25">
      <c r="M734" s="379"/>
      <c r="BB734" s="206" t="str">
        <f t="array" ref="BB734">_xlfn.IFS(AQ734="","",LEN(AQ734)-LEN(SUBSTITUTE(AQ734,".",""))=3,LEFT(AQ734,vitri(".",AQ734,3)-1),LEN(AQ734)-LEN(SUBSTITUTE(AQ734,".",""))=2,LEFT(AQ734,vitri(".",AQ734,2)-1),TRUE,LEFT(AQ734,vitri(".",AQ734,1)-1))</f>
        <v/>
      </c>
    </row>
    <row r="735" spans="13:54" x14ac:dyDescent="0.25">
      <c r="M735" s="379"/>
      <c r="BB735" s="206" t="str">
        <f t="array" ref="BB735">_xlfn.IFS(AQ735="","",LEN(AQ735)-LEN(SUBSTITUTE(AQ735,".",""))=3,LEFT(AQ735,vitri(".",AQ735,3)-1),LEN(AQ735)-LEN(SUBSTITUTE(AQ735,".",""))=2,LEFT(AQ735,vitri(".",AQ735,2)-1),TRUE,LEFT(AQ735,vitri(".",AQ735,1)-1))</f>
        <v/>
      </c>
    </row>
    <row r="736" spans="13:54" x14ac:dyDescent="0.25">
      <c r="M736" s="379"/>
      <c r="BB736" s="206" t="str">
        <f t="array" ref="BB736">_xlfn.IFS(AQ736="","",LEN(AQ736)-LEN(SUBSTITUTE(AQ736,".",""))=3,LEFT(AQ736,vitri(".",AQ736,3)-1),LEN(AQ736)-LEN(SUBSTITUTE(AQ736,".",""))=2,LEFT(AQ736,vitri(".",AQ736,2)-1),TRUE,LEFT(AQ736,vitri(".",AQ736,1)-1))</f>
        <v/>
      </c>
    </row>
    <row r="737" spans="13:54" x14ac:dyDescent="0.25">
      <c r="M737" s="379"/>
      <c r="BB737" s="206" t="str">
        <f t="array" ref="BB737">_xlfn.IFS(AQ737="","",LEN(AQ737)-LEN(SUBSTITUTE(AQ737,".",""))=3,LEFT(AQ737,vitri(".",AQ737,3)-1),LEN(AQ737)-LEN(SUBSTITUTE(AQ737,".",""))=2,LEFT(AQ737,vitri(".",AQ737,2)-1),TRUE,LEFT(AQ737,vitri(".",AQ737,1)-1))</f>
        <v/>
      </c>
    </row>
    <row r="738" spans="13:54" x14ac:dyDescent="0.25">
      <c r="M738" s="379"/>
      <c r="BB738" s="206" t="str">
        <f t="array" ref="BB738">_xlfn.IFS(AQ738="","",LEN(AQ738)-LEN(SUBSTITUTE(AQ738,".",""))=3,LEFT(AQ738,vitri(".",AQ738,3)-1),LEN(AQ738)-LEN(SUBSTITUTE(AQ738,".",""))=2,LEFT(AQ738,vitri(".",AQ738,2)-1),TRUE,LEFT(AQ738,vitri(".",AQ738,1)-1))</f>
        <v/>
      </c>
    </row>
    <row r="739" spans="13:54" x14ac:dyDescent="0.25">
      <c r="M739" s="379"/>
      <c r="BB739" s="206" t="str">
        <f t="array" ref="BB739">_xlfn.IFS(AQ739="","",LEN(AQ739)-LEN(SUBSTITUTE(AQ739,".",""))=3,LEFT(AQ739,vitri(".",AQ739,3)-1),LEN(AQ739)-LEN(SUBSTITUTE(AQ739,".",""))=2,LEFT(AQ739,vitri(".",AQ739,2)-1),TRUE,LEFT(AQ739,vitri(".",AQ739,1)-1))</f>
        <v/>
      </c>
    </row>
    <row r="740" spans="13:54" x14ac:dyDescent="0.25">
      <c r="M740" s="379"/>
      <c r="BB740" s="206" t="str">
        <f t="array" ref="BB740">_xlfn.IFS(AQ740="","",LEN(AQ740)-LEN(SUBSTITUTE(AQ740,".",""))=3,LEFT(AQ740,vitri(".",AQ740,3)-1),LEN(AQ740)-LEN(SUBSTITUTE(AQ740,".",""))=2,LEFT(AQ740,vitri(".",AQ740,2)-1),TRUE,LEFT(AQ740,vitri(".",AQ740,1)-1))</f>
        <v/>
      </c>
    </row>
    <row r="741" spans="13:54" x14ac:dyDescent="0.25">
      <c r="M741" s="379"/>
      <c r="BB741" s="206" t="str">
        <f t="array" ref="BB741">_xlfn.IFS(AQ741="","",LEN(AQ741)-LEN(SUBSTITUTE(AQ741,".",""))=3,LEFT(AQ741,vitri(".",AQ741,3)-1),LEN(AQ741)-LEN(SUBSTITUTE(AQ741,".",""))=2,LEFT(AQ741,vitri(".",AQ741,2)-1),TRUE,LEFT(AQ741,vitri(".",AQ741,1)-1))</f>
        <v/>
      </c>
    </row>
    <row r="742" spans="13:54" x14ac:dyDescent="0.25">
      <c r="M742" s="379"/>
      <c r="BB742" s="206" t="str">
        <f t="array" ref="BB742">_xlfn.IFS(AQ742="","",LEN(AQ742)-LEN(SUBSTITUTE(AQ742,".",""))=3,LEFT(AQ742,vitri(".",AQ742,3)-1),LEN(AQ742)-LEN(SUBSTITUTE(AQ742,".",""))=2,LEFT(AQ742,vitri(".",AQ742,2)-1),TRUE,LEFT(AQ742,vitri(".",AQ742,1)-1))</f>
        <v/>
      </c>
    </row>
    <row r="743" spans="13:54" x14ac:dyDescent="0.25">
      <c r="M743" s="379"/>
      <c r="BB743" s="206" t="str">
        <f t="array" ref="BB743">_xlfn.IFS(AQ743="","",LEN(AQ743)-LEN(SUBSTITUTE(AQ743,".",""))=3,LEFT(AQ743,vitri(".",AQ743,3)-1),LEN(AQ743)-LEN(SUBSTITUTE(AQ743,".",""))=2,LEFT(AQ743,vitri(".",AQ743,2)-1),TRUE,LEFT(AQ743,vitri(".",AQ743,1)-1))</f>
        <v/>
      </c>
    </row>
    <row r="744" spans="13:54" x14ac:dyDescent="0.25">
      <c r="M744" s="379"/>
      <c r="BB744" s="206" t="str">
        <f t="array" ref="BB744">_xlfn.IFS(AQ744="","",LEN(AQ744)-LEN(SUBSTITUTE(AQ744,".",""))=3,LEFT(AQ744,vitri(".",AQ744,3)-1),LEN(AQ744)-LEN(SUBSTITUTE(AQ744,".",""))=2,LEFT(AQ744,vitri(".",AQ744,2)-1),TRUE,LEFT(AQ744,vitri(".",AQ744,1)-1))</f>
        <v/>
      </c>
    </row>
    <row r="745" spans="13:54" x14ac:dyDescent="0.25">
      <c r="M745" s="379"/>
      <c r="BB745" s="206" t="str">
        <f t="array" ref="BB745">_xlfn.IFS(AQ745="","",LEN(AQ745)-LEN(SUBSTITUTE(AQ745,".",""))=3,LEFT(AQ745,vitri(".",AQ745,3)-1),LEN(AQ745)-LEN(SUBSTITUTE(AQ745,".",""))=2,LEFT(AQ745,vitri(".",AQ745,2)-1),TRUE,LEFT(AQ745,vitri(".",AQ745,1)-1))</f>
        <v/>
      </c>
    </row>
    <row r="746" spans="13:54" x14ac:dyDescent="0.25">
      <c r="M746" s="379"/>
      <c r="BB746" s="206" t="str">
        <f t="array" ref="BB746">_xlfn.IFS(AQ746="","",LEN(AQ746)-LEN(SUBSTITUTE(AQ746,".",""))=3,LEFT(AQ746,vitri(".",AQ746,3)-1),LEN(AQ746)-LEN(SUBSTITUTE(AQ746,".",""))=2,LEFT(AQ746,vitri(".",AQ746,2)-1),TRUE,LEFT(AQ746,vitri(".",AQ746,1)-1))</f>
        <v/>
      </c>
    </row>
    <row r="747" spans="13:54" x14ac:dyDescent="0.25">
      <c r="M747" s="379"/>
      <c r="BB747" s="206" t="str">
        <f t="array" ref="BB747">_xlfn.IFS(AQ747="","",LEN(AQ747)-LEN(SUBSTITUTE(AQ747,".",""))=3,LEFT(AQ747,vitri(".",AQ747,3)-1),LEN(AQ747)-LEN(SUBSTITUTE(AQ747,".",""))=2,LEFT(AQ747,vitri(".",AQ747,2)-1),TRUE,LEFT(AQ747,vitri(".",AQ747,1)-1))</f>
        <v/>
      </c>
    </row>
    <row r="748" spans="13:54" x14ac:dyDescent="0.25">
      <c r="M748" s="379"/>
      <c r="BB748" s="206" t="str">
        <f t="array" ref="BB748">_xlfn.IFS(AQ748="","",LEN(AQ748)-LEN(SUBSTITUTE(AQ748,".",""))=3,LEFT(AQ748,vitri(".",AQ748,3)-1),LEN(AQ748)-LEN(SUBSTITUTE(AQ748,".",""))=2,LEFT(AQ748,vitri(".",AQ748,2)-1),TRUE,LEFT(AQ748,vitri(".",AQ748,1)-1))</f>
        <v/>
      </c>
    </row>
    <row r="749" spans="13:54" x14ac:dyDescent="0.25">
      <c r="M749" s="379"/>
      <c r="BB749" s="206" t="str">
        <f t="array" ref="BB749">_xlfn.IFS(AQ749="","",LEN(AQ749)-LEN(SUBSTITUTE(AQ749,".",""))=3,LEFT(AQ749,vitri(".",AQ749,3)-1),LEN(AQ749)-LEN(SUBSTITUTE(AQ749,".",""))=2,LEFT(AQ749,vitri(".",AQ749,2)-1),TRUE,LEFT(AQ749,vitri(".",AQ749,1)-1))</f>
        <v/>
      </c>
    </row>
    <row r="750" spans="13:54" x14ac:dyDescent="0.25">
      <c r="M750" s="379"/>
      <c r="BB750" s="206" t="str">
        <f t="array" ref="BB750">_xlfn.IFS(AQ750="","",LEN(AQ750)-LEN(SUBSTITUTE(AQ750,".",""))=3,LEFT(AQ750,vitri(".",AQ750,3)-1),LEN(AQ750)-LEN(SUBSTITUTE(AQ750,".",""))=2,LEFT(AQ750,vitri(".",AQ750,2)-1),TRUE,LEFT(AQ750,vitri(".",AQ750,1)-1))</f>
        <v/>
      </c>
    </row>
    <row r="751" spans="13:54" x14ac:dyDescent="0.25">
      <c r="M751" s="379"/>
      <c r="BB751" s="206" t="str">
        <f t="array" ref="BB751">_xlfn.IFS(AQ751="","",LEN(AQ751)-LEN(SUBSTITUTE(AQ751,".",""))=3,LEFT(AQ751,vitri(".",AQ751,3)-1),LEN(AQ751)-LEN(SUBSTITUTE(AQ751,".",""))=2,LEFT(AQ751,vitri(".",AQ751,2)-1),TRUE,LEFT(AQ751,vitri(".",AQ751,1)-1))</f>
        <v/>
      </c>
    </row>
    <row r="752" spans="13:54" x14ac:dyDescent="0.25">
      <c r="M752" s="379"/>
      <c r="BB752" s="206" t="str">
        <f t="array" ref="BB752">_xlfn.IFS(AQ752="","",LEN(AQ752)-LEN(SUBSTITUTE(AQ752,".",""))=3,LEFT(AQ752,vitri(".",AQ752,3)-1),LEN(AQ752)-LEN(SUBSTITUTE(AQ752,".",""))=2,LEFT(AQ752,vitri(".",AQ752,2)-1),TRUE,LEFT(AQ752,vitri(".",AQ752,1)-1))</f>
        <v/>
      </c>
    </row>
    <row r="753" spans="13:54" x14ac:dyDescent="0.25">
      <c r="M753" s="379"/>
      <c r="BB753" s="206" t="str">
        <f t="array" ref="BB753">_xlfn.IFS(AQ753="","",LEN(AQ753)-LEN(SUBSTITUTE(AQ753,".",""))=3,LEFT(AQ753,vitri(".",AQ753,3)-1),LEN(AQ753)-LEN(SUBSTITUTE(AQ753,".",""))=2,LEFT(AQ753,vitri(".",AQ753,2)-1),TRUE,LEFT(AQ753,vitri(".",AQ753,1)-1))</f>
        <v/>
      </c>
    </row>
    <row r="754" spans="13:54" x14ac:dyDescent="0.25">
      <c r="M754" s="379"/>
      <c r="BB754" s="206" t="str">
        <f t="array" ref="BB754">_xlfn.IFS(AQ754="","",LEN(AQ754)-LEN(SUBSTITUTE(AQ754,".",""))=3,LEFT(AQ754,vitri(".",AQ754,3)-1),LEN(AQ754)-LEN(SUBSTITUTE(AQ754,".",""))=2,LEFT(AQ754,vitri(".",AQ754,2)-1),TRUE,LEFT(AQ754,vitri(".",AQ754,1)-1))</f>
        <v/>
      </c>
    </row>
    <row r="755" spans="13:54" x14ac:dyDescent="0.25">
      <c r="M755" s="379"/>
      <c r="BB755" s="206" t="str">
        <f t="array" ref="BB755">_xlfn.IFS(AQ755="","",LEN(AQ755)-LEN(SUBSTITUTE(AQ755,".",""))=3,LEFT(AQ755,vitri(".",AQ755,3)-1),LEN(AQ755)-LEN(SUBSTITUTE(AQ755,".",""))=2,LEFT(AQ755,vitri(".",AQ755,2)-1),TRUE,LEFT(AQ755,vitri(".",AQ755,1)-1))</f>
        <v/>
      </c>
    </row>
    <row r="756" spans="13:54" x14ac:dyDescent="0.25">
      <c r="M756" s="379"/>
      <c r="BB756" s="206" t="str">
        <f t="array" ref="BB756">_xlfn.IFS(AQ756="","",LEN(AQ756)-LEN(SUBSTITUTE(AQ756,".",""))=3,LEFT(AQ756,vitri(".",AQ756,3)-1),LEN(AQ756)-LEN(SUBSTITUTE(AQ756,".",""))=2,LEFT(AQ756,vitri(".",AQ756,2)-1),TRUE,LEFT(AQ756,vitri(".",AQ756,1)-1))</f>
        <v/>
      </c>
    </row>
    <row r="757" spans="13:54" x14ac:dyDescent="0.25">
      <c r="M757" s="379"/>
      <c r="BB757" s="206" t="str">
        <f t="array" ref="BB757">_xlfn.IFS(AQ757="","",LEN(AQ757)-LEN(SUBSTITUTE(AQ757,".",""))=3,LEFT(AQ757,vitri(".",AQ757,3)-1),LEN(AQ757)-LEN(SUBSTITUTE(AQ757,".",""))=2,LEFT(AQ757,vitri(".",AQ757,2)-1),TRUE,LEFT(AQ757,vitri(".",AQ757,1)-1))</f>
        <v/>
      </c>
    </row>
    <row r="758" spans="13:54" x14ac:dyDescent="0.25">
      <c r="M758" s="379"/>
      <c r="BB758" s="206" t="str">
        <f t="array" ref="BB758">_xlfn.IFS(AQ758="","",LEN(AQ758)-LEN(SUBSTITUTE(AQ758,".",""))=3,LEFT(AQ758,vitri(".",AQ758,3)-1),LEN(AQ758)-LEN(SUBSTITUTE(AQ758,".",""))=2,LEFT(AQ758,vitri(".",AQ758,2)-1),TRUE,LEFT(AQ758,vitri(".",AQ758,1)-1))</f>
        <v/>
      </c>
    </row>
    <row r="759" spans="13:54" x14ac:dyDescent="0.25">
      <c r="M759" s="379"/>
      <c r="BB759" s="206" t="str">
        <f t="array" ref="BB759">_xlfn.IFS(AQ759="","",LEN(AQ759)-LEN(SUBSTITUTE(AQ759,".",""))=3,LEFT(AQ759,vitri(".",AQ759,3)-1),LEN(AQ759)-LEN(SUBSTITUTE(AQ759,".",""))=2,LEFT(AQ759,vitri(".",AQ759,2)-1),TRUE,LEFT(AQ759,vitri(".",AQ759,1)-1))</f>
        <v/>
      </c>
    </row>
    <row r="760" spans="13:54" x14ac:dyDescent="0.25">
      <c r="M760" s="379"/>
      <c r="BB760" s="206" t="str">
        <f t="array" ref="BB760">_xlfn.IFS(AQ760="","",LEN(AQ760)-LEN(SUBSTITUTE(AQ760,".",""))=3,LEFT(AQ760,vitri(".",AQ760,3)-1),LEN(AQ760)-LEN(SUBSTITUTE(AQ760,".",""))=2,LEFT(AQ760,vitri(".",AQ760,2)-1),TRUE,LEFT(AQ760,vitri(".",AQ760,1)-1))</f>
        <v/>
      </c>
    </row>
    <row r="761" spans="13:54" x14ac:dyDescent="0.25">
      <c r="M761" s="379"/>
      <c r="BB761" s="206" t="str">
        <f t="array" ref="BB761">_xlfn.IFS(AQ761="","",LEN(AQ761)-LEN(SUBSTITUTE(AQ761,".",""))=3,LEFT(AQ761,vitri(".",AQ761,3)-1),LEN(AQ761)-LEN(SUBSTITUTE(AQ761,".",""))=2,LEFT(AQ761,vitri(".",AQ761,2)-1),TRUE,LEFT(AQ761,vitri(".",AQ761,1)-1))</f>
        <v/>
      </c>
    </row>
    <row r="762" spans="13:54" x14ac:dyDescent="0.25">
      <c r="M762" s="379"/>
      <c r="BB762" s="206" t="str">
        <f t="array" ref="BB762">_xlfn.IFS(AQ762="","",LEN(AQ762)-LEN(SUBSTITUTE(AQ762,".",""))=3,LEFT(AQ762,vitri(".",AQ762,3)-1),LEN(AQ762)-LEN(SUBSTITUTE(AQ762,".",""))=2,LEFT(AQ762,vitri(".",AQ762,2)-1),TRUE,LEFT(AQ762,vitri(".",AQ762,1)-1))</f>
        <v/>
      </c>
    </row>
    <row r="763" spans="13:54" x14ac:dyDescent="0.25">
      <c r="M763" s="379"/>
      <c r="BB763" s="206" t="str">
        <f t="array" ref="BB763">_xlfn.IFS(AQ763="","",LEN(AQ763)-LEN(SUBSTITUTE(AQ763,".",""))=3,LEFT(AQ763,vitri(".",AQ763,3)-1),LEN(AQ763)-LEN(SUBSTITUTE(AQ763,".",""))=2,LEFT(AQ763,vitri(".",AQ763,2)-1),TRUE,LEFT(AQ763,vitri(".",AQ763,1)-1))</f>
        <v/>
      </c>
    </row>
    <row r="764" spans="13:54" x14ac:dyDescent="0.25">
      <c r="M764" s="379"/>
      <c r="BB764" s="206" t="str">
        <f t="array" ref="BB764">_xlfn.IFS(AQ764="","",LEN(AQ764)-LEN(SUBSTITUTE(AQ764,".",""))=3,LEFT(AQ764,vitri(".",AQ764,3)-1),LEN(AQ764)-LEN(SUBSTITUTE(AQ764,".",""))=2,LEFT(AQ764,vitri(".",AQ764,2)-1),TRUE,LEFT(AQ764,vitri(".",AQ764,1)-1))</f>
        <v/>
      </c>
    </row>
    <row r="765" spans="13:54" x14ac:dyDescent="0.25">
      <c r="M765" s="379"/>
      <c r="BB765" s="206" t="str">
        <f t="array" ref="BB765">_xlfn.IFS(AQ765="","",LEN(AQ765)-LEN(SUBSTITUTE(AQ765,".",""))=3,LEFT(AQ765,vitri(".",AQ765,3)-1),LEN(AQ765)-LEN(SUBSTITUTE(AQ765,".",""))=2,LEFT(AQ765,vitri(".",AQ765,2)-1),TRUE,LEFT(AQ765,vitri(".",AQ765,1)-1))</f>
        <v/>
      </c>
    </row>
    <row r="766" spans="13:54" x14ac:dyDescent="0.25">
      <c r="M766" s="379"/>
      <c r="BB766" s="206" t="str">
        <f t="array" ref="BB766">_xlfn.IFS(AQ766="","",LEN(AQ766)-LEN(SUBSTITUTE(AQ766,".",""))=3,LEFT(AQ766,vitri(".",AQ766,3)-1),LEN(AQ766)-LEN(SUBSTITUTE(AQ766,".",""))=2,LEFT(AQ766,vitri(".",AQ766,2)-1),TRUE,LEFT(AQ766,vitri(".",AQ766,1)-1))</f>
        <v/>
      </c>
    </row>
    <row r="767" spans="13:54" x14ac:dyDescent="0.25">
      <c r="M767" s="379"/>
      <c r="BB767" s="206" t="str">
        <f t="array" ref="BB767">_xlfn.IFS(AQ767="","",LEN(AQ767)-LEN(SUBSTITUTE(AQ767,".",""))=3,LEFT(AQ767,vitri(".",AQ767,3)-1),LEN(AQ767)-LEN(SUBSTITUTE(AQ767,".",""))=2,LEFT(AQ767,vitri(".",AQ767,2)-1),TRUE,LEFT(AQ767,vitri(".",AQ767,1)-1))</f>
        <v/>
      </c>
    </row>
    <row r="768" spans="13:54" x14ac:dyDescent="0.25">
      <c r="M768" s="379"/>
      <c r="BB768" s="206" t="str">
        <f t="array" ref="BB768">_xlfn.IFS(AQ768="","",LEN(AQ768)-LEN(SUBSTITUTE(AQ768,".",""))=3,LEFT(AQ768,vitri(".",AQ768,3)-1),LEN(AQ768)-LEN(SUBSTITUTE(AQ768,".",""))=2,LEFT(AQ768,vitri(".",AQ768,2)-1),TRUE,LEFT(AQ768,vitri(".",AQ768,1)-1))</f>
        <v/>
      </c>
    </row>
    <row r="769" spans="13:54" x14ac:dyDescent="0.25">
      <c r="M769" s="379"/>
      <c r="BB769" s="206" t="str">
        <f t="array" ref="BB769">_xlfn.IFS(AQ769="","",LEN(AQ769)-LEN(SUBSTITUTE(AQ769,".",""))=3,LEFT(AQ769,vitri(".",AQ769,3)-1),LEN(AQ769)-LEN(SUBSTITUTE(AQ769,".",""))=2,LEFT(AQ769,vitri(".",AQ769,2)-1),TRUE,LEFT(AQ769,vitri(".",AQ769,1)-1))</f>
        <v/>
      </c>
    </row>
    <row r="770" spans="13:54" x14ac:dyDescent="0.25">
      <c r="M770" s="379"/>
      <c r="BB770" s="206" t="str">
        <f t="array" ref="BB770">_xlfn.IFS(AQ770="","",LEN(AQ770)-LEN(SUBSTITUTE(AQ770,".",""))=3,LEFT(AQ770,vitri(".",AQ770,3)-1),LEN(AQ770)-LEN(SUBSTITUTE(AQ770,".",""))=2,LEFT(AQ770,vitri(".",AQ770,2)-1),TRUE,LEFT(AQ770,vitri(".",AQ770,1)-1))</f>
        <v/>
      </c>
    </row>
    <row r="771" spans="13:54" x14ac:dyDescent="0.25">
      <c r="M771" s="379"/>
      <c r="BB771" s="206" t="str">
        <f t="array" ref="BB771">_xlfn.IFS(AQ771="","",LEN(AQ771)-LEN(SUBSTITUTE(AQ771,".",""))=3,LEFT(AQ771,vitri(".",AQ771,3)-1),LEN(AQ771)-LEN(SUBSTITUTE(AQ771,".",""))=2,LEFT(AQ771,vitri(".",AQ771,2)-1),TRUE,LEFT(AQ771,vitri(".",AQ771,1)-1))</f>
        <v/>
      </c>
    </row>
    <row r="772" spans="13:54" x14ac:dyDescent="0.25">
      <c r="M772" s="379"/>
      <c r="BB772" s="206" t="str">
        <f t="array" ref="BB772">_xlfn.IFS(AQ772="","",LEN(AQ772)-LEN(SUBSTITUTE(AQ772,".",""))=3,LEFT(AQ772,vitri(".",AQ772,3)-1),LEN(AQ772)-LEN(SUBSTITUTE(AQ772,".",""))=2,LEFT(AQ772,vitri(".",AQ772,2)-1),TRUE,LEFT(AQ772,vitri(".",AQ772,1)-1))</f>
        <v/>
      </c>
    </row>
    <row r="773" spans="13:54" x14ac:dyDescent="0.25">
      <c r="M773" s="379"/>
      <c r="BB773" s="206" t="str">
        <f t="array" ref="BB773">_xlfn.IFS(AQ773="","",LEN(AQ773)-LEN(SUBSTITUTE(AQ773,".",""))=3,LEFT(AQ773,vitri(".",AQ773,3)-1),LEN(AQ773)-LEN(SUBSTITUTE(AQ773,".",""))=2,LEFT(AQ773,vitri(".",AQ773,2)-1),TRUE,LEFT(AQ773,vitri(".",AQ773,1)-1))</f>
        <v/>
      </c>
    </row>
    <row r="774" spans="13:54" x14ac:dyDescent="0.25">
      <c r="M774" s="379"/>
      <c r="BB774" s="206" t="str">
        <f t="array" ref="BB774">_xlfn.IFS(AQ774="","",LEN(AQ774)-LEN(SUBSTITUTE(AQ774,".",""))=3,LEFT(AQ774,vitri(".",AQ774,3)-1),LEN(AQ774)-LEN(SUBSTITUTE(AQ774,".",""))=2,LEFT(AQ774,vitri(".",AQ774,2)-1),TRUE,LEFT(AQ774,vitri(".",AQ774,1)-1))</f>
        <v/>
      </c>
    </row>
    <row r="775" spans="13:54" x14ac:dyDescent="0.25">
      <c r="M775" s="379"/>
      <c r="BB775" s="206" t="str">
        <f t="array" ref="BB775">_xlfn.IFS(AQ775="","",LEN(AQ775)-LEN(SUBSTITUTE(AQ775,".",""))=3,LEFT(AQ775,vitri(".",AQ775,3)-1),LEN(AQ775)-LEN(SUBSTITUTE(AQ775,".",""))=2,LEFT(AQ775,vitri(".",AQ775,2)-1),TRUE,LEFT(AQ775,vitri(".",AQ775,1)-1))</f>
        <v/>
      </c>
    </row>
    <row r="776" spans="13:54" x14ac:dyDescent="0.25">
      <c r="M776" s="379"/>
      <c r="BB776" s="206" t="str">
        <f t="array" ref="BB776">_xlfn.IFS(AQ776="","",LEN(AQ776)-LEN(SUBSTITUTE(AQ776,".",""))=3,LEFT(AQ776,vitri(".",AQ776,3)-1),LEN(AQ776)-LEN(SUBSTITUTE(AQ776,".",""))=2,LEFT(AQ776,vitri(".",AQ776,2)-1),TRUE,LEFT(AQ776,vitri(".",AQ776,1)-1))</f>
        <v/>
      </c>
    </row>
    <row r="777" spans="13:54" x14ac:dyDescent="0.25">
      <c r="M777" s="379"/>
      <c r="BB777" s="206" t="str">
        <f t="array" ref="BB777">_xlfn.IFS(AQ777="","",LEN(AQ777)-LEN(SUBSTITUTE(AQ777,".",""))=3,LEFT(AQ777,vitri(".",AQ777,3)-1),LEN(AQ777)-LEN(SUBSTITUTE(AQ777,".",""))=2,LEFT(AQ777,vitri(".",AQ777,2)-1),TRUE,LEFT(AQ777,vitri(".",AQ777,1)-1))</f>
        <v/>
      </c>
    </row>
    <row r="778" spans="13:54" x14ac:dyDescent="0.25">
      <c r="M778" s="379"/>
      <c r="BB778" s="206" t="str">
        <f t="array" ref="BB778">_xlfn.IFS(AQ778="","",LEN(AQ778)-LEN(SUBSTITUTE(AQ778,".",""))=3,LEFT(AQ778,vitri(".",AQ778,3)-1),LEN(AQ778)-LEN(SUBSTITUTE(AQ778,".",""))=2,LEFT(AQ778,vitri(".",AQ778,2)-1),TRUE,LEFT(AQ778,vitri(".",AQ778,1)-1))</f>
        <v/>
      </c>
    </row>
    <row r="779" spans="13:54" x14ac:dyDescent="0.25">
      <c r="M779" s="379"/>
      <c r="BB779" s="206" t="str">
        <f t="array" ref="BB779">_xlfn.IFS(AQ779="","",LEN(AQ779)-LEN(SUBSTITUTE(AQ779,".",""))=3,LEFT(AQ779,vitri(".",AQ779,3)-1),LEN(AQ779)-LEN(SUBSTITUTE(AQ779,".",""))=2,LEFT(AQ779,vitri(".",AQ779,2)-1),TRUE,LEFT(AQ779,vitri(".",AQ779,1)-1))</f>
        <v/>
      </c>
    </row>
    <row r="780" spans="13:54" x14ac:dyDescent="0.25">
      <c r="M780" s="379"/>
      <c r="BB780" s="206" t="str">
        <f t="array" ref="BB780">_xlfn.IFS(AQ780="","",LEN(AQ780)-LEN(SUBSTITUTE(AQ780,".",""))=3,LEFT(AQ780,vitri(".",AQ780,3)-1),LEN(AQ780)-LEN(SUBSTITUTE(AQ780,".",""))=2,LEFT(AQ780,vitri(".",AQ780,2)-1),TRUE,LEFT(AQ780,vitri(".",AQ780,1)-1))</f>
        <v/>
      </c>
    </row>
    <row r="781" spans="13:54" x14ac:dyDescent="0.25">
      <c r="M781" s="379"/>
      <c r="BB781" s="206" t="str">
        <f t="array" ref="BB781">_xlfn.IFS(AQ781="","",LEN(AQ781)-LEN(SUBSTITUTE(AQ781,".",""))=3,LEFT(AQ781,vitri(".",AQ781,3)-1),LEN(AQ781)-LEN(SUBSTITUTE(AQ781,".",""))=2,LEFT(AQ781,vitri(".",AQ781,2)-1),TRUE,LEFT(AQ781,vitri(".",AQ781,1)-1))</f>
        <v/>
      </c>
    </row>
    <row r="782" spans="13:54" x14ac:dyDescent="0.25">
      <c r="M782" s="379"/>
      <c r="BB782" s="206" t="str">
        <f t="array" ref="BB782">_xlfn.IFS(AQ782="","",LEN(AQ782)-LEN(SUBSTITUTE(AQ782,".",""))=3,LEFT(AQ782,vitri(".",AQ782,3)-1),LEN(AQ782)-LEN(SUBSTITUTE(AQ782,".",""))=2,LEFT(AQ782,vitri(".",AQ782,2)-1),TRUE,LEFT(AQ782,vitri(".",AQ782,1)-1))</f>
        <v/>
      </c>
    </row>
    <row r="783" spans="13:54" x14ac:dyDescent="0.25">
      <c r="M783" s="379"/>
      <c r="BB783" s="206" t="str">
        <f t="array" ref="BB783">_xlfn.IFS(AQ783="","",LEN(AQ783)-LEN(SUBSTITUTE(AQ783,".",""))=3,LEFT(AQ783,vitri(".",AQ783,3)-1),LEN(AQ783)-LEN(SUBSTITUTE(AQ783,".",""))=2,LEFT(AQ783,vitri(".",AQ783,2)-1),TRUE,LEFT(AQ783,vitri(".",AQ783,1)-1))</f>
        <v/>
      </c>
    </row>
    <row r="784" spans="13:54" x14ac:dyDescent="0.25">
      <c r="M784" s="379"/>
      <c r="BB784" s="206" t="str">
        <f t="array" ref="BB784">_xlfn.IFS(AQ784="","",LEN(AQ784)-LEN(SUBSTITUTE(AQ784,".",""))=3,LEFT(AQ784,vitri(".",AQ784,3)-1),LEN(AQ784)-LEN(SUBSTITUTE(AQ784,".",""))=2,LEFT(AQ784,vitri(".",AQ784,2)-1),TRUE,LEFT(AQ784,vitri(".",AQ784,1)-1))</f>
        <v/>
      </c>
    </row>
    <row r="785" spans="13:54" x14ac:dyDescent="0.25">
      <c r="M785" s="379"/>
      <c r="BB785" s="206" t="str">
        <f t="array" ref="BB785">_xlfn.IFS(AQ785="","",LEN(AQ785)-LEN(SUBSTITUTE(AQ785,".",""))=3,LEFT(AQ785,vitri(".",AQ785,3)-1),LEN(AQ785)-LEN(SUBSTITUTE(AQ785,".",""))=2,LEFT(AQ785,vitri(".",AQ785,2)-1),TRUE,LEFT(AQ785,vitri(".",AQ785,1)-1))</f>
        <v/>
      </c>
    </row>
    <row r="786" spans="13:54" x14ac:dyDescent="0.25">
      <c r="M786" s="379"/>
      <c r="BB786" s="206" t="str">
        <f t="array" ref="BB786">_xlfn.IFS(AQ786="","",LEN(AQ786)-LEN(SUBSTITUTE(AQ786,".",""))=3,LEFT(AQ786,vitri(".",AQ786,3)-1),LEN(AQ786)-LEN(SUBSTITUTE(AQ786,".",""))=2,LEFT(AQ786,vitri(".",AQ786,2)-1),TRUE,LEFT(AQ786,vitri(".",AQ786,1)-1))</f>
        <v/>
      </c>
    </row>
    <row r="787" spans="13:54" x14ac:dyDescent="0.25">
      <c r="M787" s="379"/>
      <c r="BB787" s="206" t="str">
        <f t="array" ref="BB787">_xlfn.IFS(AQ787="","",LEN(AQ787)-LEN(SUBSTITUTE(AQ787,".",""))=3,LEFT(AQ787,vitri(".",AQ787,3)-1),LEN(AQ787)-LEN(SUBSTITUTE(AQ787,".",""))=2,LEFT(AQ787,vitri(".",AQ787,2)-1),TRUE,LEFT(AQ787,vitri(".",AQ787,1)-1))</f>
        <v/>
      </c>
    </row>
    <row r="788" spans="13:54" x14ac:dyDescent="0.25">
      <c r="M788" s="379"/>
      <c r="BB788" s="206" t="str">
        <f t="array" ref="BB788">_xlfn.IFS(AQ788="","",LEN(AQ788)-LEN(SUBSTITUTE(AQ788,".",""))=3,LEFT(AQ788,vitri(".",AQ788,3)-1),LEN(AQ788)-LEN(SUBSTITUTE(AQ788,".",""))=2,LEFT(AQ788,vitri(".",AQ788,2)-1),TRUE,LEFT(AQ788,vitri(".",AQ788,1)-1))</f>
        <v/>
      </c>
    </row>
    <row r="789" spans="13:54" x14ac:dyDescent="0.25">
      <c r="M789" s="379"/>
      <c r="BB789" s="206" t="str">
        <f t="array" ref="BB789">_xlfn.IFS(AQ789="","",LEN(AQ789)-LEN(SUBSTITUTE(AQ789,".",""))=3,LEFT(AQ789,vitri(".",AQ789,3)-1),LEN(AQ789)-LEN(SUBSTITUTE(AQ789,".",""))=2,LEFT(AQ789,vitri(".",AQ789,2)-1),TRUE,LEFT(AQ789,vitri(".",AQ789,1)-1))</f>
        <v/>
      </c>
    </row>
    <row r="790" spans="13:54" x14ac:dyDescent="0.25">
      <c r="M790" s="379"/>
      <c r="BB790" s="206" t="str">
        <f t="array" ref="BB790">_xlfn.IFS(AQ790="","",LEN(AQ790)-LEN(SUBSTITUTE(AQ790,".",""))=3,LEFT(AQ790,vitri(".",AQ790,3)-1),LEN(AQ790)-LEN(SUBSTITUTE(AQ790,".",""))=2,LEFT(AQ790,vitri(".",AQ790,2)-1),TRUE,LEFT(AQ790,vitri(".",AQ790,1)-1))</f>
        <v/>
      </c>
    </row>
    <row r="791" spans="13:54" x14ac:dyDescent="0.25">
      <c r="M791" s="379"/>
      <c r="BB791" s="206" t="str">
        <f t="array" ref="BB791">_xlfn.IFS(AQ791="","",LEN(AQ791)-LEN(SUBSTITUTE(AQ791,".",""))=3,LEFT(AQ791,vitri(".",AQ791,3)-1),LEN(AQ791)-LEN(SUBSTITUTE(AQ791,".",""))=2,LEFT(AQ791,vitri(".",AQ791,2)-1),TRUE,LEFT(AQ791,vitri(".",AQ791,1)-1))</f>
        <v/>
      </c>
    </row>
    <row r="792" spans="13:54" x14ac:dyDescent="0.25">
      <c r="M792" s="379"/>
      <c r="BB792" s="206" t="str">
        <f t="array" ref="BB792">_xlfn.IFS(AQ792="","",LEN(AQ792)-LEN(SUBSTITUTE(AQ792,".",""))=3,LEFT(AQ792,vitri(".",AQ792,3)-1),LEN(AQ792)-LEN(SUBSTITUTE(AQ792,".",""))=2,LEFT(AQ792,vitri(".",AQ792,2)-1),TRUE,LEFT(AQ792,vitri(".",AQ792,1)-1))</f>
        <v/>
      </c>
    </row>
    <row r="793" spans="13:54" x14ac:dyDescent="0.25">
      <c r="M793" s="379"/>
      <c r="BB793" s="206" t="str">
        <f t="array" ref="BB793">_xlfn.IFS(AQ793="","",LEN(AQ793)-LEN(SUBSTITUTE(AQ793,".",""))=3,LEFT(AQ793,vitri(".",AQ793,3)-1),LEN(AQ793)-LEN(SUBSTITUTE(AQ793,".",""))=2,LEFT(AQ793,vitri(".",AQ793,2)-1),TRUE,LEFT(AQ793,vitri(".",AQ793,1)-1))</f>
        <v/>
      </c>
    </row>
    <row r="794" spans="13:54" x14ac:dyDescent="0.25">
      <c r="M794" s="379"/>
      <c r="BB794" s="206" t="str">
        <f t="array" ref="BB794">_xlfn.IFS(AQ794="","",LEN(AQ794)-LEN(SUBSTITUTE(AQ794,".",""))=3,LEFT(AQ794,vitri(".",AQ794,3)-1),LEN(AQ794)-LEN(SUBSTITUTE(AQ794,".",""))=2,LEFT(AQ794,vitri(".",AQ794,2)-1),TRUE,LEFT(AQ794,vitri(".",AQ794,1)-1))</f>
        <v/>
      </c>
    </row>
    <row r="795" spans="13:54" x14ac:dyDescent="0.25">
      <c r="M795" s="379"/>
      <c r="BB795" s="206" t="str">
        <f t="array" ref="BB795">_xlfn.IFS(AQ795="","",LEN(AQ795)-LEN(SUBSTITUTE(AQ795,".",""))=3,LEFT(AQ795,vitri(".",AQ795,3)-1),LEN(AQ795)-LEN(SUBSTITUTE(AQ795,".",""))=2,LEFT(AQ795,vitri(".",AQ795,2)-1),TRUE,LEFT(AQ795,vitri(".",AQ795,1)-1))</f>
        <v/>
      </c>
    </row>
    <row r="796" spans="13:54" x14ac:dyDescent="0.25">
      <c r="M796" s="379"/>
      <c r="BB796" s="206" t="str">
        <f t="array" ref="BB796">_xlfn.IFS(AQ796="","",LEN(AQ796)-LEN(SUBSTITUTE(AQ796,".",""))=3,LEFT(AQ796,vitri(".",AQ796,3)-1),LEN(AQ796)-LEN(SUBSTITUTE(AQ796,".",""))=2,LEFT(AQ796,vitri(".",AQ796,2)-1),TRUE,LEFT(AQ796,vitri(".",AQ796,1)-1))</f>
        <v/>
      </c>
    </row>
    <row r="797" spans="13:54" x14ac:dyDescent="0.25">
      <c r="M797" s="379"/>
      <c r="BB797" s="206" t="str">
        <f t="array" ref="BB797">_xlfn.IFS(AQ797="","",LEN(AQ797)-LEN(SUBSTITUTE(AQ797,".",""))=3,LEFT(AQ797,vitri(".",AQ797,3)-1),LEN(AQ797)-LEN(SUBSTITUTE(AQ797,".",""))=2,LEFT(AQ797,vitri(".",AQ797,2)-1),TRUE,LEFT(AQ797,vitri(".",AQ797,1)-1))</f>
        <v/>
      </c>
    </row>
    <row r="798" spans="13:54" x14ac:dyDescent="0.25">
      <c r="M798" s="379"/>
      <c r="BB798" s="206" t="str">
        <f t="array" ref="BB798">_xlfn.IFS(AQ798="","",LEN(AQ798)-LEN(SUBSTITUTE(AQ798,".",""))=3,LEFT(AQ798,vitri(".",AQ798,3)-1),LEN(AQ798)-LEN(SUBSTITUTE(AQ798,".",""))=2,LEFT(AQ798,vitri(".",AQ798,2)-1),TRUE,LEFT(AQ798,vitri(".",AQ798,1)-1))</f>
        <v/>
      </c>
    </row>
    <row r="799" spans="13:54" x14ac:dyDescent="0.25">
      <c r="M799" s="379"/>
      <c r="BB799" s="206" t="str">
        <f t="array" ref="BB799">_xlfn.IFS(AQ799="","",LEN(AQ799)-LEN(SUBSTITUTE(AQ799,".",""))=3,LEFT(AQ799,vitri(".",AQ799,3)-1),LEN(AQ799)-LEN(SUBSTITUTE(AQ799,".",""))=2,LEFT(AQ799,vitri(".",AQ799,2)-1),TRUE,LEFT(AQ799,vitri(".",AQ799,1)-1))</f>
        <v/>
      </c>
    </row>
    <row r="800" spans="13:54" x14ac:dyDescent="0.25">
      <c r="M800" s="379"/>
      <c r="BB800" s="206" t="str">
        <f t="array" ref="BB800">_xlfn.IFS(AQ800="","",LEN(AQ800)-LEN(SUBSTITUTE(AQ800,".",""))=3,LEFT(AQ800,vitri(".",AQ800,3)-1),LEN(AQ800)-LEN(SUBSTITUTE(AQ800,".",""))=2,LEFT(AQ800,vitri(".",AQ800,2)-1),TRUE,LEFT(AQ800,vitri(".",AQ800,1)-1))</f>
        <v/>
      </c>
    </row>
    <row r="801" spans="13:54" x14ac:dyDescent="0.25">
      <c r="M801" s="379"/>
      <c r="BB801" s="206" t="str">
        <f t="array" ref="BB801">_xlfn.IFS(AQ801="","",LEN(AQ801)-LEN(SUBSTITUTE(AQ801,".",""))=3,LEFT(AQ801,vitri(".",AQ801,3)-1),LEN(AQ801)-LEN(SUBSTITUTE(AQ801,".",""))=2,LEFT(AQ801,vitri(".",AQ801,2)-1),TRUE,LEFT(AQ801,vitri(".",AQ801,1)-1))</f>
        <v/>
      </c>
    </row>
    <row r="802" spans="13:54" x14ac:dyDescent="0.25">
      <c r="M802" s="379"/>
      <c r="BB802" s="206" t="str">
        <f t="array" ref="BB802">_xlfn.IFS(AQ802="","",LEN(AQ802)-LEN(SUBSTITUTE(AQ802,".",""))=3,LEFT(AQ802,vitri(".",AQ802,3)-1),LEN(AQ802)-LEN(SUBSTITUTE(AQ802,".",""))=2,LEFT(AQ802,vitri(".",AQ802,2)-1),TRUE,LEFT(AQ802,vitri(".",AQ802,1)-1))</f>
        <v/>
      </c>
    </row>
    <row r="803" spans="13:54" x14ac:dyDescent="0.25">
      <c r="M803" s="379"/>
      <c r="BB803" s="206" t="str">
        <f t="array" ref="BB803">_xlfn.IFS(AQ803="","",LEN(AQ803)-LEN(SUBSTITUTE(AQ803,".",""))=3,LEFT(AQ803,vitri(".",AQ803,3)-1),LEN(AQ803)-LEN(SUBSTITUTE(AQ803,".",""))=2,LEFT(AQ803,vitri(".",AQ803,2)-1),TRUE,LEFT(AQ803,vitri(".",AQ803,1)-1))</f>
        <v/>
      </c>
    </row>
    <row r="804" spans="13:54" x14ac:dyDescent="0.25">
      <c r="M804" s="379"/>
      <c r="BB804" s="206" t="str">
        <f t="array" ref="BB804">_xlfn.IFS(AQ804="","",LEN(AQ804)-LEN(SUBSTITUTE(AQ804,".",""))=3,LEFT(AQ804,vitri(".",AQ804,3)-1),LEN(AQ804)-LEN(SUBSTITUTE(AQ804,".",""))=2,LEFT(AQ804,vitri(".",AQ804,2)-1),TRUE,LEFT(AQ804,vitri(".",AQ804,1)-1))</f>
        <v/>
      </c>
    </row>
    <row r="805" spans="13:54" x14ac:dyDescent="0.25">
      <c r="M805" s="379"/>
      <c r="BB805" s="206" t="str">
        <f t="array" ref="BB805">_xlfn.IFS(AQ805="","",LEN(AQ805)-LEN(SUBSTITUTE(AQ805,".",""))=3,LEFT(AQ805,vitri(".",AQ805,3)-1),LEN(AQ805)-LEN(SUBSTITUTE(AQ805,".",""))=2,LEFT(AQ805,vitri(".",AQ805,2)-1),TRUE,LEFT(AQ805,vitri(".",AQ805,1)-1))</f>
        <v/>
      </c>
    </row>
    <row r="806" spans="13:54" x14ac:dyDescent="0.25">
      <c r="M806" s="379"/>
      <c r="BB806" s="206" t="str">
        <f t="array" ref="BB806">_xlfn.IFS(AQ806="","",LEN(AQ806)-LEN(SUBSTITUTE(AQ806,".",""))=3,LEFT(AQ806,vitri(".",AQ806,3)-1),LEN(AQ806)-LEN(SUBSTITUTE(AQ806,".",""))=2,LEFT(AQ806,vitri(".",AQ806,2)-1),TRUE,LEFT(AQ806,vitri(".",AQ806,1)-1))</f>
        <v/>
      </c>
    </row>
    <row r="807" spans="13:54" x14ac:dyDescent="0.25">
      <c r="M807" s="379"/>
      <c r="BB807" s="206" t="str">
        <f t="array" ref="BB807">_xlfn.IFS(AQ807="","",LEN(AQ807)-LEN(SUBSTITUTE(AQ807,".",""))=3,LEFT(AQ807,vitri(".",AQ807,3)-1),LEN(AQ807)-LEN(SUBSTITUTE(AQ807,".",""))=2,LEFT(AQ807,vitri(".",AQ807,2)-1),TRUE,LEFT(AQ807,vitri(".",AQ807,1)-1))</f>
        <v/>
      </c>
    </row>
    <row r="808" spans="13:54" x14ac:dyDescent="0.25">
      <c r="M808" s="379"/>
      <c r="BB808" s="206" t="str">
        <f t="array" ref="BB808">_xlfn.IFS(AQ808="","",LEN(AQ808)-LEN(SUBSTITUTE(AQ808,".",""))=3,LEFT(AQ808,vitri(".",AQ808,3)-1),LEN(AQ808)-LEN(SUBSTITUTE(AQ808,".",""))=2,LEFT(AQ808,vitri(".",AQ808,2)-1),TRUE,LEFT(AQ808,vitri(".",AQ808,1)-1))</f>
        <v/>
      </c>
    </row>
    <row r="809" spans="13:54" x14ac:dyDescent="0.25">
      <c r="M809" s="379"/>
      <c r="BB809" s="206" t="str">
        <f t="array" ref="BB809">_xlfn.IFS(AQ809="","",LEN(AQ809)-LEN(SUBSTITUTE(AQ809,".",""))=3,LEFT(AQ809,vitri(".",AQ809,3)-1),LEN(AQ809)-LEN(SUBSTITUTE(AQ809,".",""))=2,LEFT(AQ809,vitri(".",AQ809,2)-1),TRUE,LEFT(AQ809,vitri(".",AQ809,1)-1))</f>
        <v/>
      </c>
    </row>
    <row r="810" spans="13:54" x14ac:dyDescent="0.25">
      <c r="M810" s="379"/>
      <c r="BB810" s="206" t="str">
        <f t="array" ref="BB810">_xlfn.IFS(AQ810="","",LEN(AQ810)-LEN(SUBSTITUTE(AQ810,".",""))=3,LEFT(AQ810,vitri(".",AQ810,3)-1),LEN(AQ810)-LEN(SUBSTITUTE(AQ810,".",""))=2,LEFT(AQ810,vitri(".",AQ810,2)-1),TRUE,LEFT(AQ810,vitri(".",AQ810,1)-1))</f>
        <v/>
      </c>
    </row>
    <row r="811" spans="13:54" x14ac:dyDescent="0.25">
      <c r="M811" s="379"/>
      <c r="BB811" s="206" t="str">
        <f t="array" ref="BB811">_xlfn.IFS(AQ811="","",LEN(AQ811)-LEN(SUBSTITUTE(AQ811,".",""))=3,LEFT(AQ811,vitri(".",AQ811,3)-1),LEN(AQ811)-LEN(SUBSTITUTE(AQ811,".",""))=2,LEFT(AQ811,vitri(".",AQ811,2)-1),TRUE,LEFT(AQ811,vitri(".",AQ811,1)-1))</f>
        <v/>
      </c>
    </row>
    <row r="812" spans="13:54" x14ac:dyDescent="0.25">
      <c r="M812" s="379"/>
      <c r="BB812" s="206" t="str">
        <f t="array" ref="BB812">_xlfn.IFS(AQ812="","",LEN(AQ812)-LEN(SUBSTITUTE(AQ812,".",""))=3,LEFT(AQ812,vitri(".",AQ812,3)-1),LEN(AQ812)-LEN(SUBSTITUTE(AQ812,".",""))=2,LEFT(AQ812,vitri(".",AQ812,2)-1),TRUE,LEFT(AQ812,vitri(".",AQ812,1)-1))</f>
        <v/>
      </c>
    </row>
    <row r="813" spans="13:54" x14ac:dyDescent="0.25">
      <c r="M813" s="379"/>
      <c r="BB813" s="206" t="str">
        <f t="array" ref="BB813">_xlfn.IFS(AQ813="","",LEN(AQ813)-LEN(SUBSTITUTE(AQ813,".",""))=3,LEFT(AQ813,vitri(".",AQ813,3)-1),LEN(AQ813)-LEN(SUBSTITUTE(AQ813,".",""))=2,LEFT(AQ813,vitri(".",AQ813,2)-1),TRUE,LEFT(AQ813,vitri(".",AQ813,1)-1))</f>
        <v/>
      </c>
    </row>
    <row r="814" spans="13:54" x14ac:dyDescent="0.25">
      <c r="M814" s="379"/>
      <c r="BB814" s="206" t="str">
        <f t="array" ref="BB814">_xlfn.IFS(AQ814="","",LEN(AQ814)-LEN(SUBSTITUTE(AQ814,".",""))=3,LEFT(AQ814,vitri(".",AQ814,3)-1),LEN(AQ814)-LEN(SUBSTITUTE(AQ814,".",""))=2,LEFT(AQ814,vitri(".",AQ814,2)-1),TRUE,LEFT(AQ814,vitri(".",AQ814,1)-1))</f>
        <v/>
      </c>
    </row>
    <row r="815" spans="13:54" x14ac:dyDescent="0.25">
      <c r="M815" s="379"/>
      <c r="BB815" s="206" t="str">
        <f t="array" ref="BB815">_xlfn.IFS(AQ815="","",LEN(AQ815)-LEN(SUBSTITUTE(AQ815,".",""))=3,LEFT(AQ815,vitri(".",AQ815,3)-1),LEN(AQ815)-LEN(SUBSTITUTE(AQ815,".",""))=2,LEFT(AQ815,vitri(".",AQ815,2)-1),TRUE,LEFT(AQ815,vitri(".",AQ815,1)-1))</f>
        <v/>
      </c>
    </row>
    <row r="816" spans="13:54" x14ac:dyDescent="0.25">
      <c r="M816" s="379"/>
      <c r="BB816" s="206" t="str">
        <f t="array" ref="BB816">_xlfn.IFS(AQ816="","",LEN(AQ816)-LEN(SUBSTITUTE(AQ816,".",""))=3,LEFT(AQ816,vitri(".",AQ816,3)-1),LEN(AQ816)-LEN(SUBSTITUTE(AQ816,".",""))=2,LEFT(AQ816,vitri(".",AQ816,2)-1),TRUE,LEFT(AQ816,vitri(".",AQ816,1)-1))</f>
        <v/>
      </c>
    </row>
    <row r="817" spans="13:54" x14ac:dyDescent="0.25">
      <c r="M817" s="379"/>
      <c r="BB817" s="206" t="str">
        <f t="array" ref="BB817">_xlfn.IFS(AQ817="","",LEN(AQ817)-LEN(SUBSTITUTE(AQ817,".",""))=3,LEFT(AQ817,vitri(".",AQ817,3)-1),LEN(AQ817)-LEN(SUBSTITUTE(AQ817,".",""))=2,LEFT(AQ817,vitri(".",AQ817,2)-1),TRUE,LEFT(AQ817,vitri(".",AQ817,1)-1))</f>
        <v/>
      </c>
    </row>
    <row r="818" spans="13:54" x14ac:dyDescent="0.25">
      <c r="M818" s="379"/>
      <c r="BB818" s="206" t="str">
        <f t="array" ref="BB818">_xlfn.IFS(AQ818="","",LEN(AQ818)-LEN(SUBSTITUTE(AQ818,".",""))=3,LEFT(AQ818,vitri(".",AQ818,3)-1),LEN(AQ818)-LEN(SUBSTITUTE(AQ818,".",""))=2,LEFT(AQ818,vitri(".",AQ818,2)-1),TRUE,LEFT(AQ818,vitri(".",AQ818,1)-1))</f>
        <v/>
      </c>
    </row>
    <row r="819" spans="13:54" x14ac:dyDescent="0.25">
      <c r="M819" s="379"/>
      <c r="BB819" s="206" t="str">
        <f t="array" ref="BB819">_xlfn.IFS(AQ819="","",LEN(AQ819)-LEN(SUBSTITUTE(AQ819,".",""))=3,LEFT(AQ819,vitri(".",AQ819,3)-1),LEN(AQ819)-LEN(SUBSTITUTE(AQ819,".",""))=2,LEFT(AQ819,vitri(".",AQ819,2)-1),TRUE,LEFT(AQ819,vitri(".",AQ819,1)-1))</f>
        <v/>
      </c>
    </row>
    <row r="820" spans="13:54" x14ac:dyDescent="0.25">
      <c r="M820" s="379"/>
      <c r="BB820" s="206" t="str">
        <f t="array" ref="BB820">_xlfn.IFS(AQ820="","",LEN(AQ820)-LEN(SUBSTITUTE(AQ820,".",""))=3,LEFT(AQ820,vitri(".",AQ820,3)-1),LEN(AQ820)-LEN(SUBSTITUTE(AQ820,".",""))=2,LEFT(AQ820,vitri(".",AQ820,2)-1),TRUE,LEFT(AQ820,vitri(".",AQ820,1)-1))</f>
        <v/>
      </c>
    </row>
    <row r="821" spans="13:54" x14ac:dyDescent="0.25">
      <c r="M821" s="379"/>
      <c r="BB821" s="206" t="str">
        <f t="array" ref="BB821">_xlfn.IFS(AQ821="","",LEN(AQ821)-LEN(SUBSTITUTE(AQ821,".",""))=3,LEFT(AQ821,vitri(".",AQ821,3)-1),LEN(AQ821)-LEN(SUBSTITUTE(AQ821,".",""))=2,LEFT(AQ821,vitri(".",AQ821,2)-1),TRUE,LEFT(AQ821,vitri(".",AQ821,1)-1))</f>
        <v/>
      </c>
    </row>
    <row r="822" spans="13:54" x14ac:dyDescent="0.25">
      <c r="M822" s="379"/>
      <c r="BB822" s="206" t="str">
        <f t="array" ref="BB822">_xlfn.IFS(AQ822="","",LEN(AQ822)-LEN(SUBSTITUTE(AQ822,".",""))=3,LEFT(AQ822,vitri(".",AQ822,3)-1),LEN(AQ822)-LEN(SUBSTITUTE(AQ822,".",""))=2,LEFT(AQ822,vitri(".",AQ822,2)-1),TRUE,LEFT(AQ822,vitri(".",AQ822,1)-1))</f>
        <v/>
      </c>
    </row>
    <row r="823" spans="13:54" x14ac:dyDescent="0.25">
      <c r="M823" s="379"/>
      <c r="BB823" s="206" t="str">
        <f t="array" ref="BB823">_xlfn.IFS(AQ823="","",LEN(AQ823)-LEN(SUBSTITUTE(AQ823,".",""))=3,LEFT(AQ823,vitri(".",AQ823,3)-1),LEN(AQ823)-LEN(SUBSTITUTE(AQ823,".",""))=2,LEFT(AQ823,vitri(".",AQ823,2)-1),TRUE,LEFT(AQ823,vitri(".",AQ823,1)-1))</f>
        <v/>
      </c>
    </row>
    <row r="824" spans="13:54" x14ac:dyDescent="0.25">
      <c r="M824" s="379"/>
      <c r="BB824" s="206" t="str">
        <f t="array" ref="BB824">_xlfn.IFS(AQ824="","",LEN(AQ824)-LEN(SUBSTITUTE(AQ824,".",""))=3,LEFT(AQ824,vitri(".",AQ824,3)-1),LEN(AQ824)-LEN(SUBSTITUTE(AQ824,".",""))=2,LEFT(AQ824,vitri(".",AQ824,2)-1),TRUE,LEFT(AQ824,vitri(".",AQ824,1)-1))</f>
        <v/>
      </c>
    </row>
    <row r="825" spans="13:54" x14ac:dyDescent="0.25">
      <c r="M825" s="379"/>
      <c r="BB825" s="206" t="str">
        <f t="array" ref="BB825">_xlfn.IFS(AQ825="","",LEN(AQ825)-LEN(SUBSTITUTE(AQ825,".",""))=3,LEFT(AQ825,vitri(".",AQ825,3)-1),LEN(AQ825)-LEN(SUBSTITUTE(AQ825,".",""))=2,LEFT(AQ825,vitri(".",AQ825,2)-1),TRUE,LEFT(AQ825,vitri(".",AQ825,1)-1))</f>
        <v/>
      </c>
    </row>
    <row r="826" spans="13:54" x14ac:dyDescent="0.25">
      <c r="M826" s="379"/>
      <c r="BB826" s="206" t="str">
        <f t="array" ref="BB826">_xlfn.IFS(AQ826="","",LEN(AQ826)-LEN(SUBSTITUTE(AQ826,".",""))=3,LEFT(AQ826,vitri(".",AQ826,3)-1),LEN(AQ826)-LEN(SUBSTITUTE(AQ826,".",""))=2,LEFT(AQ826,vitri(".",AQ826,2)-1),TRUE,LEFT(AQ826,vitri(".",AQ826,1)-1))</f>
        <v/>
      </c>
    </row>
    <row r="827" spans="13:54" x14ac:dyDescent="0.25">
      <c r="M827" s="379"/>
      <c r="BB827" s="206" t="str">
        <f t="array" ref="BB827">_xlfn.IFS(AQ827="","",LEN(AQ827)-LEN(SUBSTITUTE(AQ827,".",""))=3,LEFT(AQ827,vitri(".",AQ827,3)-1),LEN(AQ827)-LEN(SUBSTITUTE(AQ827,".",""))=2,LEFT(AQ827,vitri(".",AQ827,2)-1),TRUE,LEFT(AQ827,vitri(".",AQ827,1)-1))</f>
        <v/>
      </c>
    </row>
    <row r="828" spans="13:54" x14ac:dyDescent="0.25">
      <c r="M828" s="379"/>
      <c r="BB828" s="206" t="str">
        <f t="array" ref="BB828">_xlfn.IFS(AQ828="","",LEN(AQ828)-LEN(SUBSTITUTE(AQ828,".",""))=3,LEFT(AQ828,vitri(".",AQ828,3)-1),LEN(AQ828)-LEN(SUBSTITUTE(AQ828,".",""))=2,LEFT(AQ828,vitri(".",AQ828,2)-1),TRUE,LEFT(AQ828,vitri(".",AQ828,1)-1))</f>
        <v/>
      </c>
    </row>
    <row r="829" spans="13:54" x14ac:dyDescent="0.25">
      <c r="M829" s="379"/>
      <c r="BB829" s="206" t="str">
        <f t="array" ref="BB829">_xlfn.IFS(AQ829="","",LEN(AQ829)-LEN(SUBSTITUTE(AQ829,".",""))=3,LEFT(AQ829,vitri(".",AQ829,3)-1),LEN(AQ829)-LEN(SUBSTITUTE(AQ829,".",""))=2,LEFT(AQ829,vitri(".",AQ829,2)-1),TRUE,LEFT(AQ829,vitri(".",AQ829,1)-1))</f>
        <v/>
      </c>
    </row>
    <row r="830" spans="13:54" x14ac:dyDescent="0.25">
      <c r="M830" s="379"/>
      <c r="BB830" s="206" t="str">
        <f t="array" ref="BB830">_xlfn.IFS(AQ830="","",LEN(AQ830)-LEN(SUBSTITUTE(AQ830,".",""))=3,LEFT(AQ830,vitri(".",AQ830,3)-1),LEN(AQ830)-LEN(SUBSTITUTE(AQ830,".",""))=2,LEFT(AQ830,vitri(".",AQ830,2)-1),TRUE,LEFT(AQ830,vitri(".",AQ830,1)-1))</f>
        <v/>
      </c>
    </row>
    <row r="831" spans="13:54" x14ac:dyDescent="0.25">
      <c r="M831" s="379"/>
      <c r="BB831" s="206" t="str">
        <f t="array" ref="BB831">_xlfn.IFS(AQ831="","",LEN(AQ831)-LEN(SUBSTITUTE(AQ831,".",""))=3,LEFT(AQ831,vitri(".",AQ831,3)-1),LEN(AQ831)-LEN(SUBSTITUTE(AQ831,".",""))=2,LEFT(AQ831,vitri(".",AQ831,2)-1),TRUE,LEFT(AQ831,vitri(".",AQ831,1)-1))</f>
        <v/>
      </c>
    </row>
    <row r="832" spans="13:54" x14ac:dyDescent="0.25">
      <c r="M832" s="379"/>
      <c r="BB832" s="206" t="str">
        <f t="array" ref="BB832">_xlfn.IFS(AQ832="","",LEN(AQ832)-LEN(SUBSTITUTE(AQ832,".",""))=3,LEFT(AQ832,vitri(".",AQ832,3)-1),LEN(AQ832)-LEN(SUBSTITUTE(AQ832,".",""))=2,LEFT(AQ832,vitri(".",AQ832,2)-1),TRUE,LEFT(AQ832,vitri(".",AQ832,1)-1))</f>
        <v/>
      </c>
    </row>
    <row r="833" spans="13:54" x14ac:dyDescent="0.25">
      <c r="M833" s="379"/>
      <c r="BB833" s="206" t="str">
        <f t="array" ref="BB833">_xlfn.IFS(AQ833="","",LEN(AQ833)-LEN(SUBSTITUTE(AQ833,".",""))=3,LEFT(AQ833,vitri(".",AQ833,3)-1),LEN(AQ833)-LEN(SUBSTITUTE(AQ833,".",""))=2,LEFT(AQ833,vitri(".",AQ833,2)-1),TRUE,LEFT(AQ833,vitri(".",AQ833,1)-1))</f>
        <v/>
      </c>
    </row>
    <row r="834" spans="13:54" x14ac:dyDescent="0.25">
      <c r="M834" s="379"/>
      <c r="BB834" s="206" t="str">
        <f t="array" ref="BB834">_xlfn.IFS(AQ834="","",LEN(AQ834)-LEN(SUBSTITUTE(AQ834,".",""))=3,LEFT(AQ834,vitri(".",AQ834,3)-1),LEN(AQ834)-LEN(SUBSTITUTE(AQ834,".",""))=2,LEFT(AQ834,vitri(".",AQ834,2)-1),TRUE,LEFT(AQ834,vitri(".",AQ834,1)-1))</f>
        <v/>
      </c>
    </row>
    <row r="835" spans="13:54" x14ac:dyDescent="0.25">
      <c r="M835" s="379"/>
      <c r="BB835" s="206" t="str">
        <f t="array" ref="BB835">_xlfn.IFS(AQ835="","",LEN(AQ835)-LEN(SUBSTITUTE(AQ835,".",""))=3,LEFT(AQ835,vitri(".",AQ835,3)-1),LEN(AQ835)-LEN(SUBSTITUTE(AQ835,".",""))=2,LEFT(AQ835,vitri(".",AQ835,2)-1),TRUE,LEFT(AQ835,vitri(".",AQ835,1)-1))</f>
        <v/>
      </c>
    </row>
    <row r="836" spans="13:54" x14ac:dyDescent="0.25">
      <c r="M836" s="379"/>
      <c r="BB836" s="206" t="str">
        <f t="array" ref="BB836">_xlfn.IFS(AQ836="","",LEN(AQ836)-LEN(SUBSTITUTE(AQ836,".",""))=3,LEFT(AQ836,vitri(".",AQ836,3)-1),LEN(AQ836)-LEN(SUBSTITUTE(AQ836,".",""))=2,LEFT(AQ836,vitri(".",AQ836,2)-1),TRUE,LEFT(AQ836,vitri(".",AQ836,1)-1))</f>
        <v/>
      </c>
    </row>
    <row r="837" spans="13:54" x14ac:dyDescent="0.25">
      <c r="M837" s="379"/>
      <c r="BB837" s="206" t="str">
        <f t="array" ref="BB837">_xlfn.IFS(AQ837="","",LEN(AQ837)-LEN(SUBSTITUTE(AQ837,".",""))=3,LEFT(AQ837,vitri(".",AQ837,3)-1),LEN(AQ837)-LEN(SUBSTITUTE(AQ837,".",""))=2,LEFT(AQ837,vitri(".",AQ837,2)-1),TRUE,LEFT(AQ837,vitri(".",AQ837,1)-1))</f>
        <v/>
      </c>
    </row>
    <row r="838" spans="13:54" x14ac:dyDescent="0.25">
      <c r="M838" s="379"/>
      <c r="BB838" s="206" t="str">
        <f t="array" ref="BB838">_xlfn.IFS(AQ838="","",LEN(AQ838)-LEN(SUBSTITUTE(AQ838,".",""))=3,LEFT(AQ838,vitri(".",AQ838,3)-1),LEN(AQ838)-LEN(SUBSTITUTE(AQ838,".",""))=2,LEFT(AQ838,vitri(".",AQ838,2)-1),TRUE,LEFT(AQ838,vitri(".",AQ838,1)-1))</f>
        <v/>
      </c>
    </row>
    <row r="839" spans="13:54" x14ac:dyDescent="0.25">
      <c r="M839" s="379"/>
      <c r="BB839" s="206" t="str">
        <f t="array" ref="BB839">_xlfn.IFS(AQ839="","",LEN(AQ839)-LEN(SUBSTITUTE(AQ839,".",""))=3,LEFT(AQ839,vitri(".",AQ839,3)-1),LEN(AQ839)-LEN(SUBSTITUTE(AQ839,".",""))=2,LEFT(AQ839,vitri(".",AQ839,2)-1),TRUE,LEFT(AQ839,vitri(".",AQ839,1)-1))</f>
        <v/>
      </c>
    </row>
    <row r="840" spans="13:54" x14ac:dyDescent="0.25">
      <c r="M840" s="379"/>
      <c r="BB840" s="206" t="str">
        <f t="array" ref="BB840">_xlfn.IFS(AQ840="","",LEN(AQ840)-LEN(SUBSTITUTE(AQ840,".",""))=3,LEFT(AQ840,vitri(".",AQ840,3)-1),LEN(AQ840)-LEN(SUBSTITUTE(AQ840,".",""))=2,LEFT(AQ840,vitri(".",AQ840,2)-1),TRUE,LEFT(AQ840,vitri(".",AQ840,1)-1))</f>
        <v/>
      </c>
    </row>
    <row r="841" spans="13:54" x14ac:dyDescent="0.25">
      <c r="M841" s="379"/>
      <c r="BB841" s="206" t="str">
        <f t="array" ref="BB841">_xlfn.IFS(AQ841="","",LEN(AQ841)-LEN(SUBSTITUTE(AQ841,".",""))=3,LEFT(AQ841,vitri(".",AQ841,3)-1),LEN(AQ841)-LEN(SUBSTITUTE(AQ841,".",""))=2,LEFT(AQ841,vitri(".",AQ841,2)-1),TRUE,LEFT(AQ841,vitri(".",AQ841,1)-1))</f>
        <v/>
      </c>
    </row>
    <row r="842" spans="13:54" x14ac:dyDescent="0.25">
      <c r="M842" s="379"/>
      <c r="BB842" s="206" t="str">
        <f t="array" ref="BB842">_xlfn.IFS(AQ842="","",LEN(AQ842)-LEN(SUBSTITUTE(AQ842,".",""))=3,LEFT(AQ842,vitri(".",AQ842,3)-1),LEN(AQ842)-LEN(SUBSTITUTE(AQ842,".",""))=2,LEFT(AQ842,vitri(".",AQ842,2)-1),TRUE,LEFT(AQ842,vitri(".",AQ842,1)-1))</f>
        <v/>
      </c>
    </row>
    <row r="843" spans="13:54" x14ac:dyDescent="0.25">
      <c r="M843" s="379"/>
      <c r="BB843" s="206" t="str">
        <f t="array" ref="BB843">_xlfn.IFS(AQ843="","",LEN(AQ843)-LEN(SUBSTITUTE(AQ843,".",""))=3,LEFT(AQ843,vitri(".",AQ843,3)-1),LEN(AQ843)-LEN(SUBSTITUTE(AQ843,".",""))=2,LEFT(AQ843,vitri(".",AQ843,2)-1),TRUE,LEFT(AQ843,vitri(".",AQ843,1)-1))</f>
        <v/>
      </c>
    </row>
    <row r="844" spans="13:54" x14ac:dyDescent="0.25">
      <c r="M844" s="379"/>
      <c r="BB844" s="206" t="str">
        <f t="array" ref="BB844">_xlfn.IFS(AQ844="","",LEN(AQ844)-LEN(SUBSTITUTE(AQ844,".",""))=3,LEFT(AQ844,vitri(".",AQ844,3)-1),LEN(AQ844)-LEN(SUBSTITUTE(AQ844,".",""))=2,LEFT(AQ844,vitri(".",AQ844,2)-1),TRUE,LEFT(AQ844,vitri(".",AQ844,1)-1))</f>
        <v/>
      </c>
    </row>
    <row r="845" spans="13:54" x14ac:dyDescent="0.25">
      <c r="M845" s="379"/>
      <c r="BB845" s="206" t="str">
        <f t="array" ref="BB845">_xlfn.IFS(AQ845="","",LEN(AQ845)-LEN(SUBSTITUTE(AQ845,".",""))=3,LEFT(AQ845,vitri(".",AQ845,3)-1),LEN(AQ845)-LEN(SUBSTITUTE(AQ845,".",""))=2,LEFT(AQ845,vitri(".",AQ845,2)-1),TRUE,LEFT(AQ845,vitri(".",AQ845,1)-1))</f>
        <v/>
      </c>
    </row>
    <row r="846" spans="13:54" x14ac:dyDescent="0.25">
      <c r="M846" s="379"/>
      <c r="BB846" s="206" t="str">
        <f t="array" ref="BB846">_xlfn.IFS(AQ846="","",LEN(AQ846)-LEN(SUBSTITUTE(AQ846,".",""))=3,LEFT(AQ846,vitri(".",AQ846,3)-1),LEN(AQ846)-LEN(SUBSTITUTE(AQ846,".",""))=2,LEFT(AQ846,vitri(".",AQ846,2)-1),TRUE,LEFT(AQ846,vitri(".",AQ846,1)-1))</f>
        <v/>
      </c>
    </row>
    <row r="847" spans="13:54" x14ac:dyDescent="0.25">
      <c r="M847" s="379"/>
      <c r="BB847" s="206" t="str">
        <f t="array" ref="BB847">_xlfn.IFS(AQ847="","",LEN(AQ847)-LEN(SUBSTITUTE(AQ847,".",""))=3,LEFT(AQ847,vitri(".",AQ847,3)-1),LEN(AQ847)-LEN(SUBSTITUTE(AQ847,".",""))=2,LEFT(AQ847,vitri(".",AQ847,2)-1),TRUE,LEFT(AQ847,vitri(".",AQ847,1)-1))</f>
        <v/>
      </c>
    </row>
    <row r="848" spans="13:54" x14ac:dyDescent="0.25">
      <c r="M848" s="379"/>
      <c r="BB848" s="206" t="str">
        <f t="array" ref="BB848">_xlfn.IFS(AQ848="","",LEN(AQ848)-LEN(SUBSTITUTE(AQ848,".",""))=3,LEFT(AQ848,vitri(".",AQ848,3)-1),LEN(AQ848)-LEN(SUBSTITUTE(AQ848,".",""))=2,LEFT(AQ848,vitri(".",AQ848,2)-1),TRUE,LEFT(AQ848,vitri(".",AQ848,1)-1))</f>
        <v/>
      </c>
    </row>
    <row r="849" spans="13:54" x14ac:dyDescent="0.25">
      <c r="M849" s="379"/>
      <c r="BB849" s="206" t="str">
        <f t="array" ref="BB849">_xlfn.IFS(AQ849="","",LEN(AQ849)-LEN(SUBSTITUTE(AQ849,".",""))=3,LEFT(AQ849,vitri(".",AQ849,3)-1),LEN(AQ849)-LEN(SUBSTITUTE(AQ849,".",""))=2,LEFT(AQ849,vitri(".",AQ849,2)-1),TRUE,LEFT(AQ849,vitri(".",AQ849,1)-1))</f>
        <v/>
      </c>
    </row>
    <row r="850" spans="13:54" x14ac:dyDescent="0.25">
      <c r="M850" s="379"/>
      <c r="BB850" s="206" t="str">
        <f t="array" ref="BB850">_xlfn.IFS(AQ850="","",LEN(AQ850)-LEN(SUBSTITUTE(AQ850,".",""))=3,LEFT(AQ850,vitri(".",AQ850,3)-1),LEN(AQ850)-LEN(SUBSTITUTE(AQ850,".",""))=2,LEFT(AQ850,vitri(".",AQ850,2)-1),TRUE,LEFT(AQ850,vitri(".",AQ850,1)-1))</f>
        <v/>
      </c>
    </row>
    <row r="851" spans="13:54" x14ac:dyDescent="0.25">
      <c r="M851" s="379"/>
      <c r="BB851" s="206" t="str">
        <f t="array" ref="BB851">_xlfn.IFS(AQ851="","",LEN(AQ851)-LEN(SUBSTITUTE(AQ851,".",""))=3,LEFT(AQ851,vitri(".",AQ851,3)-1),LEN(AQ851)-LEN(SUBSTITUTE(AQ851,".",""))=2,LEFT(AQ851,vitri(".",AQ851,2)-1),TRUE,LEFT(AQ851,vitri(".",AQ851,1)-1))</f>
        <v/>
      </c>
    </row>
    <row r="852" spans="13:54" x14ac:dyDescent="0.25">
      <c r="M852" s="379"/>
      <c r="BB852" s="206" t="str">
        <f t="array" ref="BB852">_xlfn.IFS(AQ852="","",LEN(AQ852)-LEN(SUBSTITUTE(AQ852,".",""))=3,LEFT(AQ852,vitri(".",AQ852,3)-1),LEN(AQ852)-LEN(SUBSTITUTE(AQ852,".",""))=2,LEFT(AQ852,vitri(".",AQ852,2)-1),TRUE,LEFT(AQ852,vitri(".",AQ852,1)-1))</f>
        <v/>
      </c>
    </row>
    <row r="853" spans="13:54" x14ac:dyDescent="0.25">
      <c r="M853" s="379"/>
      <c r="BB853" s="206" t="str">
        <f t="array" ref="BB853">_xlfn.IFS(AQ853="","",LEN(AQ853)-LEN(SUBSTITUTE(AQ853,".",""))=3,LEFT(AQ853,vitri(".",AQ853,3)-1),LEN(AQ853)-LEN(SUBSTITUTE(AQ853,".",""))=2,LEFT(AQ853,vitri(".",AQ853,2)-1),TRUE,LEFT(AQ853,vitri(".",AQ853,1)-1))</f>
        <v/>
      </c>
    </row>
    <row r="854" spans="13:54" x14ac:dyDescent="0.25">
      <c r="M854" s="379"/>
      <c r="BB854" s="206" t="str">
        <f t="array" ref="BB854">_xlfn.IFS(AQ854="","",LEN(AQ854)-LEN(SUBSTITUTE(AQ854,".",""))=3,LEFT(AQ854,vitri(".",AQ854,3)-1),LEN(AQ854)-LEN(SUBSTITUTE(AQ854,".",""))=2,LEFT(AQ854,vitri(".",AQ854,2)-1),TRUE,LEFT(AQ854,vitri(".",AQ854,1)-1))</f>
        <v/>
      </c>
    </row>
    <row r="855" spans="13:54" x14ac:dyDescent="0.25">
      <c r="M855" s="379"/>
      <c r="BB855" s="206" t="str">
        <f t="array" ref="BB855">_xlfn.IFS(AQ855="","",LEN(AQ855)-LEN(SUBSTITUTE(AQ855,".",""))=3,LEFT(AQ855,vitri(".",AQ855,3)-1),LEN(AQ855)-LEN(SUBSTITUTE(AQ855,".",""))=2,LEFT(AQ855,vitri(".",AQ855,2)-1),TRUE,LEFT(AQ855,vitri(".",AQ855,1)-1))</f>
        <v/>
      </c>
    </row>
    <row r="856" spans="13:54" x14ac:dyDescent="0.25">
      <c r="M856" s="379"/>
      <c r="BB856" s="206" t="str">
        <f t="array" ref="BB856">_xlfn.IFS(AQ856="","",LEN(AQ856)-LEN(SUBSTITUTE(AQ856,".",""))=3,LEFT(AQ856,vitri(".",AQ856,3)-1),LEN(AQ856)-LEN(SUBSTITUTE(AQ856,".",""))=2,LEFT(AQ856,vitri(".",AQ856,2)-1),TRUE,LEFT(AQ856,vitri(".",AQ856,1)-1))</f>
        <v/>
      </c>
    </row>
    <row r="857" spans="13:54" x14ac:dyDescent="0.25">
      <c r="M857" s="379"/>
      <c r="BB857" s="206" t="str">
        <f t="array" ref="BB857">_xlfn.IFS(AQ857="","",LEN(AQ857)-LEN(SUBSTITUTE(AQ857,".",""))=3,LEFT(AQ857,vitri(".",AQ857,3)-1),LEN(AQ857)-LEN(SUBSTITUTE(AQ857,".",""))=2,LEFT(AQ857,vitri(".",AQ857,2)-1),TRUE,LEFT(AQ857,vitri(".",AQ857,1)-1))</f>
        <v/>
      </c>
    </row>
    <row r="858" spans="13:54" x14ac:dyDescent="0.25">
      <c r="M858" s="379"/>
      <c r="BB858" s="206" t="str">
        <f t="array" ref="BB858">_xlfn.IFS(AQ858="","",LEN(AQ858)-LEN(SUBSTITUTE(AQ858,".",""))=3,LEFT(AQ858,vitri(".",AQ858,3)-1),LEN(AQ858)-LEN(SUBSTITUTE(AQ858,".",""))=2,LEFT(AQ858,vitri(".",AQ858,2)-1),TRUE,LEFT(AQ858,vitri(".",AQ858,1)-1))</f>
        <v/>
      </c>
    </row>
    <row r="859" spans="13:54" x14ac:dyDescent="0.25">
      <c r="M859" s="379"/>
      <c r="BB859" s="206" t="str">
        <f t="array" ref="BB859">_xlfn.IFS(AQ859="","",LEN(AQ859)-LEN(SUBSTITUTE(AQ859,".",""))=3,LEFT(AQ859,vitri(".",AQ859,3)-1),LEN(AQ859)-LEN(SUBSTITUTE(AQ859,".",""))=2,LEFT(AQ859,vitri(".",AQ859,2)-1),TRUE,LEFT(AQ859,vitri(".",AQ859,1)-1))</f>
        <v/>
      </c>
    </row>
    <row r="860" spans="13:54" x14ac:dyDescent="0.25">
      <c r="M860" s="379"/>
      <c r="BB860" s="206" t="str">
        <f t="array" ref="BB860">_xlfn.IFS(AQ860="","",LEN(AQ860)-LEN(SUBSTITUTE(AQ860,".",""))=3,LEFT(AQ860,vitri(".",AQ860,3)-1),LEN(AQ860)-LEN(SUBSTITUTE(AQ860,".",""))=2,LEFT(AQ860,vitri(".",AQ860,2)-1),TRUE,LEFT(AQ860,vitri(".",AQ860,1)-1))</f>
        <v/>
      </c>
    </row>
    <row r="861" spans="13:54" x14ac:dyDescent="0.25">
      <c r="M861" s="379"/>
      <c r="BB861" s="206" t="str">
        <f t="array" ref="BB861">_xlfn.IFS(AQ861="","",LEN(AQ861)-LEN(SUBSTITUTE(AQ861,".",""))=3,LEFT(AQ861,vitri(".",AQ861,3)-1),LEN(AQ861)-LEN(SUBSTITUTE(AQ861,".",""))=2,LEFT(AQ861,vitri(".",AQ861,2)-1),TRUE,LEFT(AQ861,vitri(".",AQ861,1)-1))</f>
        <v/>
      </c>
    </row>
    <row r="862" spans="13:54" x14ac:dyDescent="0.25">
      <c r="M862" s="379"/>
      <c r="BB862" s="206" t="str">
        <f t="array" ref="BB862">_xlfn.IFS(AQ862="","",LEN(AQ862)-LEN(SUBSTITUTE(AQ862,".",""))=3,LEFT(AQ862,vitri(".",AQ862,3)-1),LEN(AQ862)-LEN(SUBSTITUTE(AQ862,".",""))=2,LEFT(AQ862,vitri(".",AQ862,2)-1),TRUE,LEFT(AQ862,vitri(".",AQ862,1)-1))</f>
        <v/>
      </c>
    </row>
    <row r="863" spans="13:54" x14ac:dyDescent="0.25">
      <c r="M863" s="379"/>
      <c r="BB863" s="206" t="str">
        <f t="array" ref="BB863">_xlfn.IFS(AQ863="","",LEN(AQ863)-LEN(SUBSTITUTE(AQ863,".",""))=3,LEFT(AQ863,vitri(".",AQ863,3)-1),LEN(AQ863)-LEN(SUBSTITUTE(AQ863,".",""))=2,LEFT(AQ863,vitri(".",AQ863,2)-1),TRUE,LEFT(AQ863,vitri(".",AQ863,1)-1))</f>
        <v/>
      </c>
    </row>
    <row r="864" spans="13:54" x14ac:dyDescent="0.25">
      <c r="M864" s="379"/>
      <c r="BB864" s="206" t="str">
        <f t="array" ref="BB864">_xlfn.IFS(AQ864="","",LEN(AQ864)-LEN(SUBSTITUTE(AQ864,".",""))=3,LEFT(AQ864,vitri(".",AQ864,3)-1),LEN(AQ864)-LEN(SUBSTITUTE(AQ864,".",""))=2,LEFT(AQ864,vitri(".",AQ864,2)-1),TRUE,LEFT(AQ864,vitri(".",AQ864,1)-1))</f>
        <v/>
      </c>
    </row>
    <row r="865" spans="13:54" x14ac:dyDescent="0.25">
      <c r="M865" s="379"/>
      <c r="BB865" s="206" t="str">
        <f t="array" ref="BB865">_xlfn.IFS(AQ865="","",LEN(AQ865)-LEN(SUBSTITUTE(AQ865,".",""))=3,LEFT(AQ865,vitri(".",AQ865,3)-1),LEN(AQ865)-LEN(SUBSTITUTE(AQ865,".",""))=2,LEFT(AQ865,vitri(".",AQ865,2)-1),TRUE,LEFT(AQ865,vitri(".",AQ865,1)-1))</f>
        <v/>
      </c>
    </row>
    <row r="866" spans="13:54" x14ac:dyDescent="0.25">
      <c r="M866" s="379"/>
      <c r="BB866" s="206" t="str">
        <f t="array" ref="BB866">_xlfn.IFS(AQ866="","",LEN(AQ866)-LEN(SUBSTITUTE(AQ866,".",""))=3,LEFT(AQ866,vitri(".",AQ866,3)-1),LEN(AQ866)-LEN(SUBSTITUTE(AQ866,".",""))=2,LEFT(AQ866,vitri(".",AQ866,2)-1),TRUE,LEFT(AQ866,vitri(".",AQ866,1)-1))</f>
        <v/>
      </c>
    </row>
    <row r="867" spans="13:54" x14ac:dyDescent="0.25">
      <c r="M867" s="379"/>
      <c r="BB867" s="206" t="str">
        <f t="array" ref="BB867">_xlfn.IFS(AQ867="","",LEN(AQ867)-LEN(SUBSTITUTE(AQ867,".",""))=3,LEFT(AQ867,vitri(".",AQ867,3)-1),LEN(AQ867)-LEN(SUBSTITUTE(AQ867,".",""))=2,LEFT(AQ867,vitri(".",AQ867,2)-1),TRUE,LEFT(AQ867,vitri(".",AQ867,1)-1))</f>
        <v/>
      </c>
    </row>
    <row r="868" spans="13:54" x14ac:dyDescent="0.25">
      <c r="M868" s="379"/>
      <c r="BB868" s="206" t="str">
        <f t="array" ref="BB868">_xlfn.IFS(AQ868="","",LEN(AQ868)-LEN(SUBSTITUTE(AQ868,".",""))=3,LEFT(AQ868,vitri(".",AQ868,3)-1),LEN(AQ868)-LEN(SUBSTITUTE(AQ868,".",""))=2,LEFT(AQ868,vitri(".",AQ868,2)-1),TRUE,LEFT(AQ868,vitri(".",AQ868,1)-1))</f>
        <v/>
      </c>
    </row>
    <row r="869" spans="13:54" x14ac:dyDescent="0.25">
      <c r="M869" s="379"/>
      <c r="BB869" s="206" t="str">
        <f t="array" ref="BB869">_xlfn.IFS(AQ869="","",LEN(AQ869)-LEN(SUBSTITUTE(AQ869,".",""))=3,LEFT(AQ869,vitri(".",AQ869,3)-1),LEN(AQ869)-LEN(SUBSTITUTE(AQ869,".",""))=2,LEFT(AQ869,vitri(".",AQ869,2)-1),TRUE,LEFT(AQ869,vitri(".",AQ869,1)-1))</f>
        <v/>
      </c>
    </row>
    <row r="870" spans="13:54" x14ac:dyDescent="0.25">
      <c r="M870" s="379"/>
      <c r="BB870" s="206" t="str">
        <f t="array" ref="BB870">_xlfn.IFS(AQ870="","",LEN(AQ870)-LEN(SUBSTITUTE(AQ870,".",""))=3,LEFT(AQ870,vitri(".",AQ870,3)-1),LEN(AQ870)-LEN(SUBSTITUTE(AQ870,".",""))=2,LEFT(AQ870,vitri(".",AQ870,2)-1),TRUE,LEFT(AQ870,vitri(".",AQ870,1)-1))</f>
        <v/>
      </c>
    </row>
    <row r="871" spans="13:54" x14ac:dyDescent="0.25">
      <c r="M871" s="379"/>
      <c r="BB871" s="206" t="str">
        <f t="array" ref="BB871">_xlfn.IFS(AQ871="","",LEN(AQ871)-LEN(SUBSTITUTE(AQ871,".",""))=3,LEFT(AQ871,vitri(".",AQ871,3)-1),LEN(AQ871)-LEN(SUBSTITUTE(AQ871,".",""))=2,LEFT(AQ871,vitri(".",AQ871,2)-1),TRUE,LEFT(AQ871,vitri(".",AQ871,1)-1))</f>
        <v/>
      </c>
    </row>
    <row r="872" spans="13:54" x14ac:dyDescent="0.25">
      <c r="M872" s="379"/>
      <c r="BB872" s="206" t="str">
        <f t="array" ref="BB872">_xlfn.IFS(AQ872="","",LEN(AQ872)-LEN(SUBSTITUTE(AQ872,".",""))=3,LEFT(AQ872,vitri(".",AQ872,3)-1),LEN(AQ872)-LEN(SUBSTITUTE(AQ872,".",""))=2,LEFT(AQ872,vitri(".",AQ872,2)-1),TRUE,LEFT(AQ872,vitri(".",AQ872,1)-1))</f>
        <v/>
      </c>
    </row>
    <row r="873" spans="13:54" x14ac:dyDescent="0.25">
      <c r="M873" s="379"/>
      <c r="BB873" s="206" t="str">
        <f t="array" ref="BB873">_xlfn.IFS(AQ873="","",LEN(AQ873)-LEN(SUBSTITUTE(AQ873,".",""))=3,LEFT(AQ873,vitri(".",AQ873,3)-1),LEN(AQ873)-LEN(SUBSTITUTE(AQ873,".",""))=2,LEFT(AQ873,vitri(".",AQ873,2)-1),TRUE,LEFT(AQ873,vitri(".",AQ873,1)-1))</f>
        <v/>
      </c>
    </row>
    <row r="874" spans="13:54" x14ac:dyDescent="0.25">
      <c r="M874" s="379"/>
      <c r="BB874" s="206" t="str">
        <f t="array" ref="BB874">_xlfn.IFS(AQ874="","",LEN(AQ874)-LEN(SUBSTITUTE(AQ874,".",""))=3,LEFT(AQ874,vitri(".",AQ874,3)-1),LEN(AQ874)-LEN(SUBSTITUTE(AQ874,".",""))=2,LEFT(AQ874,vitri(".",AQ874,2)-1),TRUE,LEFT(AQ874,vitri(".",AQ874,1)-1))</f>
        <v/>
      </c>
    </row>
    <row r="875" spans="13:54" x14ac:dyDescent="0.25">
      <c r="M875" s="379"/>
      <c r="BB875" s="206" t="str">
        <f t="array" ref="BB875">_xlfn.IFS(AQ875="","",LEN(AQ875)-LEN(SUBSTITUTE(AQ875,".",""))=3,LEFT(AQ875,vitri(".",AQ875,3)-1),LEN(AQ875)-LEN(SUBSTITUTE(AQ875,".",""))=2,LEFT(AQ875,vitri(".",AQ875,2)-1),TRUE,LEFT(AQ875,vitri(".",AQ875,1)-1))</f>
        <v/>
      </c>
    </row>
    <row r="876" spans="13:54" x14ac:dyDescent="0.25">
      <c r="M876" s="379"/>
      <c r="BB876" s="206" t="str">
        <f t="array" ref="BB876">_xlfn.IFS(AQ876="","",LEN(AQ876)-LEN(SUBSTITUTE(AQ876,".",""))=3,LEFT(AQ876,vitri(".",AQ876,3)-1),LEN(AQ876)-LEN(SUBSTITUTE(AQ876,".",""))=2,LEFT(AQ876,vitri(".",AQ876,2)-1),TRUE,LEFT(AQ876,vitri(".",AQ876,1)-1))</f>
        <v/>
      </c>
    </row>
    <row r="877" spans="13:54" x14ac:dyDescent="0.25">
      <c r="M877" s="379"/>
      <c r="BB877" s="206" t="str">
        <f t="array" ref="BB877">_xlfn.IFS(AQ877="","",LEN(AQ877)-LEN(SUBSTITUTE(AQ877,".",""))=3,LEFT(AQ877,vitri(".",AQ877,3)-1),LEN(AQ877)-LEN(SUBSTITUTE(AQ877,".",""))=2,LEFT(AQ877,vitri(".",AQ877,2)-1),TRUE,LEFT(AQ877,vitri(".",AQ877,1)-1))</f>
        <v/>
      </c>
    </row>
    <row r="878" spans="13:54" x14ac:dyDescent="0.25">
      <c r="M878" s="379"/>
      <c r="BB878" s="206" t="str">
        <f t="array" ref="BB878">_xlfn.IFS(AQ878="","",LEN(AQ878)-LEN(SUBSTITUTE(AQ878,".",""))=3,LEFT(AQ878,vitri(".",AQ878,3)-1),LEN(AQ878)-LEN(SUBSTITUTE(AQ878,".",""))=2,LEFT(AQ878,vitri(".",AQ878,2)-1),TRUE,LEFT(AQ878,vitri(".",AQ878,1)-1))</f>
        <v/>
      </c>
    </row>
    <row r="879" spans="13:54" x14ac:dyDescent="0.25">
      <c r="M879" s="379"/>
      <c r="BB879" s="206" t="str">
        <f t="array" ref="BB879">_xlfn.IFS(AQ879="","",LEN(AQ879)-LEN(SUBSTITUTE(AQ879,".",""))=3,LEFT(AQ879,vitri(".",AQ879,3)-1),LEN(AQ879)-LEN(SUBSTITUTE(AQ879,".",""))=2,LEFT(AQ879,vitri(".",AQ879,2)-1),TRUE,LEFT(AQ879,vitri(".",AQ879,1)-1))</f>
        <v/>
      </c>
    </row>
    <row r="880" spans="13:54" x14ac:dyDescent="0.25">
      <c r="M880" s="379"/>
      <c r="BB880" s="206" t="str">
        <f t="array" ref="BB880">_xlfn.IFS(AQ880="","",LEN(AQ880)-LEN(SUBSTITUTE(AQ880,".",""))=3,LEFT(AQ880,vitri(".",AQ880,3)-1),LEN(AQ880)-LEN(SUBSTITUTE(AQ880,".",""))=2,LEFT(AQ880,vitri(".",AQ880,2)-1),TRUE,LEFT(AQ880,vitri(".",AQ880,1)-1))</f>
        <v/>
      </c>
    </row>
    <row r="881" spans="13:54" x14ac:dyDescent="0.25">
      <c r="M881" s="379"/>
      <c r="BB881" s="206" t="str">
        <f t="array" ref="BB881">_xlfn.IFS(AQ881="","",LEN(AQ881)-LEN(SUBSTITUTE(AQ881,".",""))=3,LEFT(AQ881,vitri(".",AQ881,3)-1),LEN(AQ881)-LEN(SUBSTITUTE(AQ881,".",""))=2,LEFT(AQ881,vitri(".",AQ881,2)-1),TRUE,LEFT(AQ881,vitri(".",AQ881,1)-1))</f>
        <v/>
      </c>
    </row>
    <row r="882" spans="13:54" x14ac:dyDescent="0.25">
      <c r="M882" s="379"/>
      <c r="BB882" s="206" t="str">
        <f t="array" ref="BB882">_xlfn.IFS(AQ882="","",LEN(AQ882)-LEN(SUBSTITUTE(AQ882,".",""))=3,LEFT(AQ882,vitri(".",AQ882,3)-1),LEN(AQ882)-LEN(SUBSTITUTE(AQ882,".",""))=2,LEFT(AQ882,vitri(".",AQ882,2)-1),TRUE,LEFT(AQ882,vitri(".",AQ882,1)-1))</f>
        <v/>
      </c>
    </row>
    <row r="883" spans="13:54" x14ac:dyDescent="0.25">
      <c r="M883" s="379"/>
      <c r="BB883" s="206" t="str">
        <f t="array" ref="BB883">_xlfn.IFS(AQ883="","",LEN(AQ883)-LEN(SUBSTITUTE(AQ883,".",""))=3,LEFT(AQ883,vitri(".",AQ883,3)-1),LEN(AQ883)-LEN(SUBSTITUTE(AQ883,".",""))=2,LEFT(AQ883,vitri(".",AQ883,2)-1),TRUE,LEFT(AQ883,vitri(".",AQ883,1)-1))</f>
        <v/>
      </c>
    </row>
    <row r="884" spans="13:54" x14ac:dyDescent="0.25">
      <c r="M884" s="379"/>
      <c r="BB884" s="206" t="str">
        <f t="array" ref="BB884">_xlfn.IFS(AQ884="","",LEN(AQ884)-LEN(SUBSTITUTE(AQ884,".",""))=3,LEFT(AQ884,vitri(".",AQ884,3)-1),LEN(AQ884)-LEN(SUBSTITUTE(AQ884,".",""))=2,LEFT(AQ884,vitri(".",AQ884,2)-1),TRUE,LEFT(AQ884,vitri(".",AQ884,1)-1))</f>
        <v/>
      </c>
    </row>
    <row r="885" spans="13:54" x14ac:dyDescent="0.25">
      <c r="M885" s="379"/>
      <c r="BB885" s="206" t="str">
        <f t="array" ref="BB885">_xlfn.IFS(AQ885="","",LEN(AQ885)-LEN(SUBSTITUTE(AQ885,".",""))=3,LEFT(AQ885,vitri(".",AQ885,3)-1),LEN(AQ885)-LEN(SUBSTITUTE(AQ885,".",""))=2,LEFT(AQ885,vitri(".",AQ885,2)-1),TRUE,LEFT(AQ885,vitri(".",AQ885,1)-1))</f>
        <v/>
      </c>
    </row>
    <row r="886" spans="13:54" x14ac:dyDescent="0.25">
      <c r="M886" s="379"/>
      <c r="BB886" s="206" t="str">
        <f t="array" ref="BB886">_xlfn.IFS(AQ886="","",LEN(AQ886)-LEN(SUBSTITUTE(AQ886,".",""))=3,LEFT(AQ886,vitri(".",AQ886,3)-1),LEN(AQ886)-LEN(SUBSTITUTE(AQ886,".",""))=2,LEFT(AQ886,vitri(".",AQ886,2)-1),TRUE,LEFT(AQ886,vitri(".",AQ886,1)-1))</f>
        <v/>
      </c>
    </row>
    <row r="887" spans="13:54" x14ac:dyDescent="0.25">
      <c r="M887" s="379"/>
      <c r="BB887" s="206" t="str">
        <f t="array" ref="BB887">_xlfn.IFS(AQ887="","",LEN(AQ887)-LEN(SUBSTITUTE(AQ887,".",""))=3,LEFT(AQ887,vitri(".",AQ887,3)-1),LEN(AQ887)-LEN(SUBSTITUTE(AQ887,".",""))=2,LEFT(AQ887,vitri(".",AQ887,2)-1),TRUE,LEFT(AQ887,vitri(".",AQ887,1)-1))</f>
        <v/>
      </c>
    </row>
    <row r="888" spans="13:54" x14ac:dyDescent="0.25">
      <c r="M888" s="379"/>
      <c r="BB888" s="206" t="str">
        <f t="array" ref="BB888">_xlfn.IFS(AQ888="","",LEN(AQ888)-LEN(SUBSTITUTE(AQ888,".",""))=3,LEFT(AQ888,vitri(".",AQ888,3)-1),LEN(AQ888)-LEN(SUBSTITUTE(AQ888,".",""))=2,LEFT(AQ888,vitri(".",AQ888,2)-1),TRUE,LEFT(AQ888,vitri(".",AQ888,1)-1))</f>
        <v/>
      </c>
    </row>
    <row r="889" spans="13:54" x14ac:dyDescent="0.25">
      <c r="M889" s="379"/>
      <c r="BB889" s="206" t="str">
        <f t="array" ref="BB889">_xlfn.IFS(AQ889="","",LEN(AQ889)-LEN(SUBSTITUTE(AQ889,".",""))=3,LEFT(AQ889,vitri(".",AQ889,3)-1),LEN(AQ889)-LEN(SUBSTITUTE(AQ889,".",""))=2,LEFT(AQ889,vitri(".",AQ889,2)-1),TRUE,LEFT(AQ889,vitri(".",AQ889,1)-1))</f>
        <v/>
      </c>
    </row>
    <row r="890" spans="13:54" x14ac:dyDescent="0.25">
      <c r="M890" s="379"/>
      <c r="BB890" s="206" t="str">
        <f t="array" ref="BB890">_xlfn.IFS(AQ890="","",LEN(AQ890)-LEN(SUBSTITUTE(AQ890,".",""))=3,LEFT(AQ890,vitri(".",AQ890,3)-1),LEN(AQ890)-LEN(SUBSTITUTE(AQ890,".",""))=2,LEFT(AQ890,vitri(".",AQ890,2)-1),TRUE,LEFT(AQ890,vitri(".",AQ890,1)-1))</f>
        <v/>
      </c>
    </row>
    <row r="891" spans="13:54" x14ac:dyDescent="0.25">
      <c r="M891" s="379"/>
      <c r="BB891" s="206" t="str">
        <f t="array" ref="BB891">_xlfn.IFS(AQ891="","",LEN(AQ891)-LEN(SUBSTITUTE(AQ891,".",""))=3,LEFT(AQ891,vitri(".",AQ891,3)-1),LEN(AQ891)-LEN(SUBSTITUTE(AQ891,".",""))=2,LEFT(AQ891,vitri(".",AQ891,2)-1),TRUE,LEFT(AQ891,vitri(".",AQ891,1)-1))</f>
        <v/>
      </c>
    </row>
    <row r="892" spans="13:54" x14ac:dyDescent="0.25">
      <c r="M892" s="379"/>
      <c r="BB892" s="206" t="str">
        <f t="array" ref="BB892">_xlfn.IFS(AQ892="","",LEN(AQ892)-LEN(SUBSTITUTE(AQ892,".",""))=3,LEFT(AQ892,vitri(".",AQ892,3)-1),LEN(AQ892)-LEN(SUBSTITUTE(AQ892,".",""))=2,LEFT(AQ892,vitri(".",AQ892,2)-1),TRUE,LEFT(AQ892,vitri(".",AQ892,1)-1))</f>
        <v/>
      </c>
    </row>
    <row r="893" spans="13:54" x14ac:dyDescent="0.25">
      <c r="M893" s="379"/>
      <c r="BB893" s="206" t="str">
        <f t="array" ref="BB893">_xlfn.IFS(AQ893="","",LEN(AQ893)-LEN(SUBSTITUTE(AQ893,".",""))=3,LEFT(AQ893,vitri(".",AQ893,3)-1),LEN(AQ893)-LEN(SUBSTITUTE(AQ893,".",""))=2,LEFT(AQ893,vitri(".",AQ893,2)-1),TRUE,LEFT(AQ893,vitri(".",AQ893,1)-1))</f>
        <v/>
      </c>
    </row>
    <row r="894" spans="13:54" x14ac:dyDescent="0.25">
      <c r="M894" s="379"/>
      <c r="BB894" s="206" t="str">
        <f t="array" ref="BB894">_xlfn.IFS(AQ894="","",LEN(AQ894)-LEN(SUBSTITUTE(AQ894,".",""))=3,LEFT(AQ894,vitri(".",AQ894,3)-1),LEN(AQ894)-LEN(SUBSTITUTE(AQ894,".",""))=2,LEFT(AQ894,vitri(".",AQ894,2)-1),TRUE,LEFT(AQ894,vitri(".",AQ894,1)-1))</f>
        <v/>
      </c>
    </row>
    <row r="895" spans="13:54" x14ac:dyDescent="0.25">
      <c r="M895" s="379"/>
      <c r="BB895" s="206" t="str">
        <f t="array" ref="BB895">_xlfn.IFS(AQ895="","",LEN(AQ895)-LEN(SUBSTITUTE(AQ895,".",""))=3,LEFT(AQ895,vitri(".",AQ895,3)-1),LEN(AQ895)-LEN(SUBSTITUTE(AQ895,".",""))=2,LEFT(AQ895,vitri(".",AQ895,2)-1),TRUE,LEFT(AQ895,vitri(".",AQ895,1)-1))</f>
        <v/>
      </c>
    </row>
    <row r="896" spans="13:54" x14ac:dyDescent="0.25">
      <c r="M896" s="379"/>
      <c r="BB896" s="206" t="str">
        <f t="array" ref="BB896">_xlfn.IFS(AQ896="","",LEN(AQ896)-LEN(SUBSTITUTE(AQ896,".",""))=3,LEFT(AQ896,vitri(".",AQ896,3)-1),LEN(AQ896)-LEN(SUBSTITUTE(AQ896,".",""))=2,LEFT(AQ896,vitri(".",AQ896,2)-1),TRUE,LEFT(AQ896,vitri(".",AQ896,1)-1))</f>
        <v/>
      </c>
    </row>
    <row r="897" spans="13:54" x14ac:dyDescent="0.25">
      <c r="M897" s="379"/>
      <c r="BB897" s="206" t="str">
        <f t="array" ref="BB897">_xlfn.IFS(AQ897="","",LEN(AQ897)-LEN(SUBSTITUTE(AQ897,".",""))=3,LEFT(AQ897,vitri(".",AQ897,3)-1),LEN(AQ897)-LEN(SUBSTITUTE(AQ897,".",""))=2,LEFT(AQ897,vitri(".",AQ897,2)-1),TRUE,LEFT(AQ897,vitri(".",AQ897,1)-1))</f>
        <v/>
      </c>
    </row>
    <row r="898" spans="13:54" x14ac:dyDescent="0.25">
      <c r="M898" s="379"/>
      <c r="BB898" s="206" t="str">
        <f t="array" ref="BB898">_xlfn.IFS(AQ898="","",LEN(AQ898)-LEN(SUBSTITUTE(AQ898,".",""))=3,LEFT(AQ898,vitri(".",AQ898,3)-1),LEN(AQ898)-LEN(SUBSTITUTE(AQ898,".",""))=2,LEFT(AQ898,vitri(".",AQ898,2)-1),TRUE,LEFT(AQ898,vitri(".",AQ898,1)-1))</f>
        <v/>
      </c>
    </row>
    <row r="899" spans="13:54" x14ac:dyDescent="0.25">
      <c r="M899" s="379"/>
      <c r="BB899" s="206" t="str">
        <f t="array" ref="BB899">_xlfn.IFS(AQ899="","",LEN(AQ899)-LEN(SUBSTITUTE(AQ899,".",""))=3,LEFT(AQ899,vitri(".",AQ899,3)-1),LEN(AQ899)-LEN(SUBSTITUTE(AQ899,".",""))=2,LEFT(AQ899,vitri(".",AQ899,2)-1),TRUE,LEFT(AQ899,vitri(".",AQ899,1)-1))</f>
        <v/>
      </c>
    </row>
    <row r="900" spans="13:54" x14ac:dyDescent="0.25">
      <c r="M900" s="379"/>
      <c r="BB900" s="206" t="str">
        <f t="array" ref="BB900">_xlfn.IFS(AQ900="","",LEN(AQ900)-LEN(SUBSTITUTE(AQ900,".",""))=3,LEFT(AQ900,vitri(".",AQ900,3)-1),LEN(AQ900)-LEN(SUBSTITUTE(AQ900,".",""))=2,LEFT(AQ900,vitri(".",AQ900,2)-1),TRUE,LEFT(AQ900,vitri(".",AQ900,1)-1))</f>
        <v/>
      </c>
    </row>
    <row r="901" spans="13:54" x14ac:dyDescent="0.25">
      <c r="M901" s="379"/>
      <c r="BB901" s="206" t="str">
        <f t="array" ref="BB901">_xlfn.IFS(AQ901="","",LEN(AQ901)-LEN(SUBSTITUTE(AQ901,".",""))=3,LEFT(AQ901,vitri(".",AQ901,3)-1),LEN(AQ901)-LEN(SUBSTITUTE(AQ901,".",""))=2,LEFT(AQ901,vitri(".",AQ901,2)-1),TRUE,LEFT(AQ901,vitri(".",AQ901,1)-1))</f>
        <v/>
      </c>
    </row>
    <row r="902" spans="13:54" x14ac:dyDescent="0.25">
      <c r="M902" s="379"/>
      <c r="BB902" s="206" t="str">
        <f t="array" ref="BB902">_xlfn.IFS(AQ902="","",LEN(AQ902)-LEN(SUBSTITUTE(AQ902,".",""))=3,LEFT(AQ902,vitri(".",AQ902,3)-1),LEN(AQ902)-LEN(SUBSTITUTE(AQ902,".",""))=2,LEFT(AQ902,vitri(".",AQ902,2)-1),TRUE,LEFT(AQ902,vitri(".",AQ902,1)-1))</f>
        <v/>
      </c>
    </row>
    <row r="903" spans="13:54" x14ac:dyDescent="0.25">
      <c r="M903" s="379"/>
      <c r="BB903" s="206" t="str">
        <f t="array" ref="BB903">_xlfn.IFS(AQ903="","",LEN(AQ903)-LEN(SUBSTITUTE(AQ903,".",""))=3,LEFT(AQ903,vitri(".",AQ903,3)-1),LEN(AQ903)-LEN(SUBSTITUTE(AQ903,".",""))=2,LEFT(AQ903,vitri(".",AQ903,2)-1),TRUE,LEFT(AQ903,vitri(".",AQ903,1)-1))</f>
        <v/>
      </c>
    </row>
    <row r="904" spans="13:54" x14ac:dyDescent="0.25">
      <c r="M904" s="379"/>
      <c r="BB904" s="206" t="str">
        <f t="array" ref="BB904">_xlfn.IFS(AQ904="","",LEN(AQ904)-LEN(SUBSTITUTE(AQ904,".",""))=3,LEFT(AQ904,vitri(".",AQ904,3)-1),LEN(AQ904)-LEN(SUBSTITUTE(AQ904,".",""))=2,LEFT(AQ904,vitri(".",AQ904,2)-1),TRUE,LEFT(AQ904,vitri(".",AQ904,1)-1))</f>
        <v/>
      </c>
    </row>
    <row r="905" spans="13:54" x14ac:dyDescent="0.25">
      <c r="M905" s="379"/>
      <c r="BB905" s="206" t="str">
        <f t="array" ref="BB905">_xlfn.IFS(AQ905="","",LEN(AQ905)-LEN(SUBSTITUTE(AQ905,".",""))=3,LEFT(AQ905,vitri(".",AQ905,3)-1),LEN(AQ905)-LEN(SUBSTITUTE(AQ905,".",""))=2,LEFT(AQ905,vitri(".",AQ905,2)-1),TRUE,LEFT(AQ905,vitri(".",AQ905,1)-1))</f>
        <v/>
      </c>
    </row>
    <row r="906" spans="13:54" x14ac:dyDescent="0.25">
      <c r="M906" s="379"/>
      <c r="BB906" s="206" t="str">
        <f t="array" ref="BB906">_xlfn.IFS(AQ906="","",LEN(AQ906)-LEN(SUBSTITUTE(AQ906,".",""))=3,LEFT(AQ906,vitri(".",AQ906,3)-1),LEN(AQ906)-LEN(SUBSTITUTE(AQ906,".",""))=2,LEFT(AQ906,vitri(".",AQ906,2)-1),TRUE,LEFT(AQ906,vitri(".",AQ906,1)-1))</f>
        <v/>
      </c>
    </row>
    <row r="907" spans="13:54" x14ac:dyDescent="0.25">
      <c r="M907" s="379"/>
      <c r="BB907" s="206" t="str">
        <f t="array" ref="BB907">_xlfn.IFS(AQ907="","",LEN(AQ907)-LEN(SUBSTITUTE(AQ907,".",""))=3,LEFT(AQ907,vitri(".",AQ907,3)-1),LEN(AQ907)-LEN(SUBSTITUTE(AQ907,".",""))=2,LEFT(AQ907,vitri(".",AQ907,2)-1),TRUE,LEFT(AQ907,vitri(".",AQ907,1)-1))</f>
        <v/>
      </c>
    </row>
    <row r="908" spans="13:54" x14ac:dyDescent="0.25">
      <c r="M908" s="379"/>
      <c r="BB908" s="206" t="str">
        <f t="array" ref="BB908">_xlfn.IFS(AQ908="","",LEN(AQ908)-LEN(SUBSTITUTE(AQ908,".",""))=3,LEFT(AQ908,vitri(".",AQ908,3)-1),LEN(AQ908)-LEN(SUBSTITUTE(AQ908,".",""))=2,LEFT(AQ908,vitri(".",AQ908,2)-1),TRUE,LEFT(AQ908,vitri(".",AQ908,1)-1))</f>
        <v/>
      </c>
    </row>
    <row r="909" spans="13:54" x14ac:dyDescent="0.25">
      <c r="M909" s="379"/>
      <c r="BB909" s="206" t="str">
        <f t="array" ref="BB909">_xlfn.IFS(AQ909="","",LEN(AQ909)-LEN(SUBSTITUTE(AQ909,".",""))=3,LEFT(AQ909,vitri(".",AQ909,3)-1),LEN(AQ909)-LEN(SUBSTITUTE(AQ909,".",""))=2,LEFT(AQ909,vitri(".",AQ909,2)-1),TRUE,LEFT(AQ909,vitri(".",AQ909,1)-1))</f>
        <v/>
      </c>
    </row>
    <row r="910" spans="13:54" x14ac:dyDescent="0.25">
      <c r="M910" s="379"/>
      <c r="BB910" s="206" t="str">
        <f t="array" ref="BB910">_xlfn.IFS(AQ910="","",LEN(AQ910)-LEN(SUBSTITUTE(AQ910,".",""))=3,LEFT(AQ910,vitri(".",AQ910,3)-1),LEN(AQ910)-LEN(SUBSTITUTE(AQ910,".",""))=2,LEFT(AQ910,vitri(".",AQ910,2)-1),TRUE,LEFT(AQ910,vitri(".",AQ910,1)-1))</f>
        <v/>
      </c>
    </row>
    <row r="911" spans="13:54" x14ac:dyDescent="0.25">
      <c r="M911" s="379"/>
      <c r="BB911" s="206" t="str">
        <f t="array" ref="BB911">_xlfn.IFS(AQ911="","",LEN(AQ911)-LEN(SUBSTITUTE(AQ911,".",""))=3,LEFT(AQ911,vitri(".",AQ911,3)-1),LEN(AQ911)-LEN(SUBSTITUTE(AQ911,".",""))=2,LEFT(AQ911,vitri(".",AQ911,2)-1),TRUE,LEFT(AQ911,vitri(".",AQ911,1)-1))</f>
        <v/>
      </c>
    </row>
    <row r="912" spans="13:54" x14ac:dyDescent="0.25">
      <c r="M912" s="379"/>
      <c r="BB912" s="206" t="str">
        <f t="array" ref="BB912">_xlfn.IFS(AQ912="","",LEN(AQ912)-LEN(SUBSTITUTE(AQ912,".",""))=3,LEFT(AQ912,vitri(".",AQ912,3)-1),LEN(AQ912)-LEN(SUBSTITUTE(AQ912,".",""))=2,LEFT(AQ912,vitri(".",AQ912,2)-1),TRUE,LEFT(AQ912,vitri(".",AQ912,1)-1))</f>
        <v/>
      </c>
    </row>
    <row r="913" spans="13:54" x14ac:dyDescent="0.25">
      <c r="M913" s="379"/>
      <c r="BB913" s="206" t="str">
        <f t="array" ref="BB913">_xlfn.IFS(AQ913="","",LEN(AQ913)-LEN(SUBSTITUTE(AQ913,".",""))=3,LEFT(AQ913,vitri(".",AQ913,3)-1),LEN(AQ913)-LEN(SUBSTITUTE(AQ913,".",""))=2,LEFT(AQ913,vitri(".",AQ913,2)-1),TRUE,LEFT(AQ913,vitri(".",AQ913,1)-1))</f>
        <v/>
      </c>
    </row>
    <row r="914" spans="13:54" x14ac:dyDescent="0.25">
      <c r="M914" s="379"/>
      <c r="BB914" s="206" t="str">
        <f t="array" ref="BB914">_xlfn.IFS(AQ914="","",LEN(AQ914)-LEN(SUBSTITUTE(AQ914,".",""))=3,LEFT(AQ914,vitri(".",AQ914,3)-1),LEN(AQ914)-LEN(SUBSTITUTE(AQ914,".",""))=2,LEFT(AQ914,vitri(".",AQ914,2)-1),TRUE,LEFT(AQ914,vitri(".",AQ914,1)-1))</f>
        <v/>
      </c>
    </row>
    <row r="915" spans="13:54" x14ac:dyDescent="0.25">
      <c r="M915" s="379"/>
      <c r="BB915" s="206" t="str">
        <f t="array" ref="BB915">_xlfn.IFS(AQ915="","",LEN(AQ915)-LEN(SUBSTITUTE(AQ915,".",""))=3,LEFT(AQ915,vitri(".",AQ915,3)-1),LEN(AQ915)-LEN(SUBSTITUTE(AQ915,".",""))=2,LEFT(AQ915,vitri(".",AQ915,2)-1),TRUE,LEFT(AQ915,vitri(".",AQ915,1)-1))</f>
        <v/>
      </c>
    </row>
    <row r="916" spans="13:54" x14ac:dyDescent="0.25">
      <c r="M916" s="379"/>
      <c r="BB916" s="206" t="str">
        <f t="array" ref="BB916">_xlfn.IFS(AQ916="","",LEN(AQ916)-LEN(SUBSTITUTE(AQ916,".",""))=3,LEFT(AQ916,vitri(".",AQ916,3)-1),LEN(AQ916)-LEN(SUBSTITUTE(AQ916,".",""))=2,LEFT(AQ916,vitri(".",AQ916,2)-1),TRUE,LEFT(AQ916,vitri(".",AQ916,1)-1))</f>
        <v/>
      </c>
    </row>
    <row r="917" spans="13:54" x14ac:dyDescent="0.25">
      <c r="M917" s="379"/>
      <c r="BB917" s="206" t="str">
        <f t="array" ref="BB917">_xlfn.IFS(AQ917="","",LEN(AQ917)-LEN(SUBSTITUTE(AQ917,".",""))=3,LEFT(AQ917,vitri(".",AQ917,3)-1),LEN(AQ917)-LEN(SUBSTITUTE(AQ917,".",""))=2,LEFT(AQ917,vitri(".",AQ917,2)-1),TRUE,LEFT(AQ917,vitri(".",AQ917,1)-1))</f>
        <v/>
      </c>
    </row>
    <row r="918" spans="13:54" x14ac:dyDescent="0.25">
      <c r="M918" s="379"/>
      <c r="BB918" s="206" t="str">
        <f t="array" ref="BB918">_xlfn.IFS(AQ918="","",LEN(AQ918)-LEN(SUBSTITUTE(AQ918,".",""))=3,LEFT(AQ918,vitri(".",AQ918,3)-1),LEN(AQ918)-LEN(SUBSTITUTE(AQ918,".",""))=2,LEFT(AQ918,vitri(".",AQ918,2)-1),TRUE,LEFT(AQ918,vitri(".",AQ918,1)-1))</f>
        <v/>
      </c>
    </row>
    <row r="919" spans="13:54" x14ac:dyDescent="0.25">
      <c r="M919" s="379"/>
      <c r="BB919" s="206" t="str">
        <f t="array" ref="BB919">_xlfn.IFS(AQ919="","",LEN(AQ919)-LEN(SUBSTITUTE(AQ919,".",""))=3,LEFT(AQ919,vitri(".",AQ919,3)-1),LEN(AQ919)-LEN(SUBSTITUTE(AQ919,".",""))=2,LEFT(AQ919,vitri(".",AQ919,2)-1),TRUE,LEFT(AQ919,vitri(".",AQ919,1)-1))</f>
        <v/>
      </c>
    </row>
    <row r="920" spans="13:54" x14ac:dyDescent="0.25">
      <c r="M920" s="379"/>
      <c r="BB920" s="206" t="str">
        <f t="array" ref="BB920">_xlfn.IFS(AQ920="","",LEN(AQ920)-LEN(SUBSTITUTE(AQ920,".",""))=3,LEFT(AQ920,vitri(".",AQ920,3)-1),LEN(AQ920)-LEN(SUBSTITUTE(AQ920,".",""))=2,LEFT(AQ920,vitri(".",AQ920,2)-1),TRUE,LEFT(AQ920,vitri(".",AQ920,1)-1))</f>
        <v/>
      </c>
    </row>
    <row r="921" spans="13:54" x14ac:dyDescent="0.25">
      <c r="M921" s="379"/>
      <c r="BB921" s="206" t="str">
        <f t="array" ref="BB921">_xlfn.IFS(AQ921="","",LEN(AQ921)-LEN(SUBSTITUTE(AQ921,".",""))=3,LEFT(AQ921,vitri(".",AQ921,3)-1),LEN(AQ921)-LEN(SUBSTITUTE(AQ921,".",""))=2,LEFT(AQ921,vitri(".",AQ921,2)-1),TRUE,LEFT(AQ921,vitri(".",AQ921,1)-1))</f>
        <v/>
      </c>
    </row>
    <row r="922" spans="13:54" x14ac:dyDescent="0.25">
      <c r="M922" s="379"/>
      <c r="BB922" s="206" t="str">
        <f t="array" ref="BB922">_xlfn.IFS(AQ922="","",LEN(AQ922)-LEN(SUBSTITUTE(AQ922,".",""))=3,LEFT(AQ922,vitri(".",AQ922,3)-1),LEN(AQ922)-LEN(SUBSTITUTE(AQ922,".",""))=2,LEFT(AQ922,vitri(".",AQ922,2)-1),TRUE,LEFT(AQ922,vitri(".",AQ922,1)-1))</f>
        <v/>
      </c>
    </row>
    <row r="923" spans="13:54" x14ac:dyDescent="0.25">
      <c r="M923" s="379"/>
      <c r="BB923" s="206" t="str">
        <f t="array" ref="BB923">_xlfn.IFS(AQ923="","",LEN(AQ923)-LEN(SUBSTITUTE(AQ923,".",""))=3,LEFT(AQ923,vitri(".",AQ923,3)-1),LEN(AQ923)-LEN(SUBSTITUTE(AQ923,".",""))=2,LEFT(AQ923,vitri(".",AQ923,2)-1),TRUE,LEFT(AQ923,vitri(".",AQ923,1)-1))</f>
        <v/>
      </c>
    </row>
    <row r="924" spans="13:54" x14ac:dyDescent="0.25">
      <c r="M924" s="379"/>
      <c r="BB924" s="206" t="str">
        <f t="array" ref="BB924">_xlfn.IFS(AQ924="","",LEN(AQ924)-LEN(SUBSTITUTE(AQ924,".",""))=3,LEFT(AQ924,vitri(".",AQ924,3)-1),LEN(AQ924)-LEN(SUBSTITUTE(AQ924,".",""))=2,LEFT(AQ924,vitri(".",AQ924,2)-1),TRUE,LEFT(AQ924,vitri(".",AQ924,1)-1))</f>
        <v/>
      </c>
    </row>
    <row r="925" spans="13:54" x14ac:dyDescent="0.25">
      <c r="M925" s="379"/>
      <c r="BB925" s="206" t="str">
        <f t="array" ref="BB925">_xlfn.IFS(AQ925="","",LEN(AQ925)-LEN(SUBSTITUTE(AQ925,".",""))=3,LEFT(AQ925,vitri(".",AQ925,3)-1),LEN(AQ925)-LEN(SUBSTITUTE(AQ925,".",""))=2,LEFT(AQ925,vitri(".",AQ925,2)-1),TRUE,LEFT(AQ925,vitri(".",AQ925,1)-1))</f>
        <v/>
      </c>
    </row>
    <row r="926" spans="13:54" x14ac:dyDescent="0.25">
      <c r="M926" s="379"/>
      <c r="BB926" s="206" t="str">
        <f t="array" ref="BB926">_xlfn.IFS(AQ926="","",LEN(AQ926)-LEN(SUBSTITUTE(AQ926,".",""))=3,LEFT(AQ926,vitri(".",AQ926,3)-1),LEN(AQ926)-LEN(SUBSTITUTE(AQ926,".",""))=2,LEFT(AQ926,vitri(".",AQ926,2)-1),TRUE,LEFT(AQ926,vitri(".",AQ926,1)-1))</f>
        <v/>
      </c>
    </row>
    <row r="927" spans="13:54" x14ac:dyDescent="0.25">
      <c r="M927" s="379"/>
      <c r="BB927" s="206" t="str">
        <f t="array" ref="BB927">_xlfn.IFS(AQ927="","",LEN(AQ927)-LEN(SUBSTITUTE(AQ927,".",""))=3,LEFT(AQ927,vitri(".",AQ927,3)-1),LEN(AQ927)-LEN(SUBSTITUTE(AQ927,".",""))=2,LEFT(AQ927,vitri(".",AQ927,2)-1),TRUE,LEFT(AQ927,vitri(".",AQ927,1)-1))</f>
        <v/>
      </c>
    </row>
    <row r="928" spans="13:54" x14ac:dyDescent="0.25">
      <c r="M928" s="379"/>
      <c r="BB928" s="206" t="str">
        <f t="array" ref="BB928">_xlfn.IFS(AQ928="","",LEN(AQ928)-LEN(SUBSTITUTE(AQ928,".",""))=3,LEFT(AQ928,vitri(".",AQ928,3)-1),LEN(AQ928)-LEN(SUBSTITUTE(AQ928,".",""))=2,LEFT(AQ928,vitri(".",AQ928,2)-1),TRUE,LEFT(AQ928,vitri(".",AQ928,1)-1))</f>
        <v/>
      </c>
    </row>
    <row r="929" spans="13:54" x14ac:dyDescent="0.25">
      <c r="M929" s="379"/>
      <c r="BB929" s="206" t="str">
        <f t="array" ref="BB929">_xlfn.IFS(AQ929="","",LEN(AQ929)-LEN(SUBSTITUTE(AQ929,".",""))=3,LEFT(AQ929,vitri(".",AQ929,3)-1),LEN(AQ929)-LEN(SUBSTITUTE(AQ929,".",""))=2,LEFT(AQ929,vitri(".",AQ929,2)-1),TRUE,LEFT(AQ929,vitri(".",AQ929,1)-1))</f>
        <v/>
      </c>
    </row>
    <row r="930" spans="13:54" x14ac:dyDescent="0.25">
      <c r="M930" s="379"/>
      <c r="BB930" s="206" t="str">
        <f t="array" ref="BB930">_xlfn.IFS(AQ930="","",LEN(AQ930)-LEN(SUBSTITUTE(AQ930,".",""))=3,LEFT(AQ930,vitri(".",AQ930,3)-1),LEN(AQ930)-LEN(SUBSTITUTE(AQ930,".",""))=2,LEFT(AQ930,vitri(".",AQ930,2)-1),TRUE,LEFT(AQ930,vitri(".",AQ930,1)-1))</f>
        <v/>
      </c>
    </row>
    <row r="931" spans="13:54" x14ac:dyDescent="0.25">
      <c r="M931" s="379"/>
      <c r="BB931" s="206" t="str">
        <f t="array" ref="BB931">_xlfn.IFS(AQ931="","",LEN(AQ931)-LEN(SUBSTITUTE(AQ931,".",""))=3,LEFT(AQ931,vitri(".",AQ931,3)-1),LEN(AQ931)-LEN(SUBSTITUTE(AQ931,".",""))=2,LEFT(AQ931,vitri(".",AQ931,2)-1),TRUE,LEFT(AQ931,vitri(".",AQ931,1)-1))</f>
        <v/>
      </c>
    </row>
    <row r="932" spans="13:54" x14ac:dyDescent="0.25">
      <c r="M932" s="379"/>
      <c r="BB932" s="206" t="str">
        <f t="array" ref="BB932">_xlfn.IFS(AQ932="","",LEN(AQ932)-LEN(SUBSTITUTE(AQ932,".",""))=3,LEFT(AQ932,vitri(".",AQ932,3)-1),LEN(AQ932)-LEN(SUBSTITUTE(AQ932,".",""))=2,LEFT(AQ932,vitri(".",AQ932,2)-1),TRUE,LEFT(AQ932,vitri(".",AQ932,1)-1))</f>
        <v/>
      </c>
    </row>
    <row r="933" spans="13:54" x14ac:dyDescent="0.25">
      <c r="M933" s="379"/>
      <c r="BB933" s="206" t="str">
        <f t="array" ref="BB933">_xlfn.IFS(AQ933="","",LEN(AQ933)-LEN(SUBSTITUTE(AQ933,".",""))=3,LEFT(AQ933,vitri(".",AQ933,3)-1),LEN(AQ933)-LEN(SUBSTITUTE(AQ933,".",""))=2,LEFT(AQ933,vitri(".",AQ933,2)-1),TRUE,LEFT(AQ933,vitri(".",AQ933,1)-1))</f>
        <v/>
      </c>
    </row>
    <row r="934" spans="13:54" x14ac:dyDescent="0.25">
      <c r="M934" s="379"/>
      <c r="BB934" s="206" t="str">
        <f t="array" ref="BB934">_xlfn.IFS(AQ934="","",LEN(AQ934)-LEN(SUBSTITUTE(AQ934,".",""))=3,LEFT(AQ934,vitri(".",AQ934,3)-1),LEN(AQ934)-LEN(SUBSTITUTE(AQ934,".",""))=2,LEFT(AQ934,vitri(".",AQ934,2)-1),TRUE,LEFT(AQ934,vitri(".",AQ934,1)-1))</f>
        <v/>
      </c>
    </row>
    <row r="935" spans="13:54" x14ac:dyDescent="0.25">
      <c r="M935" s="379"/>
      <c r="BB935" s="206" t="str">
        <f t="array" ref="BB935">_xlfn.IFS(AQ935="","",LEN(AQ935)-LEN(SUBSTITUTE(AQ935,".",""))=3,LEFT(AQ935,vitri(".",AQ935,3)-1),LEN(AQ935)-LEN(SUBSTITUTE(AQ935,".",""))=2,LEFT(AQ935,vitri(".",AQ935,2)-1),TRUE,LEFT(AQ935,vitri(".",AQ935,1)-1))</f>
        <v/>
      </c>
    </row>
    <row r="936" spans="13:54" x14ac:dyDescent="0.25">
      <c r="M936" s="379"/>
      <c r="BB936" s="206" t="str">
        <f t="array" ref="BB936">_xlfn.IFS(AQ936="","",LEN(AQ936)-LEN(SUBSTITUTE(AQ936,".",""))=3,LEFT(AQ936,vitri(".",AQ936,3)-1),LEN(AQ936)-LEN(SUBSTITUTE(AQ936,".",""))=2,LEFT(AQ936,vitri(".",AQ936,2)-1),TRUE,LEFT(AQ936,vitri(".",AQ936,1)-1))</f>
        <v/>
      </c>
    </row>
    <row r="937" spans="13:54" x14ac:dyDescent="0.25">
      <c r="M937" s="379"/>
      <c r="BB937" s="206" t="str">
        <f t="array" ref="BB937">_xlfn.IFS(AQ937="","",LEN(AQ937)-LEN(SUBSTITUTE(AQ937,".",""))=3,LEFT(AQ937,vitri(".",AQ937,3)-1),LEN(AQ937)-LEN(SUBSTITUTE(AQ937,".",""))=2,LEFT(AQ937,vitri(".",AQ937,2)-1),TRUE,LEFT(AQ937,vitri(".",AQ937,1)-1))</f>
        <v/>
      </c>
    </row>
    <row r="938" spans="13:54" x14ac:dyDescent="0.25">
      <c r="M938" s="379"/>
      <c r="BB938" s="206" t="str">
        <f t="array" ref="BB938">_xlfn.IFS(AQ938="","",LEN(AQ938)-LEN(SUBSTITUTE(AQ938,".",""))=3,LEFT(AQ938,vitri(".",AQ938,3)-1),LEN(AQ938)-LEN(SUBSTITUTE(AQ938,".",""))=2,LEFT(AQ938,vitri(".",AQ938,2)-1),TRUE,LEFT(AQ938,vitri(".",AQ938,1)-1))</f>
        <v/>
      </c>
    </row>
    <row r="939" spans="13:54" x14ac:dyDescent="0.25">
      <c r="M939" s="379"/>
      <c r="BB939" s="206" t="str">
        <f t="array" ref="BB939">_xlfn.IFS(AQ939="","",LEN(AQ939)-LEN(SUBSTITUTE(AQ939,".",""))=3,LEFT(AQ939,vitri(".",AQ939,3)-1),LEN(AQ939)-LEN(SUBSTITUTE(AQ939,".",""))=2,LEFT(AQ939,vitri(".",AQ939,2)-1),TRUE,LEFT(AQ939,vitri(".",AQ939,1)-1))</f>
        <v/>
      </c>
    </row>
    <row r="940" spans="13:54" x14ac:dyDescent="0.25">
      <c r="M940" s="379"/>
      <c r="BB940" s="206" t="str">
        <f t="array" ref="BB940">_xlfn.IFS(AQ940="","",LEN(AQ940)-LEN(SUBSTITUTE(AQ940,".",""))=3,LEFT(AQ940,vitri(".",AQ940,3)-1),LEN(AQ940)-LEN(SUBSTITUTE(AQ940,".",""))=2,LEFT(AQ940,vitri(".",AQ940,2)-1),TRUE,LEFT(AQ940,vitri(".",AQ940,1)-1))</f>
        <v/>
      </c>
    </row>
    <row r="941" spans="13:54" x14ac:dyDescent="0.25">
      <c r="M941" s="379"/>
      <c r="BB941" s="206" t="str">
        <f t="array" ref="BB941">_xlfn.IFS(AQ941="","",LEN(AQ941)-LEN(SUBSTITUTE(AQ941,".",""))=3,LEFT(AQ941,vitri(".",AQ941,3)-1),LEN(AQ941)-LEN(SUBSTITUTE(AQ941,".",""))=2,LEFT(AQ941,vitri(".",AQ941,2)-1),TRUE,LEFT(AQ941,vitri(".",AQ941,1)-1))</f>
        <v/>
      </c>
    </row>
    <row r="942" spans="13:54" x14ac:dyDescent="0.25">
      <c r="M942" s="379"/>
      <c r="BB942" s="206" t="str">
        <f t="array" ref="BB942">_xlfn.IFS(AQ942="","",LEN(AQ942)-LEN(SUBSTITUTE(AQ942,".",""))=3,LEFT(AQ942,vitri(".",AQ942,3)-1),LEN(AQ942)-LEN(SUBSTITUTE(AQ942,".",""))=2,LEFT(AQ942,vitri(".",AQ942,2)-1),TRUE,LEFT(AQ942,vitri(".",AQ942,1)-1))</f>
        <v/>
      </c>
    </row>
    <row r="943" spans="13:54" x14ac:dyDescent="0.25">
      <c r="M943" s="379"/>
      <c r="BB943" s="206" t="str">
        <f t="array" ref="BB943">_xlfn.IFS(AQ943="","",LEN(AQ943)-LEN(SUBSTITUTE(AQ943,".",""))=3,LEFT(AQ943,vitri(".",AQ943,3)-1),LEN(AQ943)-LEN(SUBSTITUTE(AQ943,".",""))=2,LEFT(AQ943,vitri(".",AQ943,2)-1),TRUE,LEFT(AQ943,vitri(".",AQ943,1)-1))</f>
        <v/>
      </c>
    </row>
    <row r="944" spans="13:54" x14ac:dyDescent="0.25">
      <c r="M944" s="379"/>
      <c r="BB944" s="206" t="str">
        <f t="array" ref="BB944">_xlfn.IFS(AQ944="","",LEN(AQ944)-LEN(SUBSTITUTE(AQ944,".",""))=3,LEFT(AQ944,vitri(".",AQ944,3)-1),LEN(AQ944)-LEN(SUBSTITUTE(AQ944,".",""))=2,LEFT(AQ944,vitri(".",AQ944,2)-1),TRUE,LEFT(AQ944,vitri(".",AQ944,1)-1))</f>
        <v/>
      </c>
    </row>
    <row r="945" spans="13:54" x14ac:dyDescent="0.25">
      <c r="M945" s="379"/>
      <c r="BB945" s="206" t="str">
        <f t="array" ref="BB945">_xlfn.IFS(AQ945="","",LEN(AQ945)-LEN(SUBSTITUTE(AQ945,".",""))=3,LEFT(AQ945,vitri(".",AQ945,3)-1),LEN(AQ945)-LEN(SUBSTITUTE(AQ945,".",""))=2,LEFT(AQ945,vitri(".",AQ945,2)-1),TRUE,LEFT(AQ945,vitri(".",AQ945,1)-1))</f>
        <v/>
      </c>
    </row>
    <row r="946" spans="13:54" x14ac:dyDescent="0.25">
      <c r="M946" s="379"/>
      <c r="BB946" s="206" t="str">
        <f t="array" ref="BB946">_xlfn.IFS(AQ946="","",LEN(AQ946)-LEN(SUBSTITUTE(AQ946,".",""))=3,LEFT(AQ946,vitri(".",AQ946,3)-1),LEN(AQ946)-LEN(SUBSTITUTE(AQ946,".",""))=2,LEFT(AQ946,vitri(".",AQ946,2)-1),TRUE,LEFT(AQ946,vitri(".",AQ946,1)-1))</f>
        <v/>
      </c>
    </row>
    <row r="947" spans="13:54" x14ac:dyDescent="0.25">
      <c r="M947" s="379"/>
      <c r="BB947" s="206" t="str">
        <f t="array" ref="BB947">_xlfn.IFS(AQ947="","",LEN(AQ947)-LEN(SUBSTITUTE(AQ947,".",""))=3,LEFT(AQ947,vitri(".",AQ947,3)-1),LEN(AQ947)-LEN(SUBSTITUTE(AQ947,".",""))=2,LEFT(AQ947,vitri(".",AQ947,2)-1),TRUE,LEFT(AQ947,vitri(".",AQ947,1)-1))</f>
        <v/>
      </c>
    </row>
    <row r="948" spans="13:54" x14ac:dyDescent="0.25">
      <c r="M948" s="379"/>
      <c r="BB948" s="206" t="str">
        <f t="array" ref="BB948">_xlfn.IFS(AQ948="","",LEN(AQ948)-LEN(SUBSTITUTE(AQ948,".",""))=3,LEFT(AQ948,vitri(".",AQ948,3)-1),LEN(AQ948)-LEN(SUBSTITUTE(AQ948,".",""))=2,LEFT(AQ948,vitri(".",AQ948,2)-1),TRUE,LEFT(AQ948,vitri(".",AQ948,1)-1))</f>
        <v/>
      </c>
    </row>
    <row r="949" spans="13:54" x14ac:dyDescent="0.25">
      <c r="M949" s="379"/>
      <c r="BB949" s="206" t="str">
        <f t="array" ref="BB949">_xlfn.IFS(AQ949="","",LEN(AQ949)-LEN(SUBSTITUTE(AQ949,".",""))=3,LEFT(AQ949,vitri(".",AQ949,3)-1),LEN(AQ949)-LEN(SUBSTITUTE(AQ949,".",""))=2,LEFT(AQ949,vitri(".",AQ949,2)-1),TRUE,LEFT(AQ949,vitri(".",AQ949,1)-1))</f>
        <v/>
      </c>
    </row>
    <row r="950" spans="13:54" x14ac:dyDescent="0.25">
      <c r="M950" s="379"/>
      <c r="BB950" s="206" t="str">
        <f t="array" ref="BB950">_xlfn.IFS(AQ950="","",LEN(AQ950)-LEN(SUBSTITUTE(AQ950,".",""))=3,LEFT(AQ950,vitri(".",AQ950,3)-1),LEN(AQ950)-LEN(SUBSTITUTE(AQ950,".",""))=2,LEFT(AQ950,vitri(".",AQ950,2)-1),TRUE,LEFT(AQ950,vitri(".",AQ950,1)-1))</f>
        <v/>
      </c>
    </row>
    <row r="951" spans="13:54" x14ac:dyDescent="0.25">
      <c r="M951" s="379"/>
      <c r="BB951" s="206" t="str">
        <f t="array" ref="BB951">_xlfn.IFS(AQ951="","",LEN(AQ951)-LEN(SUBSTITUTE(AQ951,".",""))=3,LEFT(AQ951,vitri(".",AQ951,3)-1),LEN(AQ951)-LEN(SUBSTITUTE(AQ951,".",""))=2,LEFT(AQ951,vitri(".",AQ951,2)-1),TRUE,LEFT(AQ951,vitri(".",AQ951,1)-1))</f>
        <v/>
      </c>
    </row>
    <row r="952" spans="13:54" x14ac:dyDescent="0.25">
      <c r="M952" s="379"/>
      <c r="BB952" s="206" t="str">
        <f t="array" ref="BB952">_xlfn.IFS(AQ952="","",LEN(AQ952)-LEN(SUBSTITUTE(AQ952,".",""))=3,LEFT(AQ952,vitri(".",AQ952,3)-1),LEN(AQ952)-LEN(SUBSTITUTE(AQ952,".",""))=2,LEFT(AQ952,vitri(".",AQ952,2)-1),TRUE,LEFT(AQ952,vitri(".",AQ952,1)-1))</f>
        <v/>
      </c>
    </row>
    <row r="953" spans="13:54" x14ac:dyDescent="0.25">
      <c r="M953" s="379"/>
      <c r="BB953" s="206" t="str">
        <f t="array" ref="BB953">_xlfn.IFS(AQ953="","",LEN(AQ953)-LEN(SUBSTITUTE(AQ953,".",""))=3,LEFT(AQ953,vitri(".",AQ953,3)-1),LEN(AQ953)-LEN(SUBSTITUTE(AQ953,".",""))=2,LEFT(AQ953,vitri(".",AQ953,2)-1),TRUE,LEFT(AQ953,vitri(".",AQ953,1)-1))</f>
        <v/>
      </c>
    </row>
    <row r="954" spans="13:54" x14ac:dyDescent="0.25">
      <c r="M954" s="379"/>
      <c r="BB954" s="206" t="str">
        <f t="array" ref="BB954">_xlfn.IFS(AQ954="","",LEN(AQ954)-LEN(SUBSTITUTE(AQ954,".",""))=3,LEFT(AQ954,vitri(".",AQ954,3)-1),LEN(AQ954)-LEN(SUBSTITUTE(AQ954,".",""))=2,LEFT(AQ954,vitri(".",AQ954,2)-1),TRUE,LEFT(AQ954,vitri(".",AQ954,1)-1))</f>
        <v/>
      </c>
    </row>
    <row r="955" spans="13:54" x14ac:dyDescent="0.25">
      <c r="M955" s="379"/>
      <c r="BB955" s="206" t="str">
        <f t="array" ref="BB955">_xlfn.IFS(AQ955="","",LEN(AQ955)-LEN(SUBSTITUTE(AQ955,".",""))=3,LEFT(AQ955,vitri(".",AQ955,3)-1),LEN(AQ955)-LEN(SUBSTITUTE(AQ955,".",""))=2,LEFT(AQ955,vitri(".",AQ955,2)-1),TRUE,LEFT(AQ955,vitri(".",AQ955,1)-1))</f>
        <v/>
      </c>
    </row>
    <row r="956" spans="13:54" x14ac:dyDescent="0.25">
      <c r="M956" s="379"/>
      <c r="BB956" s="206" t="str">
        <f t="array" ref="BB956">_xlfn.IFS(AQ956="","",LEN(AQ956)-LEN(SUBSTITUTE(AQ956,".",""))=3,LEFT(AQ956,vitri(".",AQ956,3)-1),LEN(AQ956)-LEN(SUBSTITUTE(AQ956,".",""))=2,LEFT(AQ956,vitri(".",AQ956,2)-1),TRUE,LEFT(AQ956,vitri(".",AQ956,1)-1))</f>
        <v/>
      </c>
    </row>
    <row r="957" spans="13:54" x14ac:dyDescent="0.25">
      <c r="M957" s="379"/>
      <c r="BB957" s="206" t="str">
        <f t="array" ref="BB957">_xlfn.IFS(AQ957="","",LEN(AQ957)-LEN(SUBSTITUTE(AQ957,".",""))=3,LEFT(AQ957,vitri(".",AQ957,3)-1),LEN(AQ957)-LEN(SUBSTITUTE(AQ957,".",""))=2,LEFT(AQ957,vitri(".",AQ957,2)-1),TRUE,LEFT(AQ957,vitri(".",AQ957,1)-1))</f>
        <v/>
      </c>
    </row>
    <row r="958" spans="13:54" x14ac:dyDescent="0.25">
      <c r="M958" s="379"/>
      <c r="BB958" s="206" t="str">
        <f t="array" ref="BB958">_xlfn.IFS(AQ958="","",LEN(AQ958)-LEN(SUBSTITUTE(AQ958,".",""))=3,LEFT(AQ958,vitri(".",AQ958,3)-1),LEN(AQ958)-LEN(SUBSTITUTE(AQ958,".",""))=2,LEFT(AQ958,vitri(".",AQ958,2)-1),TRUE,LEFT(AQ958,vitri(".",AQ958,1)-1))</f>
        <v/>
      </c>
    </row>
    <row r="959" spans="13:54" x14ac:dyDescent="0.25">
      <c r="M959" s="379"/>
      <c r="BB959" s="206" t="str">
        <f t="array" ref="BB959">_xlfn.IFS(AQ959="","",LEN(AQ959)-LEN(SUBSTITUTE(AQ959,".",""))=3,LEFT(AQ959,vitri(".",AQ959,3)-1),LEN(AQ959)-LEN(SUBSTITUTE(AQ959,".",""))=2,LEFT(AQ959,vitri(".",AQ959,2)-1),TRUE,LEFT(AQ959,vitri(".",AQ959,1)-1))</f>
        <v/>
      </c>
    </row>
    <row r="960" spans="13:54" x14ac:dyDescent="0.25">
      <c r="M960" s="379"/>
      <c r="BB960" s="206" t="str">
        <f t="array" ref="BB960">_xlfn.IFS(AQ960="","",LEN(AQ960)-LEN(SUBSTITUTE(AQ960,".",""))=3,LEFT(AQ960,vitri(".",AQ960,3)-1),LEN(AQ960)-LEN(SUBSTITUTE(AQ960,".",""))=2,LEFT(AQ960,vitri(".",AQ960,2)-1),TRUE,LEFT(AQ960,vitri(".",AQ960,1)-1))</f>
        <v/>
      </c>
    </row>
    <row r="961" spans="13:54" x14ac:dyDescent="0.25">
      <c r="M961" s="379"/>
      <c r="BB961" s="206" t="str">
        <f t="array" ref="BB961">_xlfn.IFS(AQ961="","",LEN(AQ961)-LEN(SUBSTITUTE(AQ961,".",""))=3,LEFT(AQ961,vitri(".",AQ961,3)-1),LEN(AQ961)-LEN(SUBSTITUTE(AQ961,".",""))=2,LEFT(AQ961,vitri(".",AQ961,2)-1),TRUE,LEFT(AQ961,vitri(".",AQ961,1)-1))</f>
        <v/>
      </c>
    </row>
    <row r="962" spans="13:54" x14ac:dyDescent="0.25">
      <c r="M962" s="379"/>
      <c r="BB962" s="206" t="str">
        <f t="array" ref="BB962">_xlfn.IFS(AQ962="","",LEN(AQ962)-LEN(SUBSTITUTE(AQ962,".",""))=3,LEFT(AQ962,vitri(".",AQ962,3)-1),LEN(AQ962)-LEN(SUBSTITUTE(AQ962,".",""))=2,LEFT(AQ962,vitri(".",AQ962,2)-1),TRUE,LEFT(AQ962,vitri(".",AQ962,1)-1))</f>
        <v/>
      </c>
    </row>
    <row r="963" spans="13:54" x14ac:dyDescent="0.25">
      <c r="M963" s="379"/>
      <c r="BB963" s="206" t="str">
        <f t="array" ref="BB963">_xlfn.IFS(AQ963="","",LEN(AQ963)-LEN(SUBSTITUTE(AQ963,".",""))=3,LEFT(AQ963,vitri(".",AQ963,3)-1),LEN(AQ963)-LEN(SUBSTITUTE(AQ963,".",""))=2,LEFT(AQ963,vitri(".",AQ963,2)-1),TRUE,LEFT(AQ963,vitri(".",AQ963,1)-1))</f>
        <v/>
      </c>
    </row>
    <row r="964" spans="13:54" x14ac:dyDescent="0.25">
      <c r="M964" s="379"/>
      <c r="BB964" s="206" t="str">
        <f t="array" ref="BB964">_xlfn.IFS(AQ964="","",LEN(AQ964)-LEN(SUBSTITUTE(AQ964,".",""))=3,LEFT(AQ964,vitri(".",AQ964,3)-1),LEN(AQ964)-LEN(SUBSTITUTE(AQ964,".",""))=2,LEFT(AQ964,vitri(".",AQ964,2)-1),TRUE,LEFT(AQ964,vitri(".",AQ964,1)-1))</f>
        <v/>
      </c>
    </row>
    <row r="965" spans="13:54" x14ac:dyDescent="0.25">
      <c r="M965" s="379"/>
      <c r="BB965" s="206" t="str">
        <f t="array" ref="BB965">_xlfn.IFS(AQ965="","",LEN(AQ965)-LEN(SUBSTITUTE(AQ965,".",""))=3,LEFT(AQ965,vitri(".",AQ965,3)-1),LEN(AQ965)-LEN(SUBSTITUTE(AQ965,".",""))=2,LEFT(AQ965,vitri(".",AQ965,2)-1),TRUE,LEFT(AQ965,vitri(".",AQ965,1)-1))</f>
        <v/>
      </c>
    </row>
    <row r="966" spans="13:54" x14ac:dyDescent="0.25">
      <c r="M966" s="379"/>
      <c r="BB966" s="206" t="str">
        <f t="array" ref="BB966">_xlfn.IFS(AQ966="","",LEN(AQ966)-LEN(SUBSTITUTE(AQ966,".",""))=3,LEFT(AQ966,vitri(".",AQ966,3)-1),LEN(AQ966)-LEN(SUBSTITUTE(AQ966,".",""))=2,LEFT(AQ966,vitri(".",AQ966,2)-1),TRUE,LEFT(AQ966,vitri(".",AQ966,1)-1))</f>
        <v/>
      </c>
    </row>
    <row r="967" spans="13:54" x14ac:dyDescent="0.25">
      <c r="M967" s="379"/>
      <c r="BB967" s="206" t="str">
        <f t="array" ref="BB967">_xlfn.IFS(AQ967="","",LEN(AQ967)-LEN(SUBSTITUTE(AQ967,".",""))=3,LEFT(AQ967,vitri(".",AQ967,3)-1),LEN(AQ967)-LEN(SUBSTITUTE(AQ967,".",""))=2,LEFT(AQ967,vitri(".",AQ967,2)-1),TRUE,LEFT(AQ967,vitri(".",AQ967,1)-1))</f>
        <v/>
      </c>
    </row>
    <row r="968" spans="13:54" x14ac:dyDescent="0.25">
      <c r="M968" s="379"/>
      <c r="BB968" s="206" t="str">
        <f t="array" ref="BB968">_xlfn.IFS(AQ968="","",LEN(AQ968)-LEN(SUBSTITUTE(AQ968,".",""))=3,LEFT(AQ968,vitri(".",AQ968,3)-1),LEN(AQ968)-LEN(SUBSTITUTE(AQ968,".",""))=2,LEFT(AQ968,vitri(".",AQ968,2)-1),TRUE,LEFT(AQ968,vitri(".",AQ968,1)-1))</f>
        <v/>
      </c>
    </row>
    <row r="969" spans="13:54" x14ac:dyDescent="0.25">
      <c r="M969" s="379"/>
      <c r="BB969" s="206" t="str">
        <f t="array" ref="BB969">_xlfn.IFS(AQ969="","",LEN(AQ969)-LEN(SUBSTITUTE(AQ969,".",""))=3,LEFT(AQ969,vitri(".",AQ969,3)-1),LEN(AQ969)-LEN(SUBSTITUTE(AQ969,".",""))=2,LEFT(AQ969,vitri(".",AQ969,2)-1),TRUE,LEFT(AQ969,vitri(".",AQ969,1)-1))</f>
        <v/>
      </c>
    </row>
    <row r="970" spans="13:54" x14ac:dyDescent="0.25">
      <c r="M970" s="379"/>
      <c r="BB970" s="206" t="str">
        <f t="array" ref="BB970">_xlfn.IFS(AQ970="","",LEN(AQ970)-LEN(SUBSTITUTE(AQ970,".",""))=3,LEFT(AQ970,vitri(".",AQ970,3)-1),LEN(AQ970)-LEN(SUBSTITUTE(AQ970,".",""))=2,LEFT(AQ970,vitri(".",AQ970,2)-1),TRUE,LEFT(AQ970,vitri(".",AQ970,1)-1))</f>
        <v/>
      </c>
    </row>
    <row r="971" spans="13:54" x14ac:dyDescent="0.25">
      <c r="M971" s="379"/>
      <c r="BB971" s="206" t="str">
        <f t="array" ref="BB971">_xlfn.IFS(AQ971="","",LEN(AQ971)-LEN(SUBSTITUTE(AQ971,".",""))=3,LEFT(AQ971,vitri(".",AQ971,3)-1),LEN(AQ971)-LEN(SUBSTITUTE(AQ971,".",""))=2,LEFT(AQ971,vitri(".",AQ971,2)-1),TRUE,LEFT(AQ971,vitri(".",AQ971,1)-1))</f>
        <v/>
      </c>
    </row>
    <row r="972" spans="13:54" x14ac:dyDescent="0.25">
      <c r="M972" s="379"/>
      <c r="BB972" s="206" t="str">
        <f t="array" ref="BB972">_xlfn.IFS(AQ972="","",LEN(AQ972)-LEN(SUBSTITUTE(AQ972,".",""))=3,LEFT(AQ972,vitri(".",AQ972,3)-1),LEN(AQ972)-LEN(SUBSTITUTE(AQ972,".",""))=2,LEFT(AQ972,vitri(".",AQ972,2)-1),TRUE,LEFT(AQ972,vitri(".",AQ972,1)-1))</f>
        <v/>
      </c>
    </row>
    <row r="973" spans="13:54" x14ac:dyDescent="0.25">
      <c r="M973" s="379"/>
      <c r="BB973" s="206" t="str">
        <f t="array" ref="BB973">_xlfn.IFS(AQ973="","",LEN(AQ973)-LEN(SUBSTITUTE(AQ973,".",""))=3,LEFT(AQ973,vitri(".",AQ973,3)-1),LEN(AQ973)-LEN(SUBSTITUTE(AQ973,".",""))=2,LEFT(AQ973,vitri(".",AQ973,2)-1),TRUE,LEFT(AQ973,vitri(".",AQ973,1)-1))</f>
        <v/>
      </c>
    </row>
    <row r="974" spans="13:54" x14ac:dyDescent="0.25">
      <c r="M974" s="379"/>
      <c r="BB974" s="206" t="str">
        <f t="array" ref="BB974">_xlfn.IFS(AQ974="","",LEN(AQ974)-LEN(SUBSTITUTE(AQ974,".",""))=3,LEFT(AQ974,vitri(".",AQ974,3)-1),LEN(AQ974)-LEN(SUBSTITUTE(AQ974,".",""))=2,LEFT(AQ974,vitri(".",AQ974,2)-1),TRUE,LEFT(AQ974,vitri(".",AQ974,1)-1))</f>
        <v/>
      </c>
    </row>
    <row r="975" spans="13:54" x14ac:dyDescent="0.25">
      <c r="M975" s="379"/>
      <c r="BB975" s="206" t="str">
        <f t="array" ref="BB975">_xlfn.IFS(AQ975="","",LEN(AQ975)-LEN(SUBSTITUTE(AQ975,".",""))=3,LEFT(AQ975,vitri(".",AQ975,3)-1),LEN(AQ975)-LEN(SUBSTITUTE(AQ975,".",""))=2,LEFT(AQ975,vitri(".",AQ975,2)-1),TRUE,LEFT(AQ975,vitri(".",AQ975,1)-1))</f>
        <v/>
      </c>
    </row>
    <row r="976" spans="13:54" x14ac:dyDescent="0.25">
      <c r="M976" s="379"/>
      <c r="BB976" s="206" t="str">
        <f t="array" ref="BB976">_xlfn.IFS(AQ976="","",LEN(AQ976)-LEN(SUBSTITUTE(AQ976,".",""))=3,LEFT(AQ976,vitri(".",AQ976,3)-1),LEN(AQ976)-LEN(SUBSTITUTE(AQ976,".",""))=2,LEFT(AQ976,vitri(".",AQ976,2)-1),TRUE,LEFT(AQ976,vitri(".",AQ976,1)-1))</f>
        <v/>
      </c>
    </row>
    <row r="977" spans="13:54" x14ac:dyDescent="0.25">
      <c r="M977" s="379"/>
      <c r="BB977" s="206" t="str">
        <f t="array" ref="BB977">_xlfn.IFS(AQ977="","",LEN(AQ977)-LEN(SUBSTITUTE(AQ977,".",""))=3,LEFT(AQ977,vitri(".",AQ977,3)-1),LEN(AQ977)-LEN(SUBSTITUTE(AQ977,".",""))=2,LEFT(AQ977,vitri(".",AQ977,2)-1),TRUE,LEFT(AQ977,vitri(".",AQ977,1)-1))</f>
        <v/>
      </c>
    </row>
    <row r="978" spans="13:54" x14ac:dyDescent="0.25">
      <c r="M978" s="379"/>
      <c r="BB978" s="206" t="str">
        <f t="array" ref="BB978">_xlfn.IFS(AQ978="","",LEN(AQ978)-LEN(SUBSTITUTE(AQ978,".",""))=3,LEFT(AQ978,vitri(".",AQ978,3)-1),LEN(AQ978)-LEN(SUBSTITUTE(AQ978,".",""))=2,LEFT(AQ978,vitri(".",AQ978,2)-1),TRUE,LEFT(AQ978,vitri(".",AQ978,1)-1))</f>
        <v/>
      </c>
    </row>
    <row r="979" spans="13:54" x14ac:dyDescent="0.25">
      <c r="M979" s="379"/>
      <c r="BB979" s="206" t="str">
        <f t="array" ref="BB979">_xlfn.IFS(AQ979="","",LEN(AQ979)-LEN(SUBSTITUTE(AQ979,".",""))=3,LEFT(AQ979,vitri(".",AQ979,3)-1),LEN(AQ979)-LEN(SUBSTITUTE(AQ979,".",""))=2,LEFT(AQ979,vitri(".",AQ979,2)-1),TRUE,LEFT(AQ979,vitri(".",AQ979,1)-1))</f>
        <v/>
      </c>
    </row>
    <row r="980" spans="13:54" x14ac:dyDescent="0.25">
      <c r="M980" s="379"/>
      <c r="BB980" s="206" t="str">
        <f t="array" ref="BB980">_xlfn.IFS(AQ980="","",LEN(AQ980)-LEN(SUBSTITUTE(AQ980,".",""))=3,LEFT(AQ980,vitri(".",AQ980,3)-1),LEN(AQ980)-LEN(SUBSTITUTE(AQ980,".",""))=2,LEFT(AQ980,vitri(".",AQ980,2)-1),TRUE,LEFT(AQ980,vitri(".",AQ980,1)-1))</f>
        <v/>
      </c>
    </row>
    <row r="981" spans="13:54" x14ac:dyDescent="0.25">
      <c r="M981" s="379"/>
      <c r="BB981" s="206" t="str">
        <f t="array" ref="BB981">_xlfn.IFS(AQ981="","",LEN(AQ981)-LEN(SUBSTITUTE(AQ981,".",""))=3,LEFT(AQ981,vitri(".",AQ981,3)-1),LEN(AQ981)-LEN(SUBSTITUTE(AQ981,".",""))=2,LEFT(AQ981,vitri(".",AQ981,2)-1),TRUE,LEFT(AQ981,vitri(".",AQ981,1)-1))</f>
        <v/>
      </c>
    </row>
    <row r="982" spans="13:54" x14ac:dyDescent="0.25">
      <c r="M982" s="379"/>
      <c r="BB982" s="206" t="str">
        <f t="array" ref="BB982">_xlfn.IFS(AQ982="","",LEN(AQ982)-LEN(SUBSTITUTE(AQ982,".",""))=3,LEFT(AQ982,vitri(".",AQ982,3)-1),LEN(AQ982)-LEN(SUBSTITUTE(AQ982,".",""))=2,LEFT(AQ982,vitri(".",AQ982,2)-1),TRUE,LEFT(AQ982,vitri(".",AQ982,1)-1))</f>
        <v/>
      </c>
    </row>
    <row r="983" spans="13:54" x14ac:dyDescent="0.25">
      <c r="M983" s="379"/>
      <c r="BB983" s="206" t="str">
        <f t="array" ref="BB983">_xlfn.IFS(AQ983="","",LEN(AQ983)-LEN(SUBSTITUTE(AQ983,".",""))=3,LEFT(AQ983,vitri(".",AQ983,3)-1),LEN(AQ983)-LEN(SUBSTITUTE(AQ983,".",""))=2,LEFT(AQ983,vitri(".",AQ983,2)-1),TRUE,LEFT(AQ983,vitri(".",AQ983,1)-1))</f>
        <v/>
      </c>
    </row>
    <row r="984" spans="13:54" x14ac:dyDescent="0.25">
      <c r="M984" s="379"/>
      <c r="BB984" s="206" t="str">
        <f t="array" ref="BB984">_xlfn.IFS(AQ984="","",LEN(AQ984)-LEN(SUBSTITUTE(AQ984,".",""))=3,LEFT(AQ984,vitri(".",AQ984,3)-1),LEN(AQ984)-LEN(SUBSTITUTE(AQ984,".",""))=2,LEFT(AQ984,vitri(".",AQ984,2)-1),TRUE,LEFT(AQ984,vitri(".",AQ984,1)-1))</f>
        <v/>
      </c>
    </row>
    <row r="985" spans="13:54" x14ac:dyDescent="0.25">
      <c r="M985" s="379"/>
      <c r="BB985" s="206" t="str">
        <f t="array" ref="BB985">_xlfn.IFS(AQ985="","",LEN(AQ985)-LEN(SUBSTITUTE(AQ985,".",""))=3,LEFT(AQ985,vitri(".",AQ985,3)-1),LEN(AQ985)-LEN(SUBSTITUTE(AQ985,".",""))=2,LEFT(AQ985,vitri(".",AQ985,2)-1),TRUE,LEFT(AQ985,vitri(".",AQ985,1)-1))</f>
        <v/>
      </c>
    </row>
    <row r="986" spans="13:54" x14ac:dyDescent="0.25">
      <c r="M986" s="379"/>
      <c r="BB986" s="206" t="str">
        <f t="array" ref="BB986">_xlfn.IFS(AQ986="","",LEN(AQ986)-LEN(SUBSTITUTE(AQ986,".",""))=3,LEFT(AQ986,vitri(".",AQ986,3)-1),LEN(AQ986)-LEN(SUBSTITUTE(AQ986,".",""))=2,LEFT(AQ986,vitri(".",AQ986,2)-1),TRUE,LEFT(AQ986,vitri(".",AQ986,1)-1))</f>
        <v/>
      </c>
    </row>
    <row r="987" spans="13:54" x14ac:dyDescent="0.25">
      <c r="M987" s="379"/>
      <c r="BB987" s="206" t="str">
        <f t="array" ref="BB987">_xlfn.IFS(AQ987="","",LEN(AQ987)-LEN(SUBSTITUTE(AQ987,".",""))=3,LEFT(AQ987,vitri(".",AQ987,3)-1),LEN(AQ987)-LEN(SUBSTITUTE(AQ987,".",""))=2,LEFT(AQ987,vitri(".",AQ987,2)-1),TRUE,LEFT(AQ987,vitri(".",AQ987,1)-1))</f>
        <v/>
      </c>
    </row>
    <row r="988" spans="13:54" x14ac:dyDescent="0.25">
      <c r="M988" s="379"/>
      <c r="BB988" s="206" t="str">
        <f t="array" ref="BB988">_xlfn.IFS(AQ988="","",LEN(AQ988)-LEN(SUBSTITUTE(AQ988,".",""))=3,LEFT(AQ988,vitri(".",AQ988,3)-1),LEN(AQ988)-LEN(SUBSTITUTE(AQ988,".",""))=2,LEFT(AQ988,vitri(".",AQ988,2)-1),TRUE,LEFT(AQ988,vitri(".",AQ988,1)-1))</f>
        <v/>
      </c>
    </row>
    <row r="989" spans="13:54" x14ac:dyDescent="0.25">
      <c r="M989" s="379"/>
      <c r="BB989" s="206" t="str">
        <f t="array" ref="BB989">_xlfn.IFS(AQ989="","",LEN(AQ989)-LEN(SUBSTITUTE(AQ989,".",""))=3,LEFT(AQ989,vitri(".",AQ989,3)-1),LEN(AQ989)-LEN(SUBSTITUTE(AQ989,".",""))=2,LEFT(AQ989,vitri(".",AQ989,2)-1),TRUE,LEFT(AQ989,vitri(".",AQ989,1)-1))</f>
        <v/>
      </c>
    </row>
    <row r="990" spans="13:54" x14ac:dyDescent="0.25">
      <c r="M990" s="379"/>
      <c r="BB990" s="206" t="str">
        <f t="array" ref="BB990">_xlfn.IFS(AQ990="","",LEN(AQ990)-LEN(SUBSTITUTE(AQ990,".",""))=3,LEFT(AQ990,vitri(".",AQ990,3)-1),LEN(AQ990)-LEN(SUBSTITUTE(AQ990,".",""))=2,LEFT(AQ990,vitri(".",AQ990,2)-1),TRUE,LEFT(AQ990,vitri(".",AQ990,1)-1))</f>
        <v/>
      </c>
    </row>
    <row r="991" spans="13:54" x14ac:dyDescent="0.25">
      <c r="M991" s="379"/>
      <c r="BB991" s="206" t="str">
        <f t="array" ref="BB991">_xlfn.IFS(AQ991="","",LEN(AQ991)-LEN(SUBSTITUTE(AQ991,".",""))=3,LEFT(AQ991,vitri(".",AQ991,3)-1),LEN(AQ991)-LEN(SUBSTITUTE(AQ991,".",""))=2,LEFT(AQ991,vitri(".",AQ991,2)-1),TRUE,LEFT(AQ991,vitri(".",AQ991,1)-1))</f>
        <v/>
      </c>
    </row>
    <row r="992" spans="13:54" x14ac:dyDescent="0.25">
      <c r="M992" s="379"/>
      <c r="BB992" s="206" t="str">
        <f t="array" ref="BB992">_xlfn.IFS(AQ992="","",LEN(AQ992)-LEN(SUBSTITUTE(AQ992,".",""))=3,LEFT(AQ992,vitri(".",AQ992,3)-1),LEN(AQ992)-LEN(SUBSTITUTE(AQ992,".",""))=2,LEFT(AQ992,vitri(".",AQ992,2)-1),TRUE,LEFT(AQ992,vitri(".",AQ992,1)-1))</f>
        <v/>
      </c>
    </row>
    <row r="993" spans="13:54" x14ac:dyDescent="0.25">
      <c r="M993" s="379"/>
      <c r="BB993" s="206" t="str">
        <f t="array" ref="BB993">_xlfn.IFS(AQ993="","",LEN(AQ993)-LEN(SUBSTITUTE(AQ993,".",""))=3,LEFT(AQ993,vitri(".",AQ993,3)-1),LEN(AQ993)-LEN(SUBSTITUTE(AQ993,".",""))=2,LEFT(AQ993,vitri(".",AQ993,2)-1),TRUE,LEFT(AQ993,vitri(".",AQ993,1)-1))</f>
        <v/>
      </c>
    </row>
    <row r="994" spans="13:54" x14ac:dyDescent="0.25">
      <c r="M994" s="379"/>
      <c r="BB994" s="206" t="str">
        <f t="array" ref="BB994">_xlfn.IFS(AQ994="","",LEN(AQ994)-LEN(SUBSTITUTE(AQ994,".",""))=3,LEFT(AQ994,vitri(".",AQ994,3)-1),LEN(AQ994)-LEN(SUBSTITUTE(AQ994,".",""))=2,LEFT(AQ994,vitri(".",AQ994,2)-1),TRUE,LEFT(AQ994,vitri(".",AQ994,1)-1))</f>
        <v/>
      </c>
    </row>
    <row r="995" spans="13:54" x14ac:dyDescent="0.25">
      <c r="M995" s="379"/>
      <c r="BB995" s="206" t="str">
        <f t="array" ref="BB995">_xlfn.IFS(AQ995="","",LEN(AQ995)-LEN(SUBSTITUTE(AQ995,".",""))=3,LEFT(AQ995,vitri(".",AQ995,3)-1),LEN(AQ995)-LEN(SUBSTITUTE(AQ995,".",""))=2,LEFT(AQ995,vitri(".",AQ995,2)-1),TRUE,LEFT(AQ995,vitri(".",AQ995,1)-1))</f>
        <v/>
      </c>
    </row>
    <row r="996" spans="13:54" x14ac:dyDescent="0.25">
      <c r="M996" s="379"/>
      <c r="BB996" s="206" t="str">
        <f t="array" ref="BB996">_xlfn.IFS(AQ996="","",LEN(AQ996)-LEN(SUBSTITUTE(AQ996,".",""))=3,LEFT(AQ996,vitri(".",AQ996,3)-1),LEN(AQ996)-LEN(SUBSTITUTE(AQ996,".",""))=2,LEFT(AQ996,vitri(".",AQ996,2)-1),TRUE,LEFT(AQ996,vitri(".",AQ996,1)-1))</f>
        <v/>
      </c>
    </row>
    <row r="997" spans="13:54" x14ac:dyDescent="0.25">
      <c r="M997" s="379"/>
      <c r="BB997" s="206" t="str">
        <f t="array" ref="BB997">_xlfn.IFS(AQ997="","",LEN(AQ997)-LEN(SUBSTITUTE(AQ997,".",""))=3,LEFT(AQ997,vitri(".",AQ997,3)-1),LEN(AQ997)-LEN(SUBSTITUTE(AQ997,".",""))=2,LEFT(AQ997,vitri(".",AQ997,2)-1),TRUE,LEFT(AQ997,vitri(".",AQ997,1)-1))</f>
        <v/>
      </c>
    </row>
    <row r="998" spans="13:54" x14ac:dyDescent="0.25">
      <c r="M998" s="379"/>
      <c r="BB998" s="206" t="str">
        <f t="array" ref="BB998">_xlfn.IFS(AQ998="","",LEN(AQ998)-LEN(SUBSTITUTE(AQ998,".",""))=3,LEFT(AQ998,vitri(".",AQ998,3)-1),LEN(AQ998)-LEN(SUBSTITUTE(AQ998,".",""))=2,LEFT(AQ998,vitri(".",AQ998,2)-1),TRUE,LEFT(AQ998,vitri(".",AQ998,1)-1))</f>
        <v/>
      </c>
    </row>
    <row r="999" spans="13:54" x14ac:dyDescent="0.25">
      <c r="M999" s="379"/>
      <c r="BB999" s="206" t="str">
        <f t="array" ref="BB999">_xlfn.IFS(AQ999="","",LEN(AQ999)-LEN(SUBSTITUTE(AQ999,".",""))=3,LEFT(AQ999,vitri(".",AQ999,3)-1),LEN(AQ999)-LEN(SUBSTITUTE(AQ999,".",""))=2,LEFT(AQ999,vitri(".",AQ999,2)-1),TRUE,LEFT(AQ999,vitri(".",AQ999,1)-1))</f>
        <v/>
      </c>
    </row>
    <row r="1000" spans="13:54" x14ac:dyDescent="0.25">
      <c r="M1000" s="379"/>
      <c r="BB1000" s="206" t="str">
        <f t="array" ref="BB1000">_xlfn.IFS(AQ1000="","",LEN(AQ1000)-LEN(SUBSTITUTE(AQ1000,".",""))=3,LEFT(AQ1000,vitri(".",AQ1000,3)-1),LEN(AQ1000)-LEN(SUBSTITUTE(AQ1000,".",""))=2,LEFT(AQ1000,vitri(".",AQ1000,2)-1),TRUE,LEFT(AQ1000,vitri(".",AQ1000,1)-1))</f>
        <v/>
      </c>
    </row>
    <row r="1001" spans="13:54" x14ac:dyDescent="0.25">
      <c r="M1001" s="379"/>
      <c r="BB1001" s="206" t="str">
        <f t="array" ref="BB1001">_xlfn.IFS(AQ1001="","",LEN(AQ1001)-LEN(SUBSTITUTE(AQ1001,".",""))=3,LEFT(AQ1001,vitri(".",AQ1001,3)-1),LEN(AQ1001)-LEN(SUBSTITUTE(AQ1001,".",""))=2,LEFT(AQ1001,vitri(".",AQ1001,2)-1),TRUE,LEFT(AQ1001,vitri(".",AQ1001,1)-1))</f>
        <v/>
      </c>
    </row>
    <row r="1002" spans="13:54" x14ac:dyDescent="0.25">
      <c r="M1002" s="379"/>
      <c r="BB1002" s="206" t="str">
        <f t="array" ref="BB1002">_xlfn.IFS(AQ1002="","",LEN(AQ1002)-LEN(SUBSTITUTE(AQ1002,".",""))=3,LEFT(AQ1002,vitri(".",AQ1002,3)-1),LEN(AQ1002)-LEN(SUBSTITUTE(AQ1002,".",""))=2,LEFT(AQ1002,vitri(".",AQ1002,2)-1),TRUE,LEFT(AQ1002,vitri(".",AQ1002,1)-1))</f>
        <v/>
      </c>
    </row>
    <row r="1003" spans="13:54" x14ac:dyDescent="0.25">
      <c r="M1003" s="379"/>
      <c r="BB1003" s="206" t="str">
        <f t="array" ref="BB1003">_xlfn.IFS(AQ1003="","",LEN(AQ1003)-LEN(SUBSTITUTE(AQ1003,".",""))=3,LEFT(AQ1003,vitri(".",AQ1003,3)-1),LEN(AQ1003)-LEN(SUBSTITUTE(AQ1003,".",""))=2,LEFT(AQ1003,vitri(".",AQ1003,2)-1),TRUE,LEFT(AQ1003,vitri(".",AQ1003,1)-1))</f>
        <v/>
      </c>
    </row>
    <row r="1004" spans="13:54" x14ac:dyDescent="0.25">
      <c r="M1004" s="379"/>
      <c r="BB1004" s="206" t="str">
        <f t="array" ref="BB1004">_xlfn.IFS(AQ1004="","",LEN(AQ1004)-LEN(SUBSTITUTE(AQ1004,".",""))=3,LEFT(AQ1004,vitri(".",AQ1004,3)-1),LEN(AQ1004)-LEN(SUBSTITUTE(AQ1004,".",""))=2,LEFT(AQ1004,vitri(".",AQ1004,2)-1),TRUE,LEFT(AQ1004,vitri(".",AQ1004,1)-1))</f>
        <v/>
      </c>
    </row>
    <row r="1005" spans="13:54" x14ac:dyDescent="0.25">
      <c r="M1005" s="379"/>
      <c r="BB1005" s="206" t="str">
        <f t="array" ref="BB1005">_xlfn.IFS(AQ1005="","",LEN(AQ1005)-LEN(SUBSTITUTE(AQ1005,".",""))=3,LEFT(AQ1005,vitri(".",AQ1005,3)-1),LEN(AQ1005)-LEN(SUBSTITUTE(AQ1005,".",""))=2,LEFT(AQ1005,vitri(".",AQ1005,2)-1),TRUE,LEFT(AQ1005,vitri(".",AQ1005,1)-1))</f>
        <v/>
      </c>
    </row>
    <row r="1006" spans="13:54" x14ac:dyDescent="0.25">
      <c r="M1006" s="379"/>
      <c r="BB1006" s="206" t="str">
        <f t="array" ref="BB1006">_xlfn.IFS(AQ1006="","",LEN(AQ1006)-LEN(SUBSTITUTE(AQ1006,".",""))=3,LEFT(AQ1006,vitri(".",AQ1006,3)-1),LEN(AQ1006)-LEN(SUBSTITUTE(AQ1006,".",""))=2,LEFT(AQ1006,vitri(".",AQ1006,2)-1),TRUE,LEFT(AQ1006,vitri(".",AQ1006,1)-1))</f>
        <v/>
      </c>
    </row>
    <row r="1007" spans="13:54" x14ac:dyDescent="0.25">
      <c r="M1007" s="379"/>
      <c r="BB1007" s="206" t="str">
        <f t="array" ref="BB1007">_xlfn.IFS(AQ1007="","",LEN(AQ1007)-LEN(SUBSTITUTE(AQ1007,".",""))=3,LEFT(AQ1007,vitri(".",AQ1007,3)-1),LEN(AQ1007)-LEN(SUBSTITUTE(AQ1007,".",""))=2,LEFT(AQ1007,vitri(".",AQ1007,2)-1),TRUE,LEFT(AQ1007,vitri(".",AQ1007,1)-1))</f>
        <v/>
      </c>
    </row>
    <row r="1008" spans="13:54" x14ac:dyDescent="0.25">
      <c r="M1008" s="379"/>
      <c r="BB1008" s="206" t="str">
        <f t="array" ref="BB1008">_xlfn.IFS(AQ1008="","",LEN(AQ1008)-LEN(SUBSTITUTE(AQ1008,".",""))=3,LEFT(AQ1008,vitri(".",AQ1008,3)-1),LEN(AQ1008)-LEN(SUBSTITUTE(AQ1008,".",""))=2,LEFT(AQ1008,vitri(".",AQ1008,2)-1),TRUE,LEFT(AQ1008,vitri(".",AQ1008,1)-1))</f>
        <v/>
      </c>
    </row>
    <row r="1009" spans="13:54" x14ac:dyDescent="0.25">
      <c r="M1009" s="379"/>
      <c r="BB1009" s="206" t="str">
        <f t="array" ref="BB1009">_xlfn.IFS(AQ1009="","",LEN(AQ1009)-LEN(SUBSTITUTE(AQ1009,".",""))=3,LEFT(AQ1009,vitri(".",AQ1009,3)-1),LEN(AQ1009)-LEN(SUBSTITUTE(AQ1009,".",""))=2,LEFT(AQ1009,vitri(".",AQ1009,2)-1),TRUE,LEFT(AQ1009,vitri(".",AQ1009,1)-1))</f>
        <v/>
      </c>
    </row>
    <row r="1010" spans="13:54" x14ac:dyDescent="0.25">
      <c r="M1010" s="379"/>
      <c r="BB1010" s="206" t="str">
        <f t="array" ref="BB1010">_xlfn.IFS(AQ1010="","",LEN(AQ1010)-LEN(SUBSTITUTE(AQ1010,".",""))=3,LEFT(AQ1010,vitri(".",AQ1010,3)-1),LEN(AQ1010)-LEN(SUBSTITUTE(AQ1010,".",""))=2,LEFT(AQ1010,vitri(".",AQ1010,2)-1),TRUE,LEFT(AQ1010,vitri(".",AQ1010,1)-1))</f>
        <v/>
      </c>
    </row>
    <row r="1011" spans="13:54" x14ac:dyDescent="0.25">
      <c r="M1011" s="379"/>
      <c r="BB1011" s="206" t="str">
        <f t="array" ref="BB1011">_xlfn.IFS(AQ1011="","",LEN(AQ1011)-LEN(SUBSTITUTE(AQ1011,".",""))=3,LEFT(AQ1011,vitri(".",AQ1011,3)-1),LEN(AQ1011)-LEN(SUBSTITUTE(AQ1011,".",""))=2,LEFT(AQ1011,vitri(".",AQ1011,2)-1),TRUE,LEFT(AQ1011,vitri(".",AQ1011,1)-1))</f>
        <v/>
      </c>
    </row>
    <row r="1012" spans="13:54" x14ac:dyDescent="0.25">
      <c r="M1012" s="379"/>
      <c r="BB1012" s="206" t="str">
        <f t="array" ref="BB1012">_xlfn.IFS(AQ1012="","",LEN(AQ1012)-LEN(SUBSTITUTE(AQ1012,".",""))=3,LEFT(AQ1012,vitri(".",AQ1012,3)-1),LEN(AQ1012)-LEN(SUBSTITUTE(AQ1012,".",""))=2,LEFT(AQ1012,vitri(".",AQ1012,2)-1),TRUE,LEFT(AQ1012,vitri(".",AQ1012,1)-1))</f>
        <v/>
      </c>
    </row>
    <row r="1013" spans="13:54" x14ac:dyDescent="0.25">
      <c r="M1013" s="379"/>
      <c r="BB1013" s="206" t="str">
        <f t="array" ref="BB1013">_xlfn.IFS(AQ1013="","",LEN(AQ1013)-LEN(SUBSTITUTE(AQ1013,".",""))=3,LEFT(AQ1013,vitri(".",AQ1013,3)-1),LEN(AQ1013)-LEN(SUBSTITUTE(AQ1013,".",""))=2,LEFT(AQ1013,vitri(".",AQ1013,2)-1),TRUE,LEFT(AQ1013,vitri(".",AQ1013,1)-1))</f>
        <v/>
      </c>
    </row>
    <row r="1014" spans="13:54" x14ac:dyDescent="0.25">
      <c r="M1014" s="379"/>
      <c r="BB1014" s="206" t="str">
        <f t="array" ref="BB1014">_xlfn.IFS(AQ1014="","",LEN(AQ1014)-LEN(SUBSTITUTE(AQ1014,".",""))=3,LEFT(AQ1014,vitri(".",AQ1014,3)-1),LEN(AQ1014)-LEN(SUBSTITUTE(AQ1014,".",""))=2,LEFT(AQ1014,vitri(".",AQ1014,2)-1),TRUE,LEFT(AQ1014,vitri(".",AQ1014,1)-1))</f>
        <v/>
      </c>
    </row>
    <row r="1015" spans="13:54" x14ac:dyDescent="0.25">
      <c r="M1015" s="379"/>
      <c r="BB1015" s="206" t="str">
        <f t="array" ref="BB1015">_xlfn.IFS(AQ1015="","",LEN(AQ1015)-LEN(SUBSTITUTE(AQ1015,".",""))=3,LEFT(AQ1015,vitri(".",AQ1015,3)-1),LEN(AQ1015)-LEN(SUBSTITUTE(AQ1015,".",""))=2,LEFT(AQ1015,vitri(".",AQ1015,2)-1),TRUE,LEFT(AQ1015,vitri(".",AQ1015,1)-1))</f>
        <v/>
      </c>
    </row>
    <row r="1016" spans="13:54" x14ac:dyDescent="0.25">
      <c r="M1016" s="379"/>
      <c r="BB1016" s="206" t="str">
        <f t="array" ref="BB1016">_xlfn.IFS(AQ1016="","",LEN(AQ1016)-LEN(SUBSTITUTE(AQ1016,".",""))=3,LEFT(AQ1016,vitri(".",AQ1016,3)-1),LEN(AQ1016)-LEN(SUBSTITUTE(AQ1016,".",""))=2,LEFT(AQ1016,vitri(".",AQ1016,2)-1),TRUE,LEFT(AQ1016,vitri(".",AQ1016,1)-1))</f>
        <v/>
      </c>
    </row>
    <row r="1017" spans="13:54" x14ac:dyDescent="0.25">
      <c r="M1017" s="379"/>
      <c r="BB1017" s="206" t="str">
        <f t="array" ref="BB1017">_xlfn.IFS(AQ1017="","",LEN(AQ1017)-LEN(SUBSTITUTE(AQ1017,".",""))=3,LEFT(AQ1017,vitri(".",AQ1017,3)-1),LEN(AQ1017)-LEN(SUBSTITUTE(AQ1017,".",""))=2,LEFT(AQ1017,vitri(".",AQ1017,2)-1),TRUE,LEFT(AQ1017,vitri(".",AQ1017,1)-1))</f>
        <v/>
      </c>
    </row>
    <row r="1018" spans="13:54" x14ac:dyDescent="0.25">
      <c r="M1018" s="379"/>
      <c r="BB1018" s="206" t="str">
        <f t="array" ref="BB1018">_xlfn.IFS(AQ1018="","",LEN(AQ1018)-LEN(SUBSTITUTE(AQ1018,".",""))=3,LEFT(AQ1018,vitri(".",AQ1018,3)-1),LEN(AQ1018)-LEN(SUBSTITUTE(AQ1018,".",""))=2,LEFT(AQ1018,vitri(".",AQ1018,2)-1),TRUE,LEFT(AQ1018,vitri(".",AQ1018,1)-1))</f>
        <v/>
      </c>
    </row>
    <row r="1019" spans="13:54" x14ac:dyDescent="0.25">
      <c r="M1019" s="379"/>
      <c r="BB1019" s="206" t="str">
        <f t="array" ref="BB1019">_xlfn.IFS(AQ1019="","",LEN(AQ1019)-LEN(SUBSTITUTE(AQ1019,".",""))=3,LEFT(AQ1019,vitri(".",AQ1019,3)-1),LEN(AQ1019)-LEN(SUBSTITUTE(AQ1019,".",""))=2,LEFT(AQ1019,vitri(".",AQ1019,2)-1),TRUE,LEFT(AQ1019,vitri(".",AQ1019,1)-1))</f>
        <v/>
      </c>
    </row>
    <row r="1020" spans="13:54" x14ac:dyDescent="0.25">
      <c r="M1020" s="379"/>
      <c r="BB1020" s="206" t="str">
        <f t="array" ref="BB1020">_xlfn.IFS(AQ1020="","",LEN(AQ1020)-LEN(SUBSTITUTE(AQ1020,".",""))=3,LEFT(AQ1020,vitri(".",AQ1020,3)-1),LEN(AQ1020)-LEN(SUBSTITUTE(AQ1020,".",""))=2,LEFT(AQ1020,vitri(".",AQ1020,2)-1),TRUE,LEFT(AQ1020,vitri(".",AQ1020,1)-1))</f>
        <v/>
      </c>
    </row>
    <row r="1021" spans="13:54" x14ac:dyDescent="0.25">
      <c r="M1021" s="379"/>
      <c r="BB1021" s="206" t="str">
        <f t="array" ref="BB1021">_xlfn.IFS(AQ1021="","",LEN(AQ1021)-LEN(SUBSTITUTE(AQ1021,".",""))=3,LEFT(AQ1021,vitri(".",AQ1021,3)-1),LEN(AQ1021)-LEN(SUBSTITUTE(AQ1021,".",""))=2,LEFT(AQ1021,vitri(".",AQ1021,2)-1),TRUE,LEFT(AQ1021,vitri(".",AQ1021,1)-1))</f>
        <v/>
      </c>
    </row>
    <row r="1022" spans="13:54" x14ac:dyDescent="0.25">
      <c r="M1022" s="379"/>
      <c r="BB1022" s="206" t="str">
        <f t="array" ref="BB1022">_xlfn.IFS(AQ1022="","",LEN(AQ1022)-LEN(SUBSTITUTE(AQ1022,".",""))=3,LEFT(AQ1022,vitri(".",AQ1022,3)-1),LEN(AQ1022)-LEN(SUBSTITUTE(AQ1022,".",""))=2,LEFT(AQ1022,vitri(".",AQ1022,2)-1),TRUE,LEFT(AQ1022,vitri(".",AQ1022,1)-1))</f>
        <v/>
      </c>
    </row>
    <row r="1023" spans="13:54" x14ac:dyDescent="0.25">
      <c r="M1023" s="379"/>
      <c r="BB1023" s="206" t="str">
        <f t="array" ref="BB1023">_xlfn.IFS(AQ1023="","",LEN(AQ1023)-LEN(SUBSTITUTE(AQ1023,".",""))=3,LEFT(AQ1023,vitri(".",AQ1023,3)-1),LEN(AQ1023)-LEN(SUBSTITUTE(AQ1023,".",""))=2,LEFT(AQ1023,vitri(".",AQ1023,2)-1),TRUE,LEFT(AQ1023,vitri(".",AQ1023,1)-1))</f>
        <v/>
      </c>
    </row>
    <row r="1024" spans="13:54" x14ac:dyDescent="0.25">
      <c r="M1024" s="379"/>
      <c r="BB1024" s="206" t="str">
        <f t="array" ref="BB1024">_xlfn.IFS(AQ1024="","",LEN(AQ1024)-LEN(SUBSTITUTE(AQ1024,".",""))=3,LEFT(AQ1024,vitri(".",AQ1024,3)-1),LEN(AQ1024)-LEN(SUBSTITUTE(AQ1024,".",""))=2,LEFT(AQ1024,vitri(".",AQ1024,2)-1),TRUE,LEFT(AQ1024,vitri(".",AQ1024,1)-1))</f>
        <v/>
      </c>
    </row>
    <row r="1025" spans="13:54" x14ac:dyDescent="0.25">
      <c r="M1025" s="379"/>
      <c r="BB1025" s="206" t="str">
        <f t="array" ref="BB1025">_xlfn.IFS(AQ1025="","",LEN(AQ1025)-LEN(SUBSTITUTE(AQ1025,".",""))=3,LEFT(AQ1025,vitri(".",AQ1025,3)-1),LEN(AQ1025)-LEN(SUBSTITUTE(AQ1025,".",""))=2,LEFT(AQ1025,vitri(".",AQ1025,2)-1),TRUE,LEFT(AQ1025,vitri(".",AQ1025,1)-1))</f>
        <v/>
      </c>
    </row>
    <row r="1026" spans="13:54" x14ac:dyDescent="0.25">
      <c r="M1026" s="379"/>
      <c r="BB1026" s="206" t="str">
        <f t="array" ref="BB1026">_xlfn.IFS(AQ1026="","",LEN(AQ1026)-LEN(SUBSTITUTE(AQ1026,".",""))=3,LEFT(AQ1026,vitri(".",AQ1026,3)-1),LEN(AQ1026)-LEN(SUBSTITUTE(AQ1026,".",""))=2,LEFT(AQ1026,vitri(".",AQ1026,2)-1),TRUE,LEFT(AQ1026,vitri(".",AQ1026,1)-1))</f>
        <v/>
      </c>
    </row>
    <row r="1027" spans="13:54" x14ac:dyDescent="0.25">
      <c r="M1027" s="379"/>
      <c r="BB1027" s="206" t="str">
        <f t="array" ref="BB1027">_xlfn.IFS(AQ1027="","",LEN(AQ1027)-LEN(SUBSTITUTE(AQ1027,".",""))=3,LEFT(AQ1027,vitri(".",AQ1027,3)-1),LEN(AQ1027)-LEN(SUBSTITUTE(AQ1027,".",""))=2,LEFT(AQ1027,vitri(".",AQ1027,2)-1),TRUE,LEFT(AQ1027,vitri(".",AQ1027,1)-1))</f>
        <v/>
      </c>
    </row>
    <row r="1028" spans="13:54" x14ac:dyDescent="0.25">
      <c r="M1028" s="379"/>
      <c r="BB1028" s="206" t="str">
        <f t="array" ref="BB1028">_xlfn.IFS(AQ1028="","",LEN(AQ1028)-LEN(SUBSTITUTE(AQ1028,".",""))=3,LEFT(AQ1028,vitri(".",AQ1028,3)-1),LEN(AQ1028)-LEN(SUBSTITUTE(AQ1028,".",""))=2,LEFT(AQ1028,vitri(".",AQ1028,2)-1),TRUE,LEFT(AQ1028,vitri(".",AQ1028,1)-1))</f>
        <v/>
      </c>
    </row>
    <row r="1029" spans="13:54" x14ac:dyDescent="0.25">
      <c r="M1029" s="379"/>
      <c r="BB1029" s="206" t="str">
        <f t="array" ref="BB1029">_xlfn.IFS(AQ1029="","",LEN(AQ1029)-LEN(SUBSTITUTE(AQ1029,".",""))=3,LEFT(AQ1029,vitri(".",AQ1029,3)-1),LEN(AQ1029)-LEN(SUBSTITUTE(AQ1029,".",""))=2,LEFT(AQ1029,vitri(".",AQ1029,2)-1),TRUE,LEFT(AQ1029,vitri(".",AQ1029,1)-1))</f>
        <v/>
      </c>
    </row>
    <row r="1030" spans="13:54" x14ac:dyDescent="0.25">
      <c r="M1030" s="379"/>
      <c r="BB1030" s="206" t="str">
        <f t="array" ref="BB1030">_xlfn.IFS(AQ1030="","",LEN(AQ1030)-LEN(SUBSTITUTE(AQ1030,".",""))=3,LEFT(AQ1030,vitri(".",AQ1030,3)-1),LEN(AQ1030)-LEN(SUBSTITUTE(AQ1030,".",""))=2,LEFT(AQ1030,vitri(".",AQ1030,2)-1),TRUE,LEFT(AQ1030,vitri(".",AQ1030,1)-1))</f>
        <v/>
      </c>
    </row>
    <row r="1031" spans="13:54" x14ac:dyDescent="0.25">
      <c r="M1031" s="379"/>
      <c r="BB1031" s="206" t="str">
        <f t="array" ref="BB1031">_xlfn.IFS(AQ1031="","",LEN(AQ1031)-LEN(SUBSTITUTE(AQ1031,".",""))=3,LEFT(AQ1031,vitri(".",AQ1031,3)-1),LEN(AQ1031)-LEN(SUBSTITUTE(AQ1031,".",""))=2,LEFT(AQ1031,vitri(".",AQ1031,2)-1),TRUE,LEFT(AQ1031,vitri(".",AQ1031,1)-1))</f>
        <v/>
      </c>
    </row>
    <row r="1032" spans="13:54" x14ac:dyDescent="0.25">
      <c r="M1032" s="379"/>
      <c r="BB1032" s="206" t="str">
        <f t="array" ref="BB1032">_xlfn.IFS(AQ1032="","",LEN(AQ1032)-LEN(SUBSTITUTE(AQ1032,".",""))=3,LEFT(AQ1032,vitri(".",AQ1032,3)-1),LEN(AQ1032)-LEN(SUBSTITUTE(AQ1032,".",""))=2,LEFT(AQ1032,vitri(".",AQ1032,2)-1),TRUE,LEFT(AQ1032,vitri(".",AQ1032,1)-1))</f>
        <v/>
      </c>
    </row>
    <row r="1033" spans="13:54" x14ac:dyDescent="0.25">
      <c r="M1033" s="379"/>
      <c r="BB1033" s="206" t="str">
        <f t="array" ref="BB1033">_xlfn.IFS(AQ1033="","",LEN(AQ1033)-LEN(SUBSTITUTE(AQ1033,".",""))=3,LEFT(AQ1033,vitri(".",AQ1033,3)-1),LEN(AQ1033)-LEN(SUBSTITUTE(AQ1033,".",""))=2,LEFT(AQ1033,vitri(".",AQ1033,2)-1),TRUE,LEFT(AQ1033,vitri(".",AQ1033,1)-1))</f>
        <v/>
      </c>
    </row>
    <row r="1034" spans="13:54" x14ac:dyDescent="0.25">
      <c r="M1034" s="379"/>
      <c r="BB1034" s="206" t="str">
        <f t="array" ref="BB1034">_xlfn.IFS(AQ1034="","",LEN(AQ1034)-LEN(SUBSTITUTE(AQ1034,".",""))=3,LEFT(AQ1034,vitri(".",AQ1034,3)-1),LEN(AQ1034)-LEN(SUBSTITUTE(AQ1034,".",""))=2,LEFT(AQ1034,vitri(".",AQ1034,2)-1),TRUE,LEFT(AQ1034,vitri(".",AQ1034,1)-1))</f>
        <v/>
      </c>
    </row>
    <row r="1035" spans="13:54" x14ac:dyDescent="0.25">
      <c r="M1035" s="379"/>
      <c r="BB1035" s="206" t="str">
        <f t="array" ref="BB1035">_xlfn.IFS(AQ1035="","",LEN(AQ1035)-LEN(SUBSTITUTE(AQ1035,".",""))=3,LEFT(AQ1035,vitri(".",AQ1035,3)-1),LEN(AQ1035)-LEN(SUBSTITUTE(AQ1035,".",""))=2,LEFT(AQ1035,vitri(".",AQ1035,2)-1),TRUE,LEFT(AQ1035,vitri(".",AQ1035,1)-1))</f>
        <v/>
      </c>
    </row>
    <row r="1036" spans="13:54" x14ac:dyDescent="0.25">
      <c r="M1036" s="379"/>
      <c r="BB1036" s="206" t="str">
        <f t="array" ref="BB1036">_xlfn.IFS(AQ1036="","",LEN(AQ1036)-LEN(SUBSTITUTE(AQ1036,".",""))=3,LEFT(AQ1036,vitri(".",AQ1036,3)-1),LEN(AQ1036)-LEN(SUBSTITUTE(AQ1036,".",""))=2,LEFT(AQ1036,vitri(".",AQ1036,2)-1),TRUE,LEFT(AQ1036,vitri(".",AQ1036,1)-1))</f>
        <v/>
      </c>
    </row>
    <row r="1037" spans="13:54" x14ac:dyDescent="0.25">
      <c r="M1037" s="379"/>
      <c r="BB1037" s="206" t="str">
        <f t="array" ref="BB1037">_xlfn.IFS(AQ1037="","",LEN(AQ1037)-LEN(SUBSTITUTE(AQ1037,".",""))=3,LEFT(AQ1037,vitri(".",AQ1037,3)-1),LEN(AQ1037)-LEN(SUBSTITUTE(AQ1037,".",""))=2,LEFT(AQ1037,vitri(".",AQ1037,2)-1),TRUE,LEFT(AQ1037,vitri(".",AQ1037,1)-1))</f>
        <v/>
      </c>
    </row>
    <row r="1038" spans="13:54" x14ac:dyDescent="0.25">
      <c r="M1038" s="379"/>
      <c r="BB1038" s="206" t="str">
        <f t="array" ref="BB1038">_xlfn.IFS(AQ1038="","",LEN(AQ1038)-LEN(SUBSTITUTE(AQ1038,".",""))=3,LEFT(AQ1038,vitri(".",AQ1038,3)-1),LEN(AQ1038)-LEN(SUBSTITUTE(AQ1038,".",""))=2,LEFT(AQ1038,vitri(".",AQ1038,2)-1),TRUE,LEFT(AQ1038,vitri(".",AQ1038,1)-1))</f>
        <v/>
      </c>
    </row>
    <row r="1039" spans="13:54" x14ac:dyDescent="0.25">
      <c r="M1039" s="379"/>
      <c r="BB1039" s="206" t="str">
        <f t="array" ref="BB1039">_xlfn.IFS(AQ1039="","",LEN(AQ1039)-LEN(SUBSTITUTE(AQ1039,".",""))=3,LEFT(AQ1039,vitri(".",AQ1039,3)-1),LEN(AQ1039)-LEN(SUBSTITUTE(AQ1039,".",""))=2,LEFT(AQ1039,vitri(".",AQ1039,2)-1),TRUE,LEFT(AQ1039,vitri(".",AQ1039,1)-1))</f>
        <v/>
      </c>
    </row>
    <row r="1040" spans="13:54" x14ac:dyDescent="0.25">
      <c r="M1040" s="379"/>
      <c r="BB1040" s="206" t="str">
        <f t="array" ref="BB1040">_xlfn.IFS(AQ1040="","",LEN(AQ1040)-LEN(SUBSTITUTE(AQ1040,".",""))=3,LEFT(AQ1040,vitri(".",AQ1040,3)-1),LEN(AQ1040)-LEN(SUBSTITUTE(AQ1040,".",""))=2,LEFT(AQ1040,vitri(".",AQ1040,2)-1),TRUE,LEFT(AQ1040,vitri(".",AQ1040,1)-1))</f>
        <v/>
      </c>
    </row>
    <row r="1041" spans="13:54" x14ac:dyDescent="0.25">
      <c r="M1041" s="379"/>
      <c r="BB1041" s="206" t="str">
        <f t="array" ref="BB1041">_xlfn.IFS(AQ1041="","",LEN(AQ1041)-LEN(SUBSTITUTE(AQ1041,".",""))=3,LEFT(AQ1041,vitri(".",AQ1041,3)-1),LEN(AQ1041)-LEN(SUBSTITUTE(AQ1041,".",""))=2,LEFT(AQ1041,vitri(".",AQ1041,2)-1),TRUE,LEFT(AQ1041,vitri(".",AQ1041,1)-1))</f>
        <v/>
      </c>
    </row>
    <row r="1042" spans="13:54" x14ac:dyDescent="0.25">
      <c r="M1042" s="379"/>
      <c r="BB1042" s="206" t="str">
        <f t="array" ref="BB1042">_xlfn.IFS(AQ1042="","",LEN(AQ1042)-LEN(SUBSTITUTE(AQ1042,".",""))=3,LEFT(AQ1042,vitri(".",AQ1042,3)-1),LEN(AQ1042)-LEN(SUBSTITUTE(AQ1042,".",""))=2,LEFT(AQ1042,vitri(".",AQ1042,2)-1),TRUE,LEFT(AQ1042,vitri(".",AQ1042,1)-1))</f>
        <v/>
      </c>
    </row>
    <row r="1043" spans="13:54" x14ac:dyDescent="0.25">
      <c r="M1043" s="379"/>
      <c r="BB1043" s="206" t="str">
        <f t="array" ref="BB1043">_xlfn.IFS(AQ1043="","",LEN(AQ1043)-LEN(SUBSTITUTE(AQ1043,".",""))=3,LEFT(AQ1043,vitri(".",AQ1043,3)-1),LEN(AQ1043)-LEN(SUBSTITUTE(AQ1043,".",""))=2,LEFT(AQ1043,vitri(".",AQ1043,2)-1),TRUE,LEFT(AQ1043,vitri(".",AQ1043,1)-1))</f>
        <v/>
      </c>
    </row>
    <row r="1044" spans="13:54" x14ac:dyDescent="0.25">
      <c r="M1044" s="379"/>
      <c r="BB1044" s="206" t="str">
        <f t="array" ref="BB1044">_xlfn.IFS(AQ1044="","",LEN(AQ1044)-LEN(SUBSTITUTE(AQ1044,".",""))=3,LEFT(AQ1044,vitri(".",AQ1044,3)-1),LEN(AQ1044)-LEN(SUBSTITUTE(AQ1044,".",""))=2,LEFT(AQ1044,vitri(".",AQ1044,2)-1),TRUE,LEFT(AQ1044,vitri(".",AQ1044,1)-1))</f>
        <v/>
      </c>
    </row>
    <row r="1045" spans="13:54" x14ac:dyDescent="0.25">
      <c r="M1045" s="379"/>
      <c r="BB1045" s="206" t="str">
        <f t="array" ref="BB1045">_xlfn.IFS(AQ1045="","",LEN(AQ1045)-LEN(SUBSTITUTE(AQ1045,".",""))=3,LEFT(AQ1045,vitri(".",AQ1045,3)-1),LEN(AQ1045)-LEN(SUBSTITUTE(AQ1045,".",""))=2,LEFT(AQ1045,vitri(".",AQ1045,2)-1),TRUE,LEFT(AQ1045,vitri(".",AQ1045,1)-1))</f>
        <v/>
      </c>
    </row>
    <row r="1046" spans="13:54" x14ac:dyDescent="0.25">
      <c r="M1046" s="379"/>
      <c r="BB1046" s="206" t="str">
        <f t="array" ref="BB1046">_xlfn.IFS(AQ1046="","",LEN(AQ1046)-LEN(SUBSTITUTE(AQ1046,".",""))=3,LEFT(AQ1046,vitri(".",AQ1046,3)-1),LEN(AQ1046)-LEN(SUBSTITUTE(AQ1046,".",""))=2,LEFT(AQ1046,vitri(".",AQ1046,2)-1),TRUE,LEFT(AQ1046,vitri(".",AQ1046,1)-1))</f>
        <v/>
      </c>
    </row>
    <row r="1047" spans="13:54" x14ac:dyDescent="0.25">
      <c r="M1047" s="379"/>
      <c r="BB1047" s="206" t="str">
        <f t="array" ref="BB1047">_xlfn.IFS(AQ1047="","",LEN(AQ1047)-LEN(SUBSTITUTE(AQ1047,".",""))=3,LEFT(AQ1047,vitri(".",AQ1047,3)-1),LEN(AQ1047)-LEN(SUBSTITUTE(AQ1047,".",""))=2,LEFT(AQ1047,vitri(".",AQ1047,2)-1),TRUE,LEFT(AQ1047,vitri(".",AQ1047,1)-1))</f>
        <v/>
      </c>
    </row>
    <row r="1048" spans="13:54" x14ac:dyDescent="0.25">
      <c r="M1048" s="379"/>
      <c r="BB1048" s="206" t="str">
        <f t="array" ref="BB1048">_xlfn.IFS(AQ1048="","",LEN(AQ1048)-LEN(SUBSTITUTE(AQ1048,".",""))=3,LEFT(AQ1048,vitri(".",AQ1048,3)-1),LEN(AQ1048)-LEN(SUBSTITUTE(AQ1048,".",""))=2,LEFT(AQ1048,vitri(".",AQ1048,2)-1),TRUE,LEFT(AQ1048,vitri(".",AQ1048,1)-1))</f>
        <v/>
      </c>
    </row>
    <row r="1049" spans="13:54" x14ac:dyDescent="0.25">
      <c r="M1049" s="379"/>
      <c r="BB1049" s="206" t="str">
        <f t="array" ref="BB1049">_xlfn.IFS(AQ1049="","",LEN(AQ1049)-LEN(SUBSTITUTE(AQ1049,".",""))=3,LEFT(AQ1049,vitri(".",AQ1049,3)-1),LEN(AQ1049)-LEN(SUBSTITUTE(AQ1049,".",""))=2,LEFT(AQ1049,vitri(".",AQ1049,2)-1),TRUE,LEFT(AQ1049,vitri(".",AQ1049,1)-1))</f>
        <v/>
      </c>
    </row>
    <row r="1050" spans="13:54" x14ac:dyDescent="0.25">
      <c r="M1050" s="379"/>
      <c r="BB1050" s="206" t="str">
        <f t="array" ref="BB1050">_xlfn.IFS(AQ1050="","",LEN(AQ1050)-LEN(SUBSTITUTE(AQ1050,".",""))=3,LEFT(AQ1050,vitri(".",AQ1050,3)-1),LEN(AQ1050)-LEN(SUBSTITUTE(AQ1050,".",""))=2,LEFT(AQ1050,vitri(".",AQ1050,2)-1),TRUE,LEFT(AQ1050,vitri(".",AQ1050,1)-1))</f>
        <v/>
      </c>
    </row>
    <row r="1051" spans="13:54" x14ac:dyDescent="0.25">
      <c r="M1051" s="379"/>
      <c r="BB1051" s="206" t="str">
        <f t="array" ref="BB1051">_xlfn.IFS(AQ1051="","",LEN(AQ1051)-LEN(SUBSTITUTE(AQ1051,".",""))=3,LEFT(AQ1051,vitri(".",AQ1051,3)-1),LEN(AQ1051)-LEN(SUBSTITUTE(AQ1051,".",""))=2,LEFT(AQ1051,vitri(".",AQ1051,2)-1),TRUE,LEFT(AQ1051,vitri(".",AQ1051,1)-1))</f>
        <v/>
      </c>
    </row>
    <row r="1052" spans="13:54" x14ac:dyDescent="0.25">
      <c r="M1052" s="379"/>
      <c r="BB1052" s="206" t="str">
        <f t="array" ref="BB1052">_xlfn.IFS(AQ1052="","",LEN(AQ1052)-LEN(SUBSTITUTE(AQ1052,".",""))=3,LEFT(AQ1052,vitri(".",AQ1052,3)-1),LEN(AQ1052)-LEN(SUBSTITUTE(AQ1052,".",""))=2,LEFT(AQ1052,vitri(".",AQ1052,2)-1),TRUE,LEFT(AQ1052,vitri(".",AQ1052,1)-1))</f>
        <v/>
      </c>
    </row>
    <row r="1053" spans="13:54" x14ac:dyDescent="0.25">
      <c r="M1053" s="379"/>
      <c r="BB1053" s="206" t="str">
        <f t="array" ref="BB1053">_xlfn.IFS(AQ1053="","",LEN(AQ1053)-LEN(SUBSTITUTE(AQ1053,".",""))=3,LEFT(AQ1053,vitri(".",AQ1053,3)-1),LEN(AQ1053)-LEN(SUBSTITUTE(AQ1053,".",""))=2,LEFT(AQ1053,vitri(".",AQ1053,2)-1),TRUE,LEFT(AQ1053,vitri(".",AQ1053,1)-1))</f>
        <v/>
      </c>
    </row>
    <row r="1054" spans="13:54" x14ac:dyDescent="0.25">
      <c r="M1054" s="379"/>
      <c r="BB1054" s="206" t="str">
        <f t="array" ref="BB1054">_xlfn.IFS(AQ1054="","",LEN(AQ1054)-LEN(SUBSTITUTE(AQ1054,".",""))=3,LEFT(AQ1054,vitri(".",AQ1054,3)-1),LEN(AQ1054)-LEN(SUBSTITUTE(AQ1054,".",""))=2,LEFT(AQ1054,vitri(".",AQ1054,2)-1),TRUE,LEFT(AQ1054,vitri(".",AQ1054,1)-1))</f>
        <v/>
      </c>
    </row>
    <row r="1055" spans="13:54" x14ac:dyDescent="0.25">
      <c r="M1055" s="379"/>
      <c r="BB1055" s="206" t="str">
        <f t="array" ref="BB1055">_xlfn.IFS(AQ1055="","",LEN(AQ1055)-LEN(SUBSTITUTE(AQ1055,".",""))=3,LEFT(AQ1055,vitri(".",AQ1055,3)-1),LEN(AQ1055)-LEN(SUBSTITUTE(AQ1055,".",""))=2,LEFT(AQ1055,vitri(".",AQ1055,2)-1),TRUE,LEFT(AQ1055,vitri(".",AQ1055,1)-1))</f>
        <v/>
      </c>
    </row>
    <row r="1056" spans="13:54" x14ac:dyDescent="0.25">
      <c r="M1056" s="379"/>
      <c r="BB1056" s="206" t="str">
        <f t="array" ref="BB1056">_xlfn.IFS(AQ1056="","",LEN(AQ1056)-LEN(SUBSTITUTE(AQ1056,".",""))=3,LEFT(AQ1056,vitri(".",AQ1056,3)-1),LEN(AQ1056)-LEN(SUBSTITUTE(AQ1056,".",""))=2,LEFT(AQ1056,vitri(".",AQ1056,2)-1),TRUE,LEFT(AQ1056,vitri(".",AQ1056,1)-1))</f>
        <v/>
      </c>
    </row>
    <row r="1057" spans="13:54" x14ac:dyDescent="0.25">
      <c r="M1057" s="379"/>
      <c r="BB1057" s="206" t="str">
        <f t="array" ref="BB1057">_xlfn.IFS(AQ1057="","",LEN(AQ1057)-LEN(SUBSTITUTE(AQ1057,".",""))=3,LEFT(AQ1057,vitri(".",AQ1057,3)-1),LEN(AQ1057)-LEN(SUBSTITUTE(AQ1057,".",""))=2,LEFT(AQ1057,vitri(".",AQ1057,2)-1),TRUE,LEFT(AQ1057,vitri(".",AQ1057,1)-1))</f>
        <v/>
      </c>
    </row>
    <row r="1058" spans="13:54" x14ac:dyDescent="0.25">
      <c r="M1058" s="379"/>
      <c r="BB1058" s="206" t="str">
        <f t="array" ref="BB1058">_xlfn.IFS(AQ1058="","",LEN(AQ1058)-LEN(SUBSTITUTE(AQ1058,".",""))=3,LEFT(AQ1058,vitri(".",AQ1058,3)-1),LEN(AQ1058)-LEN(SUBSTITUTE(AQ1058,".",""))=2,LEFT(AQ1058,vitri(".",AQ1058,2)-1),TRUE,LEFT(AQ1058,vitri(".",AQ1058,1)-1))</f>
        <v/>
      </c>
    </row>
    <row r="1059" spans="13:54" x14ac:dyDescent="0.25">
      <c r="M1059" s="379"/>
      <c r="BB1059" s="206" t="str">
        <f t="array" ref="BB1059">_xlfn.IFS(AQ1059="","",LEN(AQ1059)-LEN(SUBSTITUTE(AQ1059,".",""))=3,LEFT(AQ1059,vitri(".",AQ1059,3)-1),LEN(AQ1059)-LEN(SUBSTITUTE(AQ1059,".",""))=2,LEFT(AQ1059,vitri(".",AQ1059,2)-1),TRUE,LEFT(AQ1059,vitri(".",AQ1059,1)-1))</f>
        <v/>
      </c>
    </row>
    <row r="1060" spans="13:54" x14ac:dyDescent="0.25">
      <c r="M1060" s="379"/>
      <c r="BB1060" s="206" t="str">
        <f t="array" ref="BB1060">_xlfn.IFS(AQ1060="","",LEN(AQ1060)-LEN(SUBSTITUTE(AQ1060,".",""))=3,LEFT(AQ1060,vitri(".",AQ1060,3)-1),LEN(AQ1060)-LEN(SUBSTITUTE(AQ1060,".",""))=2,LEFT(AQ1060,vitri(".",AQ1060,2)-1),TRUE,LEFT(AQ1060,vitri(".",AQ1060,1)-1))</f>
        <v/>
      </c>
    </row>
    <row r="1061" spans="13:54" x14ac:dyDescent="0.25">
      <c r="M1061" s="379"/>
      <c r="BB1061" s="206" t="str">
        <f t="array" ref="BB1061">_xlfn.IFS(AQ1061="","",LEN(AQ1061)-LEN(SUBSTITUTE(AQ1061,".",""))=3,LEFT(AQ1061,vitri(".",AQ1061,3)-1),LEN(AQ1061)-LEN(SUBSTITUTE(AQ1061,".",""))=2,LEFT(AQ1061,vitri(".",AQ1061,2)-1),TRUE,LEFT(AQ1061,vitri(".",AQ1061,1)-1))</f>
        <v/>
      </c>
    </row>
    <row r="1062" spans="13:54" x14ac:dyDescent="0.25">
      <c r="M1062" s="379"/>
      <c r="BB1062" s="206" t="str">
        <f t="array" ref="BB1062">_xlfn.IFS(AQ1062="","",LEN(AQ1062)-LEN(SUBSTITUTE(AQ1062,".",""))=3,LEFT(AQ1062,vitri(".",AQ1062,3)-1),LEN(AQ1062)-LEN(SUBSTITUTE(AQ1062,".",""))=2,LEFT(AQ1062,vitri(".",AQ1062,2)-1),TRUE,LEFT(AQ1062,vitri(".",AQ1062,1)-1))</f>
        <v/>
      </c>
    </row>
    <row r="1063" spans="13:54" x14ac:dyDescent="0.25">
      <c r="M1063" s="379"/>
      <c r="BB1063" s="206" t="str">
        <f t="array" ref="BB1063">_xlfn.IFS(AQ1063="","",LEN(AQ1063)-LEN(SUBSTITUTE(AQ1063,".",""))=3,LEFT(AQ1063,vitri(".",AQ1063,3)-1),LEN(AQ1063)-LEN(SUBSTITUTE(AQ1063,".",""))=2,LEFT(AQ1063,vitri(".",AQ1063,2)-1),TRUE,LEFT(AQ1063,vitri(".",AQ1063,1)-1))</f>
        <v/>
      </c>
    </row>
    <row r="1064" spans="13:54" x14ac:dyDescent="0.25">
      <c r="M1064" s="379"/>
      <c r="BB1064" s="206" t="str">
        <f t="array" ref="BB1064">_xlfn.IFS(AQ1064="","",LEN(AQ1064)-LEN(SUBSTITUTE(AQ1064,".",""))=3,LEFT(AQ1064,vitri(".",AQ1064,3)-1),LEN(AQ1064)-LEN(SUBSTITUTE(AQ1064,".",""))=2,LEFT(AQ1064,vitri(".",AQ1064,2)-1),TRUE,LEFT(AQ1064,vitri(".",AQ1064,1)-1))</f>
        <v/>
      </c>
    </row>
    <row r="1065" spans="13:54" x14ac:dyDescent="0.25">
      <c r="M1065" s="379"/>
      <c r="BB1065" s="206" t="str">
        <f t="array" ref="BB1065">_xlfn.IFS(AQ1065="","",LEN(AQ1065)-LEN(SUBSTITUTE(AQ1065,".",""))=3,LEFT(AQ1065,vitri(".",AQ1065,3)-1),LEN(AQ1065)-LEN(SUBSTITUTE(AQ1065,".",""))=2,LEFT(AQ1065,vitri(".",AQ1065,2)-1),TRUE,LEFT(AQ1065,vitri(".",AQ1065,1)-1))</f>
        <v/>
      </c>
    </row>
    <row r="1066" spans="13:54" x14ac:dyDescent="0.25">
      <c r="M1066" s="379"/>
      <c r="BB1066" s="206" t="str">
        <f t="array" ref="BB1066">_xlfn.IFS(AQ1066="","",LEN(AQ1066)-LEN(SUBSTITUTE(AQ1066,".",""))=3,LEFT(AQ1066,vitri(".",AQ1066,3)-1),LEN(AQ1066)-LEN(SUBSTITUTE(AQ1066,".",""))=2,LEFT(AQ1066,vitri(".",AQ1066,2)-1),TRUE,LEFT(AQ1066,vitri(".",AQ1066,1)-1))</f>
        <v/>
      </c>
    </row>
    <row r="1067" spans="13:54" x14ac:dyDescent="0.25">
      <c r="M1067" s="379"/>
      <c r="BB1067" s="206" t="str">
        <f t="array" ref="BB1067">_xlfn.IFS(AQ1067="","",LEN(AQ1067)-LEN(SUBSTITUTE(AQ1067,".",""))=3,LEFT(AQ1067,vitri(".",AQ1067,3)-1),LEN(AQ1067)-LEN(SUBSTITUTE(AQ1067,".",""))=2,LEFT(AQ1067,vitri(".",AQ1067,2)-1),TRUE,LEFT(AQ1067,vitri(".",AQ1067,1)-1))</f>
        <v/>
      </c>
    </row>
    <row r="1068" spans="13:54" x14ac:dyDescent="0.25">
      <c r="M1068" s="379"/>
      <c r="BB1068" s="206" t="str">
        <f t="array" ref="BB1068">_xlfn.IFS(AQ1068="","",LEN(AQ1068)-LEN(SUBSTITUTE(AQ1068,".",""))=3,LEFT(AQ1068,vitri(".",AQ1068,3)-1),LEN(AQ1068)-LEN(SUBSTITUTE(AQ1068,".",""))=2,LEFT(AQ1068,vitri(".",AQ1068,2)-1),TRUE,LEFT(AQ1068,vitri(".",AQ1068,1)-1))</f>
        <v/>
      </c>
    </row>
    <row r="1069" spans="13:54" x14ac:dyDescent="0.25">
      <c r="M1069" s="379"/>
      <c r="BB1069" s="206" t="str">
        <f t="array" ref="BB1069">_xlfn.IFS(AQ1069="","",LEN(AQ1069)-LEN(SUBSTITUTE(AQ1069,".",""))=3,LEFT(AQ1069,vitri(".",AQ1069,3)-1),LEN(AQ1069)-LEN(SUBSTITUTE(AQ1069,".",""))=2,LEFT(AQ1069,vitri(".",AQ1069,2)-1),TRUE,LEFT(AQ1069,vitri(".",AQ1069,1)-1))</f>
        <v/>
      </c>
    </row>
    <row r="1070" spans="13:54" x14ac:dyDescent="0.25">
      <c r="M1070" s="379"/>
      <c r="BB1070" s="206" t="str">
        <f t="array" ref="BB1070">_xlfn.IFS(AQ1070="","",LEN(AQ1070)-LEN(SUBSTITUTE(AQ1070,".",""))=3,LEFT(AQ1070,vitri(".",AQ1070,3)-1),LEN(AQ1070)-LEN(SUBSTITUTE(AQ1070,".",""))=2,LEFT(AQ1070,vitri(".",AQ1070,2)-1),TRUE,LEFT(AQ1070,vitri(".",AQ1070,1)-1))</f>
        <v/>
      </c>
    </row>
    <row r="1071" spans="13:54" x14ac:dyDescent="0.25">
      <c r="M1071" s="379"/>
      <c r="BB1071" s="206" t="str">
        <f t="array" ref="BB1071">_xlfn.IFS(AQ1071="","",LEN(AQ1071)-LEN(SUBSTITUTE(AQ1071,".",""))=3,LEFT(AQ1071,vitri(".",AQ1071,3)-1),LEN(AQ1071)-LEN(SUBSTITUTE(AQ1071,".",""))=2,LEFT(AQ1071,vitri(".",AQ1071,2)-1),TRUE,LEFT(AQ1071,vitri(".",AQ1071,1)-1))</f>
        <v/>
      </c>
    </row>
    <row r="1072" spans="13:54" x14ac:dyDescent="0.25">
      <c r="M1072" s="379"/>
      <c r="BB1072" s="206" t="str">
        <f t="array" ref="BB1072">_xlfn.IFS(AQ1072="","",LEN(AQ1072)-LEN(SUBSTITUTE(AQ1072,".",""))=3,LEFT(AQ1072,vitri(".",AQ1072,3)-1),LEN(AQ1072)-LEN(SUBSTITUTE(AQ1072,".",""))=2,LEFT(AQ1072,vitri(".",AQ1072,2)-1),TRUE,LEFT(AQ1072,vitri(".",AQ1072,1)-1))</f>
        <v/>
      </c>
    </row>
    <row r="1073" spans="13:54" x14ac:dyDescent="0.25">
      <c r="M1073" s="379"/>
      <c r="BB1073" s="206" t="str">
        <f t="array" ref="BB1073">_xlfn.IFS(AQ1073="","",LEN(AQ1073)-LEN(SUBSTITUTE(AQ1073,".",""))=3,LEFT(AQ1073,vitri(".",AQ1073,3)-1),LEN(AQ1073)-LEN(SUBSTITUTE(AQ1073,".",""))=2,LEFT(AQ1073,vitri(".",AQ1073,2)-1),TRUE,LEFT(AQ1073,vitri(".",AQ1073,1)-1))</f>
        <v/>
      </c>
    </row>
    <row r="1074" spans="13:54" x14ac:dyDescent="0.25">
      <c r="M1074" s="379"/>
      <c r="BB1074" s="206" t="str">
        <f t="array" ref="BB1074">_xlfn.IFS(AQ1074="","",LEN(AQ1074)-LEN(SUBSTITUTE(AQ1074,".",""))=3,LEFT(AQ1074,vitri(".",AQ1074,3)-1),LEN(AQ1074)-LEN(SUBSTITUTE(AQ1074,".",""))=2,LEFT(AQ1074,vitri(".",AQ1074,2)-1),TRUE,LEFT(AQ1074,vitri(".",AQ1074,1)-1))</f>
        <v/>
      </c>
    </row>
    <row r="1075" spans="13:54" x14ac:dyDescent="0.25">
      <c r="M1075" s="379"/>
      <c r="BB1075" s="206" t="str">
        <f t="array" ref="BB1075">_xlfn.IFS(AQ1075="","",LEN(AQ1075)-LEN(SUBSTITUTE(AQ1075,".",""))=3,LEFT(AQ1075,vitri(".",AQ1075,3)-1),LEN(AQ1075)-LEN(SUBSTITUTE(AQ1075,".",""))=2,LEFT(AQ1075,vitri(".",AQ1075,2)-1),TRUE,LEFT(AQ1075,vitri(".",AQ1075,1)-1))</f>
        <v/>
      </c>
    </row>
    <row r="1076" spans="13:54" x14ac:dyDescent="0.25">
      <c r="M1076" s="379"/>
      <c r="BB1076" s="206" t="str">
        <f t="array" ref="BB1076">_xlfn.IFS(AQ1076="","",LEN(AQ1076)-LEN(SUBSTITUTE(AQ1076,".",""))=3,LEFT(AQ1076,vitri(".",AQ1076,3)-1),LEN(AQ1076)-LEN(SUBSTITUTE(AQ1076,".",""))=2,LEFT(AQ1076,vitri(".",AQ1076,2)-1),TRUE,LEFT(AQ1076,vitri(".",AQ1076,1)-1))</f>
        <v/>
      </c>
    </row>
    <row r="1077" spans="13:54" x14ac:dyDescent="0.25">
      <c r="M1077" s="379"/>
      <c r="BB1077" s="206" t="str">
        <f t="array" ref="BB1077">_xlfn.IFS(AQ1077="","",LEN(AQ1077)-LEN(SUBSTITUTE(AQ1077,".",""))=3,LEFT(AQ1077,vitri(".",AQ1077,3)-1),LEN(AQ1077)-LEN(SUBSTITUTE(AQ1077,".",""))=2,LEFT(AQ1077,vitri(".",AQ1077,2)-1),TRUE,LEFT(AQ1077,vitri(".",AQ1077,1)-1))</f>
        <v/>
      </c>
    </row>
    <row r="1078" spans="13:54" x14ac:dyDescent="0.25">
      <c r="M1078" s="379"/>
      <c r="BB1078" s="206" t="str">
        <f t="array" ref="BB1078">_xlfn.IFS(AQ1078="","",LEN(AQ1078)-LEN(SUBSTITUTE(AQ1078,".",""))=3,LEFT(AQ1078,vitri(".",AQ1078,3)-1),LEN(AQ1078)-LEN(SUBSTITUTE(AQ1078,".",""))=2,LEFT(AQ1078,vitri(".",AQ1078,2)-1),TRUE,LEFT(AQ1078,vitri(".",AQ1078,1)-1))</f>
        <v/>
      </c>
    </row>
    <row r="1079" spans="13:54" x14ac:dyDescent="0.25">
      <c r="M1079" s="379"/>
      <c r="BB1079" s="206" t="str">
        <f t="array" ref="BB1079">_xlfn.IFS(AQ1079="","",LEN(AQ1079)-LEN(SUBSTITUTE(AQ1079,".",""))=3,LEFT(AQ1079,vitri(".",AQ1079,3)-1),LEN(AQ1079)-LEN(SUBSTITUTE(AQ1079,".",""))=2,LEFT(AQ1079,vitri(".",AQ1079,2)-1),TRUE,LEFT(AQ1079,vitri(".",AQ1079,1)-1))</f>
        <v/>
      </c>
    </row>
    <row r="1080" spans="13:54" x14ac:dyDescent="0.25">
      <c r="M1080" s="379"/>
      <c r="BB1080" s="206" t="str">
        <f t="array" ref="BB1080">_xlfn.IFS(AQ1080="","",LEN(AQ1080)-LEN(SUBSTITUTE(AQ1080,".",""))=3,LEFT(AQ1080,vitri(".",AQ1080,3)-1),LEN(AQ1080)-LEN(SUBSTITUTE(AQ1080,".",""))=2,LEFT(AQ1080,vitri(".",AQ1080,2)-1),TRUE,LEFT(AQ1080,vitri(".",AQ1080,1)-1))</f>
        <v/>
      </c>
    </row>
    <row r="1081" spans="13:54" x14ac:dyDescent="0.25">
      <c r="M1081" s="379"/>
      <c r="BB1081" s="206" t="str">
        <f t="array" ref="BB1081">_xlfn.IFS(AQ1081="","",LEN(AQ1081)-LEN(SUBSTITUTE(AQ1081,".",""))=3,LEFT(AQ1081,vitri(".",AQ1081,3)-1),LEN(AQ1081)-LEN(SUBSTITUTE(AQ1081,".",""))=2,LEFT(AQ1081,vitri(".",AQ1081,2)-1),TRUE,LEFT(AQ1081,vitri(".",AQ1081,1)-1))</f>
        <v/>
      </c>
    </row>
    <row r="1082" spans="13:54" x14ac:dyDescent="0.25">
      <c r="M1082" s="379"/>
      <c r="BB1082" s="206" t="str">
        <f t="array" ref="BB1082">_xlfn.IFS(AQ1082="","",LEN(AQ1082)-LEN(SUBSTITUTE(AQ1082,".",""))=3,LEFT(AQ1082,vitri(".",AQ1082,3)-1),LEN(AQ1082)-LEN(SUBSTITUTE(AQ1082,".",""))=2,LEFT(AQ1082,vitri(".",AQ1082,2)-1),TRUE,LEFT(AQ1082,vitri(".",AQ1082,1)-1))</f>
        <v/>
      </c>
    </row>
    <row r="1083" spans="13:54" x14ac:dyDescent="0.25">
      <c r="M1083" s="379"/>
      <c r="BB1083" s="206" t="str">
        <f t="array" ref="BB1083">_xlfn.IFS(AQ1083="","",LEN(AQ1083)-LEN(SUBSTITUTE(AQ1083,".",""))=3,LEFT(AQ1083,vitri(".",AQ1083,3)-1),LEN(AQ1083)-LEN(SUBSTITUTE(AQ1083,".",""))=2,LEFT(AQ1083,vitri(".",AQ1083,2)-1),TRUE,LEFT(AQ1083,vitri(".",AQ1083,1)-1))</f>
        <v/>
      </c>
    </row>
    <row r="1084" spans="13:54" x14ac:dyDescent="0.25">
      <c r="M1084" s="379"/>
      <c r="BB1084" s="206" t="str">
        <f t="array" ref="BB1084">_xlfn.IFS(AQ1084="","",LEN(AQ1084)-LEN(SUBSTITUTE(AQ1084,".",""))=3,LEFT(AQ1084,vitri(".",AQ1084,3)-1),LEN(AQ1084)-LEN(SUBSTITUTE(AQ1084,".",""))=2,LEFT(AQ1084,vitri(".",AQ1084,2)-1),TRUE,LEFT(AQ1084,vitri(".",AQ1084,1)-1))</f>
        <v/>
      </c>
    </row>
    <row r="1085" spans="13:54" x14ac:dyDescent="0.25">
      <c r="M1085" s="379"/>
      <c r="BB1085" s="206" t="str">
        <f t="array" ref="BB1085">_xlfn.IFS(AQ1085="","",LEN(AQ1085)-LEN(SUBSTITUTE(AQ1085,".",""))=3,LEFT(AQ1085,vitri(".",AQ1085,3)-1),LEN(AQ1085)-LEN(SUBSTITUTE(AQ1085,".",""))=2,LEFT(AQ1085,vitri(".",AQ1085,2)-1),TRUE,LEFT(AQ1085,vitri(".",AQ1085,1)-1))</f>
        <v/>
      </c>
    </row>
    <row r="1086" spans="13:54" x14ac:dyDescent="0.25">
      <c r="M1086" s="379"/>
      <c r="BB1086" s="206" t="str">
        <f t="array" ref="BB1086">_xlfn.IFS(AQ1086="","",LEN(AQ1086)-LEN(SUBSTITUTE(AQ1086,".",""))=3,LEFT(AQ1086,vitri(".",AQ1086,3)-1),LEN(AQ1086)-LEN(SUBSTITUTE(AQ1086,".",""))=2,LEFT(AQ1086,vitri(".",AQ1086,2)-1),TRUE,LEFT(AQ1086,vitri(".",AQ1086,1)-1))</f>
        <v/>
      </c>
    </row>
    <row r="1087" spans="13:54" x14ac:dyDescent="0.25">
      <c r="M1087" s="379"/>
      <c r="BB1087" s="206" t="str">
        <f t="array" ref="BB1087">_xlfn.IFS(AQ1087="","",LEN(AQ1087)-LEN(SUBSTITUTE(AQ1087,".",""))=3,LEFT(AQ1087,vitri(".",AQ1087,3)-1),LEN(AQ1087)-LEN(SUBSTITUTE(AQ1087,".",""))=2,LEFT(AQ1087,vitri(".",AQ1087,2)-1),TRUE,LEFT(AQ1087,vitri(".",AQ1087,1)-1))</f>
        <v/>
      </c>
    </row>
    <row r="1088" spans="13:54" x14ac:dyDescent="0.25">
      <c r="M1088" s="379"/>
      <c r="BB1088" s="206" t="str">
        <f t="array" ref="BB1088">_xlfn.IFS(AQ1088="","",LEN(AQ1088)-LEN(SUBSTITUTE(AQ1088,".",""))=3,LEFT(AQ1088,vitri(".",AQ1088,3)-1),LEN(AQ1088)-LEN(SUBSTITUTE(AQ1088,".",""))=2,LEFT(AQ1088,vitri(".",AQ1088,2)-1),TRUE,LEFT(AQ1088,vitri(".",AQ1088,1)-1))</f>
        <v/>
      </c>
    </row>
    <row r="1089" spans="13:54" x14ac:dyDescent="0.25">
      <c r="M1089" s="379"/>
      <c r="BB1089" s="206" t="str">
        <f t="array" ref="BB1089">_xlfn.IFS(AQ1089="","",LEN(AQ1089)-LEN(SUBSTITUTE(AQ1089,".",""))=3,LEFT(AQ1089,vitri(".",AQ1089,3)-1),LEN(AQ1089)-LEN(SUBSTITUTE(AQ1089,".",""))=2,LEFT(AQ1089,vitri(".",AQ1089,2)-1),TRUE,LEFT(AQ1089,vitri(".",AQ1089,1)-1))</f>
        <v/>
      </c>
    </row>
    <row r="1090" spans="13:54" x14ac:dyDescent="0.25">
      <c r="M1090" s="379"/>
      <c r="BB1090" s="206" t="str">
        <f t="array" ref="BB1090">_xlfn.IFS(AQ1090="","",LEN(AQ1090)-LEN(SUBSTITUTE(AQ1090,".",""))=3,LEFT(AQ1090,vitri(".",AQ1090,3)-1),LEN(AQ1090)-LEN(SUBSTITUTE(AQ1090,".",""))=2,LEFT(AQ1090,vitri(".",AQ1090,2)-1),TRUE,LEFT(AQ1090,vitri(".",AQ1090,1)-1))</f>
        <v/>
      </c>
    </row>
    <row r="1091" spans="13:54" x14ac:dyDescent="0.25">
      <c r="M1091" s="379"/>
      <c r="BB1091" s="206" t="str">
        <f t="array" ref="BB1091">_xlfn.IFS(AQ1091="","",LEN(AQ1091)-LEN(SUBSTITUTE(AQ1091,".",""))=3,LEFT(AQ1091,vitri(".",AQ1091,3)-1),LEN(AQ1091)-LEN(SUBSTITUTE(AQ1091,".",""))=2,LEFT(AQ1091,vitri(".",AQ1091,2)-1),TRUE,LEFT(AQ1091,vitri(".",AQ1091,1)-1))</f>
        <v/>
      </c>
    </row>
    <row r="1092" spans="13:54" x14ac:dyDescent="0.25">
      <c r="M1092" s="379"/>
      <c r="BB1092" s="206" t="str">
        <f t="array" ref="BB1092">_xlfn.IFS(AQ1092="","",LEN(AQ1092)-LEN(SUBSTITUTE(AQ1092,".",""))=3,LEFT(AQ1092,vitri(".",AQ1092,3)-1),LEN(AQ1092)-LEN(SUBSTITUTE(AQ1092,".",""))=2,LEFT(AQ1092,vitri(".",AQ1092,2)-1),TRUE,LEFT(AQ1092,vitri(".",AQ1092,1)-1))</f>
        <v/>
      </c>
    </row>
    <row r="1093" spans="13:54" x14ac:dyDescent="0.25">
      <c r="M1093" s="379"/>
      <c r="BB1093" s="206" t="str">
        <f t="array" ref="BB1093">_xlfn.IFS(AQ1093="","",LEN(AQ1093)-LEN(SUBSTITUTE(AQ1093,".",""))=3,LEFT(AQ1093,vitri(".",AQ1093,3)-1),LEN(AQ1093)-LEN(SUBSTITUTE(AQ1093,".",""))=2,LEFT(AQ1093,vitri(".",AQ1093,2)-1),TRUE,LEFT(AQ1093,vitri(".",AQ1093,1)-1))</f>
        <v/>
      </c>
    </row>
    <row r="1094" spans="13:54" x14ac:dyDescent="0.25">
      <c r="M1094" s="379"/>
      <c r="BB1094" s="206" t="str">
        <f t="array" ref="BB1094">_xlfn.IFS(AQ1094="","",LEN(AQ1094)-LEN(SUBSTITUTE(AQ1094,".",""))=3,LEFT(AQ1094,vitri(".",AQ1094,3)-1),LEN(AQ1094)-LEN(SUBSTITUTE(AQ1094,".",""))=2,LEFT(AQ1094,vitri(".",AQ1094,2)-1),TRUE,LEFT(AQ1094,vitri(".",AQ1094,1)-1))</f>
        <v/>
      </c>
    </row>
    <row r="1095" spans="13:54" x14ac:dyDescent="0.25">
      <c r="M1095" s="379"/>
      <c r="BB1095" s="206" t="str">
        <f t="array" ref="BB1095">_xlfn.IFS(AQ1095="","",LEN(AQ1095)-LEN(SUBSTITUTE(AQ1095,".",""))=3,LEFT(AQ1095,vitri(".",AQ1095,3)-1),LEN(AQ1095)-LEN(SUBSTITUTE(AQ1095,".",""))=2,LEFT(AQ1095,vitri(".",AQ1095,2)-1),TRUE,LEFT(AQ1095,vitri(".",AQ1095,1)-1))</f>
        <v/>
      </c>
    </row>
    <row r="1096" spans="13:54" x14ac:dyDescent="0.25">
      <c r="M1096" s="379"/>
      <c r="BB1096" s="206" t="str">
        <f t="array" ref="BB1096">_xlfn.IFS(AQ1096="","",LEN(AQ1096)-LEN(SUBSTITUTE(AQ1096,".",""))=3,LEFT(AQ1096,vitri(".",AQ1096,3)-1),LEN(AQ1096)-LEN(SUBSTITUTE(AQ1096,".",""))=2,LEFT(AQ1096,vitri(".",AQ1096,2)-1),TRUE,LEFT(AQ1096,vitri(".",AQ1096,1)-1))</f>
        <v/>
      </c>
    </row>
    <row r="1097" spans="13:54" x14ac:dyDescent="0.25">
      <c r="M1097" s="379"/>
      <c r="BB1097" s="206" t="str">
        <f t="array" ref="BB1097">_xlfn.IFS(AQ1097="","",LEN(AQ1097)-LEN(SUBSTITUTE(AQ1097,".",""))=3,LEFT(AQ1097,vitri(".",AQ1097,3)-1),LEN(AQ1097)-LEN(SUBSTITUTE(AQ1097,".",""))=2,LEFT(AQ1097,vitri(".",AQ1097,2)-1),TRUE,LEFT(AQ1097,vitri(".",AQ1097,1)-1))</f>
        <v/>
      </c>
    </row>
    <row r="1098" spans="13:54" x14ac:dyDescent="0.25">
      <c r="M1098" s="379"/>
      <c r="BB1098" s="206" t="str">
        <f t="array" ref="BB1098">_xlfn.IFS(AQ1098="","",LEN(AQ1098)-LEN(SUBSTITUTE(AQ1098,".",""))=3,LEFT(AQ1098,vitri(".",AQ1098,3)-1),LEN(AQ1098)-LEN(SUBSTITUTE(AQ1098,".",""))=2,LEFT(AQ1098,vitri(".",AQ1098,2)-1),TRUE,LEFT(AQ1098,vitri(".",AQ1098,1)-1))</f>
        <v/>
      </c>
    </row>
    <row r="1099" spans="13:54" x14ac:dyDescent="0.25">
      <c r="M1099" s="379"/>
      <c r="BB1099" s="206" t="str">
        <f t="array" ref="BB1099">_xlfn.IFS(AQ1099="","",LEN(AQ1099)-LEN(SUBSTITUTE(AQ1099,".",""))=3,LEFT(AQ1099,vitri(".",AQ1099,3)-1),LEN(AQ1099)-LEN(SUBSTITUTE(AQ1099,".",""))=2,LEFT(AQ1099,vitri(".",AQ1099,2)-1),TRUE,LEFT(AQ1099,vitri(".",AQ1099,1)-1))</f>
        <v/>
      </c>
    </row>
    <row r="1100" spans="13:54" x14ac:dyDescent="0.25">
      <c r="M1100" s="379"/>
      <c r="BB1100" s="206" t="str">
        <f t="array" ref="BB1100">_xlfn.IFS(AQ1100="","",LEN(AQ1100)-LEN(SUBSTITUTE(AQ1100,".",""))=3,LEFT(AQ1100,vitri(".",AQ1100,3)-1),LEN(AQ1100)-LEN(SUBSTITUTE(AQ1100,".",""))=2,LEFT(AQ1100,vitri(".",AQ1100,2)-1),TRUE,LEFT(AQ1100,vitri(".",AQ1100,1)-1))</f>
        <v/>
      </c>
    </row>
    <row r="1101" spans="13:54" x14ac:dyDescent="0.25">
      <c r="M1101" s="379"/>
      <c r="BB1101" s="206" t="str">
        <f t="array" ref="BB1101">_xlfn.IFS(AQ1101="","",LEN(AQ1101)-LEN(SUBSTITUTE(AQ1101,".",""))=3,LEFT(AQ1101,vitri(".",AQ1101,3)-1),LEN(AQ1101)-LEN(SUBSTITUTE(AQ1101,".",""))=2,LEFT(AQ1101,vitri(".",AQ1101,2)-1),TRUE,LEFT(AQ1101,vitri(".",AQ1101,1)-1))</f>
        <v/>
      </c>
    </row>
    <row r="1102" spans="13:54" x14ac:dyDescent="0.25">
      <c r="M1102" s="379"/>
      <c r="BB1102" s="206" t="str">
        <f t="array" ref="BB1102">_xlfn.IFS(AQ1102="","",LEN(AQ1102)-LEN(SUBSTITUTE(AQ1102,".",""))=3,LEFT(AQ1102,vitri(".",AQ1102,3)-1),LEN(AQ1102)-LEN(SUBSTITUTE(AQ1102,".",""))=2,LEFT(AQ1102,vitri(".",AQ1102,2)-1),TRUE,LEFT(AQ1102,vitri(".",AQ1102,1)-1))</f>
        <v/>
      </c>
    </row>
    <row r="1103" spans="13:54" x14ac:dyDescent="0.25">
      <c r="M1103" s="379"/>
      <c r="BB1103" s="206" t="str">
        <f t="array" ref="BB1103">_xlfn.IFS(AQ1103="","",LEN(AQ1103)-LEN(SUBSTITUTE(AQ1103,".",""))=3,LEFT(AQ1103,vitri(".",AQ1103,3)-1),LEN(AQ1103)-LEN(SUBSTITUTE(AQ1103,".",""))=2,LEFT(AQ1103,vitri(".",AQ1103,2)-1),TRUE,LEFT(AQ1103,vitri(".",AQ1103,1)-1))</f>
        <v/>
      </c>
    </row>
    <row r="1104" spans="13:54" x14ac:dyDescent="0.25">
      <c r="M1104" s="379"/>
      <c r="BB1104" s="206" t="str">
        <f t="array" ref="BB1104">_xlfn.IFS(AQ1104="","",LEN(AQ1104)-LEN(SUBSTITUTE(AQ1104,".",""))=3,LEFT(AQ1104,vitri(".",AQ1104,3)-1),LEN(AQ1104)-LEN(SUBSTITUTE(AQ1104,".",""))=2,LEFT(AQ1104,vitri(".",AQ1104,2)-1),TRUE,LEFT(AQ1104,vitri(".",AQ1104,1)-1))</f>
        <v/>
      </c>
    </row>
    <row r="1105" spans="13:54" x14ac:dyDescent="0.25">
      <c r="M1105" s="379"/>
      <c r="BB1105" s="206" t="str">
        <f t="array" ref="BB1105">_xlfn.IFS(AQ1105="","",LEN(AQ1105)-LEN(SUBSTITUTE(AQ1105,".",""))=3,LEFT(AQ1105,vitri(".",AQ1105,3)-1),LEN(AQ1105)-LEN(SUBSTITUTE(AQ1105,".",""))=2,LEFT(AQ1105,vitri(".",AQ1105,2)-1),TRUE,LEFT(AQ1105,vitri(".",AQ1105,1)-1))</f>
        <v/>
      </c>
    </row>
    <row r="1106" spans="13:54" x14ac:dyDescent="0.25">
      <c r="M1106" s="379"/>
      <c r="BB1106" s="206" t="str">
        <f t="array" ref="BB1106">_xlfn.IFS(AQ1106="","",LEN(AQ1106)-LEN(SUBSTITUTE(AQ1106,".",""))=3,LEFT(AQ1106,vitri(".",AQ1106,3)-1),LEN(AQ1106)-LEN(SUBSTITUTE(AQ1106,".",""))=2,LEFT(AQ1106,vitri(".",AQ1106,2)-1),TRUE,LEFT(AQ1106,vitri(".",AQ1106,1)-1))</f>
        <v/>
      </c>
    </row>
    <row r="1107" spans="13:54" x14ac:dyDescent="0.25">
      <c r="M1107" s="379"/>
      <c r="BB1107" s="206" t="str">
        <f t="array" ref="BB1107">_xlfn.IFS(AQ1107="","",LEN(AQ1107)-LEN(SUBSTITUTE(AQ1107,".",""))=3,LEFT(AQ1107,vitri(".",AQ1107,3)-1),LEN(AQ1107)-LEN(SUBSTITUTE(AQ1107,".",""))=2,LEFT(AQ1107,vitri(".",AQ1107,2)-1),TRUE,LEFT(AQ1107,vitri(".",AQ1107,1)-1))</f>
        <v/>
      </c>
    </row>
    <row r="1108" spans="13:54" x14ac:dyDescent="0.25">
      <c r="M1108" s="379"/>
      <c r="BB1108" s="206" t="str">
        <f t="array" ref="BB1108">_xlfn.IFS(AQ1108="","",LEN(AQ1108)-LEN(SUBSTITUTE(AQ1108,".",""))=3,LEFT(AQ1108,vitri(".",AQ1108,3)-1),LEN(AQ1108)-LEN(SUBSTITUTE(AQ1108,".",""))=2,LEFT(AQ1108,vitri(".",AQ1108,2)-1),TRUE,LEFT(AQ1108,vitri(".",AQ1108,1)-1))</f>
        <v/>
      </c>
    </row>
    <row r="1109" spans="13:54" x14ac:dyDescent="0.25">
      <c r="M1109" s="379"/>
      <c r="BB1109" s="206" t="str">
        <f t="array" ref="BB1109">_xlfn.IFS(AQ1109="","",LEN(AQ1109)-LEN(SUBSTITUTE(AQ1109,".",""))=3,LEFT(AQ1109,vitri(".",AQ1109,3)-1),LEN(AQ1109)-LEN(SUBSTITUTE(AQ1109,".",""))=2,LEFT(AQ1109,vitri(".",AQ1109,2)-1),TRUE,LEFT(AQ1109,vitri(".",AQ1109,1)-1))</f>
        <v/>
      </c>
    </row>
    <row r="1110" spans="13:54" x14ac:dyDescent="0.25">
      <c r="M1110" s="379"/>
      <c r="BB1110" s="206" t="str">
        <f t="array" ref="BB1110">_xlfn.IFS(AQ1110="","",LEN(AQ1110)-LEN(SUBSTITUTE(AQ1110,".",""))=3,LEFT(AQ1110,vitri(".",AQ1110,3)-1),LEN(AQ1110)-LEN(SUBSTITUTE(AQ1110,".",""))=2,LEFT(AQ1110,vitri(".",AQ1110,2)-1),TRUE,LEFT(AQ1110,vitri(".",AQ1110,1)-1))</f>
        <v/>
      </c>
    </row>
    <row r="1111" spans="13:54" x14ac:dyDescent="0.25">
      <c r="M1111" s="379"/>
      <c r="BB1111" s="206" t="str">
        <f t="array" ref="BB1111">_xlfn.IFS(AQ1111="","",LEN(AQ1111)-LEN(SUBSTITUTE(AQ1111,".",""))=3,LEFT(AQ1111,vitri(".",AQ1111,3)-1),LEN(AQ1111)-LEN(SUBSTITUTE(AQ1111,".",""))=2,LEFT(AQ1111,vitri(".",AQ1111,2)-1),TRUE,LEFT(AQ1111,vitri(".",AQ1111,1)-1))</f>
        <v/>
      </c>
    </row>
    <row r="1112" spans="13:54" x14ac:dyDescent="0.25">
      <c r="M1112" s="379"/>
      <c r="BB1112" s="206" t="str">
        <f t="array" ref="BB1112">_xlfn.IFS(AQ1112="","",LEN(AQ1112)-LEN(SUBSTITUTE(AQ1112,".",""))=3,LEFT(AQ1112,vitri(".",AQ1112,3)-1),LEN(AQ1112)-LEN(SUBSTITUTE(AQ1112,".",""))=2,LEFT(AQ1112,vitri(".",AQ1112,2)-1),TRUE,LEFT(AQ1112,vitri(".",AQ1112,1)-1))</f>
        <v/>
      </c>
    </row>
    <row r="1113" spans="13:54" x14ac:dyDescent="0.25">
      <c r="M1113" s="379"/>
      <c r="BB1113" s="206" t="str">
        <f t="array" ref="BB1113">_xlfn.IFS(AQ1113="","",LEN(AQ1113)-LEN(SUBSTITUTE(AQ1113,".",""))=3,LEFT(AQ1113,vitri(".",AQ1113,3)-1),LEN(AQ1113)-LEN(SUBSTITUTE(AQ1113,".",""))=2,LEFT(AQ1113,vitri(".",AQ1113,2)-1),TRUE,LEFT(AQ1113,vitri(".",AQ1113,1)-1))</f>
        <v/>
      </c>
    </row>
    <row r="1114" spans="13:54" x14ac:dyDescent="0.25">
      <c r="M1114" s="379"/>
      <c r="BB1114" s="206" t="str">
        <f t="array" ref="BB1114">_xlfn.IFS(AQ1114="","",LEN(AQ1114)-LEN(SUBSTITUTE(AQ1114,".",""))=3,LEFT(AQ1114,vitri(".",AQ1114,3)-1),LEN(AQ1114)-LEN(SUBSTITUTE(AQ1114,".",""))=2,LEFT(AQ1114,vitri(".",AQ1114,2)-1),TRUE,LEFT(AQ1114,vitri(".",AQ1114,1)-1))</f>
        <v/>
      </c>
    </row>
    <row r="1115" spans="13:54" x14ac:dyDescent="0.25">
      <c r="M1115" s="379"/>
      <c r="BB1115" s="206" t="str">
        <f t="array" ref="BB1115">_xlfn.IFS(AQ1115="","",LEN(AQ1115)-LEN(SUBSTITUTE(AQ1115,".",""))=3,LEFT(AQ1115,vitri(".",AQ1115,3)-1),LEN(AQ1115)-LEN(SUBSTITUTE(AQ1115,".",""))=2,LEFT(AQ1115,vitri(".",AQ1115,2)-1),TRUE,LEFT(AQ1115,vitri(".",AQ1115,1)-1))</f>
        <v/>
      </c>
    </row>
    <row r="1116" spans="13:54" x14ac:dyDescent="0.25">
      <c r="M1116" s="379"/>
      <c r="BB1116" s="206" t="str">
        <f t="array" ref="BB1116">_xlfn.IFS(AQ1116="","",LEN(AQ1116)-LEN(SUBSTITUTE(AQ1116,".",""))=3,LEFT(AQ1116,vitri(".",AQ1116,3)-1),LEN(AQ1116)-LEN(SUBSTITUTE(AQ1116,".",""))=2,LEFT(AQ1116,vitri(".",AQ1116,2)-1),TRUE,LEFT(AQ1116,vitri(".",AQ1116,1)-1))</f>
        <v/>
      </c>
    </row>
    <row r="1117" spans="13:54" x14ac:dyDescent="0.25">
      <c r="M1117" s="379"/>
      <c r="BB1117" s="206" t="str">
        <f t="array" ref="BB1117">_xlfn.IFS(AQ1117="","",LEN(AQ1117)-LEN(SUBSTITUTE(AQ1117,".",""))=3,LEFT(AQ1117,vitri(".",AQ1117,3)-1),LEN(AQ1117)-LEN(SUBSTITUTE(AQ1117,".",""))=2,LEFT(AQ1117,vitri(".",AQ1117,2)-1),TRUE,LEFT(AQ1117,vitri(".",AQ1117,1)-1))</f>
        <v/>
      </c>
    </row>
    <row r="1118" spans="13:54" x14ac:dyDescent="0.25">
      <c r="M1118" s="379"/>
      <c r="BB1118" s="206" t="str">
        <f t="array" ref="BB1118">_xlfn.IFS(AQ1118="","",LEN(AQ1118)-LEN(SUBSTITUTE(AQ1118,".",""))=3,LEFT(AQ1118,vitri(".",AQ1118,3)-1),LEN(AQ1118)-LEN(SUBSTITUTE(AQ1118,".",""))=2,LEFT(AQ1118,vitri(".",AQ1118,2)-1),TRUE,LEFT(AQ1118,vitri(".",AQ1118,1)-1))</f>
        <v/>
      </c>
    </row>
    <row r="1119" spans="13:54" x14ac:dyDescent="0.25">
      <c r="M1119" s="379"/>
      <c r="BB1119" s="206" t="str">
        <f t="array" ref="BB1119">_xlfn.IFS(AQ1119="","",LEN(AQ1119)-LEN(SUBSTITUTE(AQ1119,".",""))=3,LEFT(AQ1119,vitri(".",AQ1119,3)-1),LEN(AQ1119)-LEN(SUBSTITUTE(AQ1119,".",""))=2,LEFT(AQ1119,vitri(".",AQ1119,2)-1),TRUE,LEFT(AQ1119,vitri(".",AQ1119,1)-1))</f>
        <v/>
      </c>
    </row>
    <row r="1120" spans="13:54" x14ac:dyDescent="0.25">
      <c r="M1120" s="379"/>
      <c r="BB1120" s="206" t="str">
        <f t="array" ref="BB1120">_xlfn.IFS(AQ1120="","",LEN(AQ1120)-LEN(SUBSTITUTE(AQ1120,".",""))=3,LEFT(AQ1120,vitri(".",AQ1120,3)-1),LEN(AQ1120)-LEN(SUBSTITUTE(AQ1120,".",""))=2,LEFT(AQ1120,vitri(".",AQ1120,2)-1),TRUE,LEFT(AQ1120,vitri(".",AQ1120,1)-1))</f>
        <v/>
      </c>
    </row>
    <row r="1121" spans="13:54" x14ac:dyDescent="0.25">
      <c r="M1121" s="379"/>
      <c r="BB1121" s="206" t="str">
        <f t="array" ref="BB1121">_xlfn.IFS(AQ1121="","",LEN(AQ1121)-LEN(SUBSTITUTE(AQ1121,".",""))=3,LEFT(AQ1121,vitri(".",AQ1121,3)-1),LEN(AQ1121)-LEN(SUBSTITUTE(AQ1121,".",""))=2,LEFT(AQ1121,vitri(".",AQ1121,2)-1),TRUE,LEFT(AQ1121,vitri(".",AQ1121,1)-1))</f>
        <v/>
      </c>
    </row>
    <row r="1122" spans="13:54" x14ac:dyDescent="0.25">
      <c r="M1122" s="379"/>
      <c r="BB1122" s="206" t="str">
        <f t="array" ref="BB1122">_xlfn.IFS(AQ1122="","",LEN(AQ1122)-LEN(SUBSTITUTE(AQ1122,".",""))=3,LEFT(AQ1122,vitri(".",AQ1122,3)-1),LEN(AQ1122)-LEN(SUBSTITUTE(AQ1122,".",""))=2,LEFT(AQ1122,vitri(".",AQ1122,2)-1),TRUE,LEFT(AQ1122,vitri(".",AQ1122,1)-1))</f>
        <v/>
      </c>
    </row>
    <row r="1123" spans="13:54" x14ac:dyDescent="0.25">
      <c r="M1123" s="379"/>
      <c r="BB1123" s="206" t="str">
        <f t="array" ref="BB1123">_xlfn.IFS(AQ1123="","",LEN(AQ1123)-LEN(SUBSTITUTE(AQ1123,".",""))=3,LEFT(AQ1123,vitri(".",AQ1123,3)-1),LEN(AQ1123)-LEN(SUBSTITUTE(AQ1123,".",""))=2,LEFT(AQ1123,vitri(".",AQ1123,2)-1),TRUE,LEFT(AQ1123,vitri(".",AQ1123,1)-1))</f>
        <v/>
      </c>
    </row>
    <row r="1124" spans="13:54" x14ac:dyDescent="0.25">
      <c r="M1124" s="379"/>
      <c r="BB1124" s="206" t="str">
        <f t="array" ref="BB1124">_xlfn.IFS(AQ1124="","",LEN(AQ1124)-LEN(SUBSTITUTE(AQ1124,".",""))=3,LEFT(AQ1124,vitri(".",AQ1124,3)-1),LEN(AQ1124)-LEN(SUBSTITUTE(AQ1124,".",""))=2,LEFT(AQ1124,vitri(".",AQ1124,2)-1),TRUE,LEFT(AQ1124,vitri(".",AQ1124,1)-1))</f>
        <v/>
      </c>
    </row>
    <row r="1125" spans="13:54" x14ac:dyDescent="0.25">
      <c r="M1125" s="379"/>
      <c r="BB1125" s="206" t="str">
        <f t="array" ref="BB1125">_xlfn.IFS(AQ1125="","",LEN(AQ1125)-LEN(SUBSTITUTE(AQ1125,".",""))=3,LEFT(AQ1125,vitri(".",AQ1125,3)-1),LEN(AQ1125)-LEN(SUBSTITUTE(AQ1125,".",""))=2,LEFT(AQ1125,vitri(".",AQ1125,2)-1),TRUE,LEFT(AQ1125,vitri(".",AQ1125,1)-1))</f>
        <v/>
      </c>
    </row>
    <row r="1126" spans="13:54" x14ac:dyDescent="0.25">
      <c r="M1126" s="379"/>
      <c r="BB1126" s="206" t="str">
        <f t="array" ref="BB1126">_xlfn.IFS(AQ1126="","",LEN(AQ1126)-LEN(SUBSTITUTE(AQ1126,".",""))=3,LEFT(AQ1126,vitri(".",AQ1126,3)-1),LEN(AQ1126)-LEN(SUBSTITUTE(AQ1126,".",""))=2,LEFT(AQ1126,vitri(".",AQ1126,2)-1),TRUE,LEFT(AQ1126,vitri(".",AQ1126,1)-1))</f>
        <v/>
      </c>
    </row>
    <row r="1127" spans="13:54" x14ac:dyDescent="0.25">
      <c r="M1127" s="379"/>
      <c r="BB1127" s="206" t="str">
        <f t="array" ref="BB1127">_xlfn.IFS(AQ1127="","",LEN(AQ1127)-LEN(SUBSTITUTE(AQ1127,".",""))=3,LEFT(AQ1127,vitri(".",AQ1127,3)-1),LEN(AQ1127)-LEN(SUBSTITUTE(AQ1127,".",""))=2,LEFT(AQ1127,vitri(".",AQ1127,2)-1),TRUE,LEFT(AQ1127,vitri(".",AQ1127,1)-1))</f>
        <v/>
      </c>
    </row>
    <row r="1128" spans="13:54" x14ac:dyDescent="0.25">
      <c r="M1128" s="379"/>
      <c r="BB1128" s="206" t="str">
        <f t="array" ref="BB1128">_xlfn.IFS(AQ1128="","",LEN(AQ1128)-LEN(SUBSTITUTE(AQ1128,".",""))=3,LEFT(AQ1128,vitri(".",AQ1128,3)-1),LEN(AQ1128)-LEN(SUBSTITUTE(AQ1128,".",""))=2,LEFT(AQ1128,vitri(".",AQ1128,2)-1),TRUE,LEFT(AQ1128,vitri(".",AQ1128,1)-1))</f>
        <v/>
      </c>
    </row>
    <row r="1129" spans="13:54" x14ac:dyDescent="0.25">
      <c r="M1129" s="379"/>
      <c r="BB1129" s="206" t="str">
        <f t="array" ref="BB1129">_xlfn.IFS(AQ1129="","",LEN(AQ1129)-LEN(SUBSTITUTE(AQ1129,".",""))=3,LEFT(AQ1129,vitri(".",AQ1129,3)-1),LEN(AQ1129)-LEN(SUBSTITUTE(AQ1129,".",""))=2,LEFT(AQ1129,vitri(".",AQ1129,2)-1),TRUE,LEFT(AQ1129,vitri(".",AQ1129,1)-1))</f>
        <v/>
      </c>
    </row>
    <row r="1130" spans="13:54" x14ac:dyDescent="0.25">
      <c r="M1130" s="379"/>
      <c r="BB1130" s="206" t="str">
        <f t="array" ref="BB1130">_xlfn.IFS(AQ1130="","",LEN(AQ1130)-LEN(SUBSTITUTE(AQ1130,".",""))=3,LEFT(AQ1130,vitri(".",AQ1130,3)-1),LEN(AQ1130)-LEN(SUBSTITUTE(AQ1130,".",""))=2,LEFT(AQ1130,vitri(".",AQ1130,2)-1),TRUE,LEFT(AQ1130,vitri(".",AQ1130,1)-1))</f>
        <v/>
      </c>
    </row>
    <row r="1131" spans="13:54" x14ac:dyDescent="0.25">
      <c r="M1131" s="379"/>
      <c r="BB1131" s="206" t="str">
        <f t="array" ref="BB1131">_xlfn.IFS(AQ1131="","",LEN(AQ1131)-LEN(SUBSTITUTE(AQ1131,".",""))=3,LEFT(AQ1131,vitri(".",AQ1131,3)-1),LEN(AQ1131)-LEN(SUBSTITUTE(AQ1131,".",""))=2,LEFT(AQ1131,vitri(".",AQ1131,2)-1),TRUE,LEFT(AQ1131,vitri(".",AQ1131,1)-1))</f>
        <v/>
      </c>
    </row>
    <row r="1132" spans="13:54" x14ac:dyDescent="0.25">
      <c r="M1132" s="379"/>
      <c r="BB1132" s="206" t="str">
        <f t="array" ref="BB1132">_xlfn.IFS(AQ1132="","",LEN(AQ1132)-LEN(SUBSTITUTE(AQ1132,".",""))=3,LEFT(AQ1132,vitri(".",AQ1132,3)-1),LEN(AQ1132)-LEN(SUBSTITUTE(AQ1132,".",""))=2,LEFT(AQ1132,vitri(".",AQ1132,2)-1),TRUE,LEFT(AQ1132,vitri(".",AQ1132,1)-1))</f>
        <v/>
      </c>
    </row>
    <row r="1133" spans="13:54" x14ac:dyDescent="0.25">
      <c r="M1133" s="379"/>
      <c r="BB1133" s="206" t="str">
        <f t="array" ref="BB1133">_xlfn.IFS(AQ1133="","",LEN(AQ1133)-LEN(SUBSTITUTE(AQ1133,".",""))=3,LEFT(AQ1133,vitri(".",AQ1133,3)-1),LEN(AQ1133)-LEN(SUBSTITUTE(AQ1133,".",""))=2,LEFT(AQ1133,vitri(".",AQ1133,2)-1),TRUE,LEFT(AQ1133,vitri(".",AQ1133,1)-1))</f>
        <v/>
      </c>
    </row>
    <row r="1134" spans="13:54" x14ac:dyDescent="0.25">
      <c r="M1134" s="379"/>
      <c r="BB1134" s="206" t="str">
        <f t="array" ref="BB1134">_xlfn.IFS(AQ1134="","",LEN(AQ1134)-LEN(SUBSTITUTE(AQ1134,".",""))=3,LEFT(AQ1134,vitri(".",AQ1134,3)-1),LEN(AQ1134)-LEN(SUBSTITUTE(AQ1134,".",""))=2,LEFT(AQ1134,vitri(".",AQ1134,2)-1),TRUE,LEFT(AQ1134,vitri(".",AQ1134,1)-1))</f>
        <v/>
      </c>
    </row>
    <row r="1135" spans="13:54" x14ac:dyDescent="0.25">
      <c r="M1135" s="379"/>
      <c r="BB1135" s="206" t="str">
        <f t="array" ref="BB1135">_xlfn.IFS(AQ1135="","",LEN(AQ1135)-LEN(SUBSTITUTE(AQ1135,".",""))=3,LEFT(AQ1135,vitri(".",AQ1135,3)-1),LEN(AQ1135)-LEN(SUBSTITUTE(AQ1135,".",""))=2,LEFT(AQ1135,vitri(".",AQ1135,2)-1),TRUE,LEFT(AQ1135,vitri(".",AQ1135,1)-1))</f>
        <v/>
      </c>
    </row>
    <row r="1136" spans="13:54" x14ac:dyDescent="0.25">
      <c r="M1136" s="379"/>
      <c r="BB1136" s="206" t="str">
        <f t="array" ref="BB1136">_xlfn.IFS(AQ1136="","",LEN(AQ1136)-LEN(SUBSTITUTE(AQ1136,".",""))=3,LEFT(AQ1136,vitri(".",AQ1136,3)-1),LEN(AQ1136)-LEN(SUBSTITUTE(AQ1136,".",""))=2,LEFT(AQ1136,vitri(".",AQ1136,2)-1),TRUE,LEFT(AQ1136,vitri(".",AQ1136,1)-1))</f>
        <v/>
      </c>
    </row>
    <row r="1137" spans="13:54" x14ac:dyDescent="0.25">
      <c r="M1137" s="379"/>
      <c r="BB1137" s="206" t="str">
        <f t="array" ref="BB1137">_xlfn.IFS(AQ1137="","",LEN(AQ1137)-LEN(SUBSTITUTE(AQ1137,".",""))=3,LEFT(AQ1137,vitri(".",AQ1137,3)-1),LEN(AQ1137)-LEN(SUBSTITUTE(AQ1137,".",""))=2,LEFT(AQ1137,vitri(".",AQ1137,2)-1),TRUE,LEFT(AQ1137,vitri(".",AQ1137,1)-1))</f>
        <v/>
      </c>
    </row>
    <row r="1138" spans="13:54" x14ac:dyDescent="0.25">
      <c r="M1138" s="379"/>
      <c r="BB1138" s="206" t="str">
        <f t="array" ref="BB1138">_xlfn.IFS(AQ1138="","",LEN(AQ1138)-LEN(SUBSTITUTE(AQ1138,".",""))=3,LEFT(AQ1138,vitri(".",AQ1138,3)-1),LEN(AQ1138)-LEN(SUBSTITUTE(AQ1138,".",""))=2,LEFT(AQ1138,vitri(".",AQ1138,2)-1),TRUE,LEFT(AQ1138,vitri(".",AQ1138,1)-1))</f>
        <v/>
      </c>
    </row>
    <row r="1139" spans="13:54" x14ac:dyDescent="0.25">
      <c r="M1139" s="379"/>
      <c r="BB1139" s="206" t="str">
        <f t="array" ref="BB1139">_xlfn.IFS(AQ1139="","",LEN(AQ1139)-LEN(SUBSTITUTE(AQ1139,".",""))=3,LEFT(AQ1139,vitri(".",AQ1139,3)-1),LEN(AQ1139)-LEN(SUBSTITUTE(AQ1139,".",""))=2,LEFT(AQ1139,vitri(".",AQ1139,2)-1),TRUE,LEFT(AQ1139,vitri(".",AQ1139,1)-1))</f>
        <v/>
      </c>
    </row>
    <row r="1140" spans="13:54" x14ac:dyDescent="0.25">
      <c r="M1140" s="379"/>
      <c r="BB1140" s="206" t="str">
        <f t="array" ref="BB1140">_xlfn.IFS(AQ1140="","",LEN(AQ1140)-LEN(SUBSTITUTE(AQ1140,".",""))=3,LEFT(AQ1140,vitri(".",AQ1140,3)-1),LEN(AQ1140)-LEN(SUBSTITUTE(AQ1140,".",""))=2,LEFT(AQ1140,vitri(".",AQ1140,2)-1),TRUE,LEFT(AQ1140,vitri(".",AQ1140,1)-1))</f>
        <v/>
      </c>
    </row>
    <row r="1141" spans="13:54" x14ac:dyDescent="0.25">
      <c r="M1141" s="379"/>
      <c r="BB1141" s="206" t="str">
        <f t="array" ref="BB1141">_xlfn.IFS(AQ1141="","",LEN(AQ1141)-LEN(SUBSTITUTE(AQ1141,".",""))=3,LEFT(AQ1141,vitri(".",AQ1141,3)-1),LEN(AQ1141)-LEN(SUBSTITUTE(AQ1141,".",""))=2,LEFT(AQ1141,vitri(".",AQ1141,2)-1),TRUE,LEFT(AQ1141,vitri(".",AQ1141,1)-1))</f>
        <v/>
      </c>
    </row>
    <row r="1142" spans="13:54" x14ac:dyDescent="0.25">
      <c r="M1142" s="379"/>
      <c r="BB1142" s="206" t="str">
        <f t="array" ref="BB1142">_xlfn.IFS(AQ1142="","",LEN(AQ1142)-LEN(SUBSTITUTE(AQ1142,".",""))=3,LEFT(AQ1142,vitri(".",AQ1142,3)-1),LEN(AQ1142)-LEN(SUBSTITUTE(AQ1142,".",""))=2,LEFT(AQ1142,vitri(".",AQ1142,2)-1),TRUE,LEFT(AQ1142,vitri(".",AQ1142,1)-1))</f>
        <v/>
      </c>
    </row>
    <row r="1143" spans="13:54" x14ac:dyDescent="0.25">
      <c r="M1143" s="379"/>
      <c r="BB1143" s="206" t="str">
        <f t="array" ref="BB1143">_xlfn.IFS(AQ1143="","",LEN(AQ1143)-LEN(SUBSTITUTE(AQ1143,".",""))=3,LEFT(AQ1143,vitri(".",AQ1143,3)-1),LEN(AQ1143)-LEN(SUBSTITUTE(AQ1143,".",""))=2,LEFT(AQ1143,vitri(".",AQ1143,2)-1),TRUE,LEFT(AQ1143,vitri(".",AQ1143,1)-1))</f>
        <v/>
      </c>
    </row>
    <row r="1144" spans="13:54" x14ac:dyDescent="0.25">
      <c r="M1144" s="379"/>
      <c r="BB1144" s="206" t="str">
        <f t="array" ref="BB1144">_xlfn.IFS(AQ1144="","",LEN(AQ1144)-LEN(SUBSTITUTE(AQ1144,".",""))=3,LEFT(AQ1144,vitri(".",AQ1144,3)-1),LEN(AQ1144)-LEN(SUBSTITUTE(AQ1144,".",""))=2,LEFT(AQ1144,vitri(".",AQ1144,2)-1),TRUE,LEFT(AQ1144,vitri(".",AQ1144,1)-1))</f>
        <v/>
      </c>
    </row>
    <row r="1145" spans="13:54" x14ac:dyDescent="0.25">
      <c r="M1145" s="379"/>
      <c r="BB1145" s="206" t="str">
        <f t="array" ref="BB1145">_xlfn.IFS(AQ1145="","",LEN(AQ1145)-LEN(SUBSTITUTE(AQ1145,".",""))=3,LEFT(AQ1145,vitri(".",AQ1145,3)-1),LEN(AQ1145)-LEN(SUBSTITUTE(AQ1145,".",""))=2,LEFT(AQ1145,vitri(".",AQ1145,2)-1),TRUE,LEFT(AQ1145,vitri(".",AQ1145,1)-1))</f>
        <v/>
      </c>
    </row>
    <row r="1146" spans="13:54" x14ac:dyDescent="0.25">
      <c r="M1146" s="379"/>
      <c r="BB1146" s="206" t="str">
        <f t="array" ref="BB1146">_xlfn.IFS(AQ1146="","",LEN(AQ1146)-LEN(SUBSTITUTE(AQ1146,".",""))=3,LEFT(AQ1146,vitri(".",AQ1146,3)-1),LEN(AQ1146)-LEN(SUBSTITUTE(AQ1146,".",""))=2,LEFT(AQ1146,vitri(".",AQ1146,2)-1),TRUE,LEFT(AQ1146,vitri(".",AQ1146,1)-1))</f>
        <v/>
      </c>
    </row>
    <row r="1147" spans="13:54" x14ac:dyDescent="0.25">
      <c r="M1147" s="379"/>
      <c r="BB1147" s="206" t="str">
        <f t="array" ref="BB1147">_xlfn.IFS(AQ1147="","",LEN(AQ1147)-LEN(SUBSTITUTE(AQ1147,".",""))=3,LEFT(AQ1147,vitri(".",AQ1147,3)-1),LEN(AQ1147)-LEN(SUBSTITUTE(AQ1147,".",""))=2,LEFT(AQ1147,vitri(".",AQ1147,2)-1),TRUE,LEFT(AQ1147,vitri(".",AQ1147,1)-1))</f>
        <v/>
      </c>
    </row>
    <row r="1148" spans="13:54" x14ac:dyDescent="0.25">
      <c r="M1148" s="379"/>
      <c r="BB1148" s="206" t="str">
        <f t="array" ref="BB1148">_xlfn.IFS(AQ1148="","",LEN(AQ1148)-LEN(SUBSTITUTE(AQ1148,".",""))=3,LEFT(AQ1148,vitri(".",AQ1148,3)-1),LEN(AQ1148)-LEN(SUBSTITUTE(AQ1148,".",""))=2,LEFT(AQ1148,vitri(".",AQ1148,2)-1),TRUE,LEFT(AQ1148,vitri(".",AQ1148,1)-1))</f>
        <v/>
      </c>
    </row>
    <row r="1149" spans="13:54" x14ac:dyDescent="0.25">
      <c r="M1149" s="379"/>
      <c r="BB1149" s="206" t="str">
        <f t="array" ref="BB1149">_xlfn.IFS(AQ1149="","",LEN(AQ1149)-LEN(SUBSTITUTE(AQ1149,".",""))=3,LEFT(AQ1149,vitri(".",AQ1149,3)-1),LEN(AQ1149)-LEN(SUBSTITUTE(AQ1149,".",""))=2,LEFT(AQ1149,vitri(".",AQ1149,2)-1),TRUE,LEFT(AQ1149,vitri(".",AQ1149,1)-1))</f>
        <v/>
      </c>
    </row>
    <row r="1150" spans="13:54" x14ac:dyDescent="0.25">
      <c r="M1150" s="379"/>
      <c r="BB1150" s="206" t="str">
        <f t="array" ref="BB1150">_xlfn.IFS(AQ1150="","",LEN(AQ1150)-LEN(SUBSTITUTE(AQ1150,".",""))=3,LEFT(AQ1150,vitri(".",AQ1150,3)-1),LEN(AQ1150)-LEN(SUBSTITUTE(AQ1150,".",""))=2,LEFT(AQ1150,vitri(".",AQ1150,2)-1),TRUE,LEFT(AQ1150,vitri(".",AQ1150,1)-1))</f>
        <v/>
      </c>
    </row>
    <row r="1151" spans="13:54" x14ac:dyDescent="0.25">
      <c r="M1151" s="379"/>
      <c r="BB1151" s="206" t="str">
        <f t="array" ref="BB1151">_xlfn.IFS(AQ1151="","",LEN(AQ1151)-LEN(SUBSTITUTE(AQ1151,".",""))=3,LEFT(AQ1151,vitri(".",AQ1151,3)-1),LEN(AQ1151)-LEN(SUBSTITUTE(AQ1151,".",""))=2,LEFT(AQ1151,vitri(".",AQ1151,2)-1),TRUE,LEFT(AQ1151,vitri(".",AQ1151,1)-1))</f>
        <v/>
      </c>
    </row>
    <row r="1152" spans="13:54" x14ac:dyDescent="0.25">
      <c r="M1152" s="379"/>
      <c r="BB1152" s="206" t="str">
        <f t="array" ref="BB1152">_xlfn.IFS(AQ1152="","",LEN(AQ1152)-LEN(SUBSTITUTE(AQ1152,".",""))=3,LEFT(AQ1152,vitri(".",AQ1152,3)-1),LEN(AQ1152)-LEN(SUBSTITUTE(AQ1152,".",""))=2,LEFT(AQ1152,vitri(".",AQ1152,2)-1),TRUE,LEFT(AQ1152,vitri(".",AQ1152,1)-1))</f>
        <v/>
      </c>
    </row>
    <row r="1153" spans="13:54" x14ac:dyDescent="0.25">
      <c r="M1153" s="379"/>
      <c r="BB1153" s="206" t="str">
        <f t="array" ref="BB1153">_xlfn.IFS(AQ1153="","",LEN(AQ1153)-LEN(SUBSTITUTE(AQ1153,".",""))=3,LEFT(AQ1153,vitri(".",AQ1153,3)-1),LEN(AQ1153)-LEN(SUBSTITUTE(AQ1153,".",""))=2,LEFT(AQ1153,vitri(".",AQ1153,2)-1),TRUE,LEFT(AQ1153,vitri(".",AQ1153,1)-1))</f>
        <v/>
      </c>
    </row>
    <row r="1154" spans="13:54" x14ac:dyDescent="0.25">
      <c r="M1154" s="379"/>
      <c r="BB1154" s="206" t="str">
        <f t="array" ref="BB1154">_xlfn.IFS(AQ1154="","",LEN(AQ1154)-LEN(SUBSTITUTE(AQ1154,".",""))=3,LEFT(AQ1154,vitri(".",AQ1154,3)-1),LEN(AQ1154)-LEN(SUBSTITUTE(AQ1154,".",""))=2,LEFT(AQ1154,vitri(".",AQ1154,2)-1),TRUE,LEFT(AQ1154,vitri(".",AQ1154,1)-1))</f>
        <v/>
      </c>
    </row>
    <row r="1155" spans="13:54" x14ac:dyDescent="0.25">
      <c r="M1155" s="379"/>
      <c r="BB1155" s="206" t="str">
        <f t="array" ref="BB1155">_xlfn.IFS(AQ1155="","",LEN(AQ1155)-LEN(SUBSTITUTE(AQ1155,".",""))=3,LEFT(AQ1155,vitri(".",AQ1155,3)-1),LEN(AQ1155)-LEN(SUBSTITUTE(AQ1155,".",""))=2,LEFT(AQ1155,vitri(".",AQ1155,2)-1),TRUE,LEFT(AQ1155,vitri(".",AQ1155,1)-1))</f>
        <v/>
      </c>
    </row>
    <row r="1156" spans="13:54" x14ac:dyDescent="0.25">
      <c r="M1156" s="379"/>
      <c r="BB1156" s="206" t="str">
        <f t="array" ref="BB1156">_xlfn.IFS(AQ1156="","",LEN(AQ1156)-LEN(SUBSTITUTE(AQ1156,".",""))=3,LEFT(AQ1156,vitri(".",AQ1156,3)-1),LEN(AQ1156)-LEN(SUBSTITUTE(AQ1156,".",""))=2,LEFT(AQ1156,vitri(".",AQ1156,2)-1),TRUE,LEFT(AQ1156,vitri(".",AQ1156,1)-1))</f>
        <v/>
      </c>
    </row>
    <row r="1157" spans="13:54" x14ac:dyDescent="0.25">
      <c r="M1157" s="379"/>
      <c r="BB1157" s="206" t="str">
        <f t="array" ref="BB1157">_xlfn.IFS(AQ1157="","",LEN(AQ1157)-LEN(SUBSTITUTE(AQ1157,".",""))=3,LEFT(AQ1157,vitri(".",AQ1157,3)-1),LEN(AQ1157)-LEN(SUBSTITUTE(AQ1157,".",""))=2,LEFT(AQ1157,vitri(".",AQ1157,2)-1),TRUE,LEFT(AQ1157,vitri(".",AQ1157,1)-1))</f>
        <v/>
      </c>
    </row>
    <row r="1158" spans="13:54" x14ac:dyDescent="0.25">
      <c r="M1158" s="379"/>
      <c r="BB1158" s="206" t="str">
        <f t="array" ref="BB1158">_xlfn.IFS(AQ1158="","",LEN(AQ1158)-LEN(SUBSTITUTE(AQ1158,".",""))=3,LEFT(AQ1158,vitri(".",AQ1158,3)-1),LEN(AQ1158)-LEN(SUBSTITUTE(AQ1158,".",""))=2,LEFT(AQ1158,vitri(".",AQ1158,2)-1),TRUE,LEFT(AQ1158,vitri(".",AQ1158,1)-1))</f>
        <v/>
      </c>
    </row>
    <row r="1159" spans="13:54" x14ac:dyDescent="0.25">
      <c r="M1159" s="379"/>
      <c r="BB1159" s="206" t="str">
        <f t="array" ref="BB1159">_xlfn.IFS(AQ1159="","",LEN(AQ1159)-LEN(SUBSTITUTE(AQ1159,".",""))=3,LEFT(AQ1159,vitri(".",AQ1159,3)-1),LEN(AQ1159)-LEN(SUBSTITUTE(AQ1159,".",""))=2,LEFT(AQ1159,vitri(".",AQ1159,2)-1),TRUE,LEFT(AQ1159,vitri(".",AQ1159,1)-1))</f>
        <v/>
      </c>
    </row>
    <row r="1160" spans="13:54" x14ac:dyDescent="0.25">
      <c r="M1160" s="379"/>
      <c r="BB1160" s="206" t="str">
        <f t="array" ref="BB1160">_xlfn.IFS(AQ1160="","",LEN(AQ1160)-LEN(SUBSTITUTE(AQ1160,".",""))=3,LEFT(AQ1160,vitri(".",AQ1160,3)-1),LEN(AQ1160)-LEN(SUBSTITUTE(AQ1160,".",""))=2,LEFT(AQ1160,vitri(".",AQ1160,2)-1),TRUE,LEFT(AQ1160,vitri(".",AQ1160,1)-1))</f>
        <v/>
      </c>
    </row>
    <row r="1161" spans="13:54" x14ac:dyDescent="0.25">
      <c r="M1161" s="379"/>
      <c r="BB1161" s="206" t="str">
        <f t="array" ref="BB1161">_xlfn.IFS(AQ1161="","",LEN(AQ1161)-LEN(SUBSTITUTE(AQ1161,".",""))=3,LEFT(AQ1161,vitri(".",AQ1161,3)-1),LEN(AQ1161)-LEN(SUBSTITUTE(AQ1161,".",""))=2,LEFT(AQ1161,vitri(".",AQ1161,2)-1),TRUE,LEFT(AQ1161,vitri(".",AQ1161,1)-1))</f>
        <v/>
      </c>
    </row>
    <row r="1162" spans="13:54" x14ac:dyDescent="0.25">
      <c r="M1162" s="379"/>
      <c r="BB1162" s="206" t="str">
        <f t="array" ref="BB1162">_xlfn.IFS(AQ1162="","",LEN(AQ1162)-LEN(SUBSTITUTE(AQ1162,".",""))=3,LEFT(AQ1162,vitri(".",AQ1162,3)-1),LEN(AQ1162)-LEN(SUBSTITUTE(AQ1162,".",""))=2,LEFT(AQ1162,vitri(".",AQ1162,2)-1),TRUE,LEFT(AQ1162,vitri(".",AQ1162,1)-1))</f>
        <v/>
      </c>
    </row>
    <row r="1163" spans="13:54" x14ac:dyDescent="0.25">
      <c r="M1163" s="379"/>
      <c r="BB1163" s="206" t="str">
        <f t="array" ref="BB1163">_xlfn.IFS(AQ1163="","",LEN(AQ1163)-LEN(SUBSTITUTE(AQ1163,".",""))=3,LEFT(AQ1163,vitri(".",AQ1163,3)-1),LEN(AQ1163)-LEN(SUBSTITUTE(AQ1163,".",""))=2,LEFT(AQ1163,vitri(".",AQ1163,2)-1),TRUE,LEFT(AQ1163,vitri(".",AQ1163,1)-1))</f>
        <v/>
      </c>
    </row>
    <row r="1164" spans="13:54" x14ac:dyDescent="0.25">
      <c r="M1164" s="379"/>
      <c r="BB1164" s="206" t="str">
        <f t="array" ref="BB1164">_xlfn.IFS(AQ1164="","",LEN(AQ1164)-LEN(SUBSTITUTE(AQ1164,".",""))=3,LEFT(AQ1164,vitri(".",AQ1164,3)-1),LEN(AQ1164)-LEN(SUBSTITUTE(AQ1164,".",""))=2,LEFT(AQ1164,vitri(".",AQ1164,2)-1),TRUE,LEFT(AQ1164,vitri(".",AQ1164,1)-1))</f>
        <v/>
      </c>
    </row>
    <row r="1165" spans="13:54" x14ac:dyDescent="0.25">
      <c r="M1165" s="379"/>
      <c r="BB1165" s="206" t="str">
        <f t="array" ref="BB1165">_xlfn.IFS(AQ1165="","",LEN(AQ1165)-LEN(SUBSTITUTE(AQ1165,".",""))=3,LEFT(AQ1165,vitri(".",AQ1165,3)-1),LEN(AQ1165)-LEN(SUBSTITUTE(AQ1165,".",""))=2,LEFT(AQ1165,vitri(".",AQ1165,2)-1),TRUE,LEFT(AQ1165,vitri(".",AQ1165,1)-1))</f>
        <v/>
      </c>
    </row>
    <row r="1166" spans="13:54" x14ac:dyDescent="0.25">
      <c r="M1166" s="379"/>
      <c r="BB1166" s="206" t="str">
        <f t="array" ref="BB1166">_xlfn.IFS(AQ1166="","",LEN(AQ1166)-LEN(SUBSTITUTE(AQ1166,".",""))=3,LEFT(AQ1166,vitri(".",AQ1166,3)-1),LEN(AQ1166)-LEN(SUBSTITUTE(AQ1166,".",""))=2,LEFT(AQ1166,vitri(".",AQ1166,2)-1),TRUE,LEFT(AQ1166,vitri(".",AQ1166,1)-1))</f>
        <v/>
      </c>
    </row>
    <row r="1167" spans="13:54" x14ac:dyDescent="0.25">
      <c r="M1167" s="379"/>
      <c r="BB1167" s="206" t="str">
        <f t="array" ref="BB1167">_xlfn.IFS(AQ1167="","",LEN(AQ1167)-LEN(SUBSTITUTE(AQ1167,".",""))=3,LEFT(AQ1167,vitri(".",AQ1167,3)-1),LEN(AQ1167)-LEN(SUBSTITUTE(AQ1167,".",""))=2,LEFT(AQ1167,vitri(".",AQ1167,2)-1),TRUE,LEFT(AQ1167,vitri(".",AQ1167,1)-1))</f>
        <v/>
      </c>
    </row>
    <row r="1168" spans="13:54" x14ac:dyDescent="0.25">
      <c r="M1168" s="379"/>
      <c r="BB1168" s="206" t="str">
        <f t="array" ref="BB1168">_xlfn.IFS(AQ1168="","",LEN(AQ1168)-LEN(SUBSTITUTE(AQ1168,".",""))=3,LEFT(AQ1168,vitri(".",AQ1168,3)-1),LEN(AQ1168)-LEN(SUBSTITUTE(AQ1168,".",""))=2,LEFT(AQ1168,vitri(".",AQ1168,2)-1),TRUE,LEFT(AQ1168,vitri(".",AQ1168,1)-1))</f>
        <v/>
      </c>
    </row>
    <row r="1169" spans="13:54" x14ac:dyDescent="0.25">
      <c r="M1169" s="379"/>
      <c r="BB1169" s="206" t="str">
        <f t="array" ref="BB1169">_xlfn.IFS(AQ1169="","",LEN(AQ1169)-LEN(SUBSTITUTE(AQ1169,".",""))=3,LEFT(AQ1169,vitri(".",AQ1169,3)-1),LEN(AQ1169)-LEN(SUBSTITUTE(AQ1169,".",""))=2,LEFT(AQ1169,vitri(".",AQ1169,2)-1),TRUE,LEFT(AQ1169,vitri(".",AQ1169,1)-1))</f>
        <v/>
      </c>
    </row>
    <row r="1170" spans="13:54" x14ac:dyDescent="0.25">
      <c r="M1170" s="379"/>
      <c r="BB1170" s="206" t="str">
        <f t="array" ref="BB1170">_xlfn.IFS(AQ1170="","",LEN(AQ1170)-LEN(SUBSTITUTE(AQ1170,".",""))=3,LEFT(AQ1170,vitri(".",AQ1170,3)-1),LEN(AQ1170)-LEN(SUBSTITUTE(AQ1170,".",""))=2,LEFT(AQ1170,vitri(".",AQ1170,2)-1),TRUE,LEFT(AQ1170,vitri(".",AQ1170,1)-1))</f>
        <v/>
      </c>
    </row>
    <row r="1171" spans="13:54" x14ac:dyDescent="0.25">
      <c r="M1171" s="379"/>
      <c r="BB1171" s="206" t="str">
        <f t="array" ref="BB1171">_xlfn.IFS(AQ1171="","",LEN(AQ1171)-LEN(SUBSTITUTE(AQ1171,".",""))=3,LEFT(AQ1171,vitri(".",AQ1171,3)-1),LEN(AQ1171)-LEN(SUBSTITUTE(AQ1171,".",""))=2,LEFT(AQ1171,vitri(".",AQ1171,2)-1),TRUE,LEFT(AQ1171,vitri(".",AQ1171,1)-1))</f>
        <v/>
      </c>
    </row>
    <row r="1172" spans="13:54" x14ac:dyDescent="0.25">
      <c r="M1172" s="379"/>
      <c r="BB1172" s="206" t="str">
        <f t="array" ref="BB1172">_xlfn.IFS(AQ1172="","",LEN(AQ1172)-LEN(SUBSTITUTE(AQ1172,".",""))=3,LEFT(AQ1172,vitri(".",AQ1172,3)-1),LEN(AQ1172)-LEN(SUBSTITUTE(AQ1172,".",""))=2,LEFT(AQ1172,vitri(".",AQ1172,2)-1),TRUE,LEFT(AQ1172,vitri(".",AQ1172,1)-1))</f>
        <v/>
      </c>
    </row>
    <row r="1173" spans="13:54" x14ac:dyDescent="0.25">
      <c r="M1173" s="379"/>
      <c r="BB1173" s="206" t="str">
        <f t="array" ref="BB1173">_xlfn.IFS(AQ1173="","",LEN(AQ1173)-LEN(SUBSTITUTE(AQ1173,".",""))=3,LEFT(AQ1173,vitri(".",AQ1173,3)-1),LEN(AQ1173)-LEN(SUBSTITUTE(AQ1173,".",""))=2,LEFT(AQ1173,vitri(".",AQ1173,2)-1),TRUE,LEFT(AQ1173,vitri(".",AQ1173,1)-1))</f>
        <v/>
      </c>
    </row>
    <row r="1174" spans="13:54" x14ac:dyDescent="0.25">
      <c r="M1174" s="379"/>
      <c r="BB1174" s="206" t="str">
        <f t="array" ref="BB1174">_xlfn.IFS(AQ1174="","",LEN(AQ1174)-LEN(SUBSTITUTE(AQ1174,".",""))=3,LEFT(AQ1174,vitri(".",AQ1174,3)-1),LEN(AQ1174)-LEN(SUBSTITUTE(AQ1174,".",""))=2,LEFT(AQ1174,vitri(".",AQ1174,2)-1),TRUE,LEFT(AQ1174,vitri(".",AQ1174,1)-1))</f>
        <v/>
      </c>
    </row>
    <row r="1175" spans="13:54" x14ac:dyDescent="0.25">
      <c r="M1175" s="379"/>
      <c r="BB1175" s="206" t="str">
        <f t="array" ref="BB1175">_xlfn.IFS(AQ1175="","",LEN(AQ1175)-LEN(SUBSTITUTE(AQ1175,".",""))=3,LEFT(AQ1175,vitri(".",AQ1175,3)-1),LEN(AQ1175)-LEN(SUBSTITUTE(AQ1175,".",""))=2,LEFT(AQ1175,vitri(".",AQ1175,2)-1),TRUE,LEFT(AQ1175,vitri(".",AQ1175,1)-1))</f>
        <v/>
      </c>
    </row>
    <row r="1176" spans="13:54" x14ac:dyDescent="0.25">
      <c r="M1176" s="379"/>
      <c r="BB1176" s="206" t="str">
        <f t="array" ref="BB1176">_xlfn.IFS(AQ1176="","",LEN(AQ1176)-LEN(SUBSTITUTE(AQ1176,".",""))=3,LEFT(AQ1176,vitri(".",AQ1176,3)-1),LEN(AQ1176)-LEN(SUBSTITUTE(AQ1176,".",""))=2,LEFT(AQ1176,vitri(".",AQ1176,2)-1),TRUE,LEFT(AQ1176,vitri(".",AQ1176,1)-1))</f>
        <v/>
      </c>
    </row>
    <row r="1177" spans="13:54" x14ac:dyDescent="0.25">
      <c r="M1177" s="379"/>
      <c r="BB1177" s="206" t="str">
        <f t="array" ref="BB1177">_xlfn.IFS(AQ1177="","",LEN(AQ1177)-LEN(SUBSTITUTE(AQ1177,".",""))=3,LEFT(AQ1177,vitri(".",AQ1177,3)-1),LEN(AQ1177)-LEN(SUBSTITUTE(AQ1177,".",""))=2,LEFT(AQ1177,vitri(".",AQ1177,2)-1),TRUE,LEFT(AQ1177,vitri(".",AQ1177,1)-1))</f>
        <v/>
      </c>
    </row>
    <row r="1178" spans="13:54" x14ac:dyDescent="0.25">
      <c r="M1178" s="379"/>
      <c r="BB1178" s="206" t="str">
        <f t="array" ref="BB1178">_xlfn.IFS(AQ1178="","",LEN(AQ1178)-LEN(SUBSTITUTE(AQ1178,".",""))=3,LEFT(AQ1178,vitri(".",AQ1178,3)-1),LEN(AQ1178)-LEN(SUBSTITUTE(AQ1178,".",""))=2,LEFT(AQ1178,vitri(".",AQ1178,2)-1),TRUE,LEFT(AQ1178,vitri(".",AQ1178,1)-1))</f>
        <v/>
      </c>
    </row>
    <row r="1179" spans="13:54" x14ac:dyDescent="0.25">
      <c r="M1179" s="379"/>
      <c r="BB1179" s="206" t="str">
        <f t="array" ref="BB1179">_xlfn.IFS(AQ1179="","",LEN(AQ1179)-LEN(SUBSTITUTE(AQ1179,".",""))=3,LEFT(AQ1179,vitri(".",AQ1179,3)-1),LEN(AQ1179)-LEN(SUBSTITUTE(AQ1179,".",""))=2,LEFT(AQ1179,vitri(".",AQ1179,2)-1),TRUE,LEFT(AQ1179,vitri(".",AQ1179,1)-1))</f>
        <v/>
      </c>
    </row>
    <row r="1180" spans="13:54" x14ac:dyDescent="0.25">
      <c r="M1180" s="379"/>
      <c r="BB1180" s="206" t="str">
        <f t="array" ref="BB1180">_xlfn.IFS(AQ1180="","",LEN(AQ1180)-LEN(SUBSTITUTE(AQ1180,".",""))=3,LEFT(AQ1180,vitri(".",AQ1180,3)-1),LEN(AQ1180)-LEN(SUBSTITUTE(AQ1180,".",""))=2,LEFT(AQ1180,vitri(".",AQ1180,2)-1),TRUE,LEFT(AQ1180,vitri(".",AQ1180,1)-1))</f>
        <v/>
      </c>
    </row>
    <row r="1181" spans="13:54" x14ac:dyDescent="0.25">
      <c r="M1181" s="379"/>
      <c r="BB1181" s="206" t="str">
        <f t="array" ref="BB1181">_xlfn.IFS(AQ1181="","",LEN(AQ1181)-LEN(SUBSTITUTE(AQ1181,".",""))=3,LEFT(AQ1181,vitri(".",AQ1181,3)-1),LEN(AQ1181)-LEN(SUBSTITUTE(AQ1181,".",""))=2,LEFT(AQ1181,vitri(".",AQ1181,2)-1),TRUE,LEFT(AQ1181,vitri(".",AQ1181,1)-1))</f>
        <v/>
      </c>
    </row>
    <row r="1182" spans="13:54" x14ac:dyDescent="0.25">
      <c r="M1182" s="379"/>
      <c r="BB1182" s="206" t="str">
        <f t="array" ref="BB1182">_xlfn.IFS(AQ1182="","",LEN(AQ1182)-LEN(SUBSTITUTE(AQ1182,".",""))=3,LEFT(AQ1182,vitri(".",AQ1182,3)-1),LEN(AQ1182)-LEN(SUBSTITUTE(AQ1182,".",""))=2,LEFT(AQ1182,vitri(".",AQ1182,2)-1),TRUE,LEFT(AQ1182,vitri(".",AQ1182,1)-1))</f>
        <v/>
      </c>
    </row>
    <row r="1183" spans="13:54" x14ac:dyDescent="0.25">
      <c r="M1183" s="379"/>
      <c r="BB1183" s="206" t="str">
        <f t="array" ref="BB1183">_xlfn.IFS(AQ1183="","",LEN(AQ1183)-LEN(SUBSTITUTE(AQ1183,".",""))=3,LEFT(AQ1183,vitri(".",AQ1183,3)-1),LEN(AQ1183)-LEN(SUBSTITUTE(AQ1183,".",""))=2,LEFT(AQ1183,vitri(".",AQ1183,2)-1),TRUE,LEFT(AQ1183,vitri(".",AQ1183,1)-1))</f>
        <v/>
      </c>
    </row>
    <row r="1184" spans="13:54" x14ac:dyDescent="0.25">
      <c r="M1184" s="379"/>
      <c r="BB1184" s="206" t="str">
        <f t="array" ref="BB1184">_xlfn.IFS(AQ1184="","",LEN(AQ1184)-LEN(SUBSTITUTE(AQ1184,".",""))=3,LEFT(AQ1184,vitri(".",AQ1184,3)-1),LEN(AQ1184)-LEN(SUBSTITUTE(AQ1184,".",""))=2,LEFT(AQ1184,vitri(".",AQ1184,2)-1),TRUE,LEFT(AQ1184,vitri(".",AQ1184,1)-1))</f>
        <v/>
      </c>
    </row>
    <row r="1185" spans="13:54" x14ac:dyDescent="0.25">
      <c r="M1185" s="379"/>
      <c r="BB1185" s="206" t="str">
        <f t="array" ref="BB1185">_xlfn.IFS(AQ1185="","",LEN(AQ1185)-LEN(SUBSTITUTE(AQ1185,".",""))=3,LEFT(AQ1185,vitri(".",AQ1185,3)-1),LEN(AQ1185)-LEN(SUBSTITUTE(AQ1185,".",""))=2,LEFT(AQ1185,vitri(".",AQ1185,2)-1),TRUE,LEFT(AQ1185,vitri(".",AQ1185,1)-1))</f>
        <v/>
      </c>
    </row>
    <row r="1186" spans="13:54" x14ac:dyDescent="0.25">
      <c r="M1186" s="379"/>
      <c r="BB1186" s="206" t="str">
        <f t="array" ref="BB1186">_xlfn.IFS(AQ1186="","",LEN(AQ1186)-LEN(SUBSTITUTE(AQ1186,".",""))=3,LEFT(AQ1186,vitri(".",AQ1186,3)-1),LEN(AQ1186)-LEN(SUBSTITUTE(AQ1186,".",""))=2,LEFT(AQ1186,vitri(".",AQ1186,2)-1),TRUE,LEFT(AQ1186,vitri(".",AQ1186,1)-1))</f>
        <v/>
      </c>
    </row>
    <row r="1187" spans="13:54" x14ac:dyDescent="0.25">
      <c r="M1187" s="379"/>
      <c r="BB1187" s="206" t="str">
        <f t="array" ref="BB1187">_xlfn.IFS(AQ1187="","",LEN(AQ1187)-LEN(SUBSTITUTE(AQ1187,".",""))=3,LEFT(AQ1187,vitri(".",AQ1187,3)-1),LEN(AQ1187)-LEN(SUBSTITUTE(AQ1187,".",""))=2,LEFT(AQ1187,vitri(".",AQ1187,2)-1),TRUE,LEFT(AQ1187,vitri(".",AQ1187,1)-1))</f>
        <v/>
      </c>
    </row>
    <row r="1188" spans="13:54" x14ac:dyDescent="0.25">
      <c r="M1188" s="379"/>
      <c r="BB1188" s="206" t="str">
        <f t="array" ref="BB1188">_xlfn.IFS(AQ1188="","",LEN(AQ1188)-LEN(SUBSTITUTE(AQ1188,".",""))=3,LEFT(AQ1188,vitri(".",AQ1188,3)-1),LEN(AQ1188)-LEN(SUBSTITUTE(AQ1188,".",""))=2,LEFT(AQ1188,vitri(".",AQ1188,2)-1),TRUE,LEFT(AQ1188,vitri(".",AQ1188,1)-1))</f>
        <v/>
      </c>
    </row>
    <row r="1189" spans="13:54" x14ac:dyDescent="0.25">
      <c r="M1189" s="379"/>
      <c r="BB1189" s="206" t="str">
        <f t="array" ref="BB1189">_xlfn.IFS(AQ1189="","",LEN(AQ1189)-LEN(SUBSTITUTE(AQ1189,".",""))=3,LEFT(AQ1189,vitri(".",AQ1189,3)-1),LEN(AQ1189)-LEN(SUBSTITUTE(AQ1189,".",""))=2,LEFT(AQ1189,vitri(".",AQ1189,2)-1),TRUE,LEFT(AQ1189,vitri(".",AQ1189,1)-1))</f>
        <v/>
      </c>
    </row>
    <row r="1190" spans="13:54" x14ac:dyDescent="0.25">
      <c r="M1190" s="379"/>
      <c r="BB1190" s="206" t="str">
        <f t="array" ref="BB1190">_xlfn.IFS(AQ1190="","",LEN(AQ1190)-LEN(SUBSTITUTE(AQ1190,".",""))=3,LEFT(AQ1190,vitri(".",AQ1190,3)-1),LEN(AQ1190)-LEN(SUBSTITUTE(AQ1190,".",""))=2,LEFT(AQ1190,vitri(".",AQ1190,2)-1),TRUE,LEFT(AQ1190,vitri(".",AQ1190,1)-1))</f>
        <v/>
      </c>
    </row>
    <row r="1191" spans="13:54" x14ac:dyDescent="0.25">
      <c r="M1191" s="379"/>
      <c r="BB1191" s="206" t="str">
        <f t="array" ref="BB1191">_xlfn.IFS(AQ1191="","",LEN(AQ1191)-LEN(SUBSTITUTE(AQ1191,".",""))=3,LEFT(AQ1191,vitri(".",AQ1191,3)-1),LEN(AQ1191)-LEN(SUBSTITUTE(AQ1191,".",""))=2,LEFT(AQ1191,vitri(".",AQ1191,2)-1),TRUE,LEFT(AQ1191,vitri(".",AQ1191,1)-1))</f>
        <v/>
      </c>
    </row>
    <row r="1192" spans="13:54" x14ac:dyDescent="0.25">
      <c r="M1192" s="379"/>
      <c r="BB1192" s="206" t="str">
        <f t="array" ref="BB1192">_xlfn.IFS(AQ1192="","",LEN(AQ1192)-LEN(SUBSTITUTE(AQ1192,".",""))=3,LEFT(AQ1192,vitri(".",AQ1192,3)-1),LEN(AQ1192)-LEN(SUBSTITUTE(AQ1192,".",""))=2,LEFT(AQ1192,vitri(".",AQ1192,2)-1),TRUE,LEFT(AQ1192,vitri(".",AQ1192,1)-1))</f>
        <v/>
      </c>
    </row>
    <row r="1193" spans="13:54" x14ac:dyDescent="0.25">
      <c r="M1193" s="379"/>
      <c r="BB1193" s="206" t="str">
        <f t="array" ref="BB1193">_xlfn.IFS(AQ1193="","",LEN(AQ1193)-LEN(SUBSTITUTE(AQ1193,".",""))=3,LEFT(AQ1193,vitri(".",AQ1193,3)-1),LEN(AQ1193)-LEN(SUBSTITUTE(AQ1193,".",""))=2,LEFT(AQ1193,vitri(".",AQ1193,2)-1),TRUE,LEFT(AQ1193,vitri(".",AQ1193,1)-1))</f>
        <v/>
      </c>
    </row>
    <row r="1194" spans="13:54" x14ac:dyDescent="0.25">
      <c r="M1194" s="379"/>
      <c r="BB1194" s="206" t="str">
        <f t="array" ref="BB1194">_xlfn.IFS(AQ1194="","",LEN(AQ1194)-LEN(SUBSTITUTE(AQ1194,".",""))=3,LEFT(AQ1194,vitri(".",AQ1194,3)-1),LEN(AQ1194)-LEN(SUBSTITUTE(AQ1194,".",""))=2,LEFT(AQ1194,vitri(".",AQ1194,2)-1),TRUE,LEFT(AQ1194,vitri(".",AQ1194,1)-1))</f>
        <v/>
      </c>
    </row>
    <row r="1195" spans="13:54" x14ac:dyDescent="0.25">
      <c r="M1195" s="379"/>
      <c r="BB1195" s="206" t="str">
        <f t="array" ref="BB1195">_xlfn.IFS(AQ1195="","",LEN(AQ1195)-LEN(SUBSTITUTE(AQ1195,".",""))=3,LEFT(AQ1195,vitri(".",AQ1195,3)-1),LEN(AQ1195)-LEN(SUBSTITUTE(AQ1195,".",""))=2,LEFT(AQ1195,vitri(".",AQ1195,2)-1),TRUE,LEFT(AQ1195,vitri(".",AQ1195,1)-1))</f>
        <v/>
      </c>
    </row>
    <row r="1196" spans="13:54" x14ac:dyDescent="0.25">
      <c r="M1196" s="379"/>
      <c r="BB1196" s="206" t="str">
        <f t="array" ref="BB1196">_xlfn.IFS(AQ1196="","",LEN(AQ1196)-LEN(SUBSTITUTE(AQ1196,".",""))=3,LEFT(AQ1196,vitri(".",AQ1196,3)-1),LEN(AQ1196)-LEN(SUBSTITUTE(AQ1196,".",""))=2,LEFT(AQ1196,vitri(".",AQ1196,2)-1),TRUE,LEFT(AQ1196,vitri(".",AQ1196,1)-1))</f>
        <v/>
      </c>
    </row>
    <row r="1197" spans="13:54" x14ac:dyDescent="0.25">
      <c r="M1197" s="379"/>
      <c r="BB1197" s="206" t="str">
        <f t="array" ref="BB1197">_xlfn.IFS(AQ1197="","",LEN(AQ1197)-LEN(SUBSTITUTE(AQ1197,".",""))=3,LEFT(AQ1197,vitri(".",AQ1197,3)-1),LEN(AQ1197)-LEN(SUBSTITUTE(AQ1197,".",""))=2,LEFT(AQ1197,vitri(".",AQ1197,2)-1),TRUE,LEFT(AQ1197,vitri(".",AQ1197,1)-1))</f>
        <v/>
      </c>
    </row>
    <row r="1198" spans="13:54" x14ac:dyDescent="0.25">
      <c r="M1198" s="379"/>
      <c r="BB1198" s="206" t="str">
        <f t="array" ref="BB1198">_xlfn.IFS(AQ1198="","",LEN(AQ1198)-LEN(SUBSTITUTE(AQ1198,".",""))=3,LEFT(AQ1198,vitri(".",AQ1198,3)-1),LEN(AQ1198)-LEN(SUBSTITUTE(AQ1198,".",""))=2,LEFT(AQ1198,vitri(".",AQ1198,2)-1),TRUE,LEFT(AQ1198,vitri(".",AQ1198,1)-1))</f>
        <v/>
      </c>
    </row>
    <row r="1199" spans="13:54" x14ac:dyDescent="0.25">
      <c r="M1199" s="379"/>
      <c r="BB1199" s="206" t="str">
        <f t="array" ref="BB1199">_xlfn.IFS(AQ1199="","",LEN(AQ1199)-LEN(SUBSTITUTE(AQ1199,".",""))=3,LEFT(AQ1199,vitri(".",AQ1199,3)-1),LEN(AQ1199)-LEN(SUBSTITUTE(AQ1199,".",""))=2,LEFT(AQ1199,vitri(".",AQ1199,2)-1),TRUE,LEFT(AQ1199,vitri(".",AQ1199,1)-1))</f>
        <v/>
      </c>
    </row>
    <row r="1200" spans="13:54" x14ac:dyDescent="0.25">
      <c r="M1200" s="379"/>
      <c r="BB1200" s="206" t="str">
        <f t="array" ref="BB1200">_xlfn.IFS(AQ1200="","",LEN(AQ1200)-LEN(SUBSTITUTE(AQ1200,".",""))=3,LEFT(AQ1200,vitri(".",AQ1200,3)-1),LEN(AQ1200)-LEN(SUBSTITUTE(AQ1200,".",""))=2,LEFT(AQ1200,vitri(".",AQ1200,2)-1),TRUE,LEFT(AQ1200,vitri(".",AQ1200,1)-1))</f>
        <v/>
      </c>
    </row>
    <row r="1201" spans="13:54" x14ac:dyDescent="0.25">
      <c r="M1201" s="379"/>
      <c r="BB1201" s="206" t="str">
        <f t="array" ref="BB1201">_xlfn.IFS(AQ1201="","",LEN(AQ1201)-LEN(SUBSTITUTE(AQ1201,".",""))=3,LEFT(AQ1201,vitri(".",AQ1201,3)-1),LEN(AQ1201)-LEN(SUBSTITUTE(AQ1201,".",""))=2,LEFT(AQ1201,vitri(".",AQ1201,2)-1),TRUE,LEFT(AQ1201,vitri(".",AQ1201,1)-1))</f>
        <v/>
      </c>
    </row>
    <row r="1202" spans="13:54" x14ac:dyDescent="0.25">
      <c r="M1202" s="379"/>
      <c r="BB1202" s="206" t="str">
        <f t="array" ref="BB1202">_xlfn.IFS(AQ1202="","",LEN(AQ1202)-LEN(SUBSTITUTE(AQ1202,".",""))=3,LEFT(AQ1202,vitri(".",AQ1202,3)-1),LEN(AQ1202)-LEN(SUBSTITUTE(AQ1202,".",""))=2,LEFT(AQ1202,vitri(".",AQ1202,2)-1),TRUE,LEFT(AQ1202,vitri(".",AQ1202,1)-1))</f>
        <v/>
      </c>
    </row>
    <row r="1203" spans="13:54" x14ac:dyDescent="0.25">
      <c r="M1203" s="379"/>
      <c r="BB1203" s="206" t="str">
        <f t="array" ref="BB1203">_xlfn.IFS(AQ1203="","",LEN(AQ1203)-LEN(SUBSTITUTE(AQ1203,".",""))=3,LEFT(AQ1203,vitri(".",AQ1203,3)-1),LEN(AQ1203)-LEN(SUBSTITUTE(AQ1203,".",""))=2,LEFT(AQ1203,vitri(".",AQ1203,2)-1),TRUE,LEFT(AQ1203,vitri(".",AQ1203,1)-1))</f>
        <v/>
      </c>
    </row>
    <row r="1204" spans="13:54" x14ac:dyDescent="0.25">
      <c r="M1204" s="379"/>
      <c r="BB1204" s="206" t="str">
        <f t="array" ref="BB1204">_xlfn.IFS(AQ1204="","",LEN(AQ1204)-LEN(SUBSTITUTE(AQ1204,".",""))=3,LEFT(AQ1204,vitri(".",AQ1204,3)-1),LEN(AQ1204)-LEN(SUBSTITUTE(AQ1204,".",""))=2,LEFT(AQ1204,vitri(".",AQ1204,2)-1),TRUE,LEFT(AQ1204,vitri(".",AQ1204,1)-1))</f>
        <v/>
      </c>
    </row>
    <row r="1205" spans="13:54" x14ac:dyDescent="0.25">
      <c r="M1205" s="379"/>
      <c r="BB1205" s="206" t="str">
        <f t="array" ref="BB1205">_xlfn.IFS(AQ1205="","",LEN(AQ1205)-LEN(SUBSTITUTE(AQ1205,".",""))=3,LEFT(AQ1205,vitri(".",AQ1205,3)-1),LEN(AQ1205)-LEN(SUBSTITUTE(AQ1205,".",""))=2,LEFT(AQ1205,vitri(".",AQ1205,2)-1),TRUE,LEFT(AQ1205,vitri(".",AQ1205,1)-1))</f>
        <v/>
      </c>
    </row>
    <row r="1206" spans="13:54" x14ac:dyDescent="0.25">
      <c r="M1206" s="379"/>
      <c r="BB1206" s="206" t="str">
        <f t="array" ref="BB1206">_xlfn.IFS(AQ1206="","",LEN(AQ1206)-LEN(SUBSTITUTE(AQ1206,".",""))=3,LEFT(AQ1206,vitri(".",AQ1206,3)-1),LEN(AQ1206)-LEN(SUBSTITUTE(AQ1206,".",""))=2,LEFT(AQ1206,vitri(".",AQ1206,2)-1),TRUE,LEFT(AQ1206,vitri(".",AQ1206,1)-1))</f>
        <v/>
      </c>
    </row>
    <row r="1207" spans="13:54" x14ac:dyDescent="0.25">
      <c r="M1207" s="379"/>
      <c r="BB1207" s="206" t="str">
        <f t="array" ref="BB1207">_xlfn.IFS(AQ1207="","",LEN(AQ1207)-LEN(SUBSTITUTE(AQ1207,".",""))=3,LEFT(AQ1207,vitri(".",AQ1207,3)-1),LEN(AQ1207)-LEN(SUBSTITUTE(AQ1207,".",""))=2,LEFT(AQ1207,vitri(".",AQ1207,2)-1),TRUE,LEFT(AQ1207,vitri(".",AQ1207,1)-1))</f>
        <v/>
      </c>
    </row>
    <row r="1208" spans="13:54" x14ac:dyDescent="0.25">
      <c r="M1208" s="379"/>
      <c r="BB1208" s="206" t="str">
        <f t="array" ref="BB1208">_xlfn.IFS(AQ1208="","",LEN(AQ1208)-LEN(SUBSTITUTE(AQ1208,".",""))=3,LEFT(AQ1208,vitri(".",AQ1208,3)-1),LEN(AQ1208)-LEN(SUBSTITUTE(AQ1208,".",""))=2,LEFT(AQ1208,vitri(".",AQ1208,2)-1),TRUE,LEFT(AQ1208,vitri(".",AQ1208,1)-1))</f>
        <v/>
      </c>
    </row>
    <row r="1209" spans="13:54" x14ac:dyDescent="0.25">
      <c r="M1209" s="379"/>
      <c r="BB1209" s="206" t="str">
        <f t="array" ref="BB1209">_xlfn.IFS(AQ1209="","",LEN(AQ1209)-LEN(SUBSTITUTE(AQ1209,".",""))=3,LEFT(AQ1209,vitri(".",AQ1209,3)-1),LEN(AQ1209)-LEN(SUBSTITUTE(AQ1209,".",""))=2,LEFT(AQ1209,vitri(".",AQ1209,2)-1),TRUE,LEFT(AQ1209,vitri(".",AQ1209,1)-1))</f>
        <v/>
      </c>
    </row>
    <row r="1210" spans="13:54" x14ac:dyDescent="0.25">
      <c r="M1210" s="379"/>
      <c r="BB1210" s="206" t="str">
        <f t="array" ref="BB1210">_xlfn.IFS(AQ1210="","",LEN(AQ1210)-LEN(SUBSTITUTE(AQ1210,".",""))=3,LEFT(AQ1210,vitri(".",AQ1210,3)-1),LEN(AQ1210)-LEN(SUBSTITUTE(AQ1210,".",""))=2,LEFT(AQ1210,vitri(".",AQ1210,2)-1),TRUE,LEFT(AQ1210,vitri(".",AQ1210,1)-1))</f>
        <v/>
      </c>
    </row>
    <row r="1211" spans="13:54" x14ac:dyDescent="0.25">
      <c r="M1211" s="379"/>
      <c r="BB1211" s="206" t="str">
        <f t="array" ref="BB1211">_xlfn.IFS(AQ1211="","",LEN(AQ1211)-LEN(SUBSTITUTE(AQ1211,".",""))=3,LEFT(AQ1211,vitri(".",AQ1211,3)-1),LEN(AQ1211)-LEN(SUBSTITUTE(AQ1211,".",""))=2,LEFT(AQ1211,vitri(".",AQ1211,2)-1),TRUE,LEFT(AQ1211,vitri(".",AQ1211,1)-1))</f>
        <v/>
      </c>
    </row>
    <row r="1212" spans="13:54" x14ac:dyDescent="0.25">
      <c r="M1212" s="379"/>
      <c r="BB1212" s="206" t="str">
        <f t="array" ref="BB1212">_xlfn.IFS(AQ1212="","",LEN(AQ1212)-LEN(SUBSTITUTE(AQ1212,".",""))=3,LEFT(AQ1212,vitri(".",AQ1212,3)-1),LEN(AQ1212)-LEN(SUBSTITUTE(AQ1212,".",""))=2,LEFT(AQ1212,vitri(".",AQ1212,2)-1),TRUE,LEFT(AQ1212,vitri(".",AQ1212,1)-1))</f>
        <v/>
      </c>
    </row>
    <row r="1213" spans="13:54" x14ac:dyDescent="0.25">
      <c r="M1213" s="379"/>
      <c r="BB1213" s="206" t="str">
        <f t="array" ref="BB1213">_xlfn.IFS(AQ1213="","",LEN(AQ1213)-LEN(SUBSTITUTE(AQ1213,".",""))=3,LEFT(AQ1213,vitri(".",AQ1213,3)-1),LEN(AQ1213)-LEN(SUBSTITUTE(AQ1213,".",""))=2,LEFT(AQ1213,vitri(".",AQ1213,2)-1),TRUE,LEFT(AQ1213,vitri(".",AQ1213,1)-1))</f>
        <v/>
      </c>
    </row>
    <row r="1214" spans="13:54" x14ac:dyDescent="0.25">
      <c r="M1214" s="379"/>
      <c r="BB1214" s="206" t="str">
        <f t="array" ref="BB1214">_xlfn.IFS(AQ1214="","",LEN(AQ1214)-LEN(SUBSTITUTE(AQ1214,".",""))=3,LEFT(AQ1214,vitri(".",AQ1214,3)-1),LEN(AQ1214)-LEN(SUBSTITUTE(AQ1214,".",""))=2,LEFT(AQ1214,vitri(".",AQ1214,2)-1),TRUE,LEFT(AQ1214,vitri(".",AQ1214,1)-1))</f>
        <v/>
      </c>
    </row>
    <row r="1215" spans="13:54" x14ac:dyDescent="0.25">
      <c r="M1215" s="379"/>
      <c r="BB1215" s="206" t="str">
        <f t="array" ref="BB1215">_xlfn.IFS(AQ1215="","",LEN(AQ1215)-LEN(SUBSTITUTE(AQ1215,".",""))=3,LEFT(AQ1215,vitri(".",AQ1215,3)-1),LEN(AQ1215)-LEN(SUBSTITUTE(AQ1215,".",""))=2,LEFT(AQ1215,vitri(".",AQ1215,2)-1),TRUE,LEFT(AQ1215,vitri(".",AQ1215,1)-1))</f>
        <v/>
      </c>
    </row>
    <row r="1216" spans="13:54" x14ac:dyDescent="0.25">
      <c r="M1216" s="379"/>
      <c r="BB1216" s="206" t="str">
        <f t="array" ref="BB1216">_xlfn.IFS(AQ1216="","",LEN(AQ1216)-LEN(SUBSTITUTE(AQ1216,".",""))=3,LEFT(AQ1216,vitri(".",AQ1216,3)-1),LEN(AQ1216)-LEN(SUBSTITUTE(AQ1216,".",""))=2,LEFT(AQ1216,vitri(".",AQ1216,2)-1),TRUE,LEFT(AQ1216,vitri(".",AQ1216,1)-1))</f>
        <v/>
      </c>
    </row>
    <row r="1217" spans="13:54" x14ac:dyDescent="0.25">
      <c r="M1217" s="379"/>
      <c r="BB1217" s="206" t="str">
        <f t="array" ref="BB1217">_xlfn.IFS(AQ1217="","",LEN(AQ1217)-LEN(SUBSTITUTE(AQ1217,".",""))=3,LEFT(AQ1217,vitri(".",AQ1217,3)-1),LEN(AQ1217)-LEN(SUBSTITUTE(AQ1217,".",""))=2,LEFT(AQ1217,vitri(".",AQ1217,2)-1),TRUE,LEFT(AQ1217,vitri(".",AQ1217,1)-1))</f>
        <v/>
      </c>
    </row>
    <row r="1218" spans="13:54" x14ac:dyDescent="0.25">
      <c r="M1218" s="379"/>
      <c r="BB1218" s="206" t="str">
        <f t="array" ref="BB1218">_xlfn.IFS(AQ1218="","",LEN(AQ1218)-LEN(SUBSTITUTE(AQ1218,".",""))=3,LEFT(AQ1218,vitri(".",AQ1218,3)-1),LEN(AQ1218)-LEN(SUBSTITUTE(AQ1218,".",""))=2,LEFT(AQ1218,vitri(".",AQ1218,2)-1),TRUE,LEFT(AQ1218,vitri(".",AQ1218,1)-1))</f>
        <v/>
      </c>
    </row>
    <row r="1219" spans="13:54" x14ac:dyDescent="0.25">
      <c r="M1219" s="379"/>
      <c r="BB1219" s="206" t="str">
        <f t="array" ref="BB1219">_xlfn.IFS(AQ1219="","",LEN(AQ1219)-LEN(SUBSTITUTE(AQ1219,".",""))=3,LEFT(AQ1219,vitri(".",AQ1219,3)-1),LEN(AQ1219)-LEN(SUBSTITUTE(AQ1219,".",""))=2,LEFT(AQ1219,vitri(".",AQ1219,2)-1),TRUE,LEFT(AQ1219,vitri(".",AQ1219,1)-1))</f>
        <v/>
      </c>
    </row>
    <row r="1220" spans="13:54" x14ac:dyDescent="0.25">
      <c r="M1220" s="379"/>
      <c r="BB1220" s="206" t="str">
        <f t="array" ref="BB1220">_xlfn.IFS(AQ1220="","",LEN(AQ1220)-LEN(SUBSTITUTE(AQ1220,".",""))=3,LEFT(AQ1220,vitri(".",AQ1220,3)-1),LEN(AQ1220)-LEN(SUBSTITUTE(AQ1220,".",""))=2,LEFT(AQ1220,vitri(".",AQ1220,2)-1),TRUE,LEFT(AQ1220,vitri(".",AQ1220,1)-1))</f>
        <v/>
      </c>
    </row>
    <row r="1221" spans="13:54" x14ac:dyDescent="0.25">
      <c r="M1221" s="379"/>
      <c r="BB1221" s="206" t="str">
        <f t="array" ref="BB1221">_xlfn.IFS(AQ1221="","",LEN(AQ1221)-LEN(SUBSTITUTE(AQ1221,".",""))=3,LEFT(AQ1221,vitri(".",AQ1221,3)-1),LEN(AQ1221)-LEN(SUBSTITUTE(AQ1221,".",""))=2,LEFT(AQ1221,vitri(".",AQ1221,2)-1),TRUE,LEFT(AQ1221,vitri(".",AQ1221,1)-1))</f>
        <v/>
      </c>
    </row>
    <row r="1222" spans="13:54" x14ac:dyDescent="0.25">
      <c r="M1222" s="379"/>
      <c r="BB1222" s="206" t="str">
        <f t="array" ref="BB1222">_xlfn.IFS(AQ1222="","",LEN(AQ1222)-LEN(SUBSTITUTE(AQ1222,".",""))=3,LEFT(AQ1222,vitri(".",AQ1222,3)-1),LEN(AQ1222)-LEN(SUBSTITUTE(AQ1222,".",""))=2,LEFT(AQ1222,vitri(".",AQ1222,2)-1),TRUE,LEFT(AQ1222,vitri(".",AQ1222,1)-1))</f>
        <v/>
      </c>
    </row>
    <row r="1223" spans="13:54" x14ac:dyDescent="0.25">
      <c r="M1223" s="379"/>
      <c r="BB1223" s="206" t="str">
        <f t="array" ref="BB1223">_xlfn.IFS(AQ1223="","",LEN(AQ1223)-LEN(SUBSTITUTE(AQ1223,".",""))=3,LEFT(AQ1223,vitri(".",AQ1223,3)-1),LEN(AQ1223)-LEN(SUBSTITUTE(AQ1223,".",""))=2,LEFT(AQ1223,vitri(".",AQ1223,2)-1),TRUE,LEFT(AQ1223,vitri(".",AQ1223,1)-1))</f>
        <v/>
      </c>
    </row>
    <row r="1224" spans="13:54" x14ac:dyDescent="0.25">
      <c r="M1224" s="379"/>
      <c r="BB1224" s="206" t="str">
        <f t="array" ref="BB1224">_xlfn.IFS(AQ1224="","",LEN(AQ1224)-LEN(SUBSTITUTE(AQ1224,".",""))=3,LEFT(AQ1224,vitri(".",AQ1224,3)-1),LEN(AQ1224)-LEN(SUBSTITUTE(AQ1224,".",""))=2,LEFT(AQ1224,vitri(".",AQ1224,2)-1),TRUE,LEFT(AQ1224,vitri(".",AQ1224,1)-1))</f>
        <v/>
      </c>
    </row>
    <row r="1225" spans="13:54" x14ac:dyDescent="0.25">
      <c r="M1225" s="379"/>
      <c r="BB1225" s="206" t="str">
        <f t="array" ref="BB1225">_xlfn.IFS(AQ1225="","",LEN(AQ1225)-LEN(SUBSTITUTE(AQ1225,".",""))=3,LEFT(AQ1225,vitri(".",AQ1225,3)-1),LEN(AQ1225)-LEN(SUBSTITUTE(AQ1225,".",""))=2,LEFT(AQ1225,vitri(".",AQ1225,2)-1),TRUE,LEFT(AQ1225,vitri(".",AQ1225,1)-1))</f>
        <v/>
      </c>
    </row>
    <row r="1226" spans="13:54" x14ac:dyDescent="0.25">
      <c r="M1226" s="379"/>
      <c r="BB1226" s="206" t="str">
        <f t="array" ref="BB1226">_xlfn.IFS(AQ1226="","",LEN(AQ1226)-LEN(SUBSTITUTE(AQ1226,".",""))=3,LEFT(AQ1226,vitri(".",AQ1226,3)-1),LEN(AQ1226)-LEN(SUBSTITUTE(AQ1226,".",""))=2,LEFT(AQ1226,vitri(".",AQ1226,2)-1),TRUE,LEFT(AQ1226,vitri(".",AQ1226,1)-1))</f>
        <v/>
      </c>
    </row>
    <row r="1227" spans="13:54" x14ac:dyDescent="0.25">
      <c r="M1227" s="379"/>
      <c r="BB1227" s="206" t="str">
        <f t="array" ref="BB1227">_xlfn.IFS(AQ1227="","",LEN(AQ1227)-LEN(SUBSTITUTE(AQ1227,".",""))=3,LEFT(AQ1227,vitri(".",AQ1227,3)-1),LEN(AQ1227)-LEN(SUBSTITUTE(AQ1227,".",""))=2,LEFT(AQ1227,vitri(".",AQ1227,2)-1),TRUE,LEFT(AQ1227,vitri(".",AQ1227,1)-1))</f>
        <v/>
      </c>
    </row>
    <row r="1228" spans="13:54" x14ac:dyDescent="0.25">
      <c r="M1228" s="379"/>
      <c r="BB1228" s="206" t="str">
        <f t="array" ref="BB1228">_xlfn.IFS(AQ1228="","",LEN(AQ1228)-LEN(SUBSTITUTE(AQ1228,".",""))=3,LEFT(AQ1228,vitri(".",AQ1228,3)-1),LEN(AQ1228)-LEN(SUBSTITUTE(AQ1228,".",""))=2,LEFT(AQ1228,vitri(".",AQ1228,2)-1),TRUE,LEFT(AQ1228,vitri(".",AQ1228,1)-1))</f>
        <v/>
      </c>
    </row>
    <row r="1229" spans="13:54" x14ac:dyDescent="0.25">
      <c r="M1229" s="379"/>
      <c r="BB1229" s="206" t="str">
        <f t="array" ref="BB1229">_xlfn.IFS(AQ1229="","",LEN(AQ1229)-LEN(SUBSTITUTE(AQ1229,".",""))=3,LEFT(AQ1229,vitri(".",AQ1229,3)-1),LEN(AQ1229)-LEN(SUBSTITUTE(AQ1229,".",""))=2,LEFT(AQ1229,vitri(".",AQ1229,2)-1),TRUE,LEFT(AQ1229,vitri(".",AQ1229,1)-1))</f>
        <v/>
      </c>
    </row>
    <row r="1230" spans="13:54" x14ac:dyDescent="0.25">
      <c r="M1230" s="379"/>
      <c r="BB1230" s="206" t="str">
        <f t="array" ref="BB1230">_xlfn.IFS(AQ1230="","",LEN(AQ1230)-LEN(SUBSTITUTE(AQ1230,".",""))=3,LEFT(AQ1230,vitri(".",AQ1230,3)-1),LEN(AQ1230)-LEN(SUBSTITUTE(AQ1230,".",""))=2,LEFT(AQ1230,vitri(".",AQ1230,2)-1),TRUE,LEFT(AQ1230,vitri(".",AQ1230,1)-1))</f>
        <v/>
      </c>
    </row>
    <row r="1231" spans="13:54" x14ac:dyDescent="0.25">
      <c r="M1231" s="379"/>
      <c r="BB1231" s="206" t="str">
        <f t="array" ref="BB1231">_xlfn.IFS(AQ1231="","",LEN(AQ1231)-LEN(SUBSTITUTE(AQ1231,".",""))=3,LEFT(AQ1231,vitri(".",AQ1231,3)-1),LEN(AQ1231)-LEN(SUBSTITUTE(AQ1231,".",""))=2,LEFT(AQ1231,vitri(".",AQ1231,2)-1),TRUE,LEFT(AQ1231,vitri(".",AQ1231,1)-1))</f>
        <v/>
      </c>
    </row>
    <row r="1232" spans="13:54" x14ac:dyDescent="0.25">
      <c r="M1232" s="379"/>
      <c r="BB1232" s="206" t="str">
        <f t="array" ref="BB1232">_xlfn.IFS(AQ1232="","",LEN(AQ1232)-LEN(SUBSTITUTE(AQ1232,".",""))=3,LEFT(AQ1232,vitri(".",AQ1232,3)-1),LEN(AQ1232)-LEN(SUBSTITUTE(AQ1232,".",""))=2,LEFT(AQ1232,vitri(".",AQ1232,2)-1),TRUE,LEFT(AQ1232,vitri(".",AQ1232,1)-1))</f>
        <v/>
      </c>
    </row>
    <row r="1233" spans="13:54" x14ac:dyDescent="0.25">
      <c r="M1233" s="379"/>
      <c r="BB1233" s="206" t="str">
        <f t="array" ref="BB1233">_xlfn.IFS(AQ1233="","",LEN(AQ1233)-LEN(SUBSTITUTE(AQ1233,".",""))=3,LEFT(AQ1233,vitri(".",AQ1233,3)-1),LEN(AQ1233)-LEN(SUBSTITUTE(AQ1233,".",""))=2,LEFT(AQ1233,vitri(".",AQ1233,2)-1),TRUE,LEFT(AQ1233,vitri(".",AQ1233,1)-1))</f>
        <v/>
      </c>
    </row>
    <row r="1234" spans="13:54" x14ac:dyDescent="0.25">
      <c r="M1234" s="379"/>
      <c r="BB1234" s="206" t="str">
        <f t="array" ref="BB1234">_xlfn.IFS(AQ1234="","",LEN(AQ1234)-LEN(SUBSTITUTE(AQ1234,".",""))=3,LEFT(AQ1234,vitri(".",AQ1234,3)-1),LEN(AQ1234)-LEN(SUBSTITUTE(AQ1234,".",""))=2,LEFT(AQ1234,vitri(".",AQ1234,2)-1),TRUE,LEFT(AQ1234,vitri(".",AQ1234,1)-1))</f>
        <v/>
      </c>
    </row>
    <row r="1235" spans="13:54" x14ac:dyDescent="0.25">
      <c r="M1235" s="379"/>
      <c r="BB1235" s="206" t="str">
        <f t="array" ref="BB1235">_xlfn.IFS(AQ1235="","",LEN(AQ1235)-LEN(SUBSTITUTE(AQ1235,".",""))=3,LEFT(AQ1235,vitri(".",AQ1235,3)-1),LEN(AQ1235)-LEN(SUBSTITUTE(AQ1235,".",""))=2,LEFT(AQ1235,vitri(".",AQ1235,2)-1),TRUE,LEFT(AQ1235,vitri(".",AQ1235,1)-1))</f>
        <v/>
      </c>
    </row>
    <row r="1236" spans="13:54" x14ac:dyDescent="0.25">
      <c r="M1236" s="379"/>
      <c r="BB1236" s="206" t="str">
        <f t="array" ref="BB1236">_xlfn.IFS(AQ1236="","",LEN(AQ1236)-LEN(SUBSTITUTE(AQ1236,".",""))=3,LEFT(AQ1236,vitri(".",AQ1236,3)-1),LEN(AQ1236)-LEN(SUBSTITUTE(AQ1236,".",""))=2,LEFT(AQ1236,vitri(".",AQ1236,2)-1),TRUE,LEFT(AQ1236,vitri(".",AQ1236,1)-1))</f>
        <v/>
      </c>
    </row>
    <row r="1237" spans="13:54" x14ac:dyDescent="0.25">
      <c r="M1237" s="379"/>
      <c r="BB1237" s="206" t="str">
        <f t="array" ref="BB1237">_xlfn.IFS(AQ1237="","",LEN(AQ1237)-LEN(SUBSTITUTE(AQ1237,".",""))=3,LEFT(AQ1237,vitri(".",AQ1237,3)-1),LEN(AQ1237)-LEN(SUBSTITUTE(AQ1237,".",""))=2,LEFT(AQ1237,vitri(".",AQ1237,2)-1),TRUE,LEFT(AQ1237,vitri(".",AQ1237,1)-1))</f>
        <v/>
      </c>
    </row>
    <row r="1238" spans="13:54" x14ac:dyDescent="0.25">
      <c r="M1238" s="379"/>
      <c r="BB1238" s="206" t="str">
        <f t="array" ref="BB1238">_xlfn.IFS(AQ1238="","",LEN(AQ1238)-LEN(SUBSTITUTE(AQ1238,".",""))=3,LEFT(AQ1238,vitri(".",AQ1238,3)-1),LEN(AQ1238)-LEN(SUBSTITUTE(AQ1238,".",""))=2,LEFT(AQ1238,vitri(".",AQ1238,2)-1),TRUE,LEFT(AQ1238,vitri(".",AQ1238,1)-1))</f>
        <v/>
      </c>
    </row>
    <row r="1239" spans="13:54" x14ac:dyDescent="0.25">
      <c r="M1239" s="379"/>
      <c r="BB1239" s="206" t="str">
        <f t="array" ref="BB1239">_xlfn.IFS(AQ1239="","",LEN(AQ1239)-LEN(SUBSTITUTE(AQ1239,".",""))=3,LEFT(AQ1239,vitri(".",AQ1239,3)-1),LEN(AQ1239)-LEN(SUBSTITUTE(AQ1239,".",""))=2,LEFT(AQ1239,vitri(".",AQ1239,2)-1),TRUE,LEFT(AQ1239,vitri(".",AQ1239,1)-1))</f>
        <v/>
      </c>
    </row>
    <row r="1240" spans="13:54" x14ac:dyDescent="0.25">
      <c r="M1240" s="379"/>
      <c r="BB1240" s="206" t="str">
        <f t="array" ref="BB1240">_xlfn.IFS(AQ1240="","",LEN(AQ1240)-LEN(SUBSTITUTE(AQ1240,".",""))=3,LEFT(AQ1240,vitri(".",AQ1240,3)-1),LEN(AQ1240)-LEN(SUBSTITUTE(AQ1240,".",""))=2,LEFT(AQ1240,vitri(".",AQ1240,2)-1),TRUE,LEFT(AQ1240,vitri(".",AQ1240,1)-1))</f>
        <v/>
      </c>
    </row>
    <row r="1241" spans="13:54" x14ac:dyDescent="0.25">
      <c r="M1241" s="379"/>
      <c r="BB1241" s="206" t="str">
        <f t="array" ref="BB1241">_xlfn.IFS(AQ1241="","",LEN(AQ1241)-LEN(SUBSTITUTE(AQ1241,".",""))=3,LEFT(AQ1241,vitri(".",AQ1241,3)-1),LEN(AQ1241)-LEN(SUBSTITUTE(AQ1241,".",""))=2,LEFT(AQ1241,vitri(".",AQ1241,2)-1),TRUE,LEFT(AQ1241,vitri(".",AQ1241,1)-1))</f>
        <v/>
      </c>
    </row>
    <row r="1242" spans="13:54" x14ac:dyDescent="0.25">
      <c r="M1242" s="379"/>
      <c r="BB1242" s="206" t="str">
        <f t="array" ref="BB1242">_xlfn.IFS(AQ1242="","",LEN(AQ1242)-LEN(SUBSTITUTE(AQ1242,".",""))=3,LEFT(AQ1242,vitri(".",AQ1242,3)-1),LEN(AQ1242)-LEN(SUBSTITUTE(AQ1242,".",""))=2,LEFT(AQ1242,vitri(".",AQ1242,2)-1),TRUE,LEFT(AQ1242,vitri(".",AQ1242,1)-1))</f>
        <v/>
      </c>
    </row>
    <row r="1243" spans="13:54" x14ac:dyDescent="0.25">
      <c r="M1243" s="379"/>
      <c r="BB1243" s="206" t="str">
        <f t="array" ref="BB1243">_xlfn.IFS(AQ1243="","",LEN(AQ1243)-LEN(SUBSTITUTE(AQ1243,".",""))=3,LEFT(AQ1243,vitri(".",AQ1243,3)-1),LEN(AQ1243)-LEN(SUBSTITUTE(AQ1243,".",""))=2,LEFT(AQ1243,vitri(".",AQ1243,2)-1),TRUE,LEFT(AQ1243,vitri(".",AQ1243,1)-1))</f>
        <v/>
      </c>
    </row>
    <row r="1244" spans="13:54" x14ac:dyDescent="0.25">
      <c r="M1244" s="379"/>
      <c r="BB1244" s="206" t="str">
        <f t="array" ref="BB1244">_xlfn.IFS(AQ1244="","",LEN(AQ1244)-LEN(SUBSTITUTE(AQ1244,".",""))=3,LEFT(AQ1244,vitri(".",AQ1244,3)-1),LEN(AQ1244)-LEN(SUBSTITUTE(AQ1244,".",""))=2,LEFT(AQ1244,vitri(".",AQ1244,2)-1),TRUE,LEFT(AQ1244,vitri(".",AQ1244,1)-1))</f>
        <v/>
      </c>
    </row>
    <row r="1245" spans="13:54" x14ac:dyDescent="0.25">
      <c r="M1245" s="379"/>
      <c r="BB1245" s="206" t="str">
        <f t="array" ref="BB1245">_xlfn.IFS(AQ1245="","",LEN(AQ1245)-LEN(SUBSTITUTE(AQ1245,".",""))=3,LEFT(AQ1245,vitri(".",AQ1245,3)-1),LEN(AQ1245)-LEN(SUBSTITUTE(AQ1245,".",""))=2,LEFT(AQ1245,vitri(".",AQ1245,2)-1),TRUE,LEFT(AQ1245,vitri(".",AQ1245,1)-1))</f>
        <v/>
      </c>
    </row>
    <row r="1246" spans="13:54" x14ac:dyDescent="0.25">
      <c r="M1246" s="379"/>
      <c r="BB1246" s="206" t="str">
        <f t="array" ref="BB1246">_xlfn.IFS(AQ1246="","",LEN(AQ1246)-LEN(SUBSTITUTE(AQ1246,".",""))=3,LEFT(AQ1246,vitri(".",AQ1246,3)-1),LEN(AQ1246)-LEN(SUBSTITUTE(AQ1246,".",""))=2,LEFT(AQ1246,vitri(".",AQ1246,2)-1),TRUE,LEFT(AQ1246,vitri(".",AQ1246,1)-1))</f>
        <v/>
      </c>
    </row>
    <row r="1247" spans="13:54" x14ac:dyDescent="0.25">
      <c r="M1247" s="379"/>
      <c r="BB1247" s="206" t="str">
        <f t="array" ref="BB1247">_xlfn.IFS(AQ1247="","",LEN(AQ1247)-LEN(SUBSTITUTE(AQ1247,".",""))=3,LEFT(AQ1247,vitri(".",AQ1247,3)-1),LEN(AQ1247)-LEN(SUBSTITUTE(AQ1247,".",""))=2,LEFT(AQ1247,vitri(".",AQ1247,2)-1),TRUE,LEFT(AQ1247,vitri(".",AQ1247,1)-1))</f>
        <v/>
      </c>
    </row>
    <row r="1248" spans="13:54" x14ac:dyDescent="0.25">
      <c r="M1248" s="379"/>
      <c r="BB1248" s="206" t="str">
        <f t="array" ref="BB1248">_xlfn.IFS(AQ1248="","",LEN(AQ1248)-LEN(SUBSTITUTE(AQ1248,".",""))=3,LEFT(AQ1248,vitri(".",AQ1248,3)-1),LEN(AQ1248)-LEN(SUBSTITUTE(AQ1248,".",""))=2,LEFT(AQ1248,vitri(".",AQ1248,2)-1),TRUE,LEFT(AQ1248,vitri(".",AQ1248,1)-1))</f>
        <v/>
      </c>
    </row>
    <row r="1249" spans="13:54" x14ac:dyDescent="0.25">
      <c r="M1249" s="379"/>
      <c r="BB1249" s="206" t="str">
        <f t="array" ref="BB1249">_xlfn.IFS(AQ1249="","",LEN(AQ1249)-LEN(SUBSTITUTE(AQ1249,".",""))=3,LEFT(AQ1249,vitri(".",AQ1249,3)-1),LEN(AQ1249)-LEN(SUBSTITUTE(AQ1249,".",""))=2,LEFT(AQ1249,vitri(".",AQ1249,2)-1),TRUE,LEFT(AQ1249,vitri(".",AQ1249,1)-1))</f>
        <v/>
      </c>
    </row>
    <row r="1250" spans="13:54" x14ac:dyDescent="0.25">
      <c r="M1250" s="379"/>
      <c r="BB1250" s="206" t="str">
        <f t="array" ref="BB1250">_xlfn.IFS(AQ1250="","",LEN(AQ1250)-LEN(SUBSTITUTE(AQ1250,".",""))=3,LEFT(AQ1250,vitri(".",AQ1250,3)-1),LEN(AQ1250)-LEN(SUBSTITUTE(AQ1250,".",""))=2,LEFT(AQ1250,vitri(".",AQ1250,2)-1),TRUE,LEFT(AQ1250,vitri(".",AQ1250,1)-1))</f>
        <v/>
      </c>
    </row>
    <row r="1251" spans="13:54" x14ac:dyDescent="0.25">
      <c r="M1251" s="379"/>
      <c r="BB1251" s="206" t="str">
        <f t="array" ref="BB1251">_xlfn.IFS(AQ1251="","",LEN(AQ1251)-LEN(SUBSTITUTE(AQ1251,".",""))=3,LEFT(AQ1251,vitri(".",AQ1251,3)-1),LEN(AQ1251)-LEN(SUBSTITUTE(AQ1251,".",""))=2,LEFT(AQ1251,vitri(".",AQ1251,2)-1),TRUE,LEFT(AQ1251,vitri(".",AQ1251,1)-1))</f>
        <v/>
      </c>
    </row>
    <row r="1252" spans="13:54" x14ac:dyDescent="0.25">
      <c r="M1252" s="379"/>
      <c r="BB1252" s="206" t="str">
        <f t="array" ref="BB1252">_xlfn.IFS(AQ1252="","",LEN(AQ1252)-LEN(SUBSTITUTE(AQ1252,".",""))=3,LEFT(AQ1252,vitri(".",AQ1252,3)-1),LEN(AQ1252)-LEN(SUBSTITUTE(AQ1252,".",""))=2,LEFT(AQ1252,vitri(".",AQ1252,2)-1),TRUE,LEFT(AQ1252,vitri(".",AQ1252,1)-1))</f>
        <v/>
      </c>
    </row>
    <row r="1253" spans="13:54" x14ac:dyDescent="0.25">
      <c r="M1253" s="379"/>
      <c r="BB1253" s="206" t="str">
        <f t="array" ref="BB1253">_xlfn.IFS(AQ1253="","",LEN(AQ1253)-LEN(SUBSTITUTE(AQ1253,".",""))=3,LEFT(AQ1253,vitri(".",AQ1253,3)-1),LEN(AQ1253)-LEN(SUBSTITUTE(AQ1253,".",""))=2,LEFT(AQ1253,vitri(".",AQ1253,2)-1),TRUE,LEFT(AQ1253,vitri(".",AQ1253,1)-1))</f>
        <v/>
      </c>
    </row>
    <row r="1254" spans="13:54" x14ac:dyDescent="0.25">
      <c r="M1254" s="379"/>
      <c r="BB1254" s="206" t="str">
        <f t="array" ref="BB1254">_xlfn.IFS(AQ1254="","",LEN(AQ1254)-LEN(SUBSTITUTE(AQ1254,".",""))=3,LEFT(AQ1254,vitri(".",AQ1254,3)-1),LEN(AQ1254)-LEN(SUBSTITUTE(AQ1254,".",""))=2,LEFT(AQ1254,vitri(".",AQ1254,2)-1),TRUE,LEFT(AQ1254,vitri(".",AQ1254,1)-1))</f>
        <v/>
      </c>
    </row>
    <row r="1255" spans="13:54" x14ac:dyDescent="0.25">
      <c r="M1255" s="379"/>
      <c r="BB1255" s="206" t="str">
        <f t="array" ref="BB1255">_xlfn.IFS(AQ1255="","",LEN(AQ1255)-LEN(SUBSTITUTE(AQ1255,".",""))=3,LEFT(AQ1255,vitri(".",AQ1255,3)-1),LEN(AQ1255)-LEN(SUBSTITUTE(AQ1255,".",""))=2,LEFT(AQ1255,vitri(".",AQ1255,2)-1),TRUE,LEFT(AQ1255,vitri(".",AQ1255,1)-1))</f>
        <v/>
      </c>
    </row>
    <row r="1256" spans="13:54" x14ac:dyDescent="0.25">
      <c r="M1256" s="379"/>
      <c r="BB1256" s="206" t="str">
        <f t="array" ref="BB1256">_xlfn.IFS(AQ1256="","",LEN(AQ1256)-LEN(SUBSTITUTE(AQ1256,".",""))=3,LEFT(AQ1256,vitri(".",AQ1256,3)-1),LEN(AQ1256)-LEN(SUBSTITUTE(AQ1256,".",""))=2,LEFT(AQ1256,vitri(".",AQ1256,2)-1),TRUE,LEFT(AQ1256,vitri(".",AQ1256,1)-1))</f>
        <v/>
      </c>
    </row>
    <row r="1257" spans="13:54" x14ac:dyDescent="0.25">
      <c r="M1257" s="379"/>
      <c r="BB1257" s="206" t="str">
        <f t="array" ref="BB1257">_xlfn.IFS(AQ1257="","",LEN(AQ1257)-LEN(SUBSTITUTE(AQ1257,".",""))=3,LEFT(AQ1257,vitri(".",AQ1257,3)-1),LEN(AQ1257)-LEN(SUBSTITUTE(AQ1257,".",""))=2,LEFT(AQ1257,vitri(".",AQ1257,2)-1),TRUE,LEFT(AQ1257,vitri(".",AQ1257,1)-1))</f>
        <v/>
      </c>
    </row>
    <row r="1258" spans="13:54" x14ac:dyDescent="0.25">
      <c r="M1258" s="379"/>
      <c r="BB1258" s="206" t="str">
        <f t="array" ref="BB1258">_xlfn.IFS(AQ1258="","",LEN(AQ1258)-LEN(SUBSTITUTE(AQ1258,".",""))=3,LEFT(AQ1258,vitri(".",AQ1258,3)-1),LEN(AQ1258)-LEN(SUBSTITUTE(AQ1258,".",""))=2,LEFT(AQ1258,vitri(".",AQ1258,2)-1),TRUE,LEFT(AQ1258,vitri(".",AQ1258,1)-1))</f>
        <v/>
      </c>
    </row>
    <row r="1259" spans="13:54" x14ac:dyDescent="0.25">
      <c r="M1259" s="379"/>
      <c r="BB1259" s="206" t="str">
        <f t="array" ref="BB1259">_xlfn.IFS(AQ1259="","",LEN(AQ1259)-LEN(SUBSTITUTE(AQ1259,".",""))=3,LEFT(AQ1259,vitri(".",AQ1259,3)-1),LEN(AQ1259)-LEN(SUBSTITUTE(AQ1259,".",""))=2,LEFT(AQ1259,vitri(".",AQ1259,2)-1),TRUE,LEFT(AQ1259,vitri(".",AQ1259,1)-1))</f>
        <v/>
      </c>
    </row>
    <row r="1260" spans="13:54" x14ac:dyDescent="0.25">
      <c r="M1260" s="379"/>
      <c r="BB1260" s="206" t="str">
        <f t="array" ref="BB1260">_xlfn.IFS(AQ1260="","",LEN(AQ1260)-LEN(SUBSTITUTE(AQ1260,".",""))=3,LEFT(AQ1260,vitri(".",AQ1260,3)-1),LEN(AQ1260)-LEN(SUBSTITUTE(AQ1260,".",""))=2,LEFT(AQ1260,vitri(".",AQ1260,2)-1),TRUE,LEFT(AQ1260,vitri(".",AQ1260,1)-1))</f>
        <v/>
      </c>
    </row>
    <row r="1261" spans="13:54" x14ac:dyDescent="0.25">
      <c r="M1261" s="379"/>
      <c r="BB1261" s="206" t="str">
        <f t="array" ref="BB1261">_xlfn.IFS(AQ1261="","",LEN(AQ1261)-LEN(SUBSTITUTE(AQ1261,".",""))=3,LEFT(AQ1261,vitri(".",AQ1261,3)-1),LEN(AQ1261)-LEN(SUBSTITUTE(AQ1261,".",""))=2,LEFT(AQ1261,vitri(".",AQ1261,2)-1),TRUE,LEFT(AQ1261,vitri(".",AQ1261,1)-1))</f>
        <v/>
      </c>
    </row>
    <row r="1262" spans="13:54" x14ac:dyDescent="0.25">
      <c r="M1262" s="379"/>
      <c r="BB1262" s="206" t="str">
        <f t="array" ref="BB1262">_xlfn.IFS(AQ1262="","",LEN(AQ1262)-LEN(SUBSTITUTE(AQ1262,".",""))=3,LEFT(AQ1262,vitri(".",AQ1262,3)-1),LEN(AQ1262)-LEN(SUBSTITUTE(AQ1262,".",""))=2,LEFT(AQ1262,vitri(".",AQ1262,2)-1),TRUE,LEFT(AQ1262,vitri(".",AQ1262,1)-1))</f>
        <v/>
      </c>
    </row>
    <row r="1263" spans="13:54" x14ac:dyDescent="0.25">
      <c r="M1263" s="379"/>
      <c r="BB1263" s="206" t="str">
        <f t="array" ref="BB1263">_xlfn.IFS(AQ1263="","",LEN(AQ1263)-LEN(SUBSTITUTE(AQ1263,".",""))=3,LEFT(AQ1263,vitri(".",AQ1263,3)-1),LEN(AQ1263)-LEN(SUBSTITUTE(AQ1263,".",""))=2,LEFT(AQ1263,vitri(".",AQ1263,2)-1),TRUE,LEFT(AQ1263,vitri(".",AQ1263,1)-1))</f>
        <v/>
      </c>
    </row>
    <row r="1264" spans="13:54" x14ac:dyDescent="0.25">
      <c r="M1264" s="379"/>
      <c r="BB1264" s="206" t="str">
        <f t="array" ref="BB1264">_xlfn.IFS(AQ1264="","",LEN(AQ1264)-LEN(SUBSTITUTE(AQ1264,".",""))=3,LEFT(AQ1264,vitri(".",AQ1264,3)-1),LEN(AQ1264)-LEN(SUBSTITUTE(AQ1264,".",""))=2,LEFT(AQ1264,vitri(".",AQ1264,2)-1),TRUE,LEFT(AQ1264,vitri(".",AQ1264,1)-1))</f>
        <v/>
      </c>
    </row>
    <row r="1265" spans="13:54" x14ac:dyDescent="0.25">
      <c r="M1265" s="379"/>
      <c r="BB1265" s="206" t="str">
        <f t="array" ref="BB1265">_xlfn.IFS(AQ1265="","",LEN(AQ1265)-LEN(SUBSTITUTE(AQ1265,".",""))=3,LEFT(AQ1265,vitri(".",AQ1265,3)-1),LEN(AQ1265)-LEN(SUBSTITUTE(AQ1265,".",""))=2,LEFT(AQ1265,vitri(".",AQ1265,2)-1),TRUE,LEFT(AQ1265,vitri(".",AQ1265,1)-1))</f>
        <v/>
      </c>
    </row>
    <row r="1266" spans="13:54" x14ac:dyDescent="0.25">
      <c r="M1266" s="379"/>
      <c r="BB1266" s="206" t="str">
        <f t="array" ref="BB1266">_xlfn.IFS(AQ1266="","",LEN(AQ1266)-LEN(SUBSTITUTE(AQ1266,".",""))=3,LEFT(AQ1266,vitri(".",AQ1266,3)-1),LEN(AQ1266)-LEN(SUBSTITUTE(AQ1266,".",""))=2,LEFT(AQ1266,vitri(".",AQ1266,2)-1),TRUE,LEFT(AQ1266,vitri(".",AQ1266,1)-1))</f>
        <v/>
      </c>
    </row>
    <row r="1267" spans="13:54" x14ac:dyDescent="0.25">
      <c r="M1267" s="379"/>
      <c r="BB1267" s="206" t="str">
        <f t="array" ref="BB1267">_xlfn.IFS(AQ1267="","",LEN(AQ1267)-LEN(SUBSTITUTE(AQ1267,".",""))=3,LEFT(AQ1267,vitri(".",AQ1267,3)-1),LEN(AQ1267)-LEN(SUBSTITUTE(AQ1267,".",""))=2,LEFT(AQ1267,vitri(".",AQ1267,2)-1),TRUE,LEFT(AQ1267,vitri(".",AQ1267,1)-1))</f>
        <v/>
      </c>
    </row>
    <row r="1268" spans="13:54" x14ac:dyDescent="0.25">
      <c r="M1268" s="379"/>
      <c r="BB1268" s="206" t="str">
        <f t="array" ref="BB1268">_xlfn.IFS(AQ1268="","",LEN(AQ1268)-LEN(SUBSTITUTE(AQ1268,".",""))=3,LEFT(AQ1268,vitri(".",AQ1268,3)-1),LEN(AQ1268)-LEN(SUBSTITUTE(AQ1268,".",""))=2,LEFT(AQ1268,vitri(".",AQ1268,2)-1),TRUE,LEFT(AQ1268,vitri(".",AQ1268,1)-1))</f>
        <v/>
      </c>
    </row>
    <row r="1269" spans="13:54" x14ac:dyDescent="0.25">
      <c r="M1269" s="379"/>
      <c r="BB1269" s="206" t="str">
        <f t="array" ref="BB1269">_xlfn.IFS(AQ1269="","",LEN(AQ1269)-LEN(SUBSTITUTE(AQ1269,".",""))=3,LEFT(AQ1269,vitri(".",AQ1269,3)-1),LEN(AQ1269)-LEN(SUBSTITUTE(AQ1269,".",""))=2,LEFT(AQ1269,vitri(".",AQ1269,2)-1),TRUE,LEFT(AQ1269,vitri(".",AQ1269,1)-1))</f>
        <v/>
      </c>
    </row>
    <row r="1270" spans="13:54" x14ac:dyDescent="0.25">
      <c r="M1270" s="379"/>
      <c r="BB1270" s="206" t="str">
        <f t="array" ref="BB1270">_xlfn.IFS(AQ1270="","",LEN(AQ1270)-LEN(SUBSTITUTE(AQ1270,".",""))=3,LEFT(AQ1270,vitri(".",AQ1270,3)-1),LEN(AQ1270)-LEN(SUBSTITUTE(AQ1270,".",""))=2,LEFT(AQ1270,vitri(".",AQ1270,2)-1),TRUE,LEFT(AQ1270,vitri(".",AQ1270,1)-1))</f>
        <v/>
      </c>
    </row>
    <row r="1271" spans="13:54" x14ac:dyDescent="0.25">
      <c r="M1271" s="379"/>
      <c r="BB1271" s="206" t="str">
        <f t="array" ref="BB1271">_xlfn.IFS(AQ1271="","",LEN(AQ1271)-LEN(SUBSTITUTE(AQ1271,".",""))=3,LEFT(AQ1271,vitri(".",AQ1271,3)-1),LEN(AQ1271)-LEN(SUBSTITUTE(AQ1271,".",""))=2,LEFT(AQ1271,vitri(".",AQ1271,2)-1),TRUE,LEFT(AQ1271,vitri(".",AQ1271,1)-1))</f>
        <v/>
      </c>
    </row>
    <row r="1272" spans="13:54" x14ac:dyDescent="0.25">
      <c r="M1272" s="379"/>
      <c r="BB1272" s="206" t="str">
        <f t="array" ref="BB1272">_xlfn.IFS(AQ1272="","",LEN(AQ1272)-LEN(SUBSTITUTE(AQ1272,".",""))=3,LEFT(AQ1272,vitri(".",AQ1272,3)-1),LEN(AQ1272)-LEN(SUBSTITUTE(AQ1272,".",""))=2,LEFT(AQ1272,vitri(".",AQ1272,2)-1),TRUE,LEFT(AQ1272,vitri(".",AQ1272,1)-1))</f>
        <v/>
      </c>
    </row>
    <row r="1273" spans="13:54" x14ac:dyDescent="0.25">
      <c r="M1273" s="379"/>
      <c r="BB1273" s="206" t="str">
        <f t="array" ref="BB1273">_xlfn.IFS(AQ1273="","",LEN(AQ1273)-LEN(SUBSTITUTE(AQ1273,".",""))=3,LEFT(AQ1273,vitri(".",AQ1273,3)-1),LEN(AQ1273)-LEN(SUBSTITUTE(AQ1273,".",""))=2,LEFT(AQ1273,vitri(".",AQ1273,2)-1),TRUE,LEFT(AQ1273,vitri(".",AQ1273,1)-1))</f>
        <v/>
      </c>
    </row>
    <row r="1274" spans="13:54" x14ac:dyDescent="0.25">
      <c r="M1274" s="379"/>
      <c r="BB1274" s="206" t="str">
        <f t="array" ref="BB1274">_xlfn.IFS(AQ1274="","",LEN(AQ1274)-LEN(SUBSTITUTE(AQ1274,".",""))=3,LEFT(AQ1274,vitri(".",AQ1274,3)-1),LEN(AQ1274)-LEN(SUBSTITUTE(AQ1274,".",""))=2,LEFT(AQ1274,vitri(".",AQ1274,2)-1),TRUE,LEFT(AQ1274,vitri(".",AQ1274,1)-1))</f>
        <v/>
      </c>
    </row>
    <row r="1275" spans="13:54" x14ac:dyDescent="0.25">
      <c r="M1275" s="379"/>
      <c r="BB1275" s="206" t="str">
        <f t="array" ref="BB1275">_xlfn.IFS(AQ1275="","",LEN(AQ1275)-LEN(SUBSTITUTE(AQ1275,".",""))=3,LEFT(AQ1275,vitri(".",AQ1275,3)-1),LEN(AQ1275)-LEN(SUBSTITUTE(AQ1275,".",""))=2,LEFT(AQ1275,vitri(".",AQ1275,2)-1),TRUE,LEFT(AQ1275,vitri(".",AQ1275,1)-1))</f>
        <v/>
      </c>
    </row>
    <row r="1276" spans="13:54" x14ac:dyDescent="0.25">
      <c r="M1276" s="379"/>
      <c r="BB1276" s="206" t="str">
        <f t="array" ref="BB1276">_xlfn.IFS(AQ1276="","",LEN(AQ1276)-LEN(SUBSTITUTE(AQ1276,".",""))=3,LEFT(AQ1276,vitri(".",AQ1276,3)-1),LEN(AQ1276)-LEN(SUBSTITUTE(AQ1276,".",""))=2,LEFT(AQ1276,vitri(".",AQ1276,2)-1),TRUE,LEFT(AQ1276,vitri(".",AQ1276,1)-1))</f>
        <v/>
      </c>
    </row>
    <row r="1277" spans="13:54" x14ac:dyDescent="0.25">
      <c r="M1277" s="379"/>
      <c r="BB1277" s="206" t="str">
        <f t="array" ref="BB1277">_xlfn.IFS(AQ1277="","",LEN(AQ1277)-LEN(SUBSTITUTE(AQ1277,".",""))=3,LEFT(AQ1277,vitri(".",AQ1277,3)-1),LEN(AQ1277)-LEN(SUBSTITUTE(AQ1277,".",""))=2,LEFT(AQ1277,vitri(".",AQ1277,2)-1),TRUE,LEFT(AQ1277,vitri(".",AQ1277,1)-1))</f>
        <v/>
      </c>
    </row>
    <row r="1278" spans="13:54" x14ac:dyDescent="0.25">
      <c r="M1278" s="379"/>
      <c r="BB1278" s="206" t="str">
        <f t="array" ref="BB1278">_xlfn.IFS(AQ1278="","",LEN(AQ1278)-LEN(SUBSTITUTE(AQ1278,".",""))=3,LEFT(AQ1278,vitri(".",AQ1278,3)-1),LEN(AQ1278)-LEN(SUBSTITUTE(AQ1278,".",""))=2,LEFT(AQ1278,vitri(".",AQ1278,2)-1),TRUE,LEFT(AQ1278,vitri(".",AQ1278,1)-1))</f>
        <v/>
      </c>
    </row>
    <row r="1279" spans="13:54" x14ac:dyDescent="0.25">
      <c r="M1279" s="379"/>
      <c r="BB1279" s="206" t="str">
        <f t="array" ref="BB1279">_xlfn.IFS(AQ1279="","",LEN(AQ1279)-LEN(SUBSTITUTE(AQ1279,".",""))=3,LEFT(AQ1279,vitri(".",AQ1279,3)-1),LEN(AQ1279)-LEN(SUBSTITUTE(AQ1279,".",""))=2,LEFT(AQ1279,vitri(".",AQ1279,2)-1),TRUE,LEFT(AQ1279,vitri(".",AQ1279,1)-1))</f>
        <v/>
      </c>
    </row>
    <row r="1280" spans="13:54" x14ac:dyDescent="0.25">
      <c r="M1280" s="379"/>
      <c r="BB1280" s="206" t="str">
        <f t="array" ref="BB1280">_xlfn.IFS(AQ1280="","",LEN(AQ1280)-LEN(SUBSTITUTE(AQ1280,".",""))=3,LEFT(AQ1280,vitri(".",AQ1280,3)-1),LEN(AQ1280)-LEN(SUBSTITUTE(AQ1280,".",""))=2,LEFT(AQ1280,vitri(".",AQ1280,2)-1),TRUE,LEFT(AQ1280,vitri(".",AQ1280,1)-1))</f>
        <v/>
      </c>
    </row>
    <row r="1281" spans="13:54" x14ac:dyDescent="0.25">
      <c r="M1281" s="379"/>
      <c r="BB1281" s="206" t="str">
        <f t="array" ref="BB1281">_xlfn.IFS(AQ1281="","",LEN(AQ1281)-LEN(SUBSTITUTE(AQ1281,".",""))=3,LEFT(AQ1281,vitri(".",AQ1281,3)-1),LEN(AQ1281)-LEN(SUBSTITUTE(AQ1281,".",""))=2,LEFT(AQ1281,vitri(".",AQ1281,2)-1),TRUE,LEFT(AQ1281,vitri(".",AQ1281,1)-1))</f>
        <v/>
      </c>
    </row>
    <row r="1282" spans="13:54" x14ac:dyDescent="0.25">
      <c r="M1282" s="379"/>
      <c r="BB1282" s="206" t="str">
        <f t="array" ref="BB1282">_xlfn.IFS(AQ1282="","",LEN(AQ1282)-LEN(SUBSTITUTE(AQ1282,".",""))=3,LEFT(AQ1282,vitri(".",AQ1282,3)-1),LEN(AQ1282)-LEN(SUBSTITUTE(AQ1282,".",""))=2,LEFT(AQ1282,vitri(".",AQ1282,2)-1),TRUE,LEFT(AQ1282,vitri(".",AQ1282,1)-1))</f>
        <v/>
      </c>
    </row>
    <row r="1283" spans="13:54" x14ac:dyDescent="0.25">
      <c r="M1283" s="379"/>
      <c r="BB1283" s="206" t="str">
        <f t="array" ref="BB1283">_xlfn.IFS(AQ1283="","",LEN(AQ1283)-LEN(SUBSTITUTE(AQ1283,".",""))=3,LEFT(AQ1283,vitri(".",AQ1283,3)-1),LEN(AQ1283)-LEN(SUBSTITUTE(AQ1283,".",""))=2,LEFT(AQ1283,vitri(".",AQ1283,2)-1),TRUE,LEFT(AQ1283,vitri(".",AQ1283,1)-1))</f>
        <v/>
      </c>
    </row>
    <row r="1284" spans="13:54" x14ac:dyDescent="0.25">
      <c r="M1284" s="379"/>
      <c r="BB1284" s="206" t="str">
        <f t="array" ref="BB1284">_xlfn.IFS(AQ1284="","",LEN(AQ1284)-LEN(SUBSTITUTE(AQ1284,".",""))=3,LEFT(AQ1284,vitri(".",AQ1284,3)-1),LEN(AQ1284)-LEN(SUBSTITUTE(AQ1284,".",""))=2,LEFT(AQ1284,vitri(".",AQ1284,2)-1),TRUE,LEFT(AQ1284,vitri(".",AQ1284,1)-1))</f>
        <v/>
      </c>
    </row>
    <row r="1285" spans="13:54" x14ac:dyDescent="0.25">
      <c r="M1285" s="379"/>
      <c r="BB1285" s="206" t="str">
        <f t="array" ref="BB1285">_xlfn.IFS(AQ1285="","",LEN(AQ1285)-LEN(SUBSTITUTE(AQ1285,".",""))=3,LEFT(AQ1285,vitri(".",AQ1285,3)-1),LEN(AQ1285)-LEN(SUBSTITUTE(AQ1285,".",""))=2,LEFT(AQ1285,vitri(".",AQ1285,2)-1),TRUE,LEFT(AQ1285,vitri(".",AQ1285,1)-1))</f>
        <v/>
      </c>
    </row>
    <row r="1286" spans="13:54" x14ac:dyDescent="0.25">
      <c r="M1286" s="379"/>
      <c r="BB1286" s="206" t="str">
        <f t="array" ref="BB1286">_xlfn.IFS(AQ1286="","",LEN(AQ1286)-LEN(SUBSTITUTE(AQ1286,".",""))=3,LEFT(AQ1286,vitri(".",AQ1286,3)-1),LEN(AQ1286)-LEN(SUBSTITUTE(AQ1286,".",""))=2,LEFT(AQ1286,vitri(".",AQ1286,2)-1),TRUE,LEFT(AQ1286,vitri(".",AQ1286,1)-1))</f>
        <v/>
      </c>
    </row>
    <row r="1287" spans="13:54" x14ac:dyDescent="0.25">
      <c r="M1287" s="379"/>
      <c r="BB1287" s="206" t="str">
        <f t="array" ref="BB1287">_xlfn.IFS(AQ1287="","",LEN(AQ1287)-LEN(SUBSTITUTE(AQ1287,".",""))=3,LEFT(AQ1287,vitri(".",AQ1287,3)-1),LEN(AQ1287)-LEN(SUBSTITUTE(AQ1287,".",""))=2,LEFT(AQ1287,vitri(".",AQ1287,2)-1),TRUE,LEFT(AQ1287,vitri(".",AQ1287,1)-1))</f>
        <v/>
      </c>
    </row>
    <row r="1288" spans="13:54" x14ac:dyDescent="0.25">
      <c r="M1288" s="379"/>
      <c r="BB1288" s="206" t="str">
        <f t="array" ref="BB1288">_xlfn.IFS(AQ1288="","",LEN(AQ1288)-LEN(SUBSTITUTE(AQ1288,".",""))=3,LEFT(AQ1288,vitri(".",AQ1288,3)-1),LEN(AQ1288)-LEN(SUBSTITUTE(AQ1288,".",""))=2,LEFT(AQ1288,vitri(".",AQ1288,2)-1),TRUE,LEFT(AQ1288,vitri(".",AQ1288,1)-1))</f>
        <v/>
      </c>
    </row>
    <row r="1289" spans="13:54" x14ac:dyDescent="0.25">
      <c r="M1289" s="379"/>
      <c r="BB1289" s="206" t="str">
        <f t="array" ref="BB1289">_xlfn.IFS(AQ1289="","",LEN(AQ1289)-LEN(SUBSTITUTE(AQ1289,".",""))=3,LEFT(AQ1289,vitri(".",AQ1289,3)-1),LEN(AQ1289)-LEN(SUBSTITUTE(AQ1289,".",""))=2,LEFT(AQ1289,vitri(".",AQ1289,2)-1),TRUE,LEFT(AQ1289,vitri(".",AQ1289,1)-1))</f>
        <v/>
      </c>
    </row>
    <row r="1290" spans="13:54" x14ac:dyDescent="0.25">
      <c r="M1290" s="379"/>
      <c r="BB1290" s="206" t="str">
        <f t="array" ref="BB1290">_xlfn.IFS(AQ1290="","",LEN(AQ1290)-LEN(SUBSTITUTE(AQ1290,".",""))=3,LEFT(AQ1290,vitri(".",AQ1290,3)-1),LEN(AQ1290)-LEN(SUBSTITUTE(AQ1290,".",""))=2,LEFT(AQ1290,vitri(".",AQ1290,2)-1),TRUE,LEFT(AQ1290,vitri(".",AQ1290,1)-1))</f>
        <v/>
      </c>
    </row>
    <row r="1291" spans="13:54" x14ac:dyDescent="0.25">
      <c r="M1291" s="379"/>
      <c r="BB1291" s="206" t="str">
        <f t="array" ref="BB1291">_xlfn.IFS(AQ1291="","",LEN(AQ1291)-LEN(SUBSTITUTE(AQ1291,".",""))=3,LEFT(AQ1291,vitri(".",AQ1291,3)-1),LEN(AQ1291)-LEN(SUBSTITUTE(AQ1291,".",""))=2,LEFT(AQ1291,vitri(".",AQ1291,2)-1),TRUE,LEFT(AQ1291,vitri(".",AQ1291,1)-1))</f>
        <v/>
      </c>
    </row>
    <row r="1292" spans="13:54" x14ac:dyDescent="0.25">
      <c r="M1292" s="379"/>
      <c r="BB1292" s="206" t="str">
        <f t="array" ref="BB1292">_xlfn.IFS(AQ1292="","",LEN(AQ1292)-LEN(SUBSTITUTE(AQ1292,".",""))=3,LEFT(AQ1292,vitri(".",AQ1292,3)-1),LEN(AQ1292)-LEN(SUBSTITUTE(AQ1292,".",""))=2,LEFT(AQ1292,vitri(".",AQ1292,2)-1),TRUE,LEFT(AQ1292,vitri(".",AQ1292,1)-1))</f>
        <v/>
      </c>
    </row>
    <row r="1293" spans="13:54" x14ac:dyDescent="0.25">
      <c r="M1293" s="379"/>
      <c r="BB1293" s="206" t="str">
        <f t="array" ref="BB1293">_xlfn.IFS(AQ1293="","",LEN(AQ1293)-LEN(SUBSTITUTE(AQ1293,".",""))=3,LEFT(AQ1293,vitri(".",AQ1293,3)-1),LEN(AQ1293)-LEN(SUBSTITUTE(AQ1293,".",""))=2,LEFT(AQ1293,vitri(".",AQ1293,2)-1),TRUE,LEFT(AQ1293,vitri(".",AQ1293,1)-1))</f>
        <v/>
      </c>
    </row>
    <row r="1294" spans="13:54" x14ac:dyDescent="0.25">
      <c r="M1294" s="379"/>
      <c r="BB1294" s="206" t="str">
        <f t="array" ref="BB1294">_xlfn.IFS(AQ1294="","",LEN(AQ1294)-LEN(SUBSTITUTE(AQ1294,".",""))=3,LEFT(AQ1294,vitri(".",AQ1294,3)-1),LEN(AQ1294)-LEN(SUBSTITUTE(AQ1294,".",""))=2,LEFT(AQ1294,vitri(".",AQ1294,2)-1),TRUE,LEFT(AQ1294,vitri(".",AQ1294,1)-1))</f>
        <v/>
      </c>
    </row>
    <row r="1295" spans="13:54" x14ac:dyDescent="0.25">
      <c r="M1295" s="379"/>
      <c r="BB1295" s="206" t="str">
        <f t="array" ref="BB1295">_xlfn.IFS(AQ1295="","",LEN(AQ1295)-LEN(SUBSTITUTE(AQ1295,".",""))=3,LEFT(AQ1295,vitri(".",AQ1295,3)-1),LEN(AQ1295)-LEN(SUBSTITUTE(AQ1295,".",""))=2,LEFT(AQ1295,vitri(".",AQ1295,2)-1),TRUE,LEFT(AQ1295,vitri(".",AQ1295,1)-1))</f>
        <v/>
      </c>
    </row>
    <row r="1296" spans="13:54" x14ac:dyDescent="0.25">
      <c r="M1296" s="379"/>
      <c r="BB1296" s="206" t="str">
        <f t="array" ref="BB1296">_xlfn.IFS(AQ1296="","",LEN(AQ1296)-LEN(SUBSTITUTE(AQ1296,".",""))=3,LEFT(AQ1296,vitri(".",AQ1296,3)-1),LEN(AQ1296)-LEN(SUBSTITUTE(AQ1296,".",""))=2,LEFT(AQ1296,vitri(".",AQ1296,2)-1),TRUE,LEFT(AQ1296,vitri(".",AQ1296,1)-1))</f>
        <v/>
      </c>
    </row>
    <row r="1297" spans="13:54" x14ac:dyDescent="0.25">
      <c r="M1297" s="379"/>
      <c r="BB1297" s="206" t="str">
        <f t="array" ref="BB1297">_xlfn.IFS(AQ1297="","",LEN(AQ1297)-LEN(SUBSTITUTE(AQ1297,".",""))=3,LEFT(AQ1297,vitri(".",AQ1297,3)-1),LEN(AQ1297)-LEN(SUBSTITUTE(AQ1297,".",""))=2,LEFT(AQ1297,vitri(".",AQ1297,2)-1),TRUE,LEFT(AQ1297,vitri(".",AQ1297,1)-1))</f>
        <v/>
      </c>
    </row>
    <row r="1298" spans="13:54" x14ac:dyDescent="0.25">
      <c r="M1298" s="379"/>
      <c r="BB1298" s="206" t="str">
        <f t="array" ref="BB1298">_xlfn.IFS(AQ1298="","",LEN(AQ1298)-LEN(SUBSTITUTE(AQ1298,".",""))=3,LEFT(AQ1298,vitri(".",AQ1298,3)-1),LEN(AQ1298)-LEN(SUBSTITUTE(AQ1298,".",""))=2,LEFT(AQ1298,vitri(".",AQ1298,2)-1),TRUE,LEFT(AQ1298,vitri(".",AQ1298,1)-1))</f>
        <v/>
      </c>
    </row>
    <row r="1299" spans="13:54" x14ac:dyDescent="0.25">
      <c r="M1299" s="379"/>
      <c r="BB1299" s="206" t="str">
        <f t="array" ref="BB1299">_xlfn.IFS(AQ1299="","",LEN(AQ1299)-LEN(SUBSTITUTE(AQ1299,".",""))=3,LEFT(AQ1299,vitri(".",AQ1299,3)-1),LEN(AQ1299)-LEN(SUBSTITUTE(AQ1299,".",""))=2,LEFT(AQ1299,vitri(".",AQ1299,2)-1),TRUE,LEFT(AQ1299,vitri(".",AQ1299,1)-1))</f>
        <v/>
      </c>
    </row>
    <row r="1300" spans="13:54" x14ac:dyDescent="0.25">
      <c r="M1300" s="379"/>
      <c r="BB1300" s="206" t="str">
        <f t="array" ref="BB1300">_xlfn.IFS(AQ1300="","",LEN(AQ1300)-LEN(SUBSTITUTE(AQ1300,".",""))=3,LEFT(AQ1300,vitri(".",AQ1300,3)-1),LEN(AQ1300)-LEN(SUBSTITUTE(AQ1300,".",""))=2,LEFT(AQ1300,vitri(".",AQ1300,2)-1),TRUE,LEFT(AQ1300,vitri(".",AQ1300,1)-1))</f>
        <v/>
      </c>
    </row>
    <row r="1301" spans="13:54" x14ac:dyDescent="0.25">
      <c r="M1301" s="379"/>
      <c r="BB1301" s="206" t="str">
        <f t="array" ref="BB1301">_xlfn.IFS(AQ1301="","",LEN(AQ1301)-LEN(SUBSTITUTE(AQ1301,".",""))=3,LEFT(AQ1301,vitri(".",AQ1301,3)-1),LEN(AQ1301)-LEN(SUBSTITUTE(AQ1301,".",""))=2,LEFT(AQ1301,vitri(".",AQ1301,2)-1),TRUE,LEFT(AQ1301,vitri(".",AQ1301,1)-1))</f>
        <v/>
      </c>
    </row>
    <row r="1302" spans="13:54" x14ac:dyDescent="0.25">
      <c r="M1302" s="379"/>
      <c r="BB1302" s="206" t="str">
        <f t="array" ref="BB1302">_xlfn.IFS(AQ1302="","",LEN(AQ1302)-LEN(SUBSTITUTE(AQ1302,".",""))=3,LEFT(AQ1302,vitri(".",AQ1302,3)-1),LEN(AQ1302)-LEN(SUBSTITUTE(AQ1302,".",""))=2,LEFT(AQ1302,vitri(".",AQ1302,2)-1),TRUE,LEFT(AQ1302,vitri(".",AQ1302,1)-1))</f>
        <v/>
      </c>
    </row>
    <row r="1303" spans="13:54" x14ac:dyDescent="0.25">
      <c r="M1303" s="379"/>
      <c r="BB1303" s="206" t="str">
        <f t="array" ref="BB1303">_xlfn.IFS(AQ1303="","",LEN(AQ1303)-LEN(SUBSTITUTE(AQ1303,".",""))=3,LEFT(AQ1303,vitri(".",AQ1303,3)-1),LEN(AQ1303)-LEN(SUBSTITUTE(AQ1303,".",""))=2,LEFT(AQ1303,vitri(".",AQ1303,2)-1),TRUE,LEFT(AQ1303,vitri(".",AQ1303,1)-1))</f>
        <v/>
      </c>
    </row>
    <row r="1304" spans="13:54" x14ac:dyDescent="0.25">
      <c r="M1304" s="379"/>
      <c r="BB1304" s="206" t="str">
        <f t="array" ref="BB1304">_xlfn.IFS(AQ1304="","",LEN(AQ1304)-LEN(SUBSTITUTE(AQ1304,".",""))=3,LEFT(AQ1304,vitri(".",AQ1304,3)-1),LEN(AQ1304)-LEN(SUBSTITUTE(AQ1304,".",""))=2,LEFT(AQ1304,vitri(".",AQ1304,2)-1),TRUE,LEFT(AQ1304,vitri(".",AQ1304,1)-1))</f>
        <v/>
      </c>
    </row>
    <row r="1305" spans="13:54" x14ac:dyDescent="0.25">
      <c r="M1305" s="379"/>
      <c r="BB1305" s="206" t="str">
        <f t="array" ref="BB1305">_xlfn.IFS(AQ1305="","",LEN(AQ1305)-LEN(SUBSTITUTE(AQ1305,".",""))=3,LEFT(AQ1305,vitri(".",AQ1305,3)-1),LEN(AQ1305)-LEN(SUBSTITUTE(AQ1305,".",""))=2,LEFT(AQ1305,vitri(".",AQ1305,2)-1),TRUE,LEFT(AQ1305,vitri(".",AQ1305,1)-1))</f>
        <v/>
      </c>
    </row>
    <row r="1306" spans="13:54" x14ac:dyDescent="0.25">
      <c r="M1306" s="379"/>
      <c r="BB1306" s="206" t="str">
        <f t="array" ref="BB1306">_xlfn.IFS(AQ1306="","",LEN(AQ1306)-LEN(SUBSTITUTE(AQ1306,".",""))=3,LEFT(AQ1306,vitri(".",AQ1306,3)-1),LEN(AQ1306)-LEN(SUBSTITUTE(AQ1306,".",""))=2,LEFT(AQ1306,vitri(".",AQ1306,2)-1),TRUE,LEFT(AQ1306,vitri(".",AQ1306,1)-1))</f>
        <v/>
      </c>
    </row>
    <row r="1307" spans="13:54" x14ac:dyDescent="0.25">
      <c r="M1307" s="379"/>
      <c r="BB1307" s="206" t="str">
        <f t="array" ref="BB1307">_xlfn.IFS(AQ1307="","",LEN(AQ1307)-LEN(SUBSTITUTE(AQ1307,".",""))=3,LEFT(AQ1307,vitri(".",AQ1307,3)-1),LEN(AQ1307)-LEN(SUBSTITUTE(AQ1307,".",""))=2,LEFT(AQ1307,vitri(".",AQ1307,2)-1),TRUE,LEFT(AQ1307,vitri(".",AQ1307,1)-1))</f>
        <v/>
      </c>
    </row>
    <row r="1308" spans="13:54" x14ac:dyDescent="0.25">
      <c r="M1308" s="379"/>
      <c r="BB1308" s="206" t="str">
        <f t="array" ref="BB1308">_xlfn.IFS(AQ1308="","",LEN(AQ1308)-LEN(SUBSTITUTE(AQ1308,".",""))=3,LEFT(AQ1308,vitri(".",AQ1308,3)-1),LEN(AQ1308)-LEN(SUBSTITUTE(AQ1308,".",""))=2,LEFT(AQ1308,vitri(".",AQ1308,2)-1),TRUE,LEFT(AQ1308,vitri(".",AQ1308,1)-1))</f>
        <v/>
      </c>
    </row>
    <row r="1309" spans="13:54" x14ac:dyDescent="0.25">
      <c r="M1309" s="379"/>
      <c r="BB1309" s="206" t="str">
        <f t="array" ref="BB1309">_xlfn.IFS(AQ1309="","",LEN(AQ1309)-LEN(SUBSTITUTE(AQ1309,".",""))=3,LEFT(AQ1309,vitri(".",AQ1309,3)-1),LEN(AQ1309)-LEN(SUBSTITUTE(AQ1309,".",""))=2,LEFT(AQ1309,vitri(".",AQ1309,2)-1),TRUE,LEFT(AQ1309,vitri(".",AQ1309,1)-1))</f>
        <v/>
      </c>
    </row>
    <row r="1310" spans="13:54" x14ac:dyDescent="0.25">
      <c r="M1310" s="379"/>
      <c r="BB1310" s="206" t="str">
        <f t="array" ref="BB1310">_xlfn.IFS(AQ1310="","",LEN(AQ1310)-LEN(SUBSTITUTE(AQ1310,".",""))=3,LEFT(AQ1310,vitri(".",AQ1310,3)-1),LEN(AQ1310)-LEN(SUBSTITUTE(AQ1310,".",""))=2,LEFT(AQ1310,vitri(".",AQ1310,2)-1),TRUE,LEFT(AQ1310,vitri(".",AQ1310,1)-1))</f>
        <v/>
      </c>
    </row>
    <row r="1311" spans="13:54" x14ac:dyDescent="0.25">
      <c r="M1311" s="379"/>
      <c r="BB1311" s="206" t="str">
        <f t="array" ref="BB1311">_xlfn.IFS(AQ1311="","",LEN(AQ1311)-LEN(SUBSTITUTE(AQ1311,".",""))=3,LEFT(AQ1311,vitri(".",AQ1311,3)-1),LEN(AQ1311)-LEN(SUBSTITUTE(AQ1311,".",""))=2,LEFT(AQ1311,vitri(".",AQ1311,2)-1),TRUE,LEFT(AQ1311,vitri(".",AQ1311,1)-1))</f>
        <v/>
      </c>
    </row>
    <row r="1312" spans="13:54" x14ac:dyDescent="0.25">
      <c r="M1312" s="379"/>
      <c r="BB1312" s="206" t="str">
        <f t="array" ref="BB1312">_xlfn.IFS(AQ1312="","",LEN(AQ1312)-LEN(SUBSTITUTE(AQ1312,".",""))=3,LEFT(AQ1312,vitri(".",AQ1312,3)-1),LEN(AQ1312)-LEN(SUBSTITUTE(AQ1312,".",""))=2,LEFT(AQ1312,vitri(".",AQ1312,2)-1),TRUE,LEFT(AQ1312,vitri(".",AQ1312,1)-1))</f>
        <v/>
      </c>
    </row>
    <row r="1313" spans="13:54" x14ac:dyDescent="0.25">
      <c r="M1313" s="379"/>
      <c r="BB1313" s="206" t="str">
        <f t="array" ref="BB1313">_xlfn.IFS(AQ1313="","",LEN(AQ1313)-LEN(SUBSTITUTE(AQ1313,".",""))=3,LEFT(AQ1313,vitri(".",AQ1313,3)-1),LEN(AQ1313)-LEN(SUBSTITUTE(AQ1313,".",""))=2,LEFT(AQ1313,vitri(".",AQ1313,2)-1),TRUE,LEFT(AQ1313,vitri(".",AQ1313,1)-1))</f>
        <v/>
      </c>
    </row>
    <row r="1314" spans="13:54" x14ac:dyDescent="0.25">
      <c r="M1314" s="379"/>
      <c r="BB1314" s="206" t="str">
        <f t="array" ref="BB1314">_xlfn.IFS(AQ1314="","",LEN(AQ1314)-LEN(SUBSTITUTE(AQ1314,".",""))=3,LEFT(AQ1314,vitri(".",AQ1314,3)-1),LEN(AQ1314)-LEN(SUBSTITUTE(AQ1314,".",""))=2,LEFT(AQ1314,vitri(".",AQ1314,2)-1),TRUE,LEFT(AQ1314,vitri(".",AQ1314,1)-1))</f>
        <v/>
      </c>
    </row>
    <row r="1315" spans="13:54" x14ac:dyDescent="0.25">
      <c r="M1315" s="379"/>
      <c r="BB1315" s="206" t="str">
        <f t="array" ref="BB1315">_xlfn.IFS(AQ1315="","",LEN(AQ1315)-LEN(SUBSTITUTE(AQ1315,".",""))=3,LEFT(AQ1315,vitri(".",AQ1315,3)-1),LEN(AQ1315)-LEN(SUBSTITUTE(AQ1315,".",""))=2,LEFT(AQ1315,vitri(".",AQ1315,2)-1),TRUE,LEFT(AQ1315,vitri(".",AQ1315,1)-1))</f>
        <v/>
      </c>
    </row>
    <row r="1316" spans="13:54" x14ac:dyDescent="0.25">
      <c r="M1316" s="379"/>
      <c r="BB1316" s="206" t="str">
        <f t="array" ref="BB1316">_xlfn.IFS(AQ1316="","",LEN(AQ1316)-LEN(SUBSTITUTE(AQ1316,".",""))=3,LEFT(AQ1316,vitri(".",AQ1316,3)-1),LEN(AQ1316)-LEN(SUBSTITUTE(AQ1316,".",""))=2,LEFT(AQ1316,vitri(".",AQ1316,2)-1),TRUE,LEFT(AQ1316,vitri(".",AQ1316,1)-1))</f>
        <v/>
      </c>
    </row>
    <row r="1317" spans="13:54" x14ac:dyDescent="0.25">
      <c r="M1317" s="379"/>
      <c r="BB1317" s="206" t="str">
        <f t="array" ref="BB1317">_xlfn.IFS(AQ1317="","",LEN(AQ1317)-LEN(SUBSTITUTE(AQ1317,".",""))=3,LEFT(AQ1317,vitri(".",AQ1317,3)-1),LEN(AQ1317)-LEN(SUBSTITUTE(AQ1317,".",""))=2,LEFT(AQ1317,vitri(".",AQ1317,2)-1),TRUE,LEFT(AQ1317,vitri(".",AQ1317,1)-1))</f>
        <v/>
      </c>
    </row>
    <row r="1318" spans="13:54" x14ac:dyDescent="0.25">
      <c r="M1318" s="379"/>
      <c r="BB1318" s="206" t="str">
        <f t="array" ref="BB1318">_xlfn.IFS(AQ1318="","",LEN(AQ1318)-LEN(SUBSTITUTE(AQ1318,".",""))=3,LEFT(AQ1318,vitri(".",AQ1318,3)-1),LEN(AQ1318)-LEN(SUBSTITUTE(AQ1318,".",""))=2,LEFT(AQ1318,vitri(".",AQ1318,2)-1),TRUE,LEFT(AQ1318,vitri(".",AQ1318,1)-1))</f>
        <v/>
      </c>
    </row>
    <row r="1319" spans="13:54" x14ac:dyDescent="0.25">
      <c r="M1319" s="379"/>
      <c r="BB1319" s="206" t="str">
        <f t="array" ref="BB1319">_xlfn.IFS(AQ1319="","",LEN(AQ1319)-LEN(SUBSTITUTE(AQ1319,".",""))=3,LEFT(AQ1319,vitri(".",AQ1319,3)-1),LEN(AQ1319)-LEN(SUBSTITUTE(AQ1319,".",""))=2,LEFT(AQ1319,vitri(".",AQ1319,2)-1),TRUE,LEFT(AQ1319,vitri(".",AQ1319,1)-1))</f>
        <v/>
      </c>
    </row>
    <row r="1320" spans="13:54" x14ac:dyDescent="0.25">
      <c r="M1320" s="379"/>
      <c r="BB1320" s="206" t="str">
        <f t="array" ref="BB1320">_xlfn.IFS(AQ1320="","",LEN(AQ1320)-LEN(SUBSTITUTE(AQ1320,".",""))=3,LEFT(AQ1320,vitri(".",AQ1320,3)-1),LEN(AQ1320)-LEN(SUBSTITUTE(AQ1320,".",""))=2,LEFT(AQ1320,vitri(".",AQ1320,2)-1),TRUE,LEFT(AQ1320,vitri(".",AQ1320,1)-1))</f>
        <v/>
      </c>
    </row>
    <row r="1321" spans="13:54" x14ac:dyDescent="0.25">
      <c r="M1321" s="379"/>
      <c r="BB1321" s="206" t="str">
        <f t="array" ref="BB1321">_xlfn.IFS(AQ1321="","",LEN(AQ1321)-LEN(SUBSTITUTE(AQ1321,".",""))=3,LEFT(AQ1321,vitri(".",AQ1321,3)-1),LEN(AQ1321)-LEN(SUBSTITUTE(AQ1321,".",""))=2,LEFT(AQ1321,vitri(".",AQ1321,2)-1),TRUE,LEFT(AQ1321,vitri(".",AQ1321,1)-1))</f>
        <v/>
      </c>
    </row>
    <row r="1322" spans="13:54" x14ac:dyDescent="0.25">
      <c r="M1322" s="379"/>
      <c r="BB1322" s="206" t="str">
        <f t="array" ref="BB1322">_xlfn.IFS(AQ1322="","",LEN(AQ1322)-LEN(SUBSTITUTE(AQ1322,".",""))=3,LEFT(AQ1322,vitri(".",AQ1322,3)-1),LEN(AQ1322)-LEN(SUBSTITUTE(AQ1322,".",""))=2,LEFT(AQ1322,vitri(".",AQ1322,2)-1),TRUE,LEFT(AQ1322,vitri(".",AQ1322,1)-1))</f>
        <v/>
      </c>
    </row>
    <row r="1323" spans="13:54" x14ac:dyDescent="0.25">
      <c r="M1323" s="379"/>
      <c r="BB1323" s="206" t="str">
        <f t="array" ref="BB1323">_xlfn.IFS(AQ1323="","",LEN(AQ1323)-LEN(SUBSTITUTE(AQ1323,".",""))=3,LEFT(AQ1323,vitri(".",AQ1323,3)-1),LEN(AQ1323)-LEN(SUBSTITUTE(AQ1323,".",""))=2,LEFT(AQ1323,vitri(".",AQ1323,2)-1),TRUE,LEFT(AQ1323,vitri(".",AQ1323,1)-1))</f>
        <v/>
      </c>
    </row>
    <row r="1324" spans="13:54" x14ac:dyDescent="0.25">
      <c r="M1324" s="379"/>
      <c r="BB1324" s="206" t="str">
        <f t="array" ref="BB1324">_xlfn.IFS(AQ1324="","",LEN(AQ1324)-LEN(SUBSTITUTE(AQ1324,".",""))=3,LEFT(AQ1324,vitri(".",AQ1324,3)-1),LEN(AQ1324)-LEN(SUBSTITUTE(AQ1324,".",""))=2,LEFT(AQ1324,vitri(".",AQ1324,2)-1),TRUE,LEFT(AQ1324,vitri(".",AQ1324,1)-1))</f>
        <v/>
      </c>
    </row>
    <row r="1325" spans="13:54" x14ac:dyDescent="0.25">
      <c r="M1325" s="379"/>
      <c r="BB1325" s="206" t="str">
        <f t="array" ref="BB1325">_xlfn.IFS(AQ1325="","",LEN(AQ1325)-LEN(SUBSTITUTE(AQ1325,".",""))=3,LEFT(AQ1325,vitri(".",AQ1325,3)-1),LEN(AQ1325)-LEN(SUBSTITUTE(AQ1325,".",""))=2,LEFT(AQ1325,vitri(".",AQ1325,2)-1),TRUE,LEFT(AQ1325,vitri(".",AQ1325,1)-1))</f>
        <v/>
      </c>
    </row>
    <row r="1326" spans="13:54" x14ac:dyDescent="0.25">
      <c r="M1326" s="379"/>
      <c r="BB1326" s="206" t="str">
        <f t="array" ref="BB1326">_xlfn.IFS(AQ1326="","",LEN(AQ1326)-LEN(SUBSTITUTE(AQ1326,".",""))=3,LEFT(AQ1326,vitri(".",AQ1326,3)-1),LEN(AQ1326)-LEN(SUBSTITUTE(AQ1326,".",""))=2,LEFT(AQ1326,vitri(".",AQ1326,2)-1),TRUE,LEFT(AQ1326,vitri(".",AQ1326,1)-1))</f>
        <v/>
      </c>
    </row>
    <row r="1327" spans="13:54" x14ac:dyDescent="0.25">
      <c r="M1327" s="379"/>
      <c r="BB1327" s="206" t="str">
        <f t="array" ref="BB1327">_xlfn.IFS(AQ1327="","",LEN(AQ1327)-LEN(SUBSTITUTE(AQ1327,".",""))=3,LEFT(AQ1327,vitri(".",AQ1327,3)-1),LEN(AQ1327)-LEN(SUBSTITUTE(AQ1327,".",""))=2,LEFT(AQ1327,vitri(".",AQ1327,2)-1),TRUE,LEFT(AQ1327,vitri(".",AQ1327,1)-1))</f>
        <v/>
      </c>
    </row>
    <row r="1328" spans="13:54" x14ac:dyDescent="0.25">
      <c r="M1328" s="379"/>
      <c r="BB1328" s="206" t="str">
        <f t="array" ref="BB1328">_xlfn.IFS(AQ1328="","",LEN(AQ1328)-LEN(SUBSTITUTE(AQ1328,".",""))=3,LEFT(AQ1328,vitri(".",AQ1328,3)-1),LEN(AQ1328)-LEN(SUBSTITUTE(AQ1328,".",""))=2,LEFT(AQ1328,vitri(".",AQ1328,2)-1),TRUE,LEFT(AQ1328,vitri(".",AQ1328,1)-1))</f>
        <v/>
      </c>
    </row>
    <row r="1329" spans="13:54" x14ac:dyDescent="0.25">
      <c r="M1329" s="379"/>
      <c r="BB1329" s="206" t="str">
        <f t="array" ref="BB1329">_xlfn.IFS(AQ1329="","",LEN(AQ1329)-LEN(SUBSTITUTE(AQ1329,".",""))=3,LEFT(AQ1329,vitri(".",AQ1329,3)-1),LEN(AQ1329)-LEN(SUBSTITUTE(AQ1329,".",""))=2,LEFT(AQ1329,vitri(".",AQ1329,2)-1),TRUE,LEFT(AQ1329,vitri(".",AQ1329,1)-1))</f>
        <v/>
      </c>
    </row>
    <row r="1330" spans="13:54" x14ac:dyDescent="0.25">
      <c r="M1330" s="379"/>
      <c r="BB1330" s="206" t="str">
        <f t="array" ref="BB1330">_xlfn.IFS(AQ1330="","",LEN(AQ1330)-LEN(SUBSTITUTE(AQ1330,".",""))=3,LEFT(AQ1330,vitri(".",AQ1330,3)-1),LEN(AQ1330)-LEN(SUBSTITUTE(AQ1330,".",""))=2,LEFT(AQ1330,vitri(".",AQ1330,2)-1),TRUE,LEFT(AQ1330,vitri(".",AQ1330,1)-1))</f>
        <v/>
      </c>
    </row>
    <row r="1331" spans="13:54" x14ac:dyDescent="0.25">
      <c r="M1331" s="379"/>
      <c r="BB1331" s="206" t="str">
        <f t="array" ref="BB1331">_xlfn.IFS(AQ1331="","",LEN(AQ1331)-LEN(SUBSTITUTE(AQ1331,".",""))=3,LEFT(AQ1331,vitri(".",AQ1331,3)-1),LEN(AQ1331)-LEN(SUBSTITUTE(AQ1331,".",""))=2,LEFT(AQ1331,vitri(".",AQ1331,2)-1),TRUE,LEFT(AQ1331,vitri(".",AQ1331,1)-1))</f>
        <v/>
      </c>
    </row>
    <row r="1332" spans="13:54" x14ac:dyDescent="0.25">
      <c r="M1332" s="379"/>
      <c r="BB1332" s="206" t="str">
        <f t="array" ref="BB1332">_xlfn.IFS(AQ1332="","",LEN(AQ1332)-LEN(SUBSTITUTE(AQ1332,".",""))=3,LEFT(AQ1332,vitri(".",AQ1332,3)-1),LEN(AQ1332)-LEN(SUBSTITUTE(AQ1332,".",""))=2,LEFT(AQ1332,vitri(".",AQ1332,2)-1),TRUE,LEFT(AQ1332,vitri(".",AQ1332,1)-1))</f>
        <v/>
      </c>
    </row>
    <row r="1333" spans="13:54" x14ac:dyDescent="0.25">
      <c r="M1333" s="379"/>
      <c r="BB1333" s="206" t="str">
        <f t="array" ref="BB1333">_xlfn.IFS(AQ1333="","",LEN(AQ1333)-LEN(SUBSTITUTE(AQ1333,".",""))=3,LEFT(AQ1333,vitri(".",AQ1333,3)-1),LEN(AQ1333)-LEN(SUBSTITUTE(AQ1333,".",""))=2,LEFT(AQ1333,vitri(".",AQ1333,2)-1),TRUE,LEFT(AQ1333,vitri(".",AQ1333,1)-1))</f>
        <v/>
      </c>
    </row>
    <row r="1334" spans="13:54" x14ac:dyDescent="0.25">
      <c r="M1334" s="379"/>
      <c r="BB1334" s="206" t="str">
        <f t="array" ref="BB1334">_xlfn.IFS(AQ1334="","",LEN(AQ1334)-LEN(SUBSTITUTE(AQ1334,".",""))=3,LEFT(AQ1334,vitri(".",AQ1334,3)-1),LEN(AQ1334)-LEN(SUBSTITUTE(AQ1334,".",""))=2,LEFT(AQ1334,vitri(".",AQ1334,2)-1),TRUE,LEFT(AQ1334,vitri(".",AQ1334,1)-1))</f>
        <v/>
      </c>
    </row>
    <row r="1335" spans="13:54" x14ac:dyDescent="0.25">
      <c r="M1335" s="379"/>
      <c r="BB1335" s="206" t="str">
        <f t="array" ref="BB1335">_xlfn.IFS(AQ1335="","",LEN(AQ1335)-LEN(SUBSTITUTE(AQ1335,".",""))=3,LEFT(AQ1335,vitri(".",AQ1335,3)-1),LEN(AQ1335)-LEN(SUBSTITUTE(AQ1335,".",""))=2,LEFT(AQ1335,vitri(".",AQ1335,2)-1),TRUE,LEFT(AQ1335,vitri(".",AQ1335,1)-1))</f>
        <v/>
      </c>
    </row>
    <row r="1336" spans="13:54" x14ac:dyDescent="0.25">
      <c r="M1336" s="379"/>
      <c r="BB1336" s="206" t="str">
        <f t="array" ref="BB1336">_xlfn.IFS(AQ1336="","",LEN(AQ1336)-LEN(SUBSTITUTE(AQ1336,".",""))=3,LEFT(AQ1336,vitri(".",AQ1336,3)-1),LEN(AQ1336)-LEN(SUBSTITUTE(AQ1336,".",""))=2,LEFT(AQ1336,vitri(".",AQ1336,2)-1),TRUE,LEFT(AQ1336,vitri(".",AQ1336,1)-1))</f>
        <v/>
      </c>
    </row>
    <row r="1337" spans="13:54" x14ac:dyDescent="0.25">
      <c r="M1337" s="379"/>
      <c r="BB1337" s="206" t="str">
        <f t="array" ref="BB1337">_xlfn.IFS(AQ1337="","",LEN(AQ1337)-LEN(SUBSTITUTE(AQ1337,".",""))=3,LEFT(AQ1337,vitri(".",AQ1337,3)-1),LEN(AQ1337)-LEN(SUBSTITUTE(AQ1337,".",""))=2,LEFT(AQ1337,vitri(".",AQ1337,2)-1),TRUE,LEFT(AQ1337,vitri(".",AQ1337,1)-1))</f>
        <v/>
      </c>
    </row>
    <row r="1338" spans="13:54" x14ac:dyDescent="0.25">
      <c r="M1338" s="379"/>
      <c r="BB1338" s="206" t="str">
        <f t="array" ref="BB1338">_xlfn.IFS(AQ1338="","",LEN(AQ1338)-LEN(SUBSTITUTE(AQ1338,".",""))=3,LEFT(AQ1338,vitri(".",AQ1338,3)-1),LEN(AQ1338)-LEN(SUBSTITUTE(AQ1338,".",""))=2,LEFT(AQ1338,vitri(".",AQ1338,2)-1),TRUE,LEFT(AQ1338,vitri(".",AQ1338,1)-1))</f>
        <v/>
      </c>
    </row>
    <row r="1339" spans="13:54" x14ac:dyDescent="0.25">
      <c r="M1339" s="379"/>
      <c r="BB1339" s="206" t="str">
        <f t="array" ref="BB1339">_xlfn.IFS(AQ1339="","",LEN(AQ1339)-LEN(SUBSTITUTE(AQ1339,".",""))=3,LEFT(AQ1339,vitri(".",AQ1339,3)-1),LEN(AQ1339)-LEN(SUBSTITUTE(AQ1339,".",""))=2,LEFT(AQ1339,vitri(".",AQ1339,2)-1),TRUE,LEFT(AQ1339,vitri(".",AQ1339,1)-1))</f>
        <v/>
      </c>
    </row>
    <row r="1340" spans="13:54" x14ac:dyDescent="0.25">
      <c r="M1340" s="379"/>
      <c r="BB1340" s="206" t="str">
        <f t="array" ref="BB1340">_xlfn.IFS(AQ1340="","",LEN(AQ1340)-LEN(SUBSTITUTE(AQ1340,".",""))=3,LEFT(AQ1340,vitri(".",AQ1340,3)-1),LEN(AQ1340)-LEN(SUBSTITUTE(AQ1340,".",""))=2,LEFT(AQ1340,vitri(".",AQ1340,2)-1),TRUE,LEFT(AQ1340,vitri(".",AQ1340,1)-1))</f>
        <v/>
      </c>
    </row>
    <row r="1341" spans="13:54" x14ac:dyDescent="0.25">
      <c r="M1341" s="379"/>
      <c r="BB1341" s="206" t="str">
        <f t="array" ref="BB1341">_xlfn.IFS(AQ1341="","",LEN(AQ1341)-LEN(SUBSTITUTE(AQ1341,".",""))=3,LEFT(AQ1341,vitri(".",AQ1341,3)-1),LEN(AQ1341)-LEN(SUBSTITUTE(AQ1341,".",""))=2,LEFT(AQ1341,vitri(".",AQ1341,2)-1),TRUE,LEFT(AQ1341,vitri(".",AQ1341,1)-1))</f>
        <v/>
      </c>
    </row>
    <row r="1342" spans="13:54" x14ac:dyDescent="0.25">
      <c r="M1342" s="379"/>
      <c r="BB1342" s="206" t="str">
        <f t="array" ref="BB1342">_xlfn.IFS(AQ1342="","",LEN(AQ1342)-LEN(SUBSTITUTE(AQ1342,".",""))=3,LEFT(AQ1342,vitri(".",AQ1342,3)-1),LEN(AQ1342)-LEN(SUBSTITUTE(AQ1342,".",""))=2,LEFT(AQ1342,vitri(".",AQ1342,2)-1),TRUE,LEFT(AQ1342,vitri(".",AQ1342,1)-1))</f>
        <v/>
      </c>
    </row>
    <row r="1343" spans="13:54" x14ac:dyDescent="0.25">
      <c r="M1343" s="379"/>
      <c r="BB1343" s="206" t="str">
        <f t="array" ref="BB1343">_xlfn.IFS(AQ1343="","",LEN(AQ1343)-LEN(SUBSTITUTE(AQ1343,".",""))=3,LEFT(AQ1343,vitri(".",AQ1343,3)-1),LEN(AQ1343)-LEN(SUBSTITUTE(AQ1343,".",""))=2,LEFT(AQ1343,vitri(".",AQ1343,2)-1),TRUE,LEFT(AQ1343,vitri(".",AQ1343,1)-1))</f>
        <v/>
      </c>
    </row>
    <row r="1344" spans="13:54" x14ac:dyDescent="0.25">
      <c r="M1344" s="379"/>
      <c r="BB1344" s="206" t="str">
        <f t="array" ref="BB1344">_xlfn.IFS(AQ1344="","",LEN(AQ1344)-LEN(SUBSTITUTE(AQ1344,".",""))=3,LEFT(AQ1344,vitri(".",AQ1344,3)-1),LEN(AQ1344)-LEN(SUBSTITUTE(AQ1344,".",""))=2,LEFT(AQ1344,vitri(".",AQ1344,2)-1),TRUE,LEFT(AQ1344,vitri(".",AQ1344,1)-1))</f>
        <v/>
      </c>
    </row>
    <row r="1345" spans="13:54" x14ac:dyDescent="0.25">
      <c r="M1345" s="379"/>
      <c r="BB1345" s="206" t="str">
        <f t="array" ref="BB1345">_xlfn.IFS(AQ1345="","",LEN(AQ1345)-LEN(SUBSTITUTE(AQ1345,".",""))=3,LEFT(AQ1345,vitri(".",AQ1345,3)-1),LEN(AQ1345)-LEN(SUBSTITUTE(AQ1345,".",""))=2,LEFT(AQ1345,vitri(".",AQ1345,2)-1),TRUE,LEFT(AQ1345,vitri(".",AQ1345,1)-1))</f>
        <v/>
      </c>
    </row>
    <row r="1346" spans="13:54" x14ac:dyDescent="0.25">
      <c r="M1346" s="379"/>
      <c r="BB1346" s="206" t="str">
        <f t="array" ref="BB1346">_xlfn.IFS(AQ1346="","",LEN(AQ1346)-LEN(SUBSTITUTE(AQ1346,".",""))=3,LEFT(AQ1346,vitri(".",AQ1346,3)-1),LEN(AQ1346)-LEN(SUBSTITUTE(AQ1346,".",""))=2,LEFT(AQ1346,vitri(".",AQ1346,2)-1),TRUE,LEFT(AQ1346,vitri(".",AQ1346,1)-1))</f>
        <v/>
      </c>
    </row>
    <row r="1347" spans="13:54" x14ac:dyDescent="0.25">
      <c r="M1347" s="379"/>
      <c r="BB1347" s="206" t="str">
        <f t="array" ref="BB1347">_xlfn.IFS(AQ1347="","",LEN(AQ1347)-LEN(SUBSTITUTE(AQ1347,".",""))=3,LEFT(AQ1347,vitri(".",AQ1347,3)-1),LEN(AQ1347)-LEN(SUBSTITUTE(AQ1347,".",""))=2,LEFT(AQ1347,vitri(".",AQ1347,2)-1),TRUE,LEFT(AQ1347,vitri(".",AQ1347,1)-1))</f>
        <v/>
      </c>
    </row>
    <row r="1348" spans="13:54" x14ac:dyDescent="0.25">
      <c r="M1348" s="379"/>
      <c r="BB1348" s="206" t="str">
        <f t="array" ref="BB1348">_xlfn.IFS(AQ1348="","",LEN(AQ1348)-LEN(SUBSTITUTE(AQ1348,".",""))=3,LEFT(AQ1348,vitri(".",AQ1348,3)-1),LEN(AQ1348)-LEN(SUBSTITUTE(AQ1348,".",""))=2,LEFT(AQ1348,vitri(".",AQ1348,2)-1),TRUE,LEFT(AQ1348,vitri(".",AQ1348,1)-1))</f>
        <v/>
      </c>
    </row>
    <row r="1349" spans="13:54" x14ac:dyDescent="0.25">
      <c r="M1349" s="379"/>
      <c r="BB1349" s="206" t="str">
        <f t="array" ref="BB1349">_xlfn.IFS(AQ1349="","",LEN(AQ1349)-LEN(SUBSTITUTE(AQ1349,".",""))=3,LEFT(AQ1349,vitri(".",AQ1349,3)-1),LEN(AQ1349)-LEN(SUBSTITUTE(AQ1349,".",""))=2,LEFT(AQ1349,vitri(".",AQ1349,2)-1),TRUE,LEFT(AQ1349,vitri(".",AQ1349,1)-1))</f>
        <v/>
      </c>
    </row>
    <row r="1350" spans="13:54" x14ac:dyDescent="0.25">
      <c r="M1350" s="379"/>
      <c r="BB1350" s="206" t="str">
        <f t="array" ref="BB1350">_xlfn.IFS(AQ1350="","",LEN(AQ1350)-LEN(SUBSTITUTE(AQ1350,".",""))=3,LEFT(AQ1350,vitri(".",AQ1350,3)-1),LEN(AQ1350)-LEN(SUBSTITUTE(AQ1350,".",""))=2,LEFT(AQ1350,vitri(".",AQ1350,2)-1),TRUE,LEFT(AQ1350,vitri(".",AQ1350,1)-1))</f>
        <v/>
      </c>
    </row>
    <row r="1351" spans="13:54" x14ac:dyDescent="0.25">
      <c r="M1351" s="379"/>
      <c r="BB1351" s="206" t="str">
        <f t="array" ref="BB1351">_xlfn.IFS(AQ1351="","",LEN(AQ1351)-LEN(SUBSTITUTE(AQ1351,".",""))=3,LEFT(AQ1351,vitri(".",AQ1351,3)-1),LEN(AQ1351)-LEN(SUBSTITUTE(AQ1351,".",""))=2,LEFT(AQ1351,vitri(".",AQ1351,2)-1),TRUE,LEFT(AQ1351,vitri(".",AQ1351,1)-1))</f>
        <v/>
      </c>
    </row>
    <row r="1352" spans="13:54" x14ac:dyDescent="0.25">
      <c r="M1352" s="379"/>
      <c r="BB1352" s="206" t="str">
        <f t="array" ref="BB1352">_xlfn.IFS(AQ1352="","",LEN(AQ1352)-LEN(SUBSTITUTE(AQ1352,".",""))=3,LEFT(AQ1352,vitri(".",AQ1352,3)-1),LEN(AQ1352)-LEN(SUBSTITUTE(AQ1352,".",""))=2,LEFT(AQ1352,vitri(".",AQ1352,2)-1),TRUE,LEFT(AQ1352,vitri(".",AQ1352,1)-1))</f>
        <v/>
      </c>
    </row>
    <row r="1353" spans="13:54" x14ac:dyDescent="0.25">
      <c r="M1353" s="379"/>
      <c r="BB1353" s="206" t="str">
        <f t="array" ref="BB1353">_xlfn.IFS(AQ1353="","",LEN(AQ1353)-LEN(SUBSTITUTE(AQ1353,".",""))=3,LEFT(AQ1353,vitri(".",AQ1353,3)-1),LEN(AQ1353)-LEN(SUBSTITUTE(AQ1353,".",""))=2,LEFT(AQ1353,vitri(".",AQ1353,2)-1),TRUE,LEFT(AQ1353,vitri(".",AQ1353,1)-1))</f>
        <v/>
      </c>
    </row>
    <row r="1354" spans="13:54" x14ac:dyDescent="0.25">
      <c r="M1354" s="379"/>
      <c r="BB1354" s="206" t="str">
        <f t="array" ref="BB1354">_xlfn.IFS(AQ1354="","",LEN(AQ1354)-LEN(SUBSTITUTE(AQ1354,".",""))=3,LEFT(AQ1354,vitri(".",AQ1354,3)-1),LEN(AQ1354)-LEN(SUBSTITUTE(AQ1354,".",""))=2,LEFT(AQ1354,vitri(".",AQ1354,2)-1),TRUE,LEFT(AQ1354,vitri(".",AQ1354,1)-1))</f>
        <v/>
      </c>
    </row>
    <row r="1355" spans="13:54" x14ac:dyDescent="0.25">
      <c r="M1355" s="379"/>
      <c r="BB1355" s="206" t="str">
        <f t="array" ref="BB1355">_xlfn.IFS(AQ1355="","",LEN(AQ1355)-LEN(SUBSTITUTE(AQ1355,".",""))=3,LEFT(AQ1355,vitri(".",AQ1355,3)-1),LEN(AQ1355)-LEN(SUBSTITUTE(AQ1355,".",""))=2,LEFT(AQ1355,vitri(".",AQ1355,2)-1),TRUE,LEFT(AQ1355,vitri(".",AQ1355,1)-1))</f>
        <v/>
      </c>
    </row>
    <row r="1356" spans="13:54" x14ac:dyDescent="0.25">
      <c r="M1356" s="379"/>
      <c r="BB1356" s="206" t="str">
        <f t="array" ref="BB1356">_xlfn.IFS(AQ1356="","",LEN(AQ1356)-LEN(SUBSTITUTE(AQ1356,".",""))=3,LEFT(AQ1356,vitri(".",AQ1356,3)-1),LEN(AQ1356)-LEN(SUBSTITUTE(AQ1356,".",""))=2,LEFT(AQ1356,vitri(".",AQ1356,2)-1),TRUE,LEFT(AQ1356,vitri(".",AQ1356,1)-1))</f>
        <v/>
      </c>
    </row>
    <row r="1357" spans="13:54" x14ac:dyDescent="0.25">
      <c r="M1357" s="379"/>
      <c r="BB1357" s="206" t="str">
        <f t="array" ref="BB1357">_xlfn.IFS(AQ1357="","",LEN(AQ1357)-LEN(SUBSTITUTE(AQ1357,".",""))=3,LEFT(AQ1357,vitri(".",AQ1357,3)-1),LEN(AQ1357)-LEN(SUBSTITUTE(AQ1357,".",""))=2,LEFT(AQ1357,vitri(".",AQ1357,2)-1),TRUE,LEFT(AQ1357,vitri(".",AQ1357,1)-1))</f>
        <v/>
      </c>
    </row>
    <row r="1358" spans="13:54" x14ac:dyDescent="0.25">
      <c r="M1358" s="379"/>
      <c r="BB1358" s="206" t="str">
        <f t="array" ref="BB1358">_xlfn.IFS(AQ1358="","",LEN(AQ1358)-LEN(SUBSTITUTE(AQ1358,".",""))=3,LEFT(AQ1358,vitri(".",AQ1358,3)-1),LEN(AQ1358)-LEN(SUBSTITUTE(AQ1358,".",""))=2,LEFT(AQ1358,vitri(".",AQ1358,2)-1),TRUE,LEFT(AQ1358,vitri(".",AQ1358,1)-1))</f>
        <v/>
      </c>
    </row>
    <row r="1359" spans="13:54" x14ac:dyDescent="0.25">
      <c r="M1359" s="379"/>
      <c r="BB1359" s="206" t="str">
        <f t="array" ref="BB1359">_xlfn.IFS(AQ1359="","",LEN(AQ1359)-LEN(SUBSTITUTE(AQ1359,".",""))=3,LEFT(AQ1359,vitri(".",AQ1359,3)-1),LEN(AQ1359)-LEN(SUBSTITUTE(AQ1359,".",""))=2,LEFT(AQ1359,vitri(".",AQ1359,2)-1),TRUE,LEFT(AQ1359,vitri(".",AQ1359,1)-1))</f>
        <v/>
      </c>
    </row>
    <row r="1360" spans="13:54" x14ac:dyDescent="0.25">
      <c r="M1360" s="379"/>
      <c r="BB1360" s="206" t="str">
        <f t="array" ref="BB1360">_xlfn.IFS(AQ1360="","",LEN(AQ1360)-LEN(SUBSTITUTE(AQ1360,".",""))=3,LEFT(AQ1360,vitri(".",AQ1360,3)-1),LEN(AQ1360)-LEN(SUBSTITUTE(AQ1360,".",""))=2,LEFT(AQ1360,vitri(".",AQ1360,2)-1),TRUE,LEFT(AQ1360,vitri(".",AQ1360,1)-1))</f>
        <v/>
      </c>
    </row>
    <row r="1361" spans="13:54" x14ac:dyDescent="0.25">
      <c r="M1361" s="379"/>
      <c r="BB1361" s="206" t="str">
        <f t="array" ref="BB1361">_xlfn.IFS(AQ1361="","",LEN(AQ1361)-LEN(SUBSTITUTE(AQ1361,".",""))=3,LEFT(AQ1361,vitri(".",AQ1361,3)-1),LEN(AQ1361)-LEN(SUBSTITUTE(AQ1361,".",""))=2,LEFT(AQ1361,vitri(".",AQ1361,2)-1),TRUE,LEFT(AQ1361,vitri(".",AQ1361,1)-1))</f>
        <v/>
      </c>
    </row>
    <row r="1362" spans="13:54" x14ac:dyDescent="0.25">
      <c r="M1362" s="379"/>
      <c r="BB1362" s="206" t="str">
        <f t="array" ref="BB1362">_xlfn.IFS(AQ1362="","",LEN(AQ1362)-LEN(SUBSTITUTE(AQ1362,".",""))=3,LEFT(AQ1362,vitri(".",AQ1362,3)-1),LEN(AQ1362)-LEN(SUBSTITUTE(AQ1362,".",""))=2,LEFT(AQ1362,vitri(".",AQ1362,2)-1),TRUE,LEFT(AQ1362,vitri(".",AQ1362,1)-1))</f>
        <v/>
      </c>
    </row>
    <row r="1363" spans="13:54" x14ac:dyDescent="0.25">
      <c r="M1363" s="379"/>
      <c r="BB1363" s="206" t="str">
        <f t="array" ref="BB1363">_xlfn.IFS(AQ1363="","",LEN(AQ1363)-LEN(SUBSTITUTE(AQ1363,".",""))=3,LEFT(AQ1363,vitri(".",AQ1363,3)-1),LEN(AQ1363)-LEN(SUBSTITUTE(AQ1363,".",""))=2,LEFT(AQ1363,vitri(".",AQ1363,2)-1),TRUE,LEFT(AQ1363,vitri(".",AQ1363,1)-1))</f>
        <v/>
      </c>
    </row>
    <row r="1364" spans="13:54" x14ac:dyDescent="0.25">
      <c r="M1364" s="379"/>
      <c r="BB1364" s="206" t="str">
        <f t="array" ref="BB1364">_xlfn.IFS(AQ1364="","",LEN(AQ1364)-LEN(SUBSTITUTE(AQ1364,".",""))=3,LEFT(AQ1364,vitri(".",AQ1364,3)-1),LEN(AQ1364)-LEN(SUBSTITUTE(AQ1364,".",""))=2,LEFT(AQ1364,vitri(".",AQ1364,2)-1),TRUE,LEFT(AQ1364,vitri(".",AQ1364,1)-1))</f>
        <v/>
      </c>
    </row>
    <row r="1365" spans="13:54" x14ac:dyDescent="0.25">
      <c r="M1365" s="379"/>
      <c r="BB1365" s="206" t="str">
        <f t="array" ref="BB1365">_xlfn.IFS(AQ1365="","",LEN(AQ1365)-LEN(SUBSTITUTE(AQ1365,".",""))=3,LEFT(AQ1365,vitri(".",AQ1365,3)-1),LEN(AQ1365)-LEN(SUBSTITUTE(AQ1365,".",""))=2,LEFT(AQ1365,vitri(".",AQ1365,2)-1),TRUE,LEFT(AQ1365,vitri(".",AQ1365,1)-1))</f>
        <v/>
      </c>
    </row>
    <row r="1366" spans="13:54" x14ac:dyDescent="0.25">
      <c r="M1366" s="379"/>
      <c r="BB1366" s="206" t="str">
        <f t="array" ref="BB1366">_xlfn.IFS(AQ1366="","",LEN(AQ1366)-LEN(SUBSTITUTE(AQ1366,".",""))=3,LEFT(AQ1366,vitri(".",AQ1366,3)-1),LEN(AQ1366)-LEN(SUBSTITUTE(AQ1366,".",""))=2,LEFT(AQ1366,vitri(".",AQ1366,2)-1),TRUE,LEFT(AQ1366,vitri(".",AQ1366,1)-1))</f>
        <v/>
      </c>
    </row>
    <row r="1367" spans="13:54" x14ac:dyDescent="0.25">
      <c r="M1367" s="379"/>
      <c r="BB1367" s="206" t="str">
        <f t="array" ref="BB1367">_xlfn.IFS(AQ1367="","",LEN(AQ1367)-LEN(SUBSTITUTE(AQ1367,".",""))=3,LEFT(AQ1367,vitri(".",AQ1367,3)-1),LEN(AQ1367)-LEN(SUBSTITUTE(AQ1367,".",""))=2,LEFT(AQ1367,vitri(".",AQ1367,2)-1),TRUE,LEFT(AQ1367,vitri(".",AQ1367,1)-1))</f>
        <v/>
      </c>
    </row>
    <row r="1368" spans="13:54" x14ac:dyDescent="0.25">
      <c r="M1368" s="379"/>
      <c r="BB1368" s="206" t="str">
        <f t="array" ref="BB1368">_xlfn.IFS(AQ1368="","",LEN(AQ1368)-LEN(SUBSTITUTE(AQ1368,".",""))=3,LEFT(AQ1368,vitri(".",AQ1368,3)-1),LEN(AQ1368)-LEN(SUBSTITUTE(AQ1368,".",""))=2,LEFT(AQ1368,vitri(".",AQ1368,2)-1),TRUE,LEFT(AQ1368,vitri(".",AQ1368,1)-1))</f>
        <v/>
      </c>
    </row>
    <row r="1369" spans="13:54" x14ac:dyDescent="0.25">
      <c r="M1369" s="379"/>
      <c r="BB1369" s="206" t="str">
        <f t="array" ref="BB1369">_xlfn.IFS(AQ1369="","",LEN(AQ1369)-LEN(SUBSTITUTE(AQ1369,".",""))=3,LEFT(AQ1369,vitri(".",AQ1369,3)-1),LEN(AQ1369)-LEN(SUBSTITUTE(AQ1369,".",""))=2,LEFT(AQ1369,vitri(".",AQ1369,2)-1),TRUE,LEFT(AQ1369,vitri(".",AQ1369,1)-1))</f>
        <v/>
      </c>
    </row>
    <row r="1370" spans="13:54" x14ac:dyDescent="0.25">
      <c r="M1370" s="379"/>
      <c r="BB1370" s="206" t="str">
        <f t="array" ref="BB1370">_xlfn.IFS(AQ1370="","",LEN(AQ1370)-LEN(SUBSTITUTE(AQ1370,".",""))=3,LEFT(AQ1370,vitri(".",AQ1370,3)-1),LEN(AQ1370)-LEN(SUBSTITUTE(AQ1370,".",""))=2,LEFT(AQ1370,vitri(".",AQ1370,2)-1),TRUE,LEFT(AQ1370,vitri(".",AQ1370,1)-1))</f>
        <v/>
      </c>
    </row>
    <row r="1371" spans="13:54" x14ac:dyDescent="0.25">
      <c r="M1371" s="379"/>
      <c r="BB1371" s="206" t="str">
        <f t="array" ref="BB1371">_xlfn.IFS(AQ1371="","",LEN(AQ1371)-LEN(SUBSTITUTE(AQ1371,".",""))=3,LEFT(AQ1371,vitri(".",AQ1371,3)-1),LEN(AQ1371)-LEN(SUBSTITUTE(AQ1371,".",""))=2,LEFT(AQ1371,vitri(".",AQ1371,2)-1),TRUE,LEFT(AQ1371,vitri(".",AQ1371,1)-1))</f>
        <v/>
      </c>
    </row>
    <row r="1372" spans="13:54" x14ac:dyDescent="0.25">
      <c r="M1372" s="379"/>
      <c r="BB1372" s="206" t="str">
        <f t="array" ref="BB1372">_xlfn.IFS(AQ1372="","",LEN(AQ1372)-LEN(SUBSTITUTE(AQ1372,".",""))=3,LEFT(AQ1372,vitri(".",AQ1372,3)-1),LEN(AQ1372)-LEN(SUBSTITUTE(AQ1372,".",""))=2,LEFT(AQ1372,vitri(".",AQ1372,2)-1),TRUE,LEFT(AQ1372,vitri(".",AQ1372,1)-1))</f>
        <v/>
      </c>
    </row>
    <row r="1373" spans="13:54" x14ac:dyDescent="0.25">
      <c r="M1373" s="379"/>
      <c r="BB1373" s="206" t="str">
        <f t="array" ref="BB1373">_xlfn.IFS(AQ1373="","",LEN(AQ1373)-LEN(SUBSTITUTE(AQ1373,".",""))=3,LEFT(AQ1373,vitri(".",AQ1373,3)-1),LEN(AQ1373)-LEN(SUBSTITUTE(AQ1373,".",""))=2,LEFT(AQ1373,vitri(".",AQ1373,2)-1),TRUE,LEFT(AQ1373,vitri(".",AQ1373,1)-1))</f>
        <v/>
      </c>
    </row>
    <row r="1374" spans="13:54" x14ac:dyDescent="0.25">
      <c r="M1374" s="379"/>
      <c r="BB1374" s="206" t="str">
        <f t="array" ref="BB1374">_xlfn.IFS(AQ1374="","",LEN(AQ1374)-LEN(SUBSTITUTE(AQ1374,".",""))=3,LEFT(AQ1374,vitri(".",AQ1374,3)-1),LEN(AQ1374)-LEN(SUBSTITUTE(AQ1374,".",""))=2,LEFT(AQ1374,vitri(".",AQ1374,2)-1),TRUE,LEFT(AQ1374,vitri(".",AQ1374,1)-1))</f>
        <v/>
      </c>
    </row>
    <row r="1375" spans="13:54" x14ac:dyDescent="0.25">
      <c r="M1375" s="379"/>
      <c r="BB1375" s="206" t="str">
        <f t="array" ref="BB1375">_xlfn.IFS(AQ1375="","",LEN(AQ1375)-LEN(SUBSTITUTE(AQ1375,".",""))=3,LEFT(AQ1375,vitri(".",AQ1375,3)-1),LEN(AQ1375)-LEN(SUBSTITUTE(AQ1375,".",""))=2,LEFT(AQ1375,vitri(".",AQ1375,2)-1),TRUE,LEFT(AQ1375,vitri(".",AQ1375,1)-1))</f>
        <v/>
      </c>
    </row>
    <row r="1376" spans="13:54" x14ac:dyDescent="0.25">
      <c r="M1376" s="379"/>
      <c r="BB1376" s="206" t="str">
        <f t="array" ref="BB1376">_xlfn.IFS(AQ1376="","",LEN(AQ1376)-LEN(SUBSTITUTE(AQ1376,".",""))=3,LEFT(AQ1376,vitri(".",AQ1376,3)-1),LEN(AQ1376)-LEN(SUBSTITUTE(AQ1376,".",""))=2,LEFT(AQ1376,vitri(".",AQ1376,2)-1),TRUE,LEFT(AQ1376,vitri(".",AQ1376,1)-1))</f>
        <v/>
      </c>
    </row>
    <row r="1377" spans="13:54" x14ac:dyDescent="0.25">
      <c r="M1377" s="379"/>
      <c r="BB1377" s="206" t="str">
        <f t="array" ref="BB1377">_xlfn.IFS(AQ1377="","",LEN(AQ1377)-LEN(SUBSTITUTE(AQ1377,".",""))=3,LEFT(AQ1377,vitri(".",AQ1377,3)-1),LEN(AQ1377)-LEN(SUBSTITUTE(AQ1377,".",""))=2,LEFT(AQ1377,vitri(".",AQ1377,2)-1),TRUE,LEFT(AQ1377,vitri(".",AQ1377,1)-1))</f>
        <v/>
      </c>
    </row>
    <row r="1378" spans="13:54" x14ac:dyDescent="0.25">
      <c r="M1378" s="379"/>
      <c r="BB1378" s="206" t="str">
        <f t="array" ref="BB1378">_xlfn.IFS(AQ1378="","",LEN(AQ1378)-LEN(SUBSTITUTE(AQ1378,".",""))=3,LEFT(AQ1378,vitri(".",AQ1378,3)-1),LEN(AQ1378)-LEN(SUBSTITUTE(AQ1378,".",""))=2,LEFT(AQ1378,vitri(".",AQ1378,2)-1),TRUE,LEFT(AQ1378,vitri(".",AQ1378,1)-1))</f>
        <v/>
      </c>
    </row>
    <row r="1379" spans="13:54" x14ac:dyDescent="0.25">
      <c r="M1379" s="379"/>
      <c r="BB1379" s="206" t="str">
        <f t="array" ref="BB1379">_xlfn.IFS(AQ1379="","",LEN(AQ1379)-LEN(SUBSTITUTE(AQ1379,".",""))=3,LEFT(AQ1379,vitri(".",AQ1379,3)-1),LEN(AQ1379)-LEN(SUBSTITUTE(AQ1379,".",""))=2,LEFT(AQ1379,vitri(".",AQ1379,2)-1),TRUE,LEFT(AQ1379,vitri(".",AQ1379,1)-1))</f>
        <v/>
      </c>
    </row>
    <row r="1380" spans="13:54" x14ac:dyDescent="0.25">
      <c r="M1380" s="379"/>
      <c r="BB1380" s="206" t="str">
        <f t="array" ref="BB1380">_xlfn.IFS(AQ1380="","",LEN(AQ1380)-LEN(SUBSTITUTE(AQ1380,".",""))=3,LEFT(AQ1380,vitri(".",AQ1380,3)-1),LEN(AQ1380)-LEN(SUBSTITUTE(AQ1380,".",""))=2,LEFT(AQ1380,vitri(".",AQ1380,2)-1),TRUE,LEFT(AQ1380,vitri(".",AQ1380,1)-1))</f>
        <v/>
      </c>
    </row>
    <row r="1381" spans="13:54" x14ac:dyDescent="0.25">
      <c r="M1381" s="379"/>
      <c r="BB1381" s="206" t="str">
        <f t="array" ref="BB1381">_xlfn.IFS(AQ1381="","",LEN(AQ1381)-LEN(SUBSTITUTE(AQ1381,".",""))=3,LEFT(AQ1381,vitri(".",AQ1381,3)-1),LEN(AQ1381)-LEN(SUBSTITUTE(AQ1381,".",""))=2,LEFT(AQ1381,vitri(".",AQ1381,2)-1),TRUE,LEFT(AQ1381,vitri(".",AQ1381,1)-1))</f>
        <v/>
      </c>
    </row>
    <row r="1382" spans="13:54" x14ac:dyDescent="0.25">
      <c r="M1382" s="379"/>
      <c r="BB1382" s="206" t="str">
        <f t="array" ref="BB1382">_xlfn.IFS(AQ1382="","",LEN(AQ1382)-LEN(SUBSTITUTE(AQ1382,".",""))=3,LEFT(AQ1382,vitri(".",AQ1382,3)-1),LEN(AQ1382)-LEN(SUBSTITUTE(AQ1382,".",""))=2,LEFT(AQ1382,vitri(".",AQ1382,2)-1),TRUE,LEFT(AQ1382,vitri(".",AQ1382,1)-1))</f>
        <v/>
      </c>
    </row>
    <row r="1383" spans="13:54" x14ac:dyDescent="0.25">
      <c r="M1383" s="379"/>
      <c r="BB1383" s="206" t="str">
        <f t="array" ref="BB1383">_xlfn.IFS(AQ1383="","",LEN(AQ1383)-LEN(SUBSTITUTE(AQ1383,".",""))=3,LEFT(AQ1383,vitri(".",AQ1383,3)-1),LEN(AQ1383)-LEN(SUBSTITUTE(AQ1383,".",""))=2,LEFT(AQ1383,vitri(".",AQ1383,2)-1),TRUE,LEFT(AQ1383,vitri(".",AQ1383,1)-1))</f>
        <v/>
      </c>
    </row>
    <row r="1384" spans="13:54" x14ac:dyDescent="0.25">
      <c r="M1384" s="379"/>
      <c r="BB1384" s="206" t="str">
        <f t="array" ref="BB1384">_xlfn.IFS(AQ1384="","",LEN(AQ1384)-LEN(SUBSTITUTE(AQ1384,".",""))=3,LEFT(AQ1384,vitri(".",AQ1384,3)-1),LEN(AQ1384)-LEN(SUBSTITUTE(AQ1384,".",""))=2,LEFT(AQ1384,vitri(".",AQ1384,2)-1),TRUE,LEFT(AQ1384,vitri(".",AQ1384,1)-1))</f>
        <v/>
      </c>
    </row>
    <row r="1385" spans="13:54" x14ac:dyDescent="0.25">
      <c r="M1385" s="379"/>
      <c r="BB1385" s="206" t="str">
        <f t="array" ref="BB1385">_xlfn.IFS(AQ1385="","",LEN(AQ1385)-LEN(SUBSTITUTE(AQ1385,".",""))=3,LEFT(AQ1385,vitri(".",AQ1385,3)-1),LEN(AQ1385)-LEN(SUBSTITUTE(AQ1385,".",""))=2,LEFT(AQ1385,vitri(".",AQ1385,2)-1),TRUE,LEFT(AQ1385,vitri(".",AQ1385,1)-1))</f>
        <v/>
      </c>
    </row>
    <row r="1386" spans="13:54" x14ac:dyDescent="0.25">
      <c r="M1386" s="379"/>
      <c r="BB1386" s="206" t="str">
        <f t="array" ref="BB1386">_xlfn.IFS(AQ1386="","",LEN(AQ1386)-LEN(SUBSTITUTE(AQ1386,".",""))=3,LEFT(AQ1386,vitri(".",AQ1386,3)-1),LEN(AQ1386)-LEN(SUBSTITUTE(AQ1386,".",""))=2,LEFT(AQ1386,vitri(".",AQ1386,2)-1),TRUE,LEFT(AQ1386,vitri(".",AQ1386,1)-1))</f>
        <v/>
      </c>
    </row>
    <row r="1387" spans="13:54" x14ac:dyDescent="0.25">
      <c r="M1387" s="379"/>
      <c r="BB1387" s="206" t="str">
        <f t="array" ref="BB1387">_xlfn.IFS(AQ1387="","",LEN(AQ1387)-LEN(SUBSTITUTE(AQ1387,".",""))=3,LEFT(AQ1387,vitri(".",AQ1387,3)-1),LEN(AQ1387)-LEN(SUBSTITUTE(AQ1387,".",""))=2,LEFT(AQ1387,vitri(".",AQ1387,2)-1),TRUE,LEFT(AQ1387,vitri(".",AQ1387,1)-1))</f>
        <v/>
      </c>
    </row>
    <row r="1388" spans="13:54" x14ac:dyDescent="0.25">
      <c r="M1388" s="379"/>
      <c r="BB1388" s="206" t="str">
        <f t="array" ref="BB1388">_xlfn.IFS(AQ1388="","",LEN(AQ1388)-LEN(SUBSTITUTE(AQ1388,".",""))=3,LEFT(AQ1388,vitri(".",AQ1388,3)-1),LEN(AQ1388)-LEN(SUBSTITUTE(AQ1388,".",""))=2,LEFT(AQ1388,vitri(".",AQ1388,2)-1),TRUE,LEFT(AQ1388,vitri(".",AQ1388,1)-1))</f>
        <v/>
      </c>
    </row>
    <row r="1389" spans="13:54" x14ac:dyDescent="0.25">
      <c r="M1389" s="379"/>
      <c r="BB1389" s="206" t="str">
        <f t="array" ref="BB1389">_xlfn.IFS(AQ1389="","",LEN(AQ1389)-LEN(SUBSTITUTE(AQ1389,".",""))=3,LEFT(AQ1389,vitri(".",AQ1389,3)-1),LEN(AQ1389)-LEN(SUBSTITUTE(AQ1389,".",""))=2,LEFT(AQ1389,vitri(".",AQ1389,2)-1),TRUE,LEFT(AQ1389,vitri(".",AQ1389,1)-1))</f>
        <v/>
      </c>
    </row>
    <row r="1390" spans="13:54" x14ac:dyDescent="0.25">
      <c r="M1390" s="379"/>
      <c r="BB1390" s="206" t="str">
        <f t="array" ref="BB1390">_xlfn.IFS(AQ1390="","",LEN(AQ1390)-LEN(SUBSTITUTE(AQ1390,".",""))=3,LEFT(AQ1390,vitri(".",AQ1390,3)-1),LEN(AQ1390)-LEN(SUBSTITUTE(AQ1390,".",""))=2,LEFT(AQ1390,vitri(".",AQ1390,2)-1),TRUE,LEFT(AQ1390,vitri(".",AQ1390,1)-1))</f>
        <v/>
      </c>
    </row>
    <row r="1391" spans="13:54" x14ac:dyDescent="0.25">
      <c r="M1391" s="379"/>
      <c r="BB1391" s="206" t="str">
        <f t="array" ref="BB1391">_xlfn.IFS(AQ1391="","",LEN(AQ1391)-LEN(SUBSTITUTE(AQ1391,".",""))=3,LEFT(AQ1391,vitri(".",AQ1391,3)-1),LEN(AQ1391)-LEN(SUBSTITUTE(AQ1391,".",""))=2,LEFT(AQ1391,vitri(".",AQ1391,2)-1),TRUE,LEFT(AQ1391,vitri(".",AQ1391,1)-1))</f>
        <v/>
      </c>
    </row>
    <row r="1392" spans="13:54" x14ac:dyDescent="0.25">
      <c r="M1392" s="379"/>
      <c r="BB1392" s="206" t="str">
        <f t="array" ref="BB1392">_xlfn.IFS(AQ1392="","",LEN(AQ1392)-LEN(SUBSTITUTE(AQ1392,".",""))=3,LEFT(AQ1392,vitri(".",AQ1392,3)-1),LEN(AQ1392)-LEN(SUBSTITUTE(AQ1392,".",""))=2,LEFT(AQ1392,vitri(".",AQ1392,2)-1),TRUE,LEFT(AQ1392,vitri(".",AQ1392,1)-1))</f>
        <v/>
      </c>
    </row>
    <row r="1393" spans="13:54" x14ac:dyDescent="0.25">
      <c r="M1393" s="379"/>
      <c r="BB1393" s="206" t="str">
        <f t="array" ref="BB1393">_xlfn.IFS(AQ1393="","",LEN(AQ1393)-LEN(SUBSTITUTE(AQ1393,".",""))=3,LEFT(AQ1393,vitri(".",AQ1393,3)-1),LEN(AQ1393)-LEN(SUBSTITUTE(AQ1393,".",""))=2,LEFT(AQ1393,vitri(".",AQ1393,2)-1),TRUE,LEFT(AQ1393,vitri(".",AQ1393,1)-1))</f>
        <v/>
      </c>
    </row>
    <row r="1394" spans="13:54" x14ac:dyDescent="0.25">
      <c r="M1394" s="379"/>
      <c r="BB1394" s="206" t="str">
        <f t="array" ref="BB1394">_xlfn.IFS(AQ1394="","",LEN(AQ1394)-LEN(SUBSTITUTE(AQ1394,".",""))=3,LEFT(AQ1394,vitri(".",AQ1394,3)-1),LEN(AQ1394)-LEN(SUBSTITUTE(AQ1394,".",""))=2,LEFT(AQ1394,vitri(".",AQ1394,2)-1),TRUE,LEFT(AQ1394,vitri(".",AQ1394,1)-1))</f>
        <v/>
      </c>
    </row>
    <row r="1395" spans="13:54" x14ac:dyDescent="0.25">
      <c r="M1395" s="379"/>
      <c r="BB1395" s="206" t="str">
        <f t="array" ref="BB1395">_xlfn.IFS(AQ1395="","",LEN(AQ1395)-LEN(SUBSTITUTE(AQ1395,".",""))=3,LEFT(AQ1395,vitri(".",AQ1395,3)-1),LEN(AQ1395)-LEN(SUBSTITUTE(AQ1395,".",""))=2,LEFT(AQ1395,vitri(".",AQ1395,2)-1),TRUE,LEFT(AQ1395,vitri(".",AQ1395,1)-1))</f>
        <v/>
      </c>
    </row>
    <row r="1396" spans="13:54" x14ac:dyDescent="0.25">
      <c r="M1396" s="379"/>
      <c r="BB1396" s="206" t="str">
        <f t="array" ref="BB1396">_xlfn.IFS(AQ1396="","",LEN(AQ1396)-LEN(SUBSTITUTE(AQ1396,".",""))=3,LEFT(AQ1396,vitri(".",AQ1396,3)-1),LEN(AQ1396)-LEN(SUBSTITUTE(AQ1396,".",""))=2,LEFT(AQ1396,vitri(".",AQ1396,2)-1),TRUE,LEFT(AQ1396,vitri(".",AQ1396,1)-1))</f>
        <v/>
      </c>
    </row>
    <row r="1397" spans="13:54" x14ac:dyDescent="0.25">
      <c r="M1397" s="379"/>
      <c r="BB1397" s="206" t="str">
        <f t="array" ref="BB1397">_xlfn.IFS(AQ1397="","",LEN(AQ1397)-LEN(SUBSTITUTE(AQ1397,".",""))=3,LEFT(AQ1397,vitri(".",AQ1397,3)-1),LEN(AQ1397)-LEN(SUBSTITUTE(AQ1397,".",""))=2,LEFT(AQ1397,vitri(".",AQ1397,2)-1),TRUE,LEFT(AQ1397,vitri(".",AQ1397,1)-1))</f>
        <v/>
      </c>
    </row>
    <row r="1398" spans="13:54" x14ac:dyDescent="0.25">
      <c r="M1398" s="379"/>
      <c r="BB1398" s="206" t="str">
        <f t="array" ref="BB1398">_xlfn.IFS(AQ1398="","",LEN(AQ1398)-LEN(SUBSTITUTE(AQ1398,".",""))=3,LEFT(AQ1398,vitri(".",AQ1398,3)-1),LEN(AQ1398)-LEN(SUBSTITUTE(AQ1398,".",""))=2,LEFT(AQ1398,vitri(".",AQ1398,2)-1),TRUE,LEFT(AQ1398,vitri(".",AQ1398,1)-1))</f>
        <v/>
      </c>
    </row>
    <row r="1399" spans="13:54" x14ac:dyDescent="0.25">
      <c r="M1399" s="379"/>
      <c r="BB1399" s="206" t="str">
        <f t="array" ref="BB1399">_xlfn.IFS(AQ1399="","",LEN(AQ1399)-LEN(SUBSTITUTE(AQ1399,".",""))=3,LEFT(AQ1399,vitri(".",AQ1399,3)-1),LEN(AQ1399)-LEN(SUBSTITUTE(AQ1399,".",""))=2,LEFT(AQ1399,vitri(".",AQ1399,2)-1),TRUE,LEFT(AQ1399,vitri(".",AQ1399,1)-1))</f>
        <v/>
      </c>
    </row>
    <row r="1400" spans="13:54" x14ac:dyDescent="0.25">
      <c r="M1400" s="379"/>
      <c r="BB1400" s="206" t="str">
        <f t="array" ref="BB1400">_xlfn.IFS(AQ1400="","",LEN(AQ1400)-LEN(SUBSTITUTE(AQ1400,".",""))=3,LEFT(AQ1400,vitri(".",AQ1400,3)-1),LEN(AQ1400)-LEN(SUBSTITUTE(AQ1400,".",""))=2,LEFT(AQ1400,vitri(".",AQ1400,2)-1),TRUE,LEFT(AQ1400,vitri(".",AQ1400,1)-1))</f>
        <v/>
      </c>
    </row>
    <row r="1401" spans="13:54" x14ac:dyDescent="0.25">
      <c r="M1401" s="379"/>
      <c r="BB1401" s="206" t="str">
        <f t="array" ref="BB1401">_xlfn.IFS(AQ1401="","",LEN(AQ1401)-LEN(SUBSTITUTE(AQ1401,".",""))=3,LEFT(AQ1401,vitri(".",AQ1401,3)-1),LEN(AQ1401)-LEN(SUBSTITUTE(AQ1401,".",""))=2,LEFT(AQ1401,vitri(".",AQ1401,2)-1),TRUE,LEFT(AQ1401,vitri(".",AQ1401,1)-1))</f>
        <v/>
      </c>
    </row>
    <row r="1402" spans="13:54" x14ac:dyDescent="0.25">
      <c r="M1402" s="379"/>
      <c r="BB1402" s="206" t="str">
        <f t="array" ref="BB1402">_xlfn.IFS(AQ1402="","",LEN(AQ1402)-LEN(SUBSTITUTE(AQ1402,".",""))=3,LEFT(AQ1402,vitri(".",AQ1402,3)-1),LEN(AQ1402)-LEN(SUBSTITUTE(AQ1402,".",""))=2,LEFT(AQ1402,vitri(".",AQ1402,2)-1),TRUE,LEFT(AQ1402,vitri(".",AQ1402,1)-1))</f>
        <v/>
      </c>
    </row>
    <row r="1403" spans="13:54" x14ac:dyDescent="0.25">
      <c r="M1403" s="379"/>
      <c r="BB1403" s="206" t="str">
        <f t="array" ref="BB1403">_xlfn.IFS(AQ1403="","",LEN(AQ1403)-LEN(SUBSTITUTE(AQ1403,".",""))=3,LEFT(AQ1403,vitri(".",AQ1403,3)-1),LEN(AQ1403)-LEN(SUBSTITUTE(AQ1403,".",""))=2,LEFT(AQ1403,vitri(".",AQ1403,2)-1),TRUE,LEFT(AQ1403,vitri(".",AQ1403,1)-1))</f>
        <v/>
      </c>
    </row>
    <row r="1404" spans="13:54" x14ac:dyDescent="0.25">
      <c r="M1404" s="379"/>
      <c r="BB1404" s="206" t="str">
        <f t="array" ref="BB1404">_xlfn.IFS(AQ1404="","",LEN(AQ1404)-LEN(SUBSTITUTE(AQ1404,".",""))=3,LEFT(AQ1404,vitri(".",AQ1404,3)-1),LEN(AQ1404)-LEN(SUBSTITUTE(AQ1404,".",""))=2,LEFT(AQ1404,vitri(".",AQ1404,2)-1),TRUE,LEFT(AQ1404,vitri(".",AQ1404,1)-1))</f>
        <v/>
      </c>
    </row>
    <row r="1405" spans="13:54" x14ac:dyDescent="0.25">
      <c r="M1405" s="379"/>
      <c r="BB1405" s="206" t="str">
        <f t="array" ref="BB1405">_xlfn.IFS(AQ1405="","",LEN(AQ1405)-LEN(SUBSTITUTE(AQ1405,".",""))=3,LEFT(AQ1405,vitri(".",AQ1405,3)-1),LEN(AQ1405)-LEN(SUBSTITUTE(AQ1405,".",""))=2,LEFT(AQ1405,vitri(".",AQ1405,2)-1),TRUE,LEFT(AQ1405,vitri(".",AQ1405,1)-1))</f>
        <v/>
      </c>
    </row>
    <row r="1406" spans="13:54" x14ac:dyDescent="0.25">
      <c r="M1406" s="379"/>
      <c r="BB1406" s="206" t="str">
        <f t="array" ref="BB1406">_xlfn.IFS(AQ1406="","",LEN(AQ1406)-LEN(SUBSTITUTE(AQ1406,".",""))=3,LEFT(AQ1406,vitri(".",AQ1406,3)-1),LEN(AQ1406)-LEN(SUBSTITUTE(AQ1406,".",""))=2,LEFT(AQ1406,vitri(".",AQ1406,2)-1),TRUE,LEFT(AQ1406,vitri(".",AQ1406,1)-1))</f>
        <v/>
      </c>
    </row>
    <row r="1407" spans="13:54" x14ac:dyDescent="0.25">
      <c r="M1407" s="379"/>
      <c r="BB1407" s="206" t="str">
        <f t="array" ref="BB1407">_xlfn.IFS(AQ1407="","",LEN(AQ1407)-LEN(SUBSTITUTE(AQ1407,".",""))=3,LEFT(AQ1407,vitri(".",AQ1407,3)-1),LEN(AQ1407)-LEN(SUBSTITUTE(AQ1407,".",""))=2,LEFT(AQ1407,vitri(".",AQ1407,2)-1),TRUE,LEFT(AQ1407,vitri(".",AQ1407,1)-1))</f>
        <v/>
      </c>
    </row>
    <row r="1408" spans="13:54" x14ac:dyDescent="0.25">
      <c r="M1408" s="379"/>
      <c r="BB1408" s="206" t="str">
        <f t="array" ref="BB1408">_xlfn.IFS(AQ1408="","",LEN(AQ1408)-LEN(SUBSTITUTE(AQ1408,".",""))=3,LEFT(AQ1408,vitri(".",AQ1408,3)-1),LEN(AQ1408)-LEN(SUBSTITUTE(AQ1408,".",""))=2,LEFT(AQ1408,vitri(".",AQ1408,2)-1),TRUE,LEFT(AQ1408,vitri(".",AQ1408,1)-1))</f>
        <v/>
      </c>
    </row>
    <row r="1409" spans="13:54" x14ac:dyDescent="0.25">
      <c r="M1409" s="379"/>
      <c r="BB1409" s="206" t="str">
        <f t="array" ref="BB1409">_xlfn.IFS(AQ1409="","",LEN(AQ1409)-LEN(SUBSTITUTE(AQ1409,".",""))=3,LEFT(AQ1409,vitri(".",AQ1409,3)-1),LEN(AQ1409)-LEN(SUBSTITUTE(AQ1409,".",""))=2,LEFT(AQ1409,vitri(".",AQ1409,2)-1),TRUE,LEFT(AQ1409,vitri(".",AQ1409,1)-1))</f>
        <v/>
      </c>
    </row>
    <row r="1410" spans="13:54" x14ac:dyDescent="0.25">
      <c r="M1410" s="379"/>
      <c r="BB1410" s="206" t="str">
        <f t="array" ref="BB1410">_xlfn.IFS(AQ1410="","",LEN(AQ1410)-LEN(SUBSTITUTE(AQ1410,".",""))=3,LEFT(AQ1410,vitri(".",AQ1410,3)-1),LEN(AQ1410)-LEN(SUBSTITUTE(AQ1410,".",""))=2,LEFT(AQ1410,vitri(".",AQ1410,2)-1),TRUE,LEFT(AQ1410,vitri(".",AQ1410,1)-1))</f>
        <v/>
      </c>
    </row>
    <row r="1411" spans="13:54" x14ac:dyDescent="0.25">
      <c r="M1411" s="379"/>
      <c r="BB1411" s="206" t="str">
        <f t="array" ref="BB1411">_xlfn.IFS(AQ1411="","",LEN(AQ1411)-LEN(SUBSTITUTE(AQ1411,".",""))=3,LEFT(AQ1411,vitri(".",AQ1411,3)-1),LEN(AQ1411)-LEN(SUBSTITUTE(AQ1411,".",""))=2,LEFT(AQ1411,vitri(".",AQ1411,2)-1),TRUE,LEFT(AQ1411,vitri(".",AQ1411,1)-1))</f>
        <v/>
      </c>
    </row>
    <row r="1412" spans="13:54" x14ac:dyDescent="0.25">
      <c r="M1412" s="379"/>
      <c r="BB1412" s="206" t="str">
        <f t="array" ref="BB1412">_xlfn.IFS(AQ1412="","",LEN(AQ1412)-LEN(SUBSTITUTE(AQ1412,".",""))=3,LEFT(AQ1412,vitri(".",AQ1412,3)-1),LEN(AQ1412)-LEN(SUBSTITUTE(AQ1412,".",""))=2,LEFT(AQ1412,vitri(".",AQ1412,2)-1),TRUE,LEFT(AQ1412,vitri(".",AQ1412,1)-1))</f>
        <v/>
      </c>
    </row>
    <row r="1413" spans="13:54" x14ac:dyDescent="0.25">
      <c r="M1413" s="379"/>
      <c r="BB1413" s="206" t="str">
        <f t="array" ref="BB1413">_xlfn.IFS(AQ1413="","",LEN(AQ1413)-LEN(SUBSTITUTE(AQ1413,".",""))=3,LEFT(AQ1413,vitri(".",AQ1413,3)-1),LEN(AQ1413)-LEN(SUBSTITUTE(AQ1413,".",""))=2,LEFT(AQ1413,vitri(".",AQ1413,2)-1),TRUE,LEFT(AQ1413,vitri(".",AQ1413,1)-1))</f>
        <v/>
      </c>
    </row>
    <row r="1414" spans="13:54" x14ac:dyDescent="0.25">
      <c r="M1414" s="379"/>
      <c r="BB1414" s="206" t="str">
        <f t="array" ref="BB1414">_xlfn.IFS(AQ1414="","",LEN(AQ1414)-LEN(SUBSTITUTE(AQ1414,".",""))=3,LEFT(AQ1414,vitri(".",AQ1414,3)-1),LEN(AQ1414)-LEN(SUBSTITUTE(AQ1414,".",""))=2,LEFT(AQ1414,vitri(".",AQ1414,2)-1),TRUE,LEFT(AQ1414,vitri(".",AQ1414,1)-1))</f>
        <v/>
      </c>
    </row>
    <row r="1415" spans="13:54" x14ac:dyDescent="0.25">
      <c r="M1415" s="379"/>
      <c r="BB1415" s="206" t="str">
        <f t="array" ref="BB1415">_xlfn.IFS(AQ1415="","",LEN(AQ1415)-LEN(SUBSTITUTE(AQ1415,".",""))=3,LEFT(AQ1415,vitri(".",AQ1415,3)-1),LEN(AQ1415)-LEN(SUBSTITUTE(AQ1415,".",""))=2,LEFT(AQ1415,vitri(".",AQ1415,2)-1),TRUE,LEFT(AQ1415,vitri(".",AQ1415,1)-1))</f>
        <v/>
      </c>
    </row>
    <row r="1416" spans="13:54" x14ac:dyDescent="0.25">
      <c r="M1416" s="379"/>
      <c r="BB1416" s="206" t="str">
        <f t="array" ref="BB1416">_xlfn.IFS(AQ1416="","",LEN(AQ1416)-LEN(SUBSTITUTE(AQ1416,".",""))=3,LEFT(AQ1416,vitri(".",AQ1416,3)-1),LEN(AQ1416)-LEN(SUBSTITUTE(AQ1416,".",""))=2,LEFT(AQ1416,vitri(".",AQ1416,2)-1),TRUE,LEFT(AQ1416,vitri(".",AQ1416,1)-1))</f>
        <v/>
      </c>
    </row>
    <row r="1417" spans="13:54" x14ac:dyDescent="0.25">
      <c r="M1417" s="379"/>
      <c r="BB1417" s="206" t="str">
        <f t="array" ref="BB1417">_xlfn.IFS(AQ1417="","",LEN(AQ1417)-LEN(SUBSTITUTE(AQ1417,".",""))=3,LEFT(AQ1417,vitri(".",AQ1417,3)-1),LEN(AQ1417)-LEN(SUBSTITUTE(AQ1417,".",""))=2,LEFT(AQ1417,vitri(".",AQ1417,2)-1),TRUE,LEFT(AQ1417,vitri(".",AQ1417,1)-1))</f>
        <v/>
      </c>
    </row>
    <row r="1418" spans="13:54" x14ac:dyDescent="0.25">
      <c r="M1418" s="379"/>
      <c r="BB1418" s="206" t="str">
        <f t="array" ref="BB1418">_xlfn.IFS(AQ1418="","",LEN(AQ1418)-LEN(SUBSTITUTE(AQ1418,".",""))=3,LEFT(AQ1418,vitri(".",AQ1418,3)-1),LEN(AQ1418)-LEN(SUBSTITUTE(AQ1418,".",""))=2,LEFT(AQ1418,vitri(".",AQ1418,2)-1),TRUE,LEFT(AQ1418,vitri(".",AQ1418,1)-1))</f>
        <v/>
      </c>
    </row>
    <row r="1419" spans="13:54" x14ac:dyDescent="0.25">
      <c r="M1419" s="379"/>
      <c r="BB1419" s="206" t="str">
        <f t="array" ref="BB1419">_xlfn.IFS(AQ1419="","",LEN(AQ1419)-LEN(SUBSTITUTE(AQ1419,".",""))=3,LEFT(AQ1419,vitri(".",AQ1419,3)-1),LEN(AQ1419)-LEN(SUBSTITUTE(AQ1419,".",""))=2,LEFT(AQ1419,vitri(".",AQ1419,2)-1),TRUE,LEFT(AQ1419,vitri(".",AQ1419,1)-1))</f>
        <v/>
      </c>
    </row>
    <row r="1420" spans="13:54" x14ac:dyDescent="0.25">
      <c r="M1420" s="379"/>
      <c r="BB1420" s="206" t="str">
        <f t="array" ref="BB1420">_xlfn.IFS(AQ1420="","",LEN(AQ1420)-LEN(SUBSTITUTE(AQ1420,".",""))=3,LEFT(AQ1420,vitri(".",AQ1420,3)-1),LEN(AQ1420)-LEN(SUBSTITUTE(AQ1420,".",""))=2,LEFT(AQ1420,vitri(".",AQ1420,2)-1),TRUE,LEFT(AQ1420,vitri(".",AQ1420,1)-1))</f>
        <v/>
      </c>
    </row>
    <row r="1421" spans="13:54" x14ac:dyDescent="0.25">
      <c r="M1421" s="379"/>
      <c r="BB1421" s="206" t="str">
        <f t="array" ref="BB1421">_xlfn.IFS(AQ1421="","",LEN(AQ1421)-LEN(SUBSTITUTE(AQ1421,".",""))=3,LEFT(AQ1421,vitri(".",AQ1421,3)-1),LEN(AQ1421)-LEN(SUBSTITUTE(AQ1421,".",""))=2,LEFT(AQ1421,vitri(".",AQ1421,2)-1),TRUE,LEFT(AQ1421,vitri(".",AQ1421,1)-1))</f>
        <v/>
      </c>
    </row>
    <row r="1422" spans="13:54" x14ac:dyDescent="0.25">
      <c r="M1422" s="379"/>
      <c r="BB1422" s="206" t="str">
        <f t="array" ref="BB1422">_xlfn.IFS(AQ1422="","",LEN(AQ1422)-LEN(SUBSTITUTE(AQ1422,".",""))=3,LEFT(AQ1422,vitri(".",AQ1422,3)-1),LEN(AQ1422)-LEN(SUBSTITUTE(AQ1422,".",""))=2,LEFT(AQ1422,vitri(".",AQ1422,2)-1),TRUE,LEFT(AQ1422,vitri(".",AQ1422,1)-1))</f>
        <v/>
      </c>
    </row>
    <row r="1423" spans="13:54" x14ac:dyDescent="0.25">
      <c r="M1423" s="379"/>
      <c r="BB1423" s="206" t="str">
        <f t="array" ref="BB1423">_xlfn.IFS(AQ1423="","",LEN(AQ1423)-LEN(SUBSTITUTE(AQ1423,".",""))=3,LEFT(AQ1423,vitri(".",AQ1423,3)-1),LEN(AQ1423)-LEN(SUBSTITUTE(AQ1423,".",""))=2,LEFT(AQ1423,vitri(".",AQ1423,2)-1),TRUE,LEFT(AQ1423,vitri(".",AQ1423,1)-1))</f>
        <v/>
      </c>
    </row>
    <row r="1424" spans="13:54" x14ac:dyDescent="0.25">
      <c r="M1424" s="379"/>
      <c r="BB1424" s="206" t="str">
        <f t="array" ref="BB1424">_xlfn.IFS(AQ1424="","",LEN(AQ1424)-LEN(SUBSTITUTE(AQ1424,".",""))=3,LEFT(AQ1424,vitri(".",AQ1424,3)-1),LEN(AQ1424)-LEN(SUBSTITUTE(AQ1424,".",""))=2,LEFT(AQ1424,vitri(".",AQ1424,2)-1),TRUE,LEFT(AQ1424,vitri(".",AQ1424,1)-1))</f>
        <v/>
      </c>
    </row>
    <row r="1425" spans="13:54" x14ac:dyDescent="0.25">
      <c r="M1425" s="379"/>
      <c r="BB1425" s="206" t="str">
        <f t="array" ref="BB1425">_xlfn.IFS(AQ1425="","",LEN(AQ1425)-LEN(SUBSTITUTE(AQ1425,".",""))=3,LEFT(AQ1425,vitri(".",AQ1425,3)-1),LEN(AQ1425)-LEN(SUBSTITUTE(AQ1425,".",""))=2,LEFT(AQ1425,vitri(".",AQ1425,2)-1),TRUE,LEFT(AQ1425,vitri(".",AQ1425,1)-1))</f>
        <v/>
      </c>
    </row>
    <row r="1426" spans="13:54" x14ac:dyDescent="0.25">
      <c r="M1426" s="379"/>
      <c r="BB1426" s="206" t="str">
        <f t="array" ref="BB1426">_xlfn.IFS(AQ1426="","",LEN(AQ1426)-LEN(SUBSTITUTE(AQ1426,".",""))=3,LEFT(AQ1426,vitri(".",AQ1426,3)-1),LEN(AQ1426)-LEN(SUBSTITUTE(AQ1426,".",""))=2,LEFT(AQ1426,vitri(".",AQ1426,2)-1),TRUE,LEFT(AQ1426,vitri(".",AQ1426,1)-1))</f>
        <v/>
      </c>
    </row>
    <row r="1427" spans="13:54" x14ac:dyDescent="0.25">
      <c r="M1427" s="379"/>
      <c r="BB1427" s="206" t="str">
        <f t="array" ref="BB1427">_xlfn.IFS(AQ1427="","",LEN(AQ1427)-LEN(SUBSTITUTE(AQ1427,".",""))=3,LEFT(AQ1427,vitri(".",AQ1427,3)-1),LEN(AQ1427)-LEN(SUBSTITUTE(AQ1427,".",""))=2,LEFT(AQ1427,vitri(".",AQ1427,2)-1),TRUE,LEFT(AQ1427,vitri(".",AQ1427,1)-1))</f>
        <v/>
      </c>
    </row>
    <row r="1428" spans="13:54" x14ac:dyDescent="0.25">
      <c r="M1428" s="379"/>
      <c r="BB1428" s="206" t="str">
        <f t="array" ref="BB1428">_xlfn.IFS(AQ1428="","",LEN(AQ1428)-LEN(SUBSTITUTE(AQ1428,".",""))=3,LEFT(AQ1428,vitri(".",AQ1428,3)-1),LEN(AQ1428)-LEN(SUBSTITUTE(AQ1428,".",""))=2,LEFT(AQ1428,vitri(".",AQ1428,2)-1),TRUE,LEFT(AQ1428,vitri(".",AQ1428,1)-1))</f>
        <v/>
      </c>
    </row>
    <row r="1429" spans="13:54" x14ac:dyDescent="0.25">
      <c r="M1429" s="379"/>
      <c r="BB1429" s="206" t="str">
        <f t="array" ref="BB1429">_xlfn.IFS(AQ1429="","",LEN(AQ1429)-LEN(SUBSTITUTE(AQ1429,".",""))=3,LEFT(AQ1429,vitri(".",AQ1429,3)-1),LEN(AQ1429)-LEN(SUBSTITUTE(AQ1429,".",""))=2,LEFT(AQ1429,vitri(".",AQ1429,2)-1),TRUE,LEFT(AQ1429,vitri(".",AQ1429,1)-1))</f>
        <v/>
      </c>
    </row>
    <row r="1430" spans="13:54" x14ac:dyDescent="0.25">
      <c r="M1430" s="379"/>
      <c r="BB1430" s="206" t="str">
        <f t="array" ref="BB1430">_xlfn.IFS(AQ1430="","",LEN(AQ1430)-LEN(SUBSTITUTE(AQ1430,".",""))=3,LEFT(AQ1430,vitri(".",AQ1430,3)-1),LEN(AQ1430)-LEN(SUBSTITUTE(AQ1430,".",""))=2,LEFT(AQ1430,vitri(".",AQ1430,2)-1),TRUE,LEFT(AQ1430,vitri(".",AQ1430,1)-1))</f>
        <v/>
      </c>
    </row>
    <row r="1431" spans="13:54" x14ac:dyDescent="0.25">
      <c r="M1431" s="379"/>
      <c r="BB1431" s="206" t="str">
        <f t="array" ref="BB1431">_xlfn.IFS(AQ1431="","",LEN(AQ1431)-LEN(SUBSTITUTE(AQ1431,".",""))=3,LEFT(AQ1431,vitri(".",AQ1431,3)-1),LEN(AQ1431)-LEN(SUBSTITUTE(AQ1431,".",""))=2,LEFT(AQ1431,vitri(".",AQ1431,2)-1),TRUE,LEFT(AQ1431,vitri(".",AQ1431,1)-1))</f>
        <v/>
      </c>
    </row>
    <row r="1432" spans="13:54" x14ac:dyDescent="0.25">
      <c r="M1432" s="379"/>
      <c r="BB1432" s="206" t="str">
        <f t="array" ref="BB1432">_xlfn.IFS(AQ1432="","",LEN(AQ1432)-LEN(SUBSTITUTE(AQ1432,".",""))=3,LEFT(AQ1432,vitri(".",AQ1432,3)-1),LEN(AQ1432)-LEN(SUBSTITUTE(AQ1432,".",""))=2,LEFT(AQ1432,vitri(".",AQ1432,2)-1),TRUE,LEFT(AQ1432,vitri(".",AQ1432,1)-1))</f>
        <v/>
      </c>
    </row>
    <row r="1433" spans="13:54" x14ac:dyDescent="0.25">
      <c r="M1433" s="379"/>
      <c r="BB1433" s="206" t="str">
        <f t="array" ref="BB1433">_xlfn.IFS(AQ1433="","",LEN(AQ1433)-LEN(SUBSTITUTE(AQ1433,".",""))=3,LEFT(AQ1433,vitri(".",AQ1433,3)-1),LEN(AQ1433)-LEN(SUBSTITUTE(AQ1433,".",""))=2,LEFT(AQ1433,vitri(".",AQ1433,2)-1),TRUE,LEFT(AQ1433,vitri(".",AQ1433,1)-1))</f>
        <v/>
      </c>
    </row>
    <row r="1434" spans="13:54" x14ac:dyDescent="0.25">
      <c r="M1434" s="379"/>
      <c r="BB1434" s="206" t="str">
        <f t="array" ref="BB1434">_xlfn.IFS(AQ1434="","",LEN(AQ1434)-LEN(SUBSTITUTE(AQ1434,".",""))=3,LEFT(AQ1434,vitri(".",AQ1434,3)-1),LEN(AQ1434)-LEN(SUBSTITUTE(AQ1434,".",""))=2,LEFT(AQ1434,vitri(".",AQ1434,2)-1),TRUE,LEFT(AQ1434,vitri(".",AQ1434,1)-1))</f>
        <v/>
      </c>
    </row>
    <row r="1435" spans="13:54" x14ac:dyDescent="0.25">
      <c r="M1435" s="379"/>
      <c r="BB1435" s="206" t="str">
        <f t="array" ref="BB1435">_xlfn.IFS(AQ1435="","",LEN(AQ1435)-LEN(SUBSTITUTE(AQ1435,".",""))=3,LEFT(AQ1435,vitri(".",AQ1435,3)-1),LEN(AQ1435)-LEN(SUBSTITUTE(AQ1435,".",""))=2,LEFT(AQ1435,vitri(".",AQ1435,2)-1),TRUE,LEFT(AQ1435,vitri(".",AQ1435,1)-1))</f>
        <v/>
      </c>
    </row>
    <row r="1436" spans="13:54" x14ac:dyDescent="0.25">
      <c r="M1436" s="379"/>
      <c r="BB1436" s="206" t="str">
        <f t="array" ref="BB1436">_xlfn.IFS(AQ1436="","",LEN(AQ1436)-LEN(SUBSTITUTE(AQ1436,".",""))=3,LEFT(AQ1436,vitri(".",AQ1436,3)-1),LEN(AQ1436)-LEN(SUBSTITUTE(AQ1436,".",""))=2,LEFT(AQ1436,vitri(".",AQ1436,2)-1),TRUE,LEFT(AQ1436,vitri(".",AQ1436,1)-1))</f>
        <v/>
      </c>
    </row>
    <row r="1437" spans="13:54" x14ac:dyDescent="0.25">
      <c r="M1437" s="379"/>
      <c r="BB1437" s="206" t="str">
        <f t="array" ref="BB1437">_xlfn.IFS(AQ1437="","",LEN(AQ1437)-LEN(SUBSTITUTE(AQ1437,".",""))=3,LEFT(AQ1437,vitri(".",AQ1437,3)-1),LEN(AQ1437)-LEN(SUBSTITUTE(AQ1437,".",""))=2,LEFT(AQ1437,vitri(".",AQ1437,2)-1),TRUE,LEFT(AQ1437,vitri(".",AQ1437,1)-1))</f>
        <v/>
      </c>
    </row>
    <row r="1438" spans="13:54" x14ac:dyDescent="0.25">
      <c r="M1438" s="379"/>
      <c r="BB1438" s="206" t="str">
        <f t="array" ref="BB1438">_xlfn.IFS(AQ1438="","",LEN(AQ1438)-LEN(SUBSTITUTE(AQ1438,".",""))=3,LEFT(AQ1438,vitri(".",AQ1438,3)-1),LEN(AQ1438)-LEN(SUBSTITUTE(AQ1438,".",""))=2,LEFT(AQ1438,vitri(".",AQ1438,2)-1),TRUE,LEFT(AQ1438,vitri(".",AQ1438,1)-1))</f>
        <v/>
      </c>
    </row>
    <row r="1439" spans="13:54" x14ac:dyDescent="0.25">
      <c r="M1439" s="379"/>
      <c r="BB1439" s="206" t="str">
        <f t="array" ref="BB1439">_xlfn.IFS(AQ1439="","",LEN(AQ1439)-LEN(SUBSTITUTE(AQ1439,".",""))=3,LEFT(AQ1439,vitri(".",AQ1439,3)-1),LEN(AQ1439)-LEN(SUBSTITUTE(AQ1439,".",""))=2,LEFT(AQ1439,vitri(".",AQ1439,2)-1),TRUE,LEFT(AQ1439,vitri(".",AQ1439,1)-1))</f>
        <v/>
      </c>
    </row>
    <row r="1440" spans="13:54" x14ac:dyDescent="0.25">
      <c r="M1440" s="379"/>
      <c r="BB1440" s="206" t="str">
        <f t="array" ref="BB1440">_xlfn.IFS(AQ1440="","",LEN(AQ1440)-LEN(SUBSTITUTE(AQ1440,".",""))=3,LEFT(AQ1440,vitri(".",AQ1440,3)-1),LEN(AQ1440)-LEN(SUBSTITUTE(AQ1440,".",""))=2,LEFT(AQ1440,vitri(".",AQ1440,2)-1),TRUE,LEFT(AQ1440,vitri(".",AQ1440,1)-1))</f>
        <v/>
      </c>
    </row>
    <row r="1441" spans="13:54" x14ac:dyDescent="0.25">
      <c r="M1441" s="379"/>
      <c r="BB1441" s="206" t="str">
        <f t="array" ref="BB1441">_xlfn.IFS(AQ1441="","",LEN(AQ1441)-LEN(SUBSTITUTE(AQ1441,".",""))=3,LEFT(AQ1441,vitri(".",AQ1441,3)-1),LEN(AQ1441)-LEN(SUBSTITUTE(AQ1441,".",""))=2,LEFT(AQ1441,vitri(".",AQ1441,2)-1),TRUE,LEFT(AQ1441,vitri(".",AQ1441,1)-1))</f>
        <v/>
      </c>
    </row>
    <row r="1442" spans="13:54" x14ac:dyDescent="0.25">
      <c r="M1442" s="379"/>
      <c r="BB1442" s="206" t="str">
        <f t="array" ref="BB1442">_xlfn.IFS(AQ1442="","",LEN(AQ1442)-LEN(SUBSTITUTE(AQ1442,".",""))=3,LEFT(AQ1442,vitri(".",AQ1442,3)-1),LEN(AQ1442)-LEN(SUBSTITUTE(AQ1442,".",""))=2,LEFT(AQ1442,vitri(".",AQ1442,2)-1),TRUE,LEFT(AQ1442,vitri(".",AQ1442,1)-1))</f>
        <v/>
      </c>
    </row>
    <row r="1443" spans="13:54" x14ac:dyDescent="0.25">
      <c r="M1443" s="379"/>
      <c r="BB1443" s="206" t="str">
        <f t="array" ref="BB1443">_xlfn.IFS(AQ1443="","",LEN(AQ1443)-LEN(SUBSTITUTE(AQ1443,".",""))=3,LEFT(AQ1443,vitri(".",AQ1443,3)-1),LEN(AQ1443)-LEN(SUBSTITUTE(AQ1443,".",""))=2,LEFT(AQ1443,vitri(".",AQ1443,2)-1),TRUE,LEFT(AQ1443,vitri(".",AQ1443,1)-1))</f>
        <v/>
      </c>
    </row>
    <row r="1444" spans="13:54" x14ac:dyDescent="0.25">
      <c r="M1444" s="379"/>
      <c r="BB1444" s="206" t="str">
        <f t="array" ref="BB1444">_xlfn.IFS(AQ1444="","",LEN(AQ1444)-LEN(SUBSTITUTE(AQ1444,".",""))=3,LEFT(AQ1444,vitri(".",AQ1444,3)-1),LEN(AQ1444)-LEN(SUBSTITUTE(AQ1444,".",""))=2,LEFT(AQ1444,vitri(".",AQ1444,2)-1),TRUE,LEFT(AQ1444,vitri(".",AQ1444,1)-1))</f>
        <v/>
      </c>
    </row>
    <row r="1445" spans="13:54" x14ac:dyDescent="0.25">
      <c r="M1445" s="379"/>
      <c r="BB1445" s="206" t="str">
        <f t="array" ref="BB1445">_xlfn.IFS(AQ1445="","",LEN(AQ1445)-LEN(SUBSTITUTE(AQ1445,".",""))=3,LEFT(AQ1445,vitri(".",AQ1445,3)-1),LEN(AQ1445)-LEN(SUBSTITUTE(AQ1445,".",""))=2,LEFT(AQ1445,vitri(".",AQ1445,2)-1),TRUE,LEFT(AQ1445,vitri(".",AQ1445,1)-1))</f>
        <v/>
      </c>
    </row>
    <row r="1446" spans="13:54" x14ac:dyDescent="0.25">
      <c r="M1446" s="379"/>
      <c r="BB1446" s="206" t="str">
        <f t="array" ref="BB1446">_xlfn.IFS(AQ1446="","",LEN(AQ1446)-LEN(SUBSTITUTE(AQ1446,".",""))=3,LEFT(AQ1446,vitri(".",AQ1446,3)-1),LEN(AQ1446)-LEN(SUBSTITUTE(AQ1446,".",""))=2,LEFT(AQ1446,vitri(".",AQ1446,2)-1),TRUE,LEFT(AQ1446,vitri(".",AQ1446,1)-1))</f>
        <v/>
      </c>
    </row>
    <row r="1447" spans="13:54" x14ac:dyDescent="0.25">
      <c r="M1447" s="379"/>
      <c r="BB1447" s="206" t="str">
        <f t="array" ref="BB1447">_xlfn.IFS(AQ1447="","",LEN(AQ1447)-LEN(SUBSTITUTE(AQ1447,".",""))=3,LEFT(AQ1447,vitri(".",AQ1447,3)-1),LEN(AQ1447)-LEN(SUBSTITUTE(AQ1447,".",""))=2,LEFT(AQ1447,vitri(".",AQ1447,2)-1),TRUE,LEFT(AQ1447,vitri(".",AQ1447,1)-1))</f>
        <v/>
      </c>
    </row>
    <row r="1448" spans="13:54" x14ac:dyDescent="0.25">
      <c r="M1448" s="379"/>
      <c r="BB1448" s="206" t="str">
        <f t="array" ref="BB1448">_xlfn.IFS(AQ1448="","",LEN(AQ1448)-LEN(SUBSTITUTE(AQ1448,".",""))=3,LEFT(AQ1448,vitri(".",AQ1448,3)-1),LEN(AQ1448)-LEN(SUBSTITUTE(AQ1448,".",""))=2,LEFT(AQ1448,vitri(".",AQ1448,2)-1),TRUE,LEFT(AQ1448,vitri(".",AQ1448,1)-1))</f>
        <v/>
      </c>
    </row>
    <row r="1449" spans="13:54" x14ac:dyDescent="0.25">
      <c r="M1449" s="379"/>
      <c r="BB1449" s="206" t="str">
        <f t="array" ref="BB1449">_xlfn.IFS(AQ1449="","",LEN(AQ1449)-LEN(SUBSTITUTE(AQ1449,".",""))=3,LEFT(AQ1449,vitri(".",AQ1449,3)-1),LEN(AQ1449)-LEN(SUBSTITUTE(AQ1449,".",""))=2,LEFT(AQ1449,vitri(".",AQ1449,2)-1),TRUE,LEFT(AQ1449,vitri(".",AQ1449,1)-1))</f>
        <v/>
      </c>
    </row>
    <row r="1450" spans="13:54" x14ac:dyDescent="0.25">
      <c r="M1450" s="379"/>
      <c r="BB1450" s="206" t="str">
        <f t="array" ref="BB1450">_xlfn.IFS(AQ1450="","",LEN(AQ1450)-LEN(SUBSTITUTE(AQ1450,".",""))=3,LEFT(AQ1450,vitri(".",AQ1450,3)-1),LEN(AQ1450)-LEN(SUBSTITUTE(AQ1450,".",""))=2,LEFT(AQ1450,vitri(".",AQ1450,2)-1),TRUE,LEFT(AQ1450,vitri(".",AQ1450,1)-1))</f>
        <v/>
      </c>
    </row>
    <row r="1451" spans="13:54" x14ac:dyDescent="0.25">
      <c r="M1451" s="379"/>
      <c r="BB1451" s="206" t="str">
        <f t="array" ref="BB1451">_xlfn.IFS(AQ1451="","",LEN(AQ1451)-LEN(SUBSTITUTE(AQ1451,".",""))=3,LEFT(AQ1451,vitri(".",AQ1451,3)-1),LEN(AQ1451)-LEN(SUBSTITUTE(AQ1451,".",""))=2,LEFT(AQ1451,vitri(".",AQ1451,2)-1),TRUE,LEFT(AQ1451,vitri(".",AQ1451,1)-1))</f>
        <v/>
      </c>
    </row>
    <row r="1452" spans="13:54" x14ac:dyDescent="0.25">
      <c r="M1452" s="379"/>
      <c r="BB1452" s="206" t="str">
        <f t="array" ref="BB1452">_xlfn.IFS(AQ1452="","",LEN(AQ1452)-LEN(SUBSTITUTE(AQ1452,".",""))=3,LEFT(AQ1452,vitri(".",AQ1452,3)-1),LEN(AQ1452)-LEN(SUBSTITUTE(AQ1452,".",""))=2,LEFT(AQ1452,vitri(".",AQ1452,2)-1),TRUE,LEFT(AQ1452,vitri(".",AQ1452,1)-1))</f>
        <v/>
      </c>
    </row>
    <row r="1453" spans="13:54" x14ac:dyDescent="0.25">
      <c r="M1453" s="379"/>
      <c r="BB1453" s="206" t="str">
        <f t="array" ref="BB1453">_xlfn.IFS(AQ1453="","",LEN(AQ1453)-LEN(SUBSTITUTE(AQ1453,".",""))=3,LEFT(AQ1453,vitri(".",AQ1453,3)-1),LEN(AQ1453)-LEN(SUBSTITUTE(AQ1453,".",""))=2,LEFT(AQ1453,vitri(".",AQ1453,2)-1),TRUE,LEFT(AQ1453,vitri(".",AQ1453,1)-1))</f>
        <v/>
      </c>
    </row>
    <row r="1454" spans="13:54" x14ac:dyDescent="0.25">
      <c r="M1454" s="379"/>
      <c r="BB1454" s="206" t="str">
        <f t="array" ref="BB1454">_xlfn.IFS(AQ1454="","",LEN(AQ1454)-LEN(SUBSTITUTE(AQ1454,".",""))=3,LEFT(AQ1454,vitri(".",AQ1454,3)-1),LEN(AQ1454)-LEN(SUBSTITUTE(AQ1454,".",""))=2,LEFT(AQ1454,vitri(".",AQ1454,2)-1),TRUE,LEFT(AQ1454,vitri(".",AQ1454,1)-1))</f>
        <v/>
      </c>
    </row>
    <row r="1455" spans="13:54" x14ac:dyDescent="0.25">
      <c r="M1455" s="379"/>
      <c r="BB1455" s="206" t="str">
        <f t="array" ref="BB1455">_xlfn.IFS(AQ1455="","",LEN(AQ1455)-LEN(SUBSTITUTE(AQ1455,".",""))=3,LEFT(AQ1455,vitri(".",AQ1455,3)-1),LEN(AQ1455)-LEN(SUBSTITUTE(AQ1455,".",""))=2,LEFT(AQ1455,vitri(".",AQ1455,2)-1),TRUE,LEFT(AQ1455,vitri(".",AQ1455,1)-1))</f>
        <v/>
      </c>
    </row>
    <row r="1456" spans="13:54" x14ac:dyDescent="0.25">
      <c r="M1456" s="379"/>
      <c r="BB1456" s="206" t="str">
        <f t="array" ref="BB1456">_xlfn.IFS(AQ1456="","",LEN(AQ1456)-LEN(SUBSTITUTE(AQ1456,".",""))=3,LEFT(AQ1456,vitri(".",AQ1456,3)-1),LEN(AQ1456)-LEN(SUBSTITUTE(AQ1456,".",""))=2,LEFT(AQ1456,vitri(".",AQ1456,2)-1),TRUE,LEFT(AQ1456,vitri(".",AQ1456,1)-1))</f>
        <v/>
      </c>
    </row>
    <row r="1457" spans="13:54" x14ac:dyDescent="0.25">
      <c r="M1457" s="379"/>
      <c r="BB1457" s="206" t="str">
        <f t="array" ref="BB1457">_xlfn.IFS(AQ1457="","",LEN(AQ1457)-LEN(SUBSTITUTE(AQ1457,".",""))=3,LEFT(AQ1457,vitri(".",AQ1457,3)-1),LEN(AQ1457)-LEN(SUBSTITUTE(AQ1457,".",""))=2,LEFT(AQ1457,vitri(".",AQ1457,2)-1),TRUE,LEFT(AQ1457,vitri(".",AQ1457,1)-1))</f>
        <v/>
      </c>
    </row>
    <row r="1458" spans="13:54" x14ac:dyDescent="0.25">
      <c r="M1458" s="379"/>
      <c r="BB1458" s="206" t="str">
        <f t="array" ref="BB1458">_xlfn.IFS(AQ1458="","",LEN(AQ1458)-LEN(SUBSTITUTE(AQ1458,".",""))=3,LEFT(AQ1458,vitri(".",AQ1458,3)-1),LEN(AQ1458)-LEN(SUBSTITUTE(AQ1458,".",""))=2,LEFT(AQ1458,vitri(".",AQ1458,2)-1),TRUE,LEFT(AQ1458,vitri(".",AQ1458,1)-1))</f>
        <v/>
      </c>
    </row>
    <row r="1459" spans="13:54" x14ac:dyDescent="0.25">
      <c r="M1459" s="379"/>
      <c r="BB1459" s="206" t="str">
        <f t="array" ref="BB1459">_xlfn.IFS(AQ1459="","",LEN(AQ1459)-LEN(SUBSTITUTE(AQ1459,".",""))=3,LEFT(AQ1459,vitri(".",AQ1459,3)-1),LEN(AQ1459)-LEN(SUBSTITUTE(AQ1459,".",""))=2,LEFT(AQ1459,vitri(".",AQ1459,2)-1),TRUE,LEFT(AQ1459,vitri(".",AQ1459,1)-1))</f>
        <v/>
      </c>
    </row>
    <row r="1460" spans="13:54" x14ac:dyDescent="0.25">
      <c r="M1460" s="379"/>
      <c r="BB1460" s="206" t="str">
        <f t="array" ref="BB1460">_xlfn.IFS(AQ1460="","",LEN(AQ1460)-LEN(SUBSTITUTE(AQ1460,".",""))=3,LEFT(AQ1460,vitri(".",AQ1460,3)-1),LEN(AQ1460)-LEN(SUBSTITUTE(AQ1460,".",""))=2,LEFT(AQ1460,vitri(".",AQ1460,2)-1),TRUE,LEFT(AQ1460,vitri(".",AQ1460,1)-1))</f>
        <v/>
      </c>
    </row>
    <row r="1461" spans="13:54" x14ac:dyDescent="0.25">
      <c r="M1461" s="379"/>
      <c r="BB1461" s="206" t="str">
        <f t="array" ref="BB1461">_xlfn.IFS(AQ1461="","",LEN(AQ1461)-LEN(SUBSTITUTE(AQ1461,".",""))=3,LEFT(AQ1461,vitri(".",AQ1461,3)-1),LEN(AQ1461)-LEN(SUBSTITUTE(AQ1461,".",""))=2,LEFT(AQ1461,vitri(".",AQ1461,2)-1),TRUE,LEFT(AQ1461,vitri(".",AQ1461,1)-1))</f>
        <v/>
      </c>
    </row>
    <row r="1462" spans="13:54" x14ac:dyDescent="0.25">
      <c r="M1462" s="379"/>
      <c r="BB1462" s="206" t="str">
        <f t="array" ref="BB1462">_xlfn.IFS(AQ1462="","",LEN(AQ1462)-LEN(SUBSTITUTE(AQ1462,".",""))=3,LEFT(AQ1462,vitri(".",AQ1462,3)-1),LEN(AQ1462)-LEN(SUBSTITUTE(AQ1462,".",""))=2,LEFT(AQ1462,vitri(".",AQ1462,2)-1),TRUE,LEFT(AQ1462,vitri(".",AQ1462,1)-1))</f>
        <v/>
      </c>
    </row>
    <row r="1463" spans="13:54" x14ac:dyDescent="0.25">
      <c r="M1463" s="379"/>
      <c r="BB1463" s="206" t="str">
        <f t="array" ref="BB1463">_xlfn.IFS(AQ1463="","",LEN(AQ1463)-LEN(SUBSTITUTE(AQ1463,".",""))=3,LEFT(AQ1463,vitri(".",AQ1463,3)-1),LEN(AQ1463)-LEN(SUBSTITUTE(AQ1463,".",""))=2,LEFT(AQ1463,vitri(".",AQ1463,2)-1),TRUE,LEFT(AQ1463,vitri(".",AQ1463,1)-1))</f>
        <v/>
      </c>
    </row>
    <row r="1464" spans="13:54" x14ac:dyDescent="0.25">
      <c r="M1464" s="379"/>
      <c r="BB1464" s="206" t="str">
        <f t="array" ref="BB1464">_xlfn.IFS(AQ1464="","",LEN(AQ1464)-LEN(SUBSTITUTE(AQ1464,".",""))=3,LEFT(AQ1464,vitri(".",AQ1464,3)-1),LEN(AQ1464)-LEN(SUBSTITUTE(AQ1464,".",""))=2,LEFT(AQ1464,vitri(".",AQ1464,2)-1),TRUE,LEFT(AQ1464,vitri(".",AQ1464,1)-1))</f>
        <v/>
      </c>
    </row>
    <row r="1465" spans="13:54" x14ac:dyDescent="0.25">
      <c r="M1465" s="379"/>
      <c r="BB1465" s="206" t="str">
        <f t="array" ref="BB1465">_xlfn.IFS(AQ1465="","",LEN(AQ1465)-LEN(SUBSTITUTE(AQ1465,".",""))=3,LEFT(AQ1465,vitri(".",AQ1465,3)-1),LEN(AQ1465)-LEN(SUBSTITUTE(AQ1465,".",""))=2,LEFT(AQ1465,vitri(".",AQ1465,2)-1),TRUE,LEFT(AQ1465,vitri(".",AQ1465,1)-1))</f>
        <v/>
      </c>
    </row>
    <row r="1466" spans="13:54" x14ac:dyDescent="0.25">
      <c r="M1466" s="379"/>
      <c r="BB1466" s="206" t="str">
        <f t="array" ref="BB1466">_xlfn.IFS(AQ1466="","",LEN(AQ1466)-LEN(SUBSTITUTE(AQ1466,".",""))=3,LEFT(AQ1466,vitri(".",AQ1466,3)-1),LEN(AQ1466)-LEN(SUBSTITUTE(AQ1466,".",""))=2,LEFT(AQ1466,vitri(".",AQ1466,2)-1),TRUE,LEFT(AQ1466,vitri(".",AQ1466,1)-1))</f>
        <v/>
      </c>
    </row>
    <row r="1467" spans="13:54" x14ac:dyDescent="0.25">
      <c r="M1467" s="379"/>
      <c r="BB1467" s="206" t="str">
        <f t="array" ref="BB1467">_xlfn.IFS(AQ1467="","",LEN(AQ1467)-LEN(SUBSTITUTE(AQ1467,".",""))=3,LEFT(AQ1467,vitri(".",AQ1467,3)-1),LEN(AQ1467)-LEN(SUBSTITUTE(AQ1467,".",""))=2,LEFT(AQ1467,vitri(".",AQ1467,2)-1),TRUE,LEFT(AQ1467,vitri(".",AQ1467,1)-1))</f>
        <v/>
      </c>
    </row>
    <row r="1468" spans="13:54" x14ac:dyDescent="0.25">
      <c r="M1468" s="379"/>
      <c r="BB1468" s="206" t="str">
        <f t="array" ref="BB1468">_xlfn.IFS(AQ1468="","",LEN(AQ1468)-LEN(SUBSTITUTE(AQ1468,".",""))=3,LEFT(AQ1468,vitri(".",AQ1468,3)-1),LEN(AQ1468)-LEN(SUBSTITUTE(AQ1468,".",""))=2,LEFT(AQ1468,vitri(".",AQ1468,2)-1),TRUE,LEFT(AQ1468,vitri(".",AQ1468,1)-1))</f>
        <v/>
      </c>
    </row>
    <row r="1469" spans="13:54" x14ac:dyDescent="0.25">
      <c r="M1469" s="379"/>
      <c r="BB1469" s="206" t="str">
        <f t="array" ref="BB1469">_xlfn.IFS(AQ1469="","",LEN(AQ1469)-LEN(SUBSTITUTE(AQ1469,".",""))=3,LEFT(AQ1469,vitri(".",AQ1469,3)-1),LEN(AQ1469)-LEN(SUBSTITUTE(AQ1469,".",""))=2,LEFT(AQ1469,vitri(".",AQ1469,2)-1),TRUE,LEFT(AQ1469,vitri(".",AQ1469,1)-1))</f>
        <v/>
      </c>
    </row>
    <row r="1470" spans="13:54" x14ac:dyDescent="0.25">
      <c r="M1470" s="379"/>
      <c r="BB1470" s="206" t="str">
        <f t="array" ref="BB1470">_xlfn.IFS(AQ1470="","",LEN(AQ1470)-LEN(SUBSTITUTE(AQ1470,".",""))=3,LEFT(AQ1470,vitri(".",AQ1470,3)-1),LEN(AQ1470)-LEN(SUBSTITUTE(AQ1470,".",""))=2,LEFT(AQ1470,vitri(".",AQ1470,2)-1),TRUE,LEFT(AQ1470,vitri(".",AQ1470,1)-1))</f>
        <v/>
      </c>
    </row>
    <row r="1471" spans="13:54" x14ac:dyDescent="0.25">
      <c r="M1471" s="379"/>
      <c r="BB1471" s="206" t="str">
        <f t="array" ref="BB1471">_xlfn.IFS(AQ1471="","",LEN(AQ1471)-LEN(SUBSTITUTE(AQ1471,".",""))=3,LEFT(AQ1471,vitri(".",AQ1471,3)-1),LEN(AQ1471)-LEN(SUBSTITUTE(AQ1471,".",""))=2,LEFT(AQ1471,vitri(".",AQ1471,2)-1),TRUE,LEFT(AQ1471,vitri(".",AQ1471,1)-1))</f>
        <v/>
      </c>
    </row>
    <row r="1472" spans="13:54" x14ac:dyDescent="0.25">
      <c r="M1472" s="379"/>
      <c r="BB1472" s="206" t="str">
        <f t="array" ref="BB1472">_xlfn.IFS(AQ1472="","",LEN(AQ1472)-LEN(SUBSTITUTE(AQ1472,".",""))=3,LEFT(AQ1472,vitri(".",AQ1472,3)-1),LEN(AQ1472)-LEN(SUBSTITUTE(AQ1472,".",""))=2,LEFT(AQ1472,vitri(".",AQ1472,2)-1),TRUE,LEFT(AQ1472,vitri(".",AQ1472,1)-1))</f>
        <v/>
      </c>
    </row>
    <row r="1473" spans="13:54" x14ac:dyDescent="0.25">
      <c r="M1473" s="379"/>
      <c r="BB1473" s="206" t="str">
        <f t="array" ref="BB1473">_xlfn.IFS(AQ1473="","",LEN(AQ1473)-LEN(SUBSTITUTE(AQ1473,".",""))=3,LEFT(AQ1473,vitri(".",AQ1473,3)-1),LEN(AQ1473)-LEN(SUBSTITUTE(AQ1473,".",""))=2,LEFT(AQ1473,vitri(".",AQ1473,2)-1),TRUE,LEFT(AQ1473,vitri(".",AQ1473,1)-1))</f>
        <v/>
      </c>
    </row>
    <row r="1474" spans="13:54" x14ac:dyDescent="0.25">
      <c r="M1474" s="379"/>
      <c r="BB1474" s="206" t="str">
        <f t="array" ref="BB1474">_xlfn.IFS(AQ1474="","",LEN(AQ1474)-LEN(SUBSTITUTE(AQ1474,".",""))=3,LEFT(AQ1474,vitri(".",AQ1474,3)-1),LEN(AQ1474)-LEN(SUBSTITUTE(AQ1474,".",""))=2,LEFT(AQ1474,vitri(".",AQ1474,2)-1),TRUE,LEFT(AQ1474,vitri(".",AQ1474,1)-1))</f>
        <v/>
      </c>
    </row>
    <row r="1475" spans="13:54" x14ac:dyDescent="0.25">
      <c r="M1475" s="379"/>
      <c r="BB1475" s="206" t="str">
        <f t="array" ref="BB1475">_xlfn.IFS(AQ1475="","",LEN(AQ1475)-LEN(SUBSTITUTE(AQ1475,".",""))=3,LEFT(AQ1475,vitri(".",AQ1475,3)-1),LEN(AQ1475)-LEN(SUBSTITUTE(AQ1475,".",""))=2,LEFT(AQ1475,vitri(".",AQ1475,2)-1),TRUE,LEFT(AQ1475,vitri(".",AQ1475,1)-1))</f>
        <v/>
      </c>
    </row>
    <row r="1476" spans="13:54" x14ac:dyDescent="0.25">
      <c r="M1476" s="379"/>
      <c r="BB1476" s="206" t="str">
        <f t="array" ref="BB1476">_xlfn.IFS(AQ1476="","",LEN(AQ1476)-LEN(SUBSTITUTE(AQ1476,".",""))=3,LEFT(AQ1476,vitri(".",AQ1476,3)-1),LEN(AQ1476)-LEN(SUBSTITUTE(AQ1476,".",""))=2,LEFT(AQ1476,vitri(".",AQ1476,2)-1),TRUE,LEFT(AQ1476,vitri(".",AQ1476,1)-1))</f>
        <v/>
      </c>
    </row>
    <row r="1477" spans="13:54" x14ac:dyDescent="0.25">
      <c r="M1477" s="379"/>
      <c r="BB1477" s="206" t="str">
        <f t="array" ref="BB1477">_xlfn.IFS(AQ1477="","",LEN(AQ1477)-LEN(SUBSTITUTE(AQ1477,".",""))=3,LEFT(AQ1477,vitri(".",AQ1477,3)-1),LEN(AQ1477)-LEN(SUBSTITUTE(AQ1477,".",""))=2,LEFT(AQ1477,vitri(".",AQ1477,2)-1),TRUE,LEFT(AQ1477,vitri(".",AQ1477,1)-1))</f>
        <v/>
      </c>
    </row>
    <row r="1478" spans="13:54" x14ac:dyDescent="0.25">
      <c r="M1478" s="379"/>
      <c r="BB1478" s="206" t="str">
        <f t="array" ref="BB1478">_xlfn.IFS(AQ1478="","",LEN(AQ1478)-LEN(SUBSTITUTE(AQ1478,".",""))=3,LEFT(AQ1478,vitri(".",AQ1478,3)-1),LEN(AQ1478)-LEN(SUBSTITUTE(AQ1478,".",""))=2,LEFT(AQ1478,vitri(".",AQ1478,2)-1),TRUE,LEFT(AQ1478,vitri(".",AQ1478,1)-1))</f>
        <v/>
      </c>
    </row>
    <row r="1479" spans="13:54" x14ac:dyDescent="0.25">
      <c r="M1479" s="379"/>
      <c r="BB1479" s="206" t="str">
        <f t="array" ref="BB1479">_xlfn.IFS(AQ1479="","",LEN(AQ1479)-LEN(SUBSTITUTE(AQ1479,".",""))=3,LEFT(AQ1479,vitri(".",AQ1479,3)-1),LEN(AQ1479)-LEN(SUBSTITUTE(AQ1479,".",""))=2,LEFT(AQ1479,vitri(".",AQ1479,2)-1),TRUE,LEFT(AQ1479,vitri(".",AQ1479,1)-1))</f>
        <v/>
      </c>
    </row>
    <row r="1480" spans="13:54" x14ac:dyDescent="0.25">
      <c r="M1480" s="379"/>
      <c r="BB1480" s="206" t="str">
        <f t="array" ref="BB1480">_xlfn.IFS(AQ1480="","",LEN(AQ1480)-LEN(SUBSTITUTE(AQ1480,".",""))=3,LEFT(AQ1480,vitri(".",AQ1480,3)-1),LEN(AQ1480)-LEN(SUBSTITUTE(AQ1480,".",""))=2,LEFT(AQ1480,vitri(".",AQ1480,2)-1),TRUE,LEFT(AQ1480,vitri(".",AQ1480,1)-1))</f>
        <v/>
      </c>
    </row>
    <row r="1481" spans="13:54" x14ac:dyDescent="0.25">
      <c r="M1481" s="379"/>
      <c r="BB1481" s="206" t="str">
        <f t="array" ref="BB1481">_xlfn.IFS(AQ1481="","",LEN(AQ1481)-LEN(SUBSTITUTE(AQ1481,".",""))=3,LEFT(AQ1481,vitri(".",AQ1481,3)-1),LEN(AQ1481)-LEN(SUBSTITUTE(AQ1481,".",""))=2,LEFT(AQ1481,vitri(".",AQ1481,2)-1),TRUE,LEFT(AQ1481,vitri(".",AQ1481,1)-1))</f>
        <v/>
      </c>
    </row>
    <row r="1482" spans="13:54" x14ac:dyDescent="0.25">
      <c r="M1482" s="379"/>
      <c r="BB1482" s="206" t="str">
        <f t="array" ref="BB1482">_xlfn.IFS(AQ1482="","",LEN(AQ1482)-LEN(SUBSTITUTE(AQ1482,".",""))=3,LEFT(AQ1482,vitri(".",AQ1482,3)-1),LEN(AQ1482)-LEN(SUBSTITUTE(AQ1482,".",""))=2,LEFT(AQ1482,vitri(".",AQ1482,2)-1),TRUE,LEFT(AQ1482,vitri(".",AQ1482,1)-1))</f>
        <v/>
      </c>
    </row>
    <row r="1483" spans="13:54" x14ac:dyDescent="0.25">
      <c r="M1483" s="379"/>
      <c r="BB1483" s="206" t="str">
        <f t="array" ref="BB1483">_xlfn.IFS(AQ1483="","",LEN(AQ1483)-LEN(SUBSTITUTE(AQ1483,".",""))=3,LEFT(AQ1483,vitri(".",AQ1483,3)-1),LEN(AQ1483)-LEN(SUBSTITUTE(AQ1483,".",""))=2,LEFT(AQ1483,vitri(".",AQ1483,2)-1),TRUE,LEFT(AQ1483,vitri(".",AQ1483,1)-1))</f>
        <v/>
      </c>
    </row>
    <row r="1484" spans="13:54" x14ac:dyDescent="0.25">
      <c r="M1484" s="379"/>
      <c r="BB1484" s="206" t="str">
        <f t="array" ref="BB1484">_xlfn.IFS(AQ1484="","",LEN(AQ1484)-LEN(SUBSTITUTE(AQ1484,".",""))=3,LEFT(AQ1484,vitri(".",AQ1484,3)-1),LEN(AQ1484)-LEN(SUBSTITUTE(AQ1484,".",""))=2,LEFT(AQ1484,vitri(".",AQ1484,2)-1),TRUE,LEFT(AQ1484,vitri(".",AQ1484,1)-1))</f>
        <v/>
      </c>
    </row>
    <row r="1485" spans="13:54" x14ac:dyDescent="0.25">
      <c r="M1485" s="379"/>
      <c r="BB1485" s="206" t="str">
        <f t="array" ref="BB1485">_xlfn.IFS(AQ1485="","",LEN(AQ1485)-LEN(SUBSTITUTE(AQ1485,".",""))=3,LEFT(AQ1485,vitri(".",AQ1485,3)-1),LEN(AQ1485)-LEN(SUBSTITUTE(AQ1485,".",""))=2,LEFT(AQ1485,vitri(".",AQ1485,2)-1),TRUE,LEFT(AQ1485,vitri(".",AQ1485,1)-1))</f>
        <v/>
      </c>
    </row>
    <row r="1486" spans="13:54" x14ac:dyDescent="0.25">
      <c r="M1486" s="379"/>
      <c r="BB1486" s="206" t="str">
        <f t="array" ref="BB1486">_xlfn.IFS(AQ1486="","",LEN(AQ1486)-LEN(SUBSTITUTE(AQ1486,".",""))=3,LEFT(AQ1486,vitri(".",AQ1486,3)-1),LEN(AQ1486)-LEN(SUBSTITUTE(AQ1486,".",""))=2,LEFT(AQ1486,vitri(".",AQ1486,2)-1),TRUE,LEFT(AQ1486,vitri(".",AQ1486,1)-1))</f>
        <v/>
      </c>
    </row>
    <row r="1487" spans="13:54" x14ac:dyDescent="0.25">
      <c r="M1487" s="379"/>
      <c r="BB1487" s="206" t="str">
        <f t="array" ref="BB1487">_xlfn.IFS(AQ1487="","",LEN(AQ1487)-LEN(SUBSTITUTE(AQ1487,".",""))=3,LEFT(AQ1487,vitri(".",AQ1487,3)-1),LEN(AQ1487)-LEN(SUBSTITUTE(AQ1487,".",""))=2,LEFT(AQ1487,vitri(".",AQ1487,2)-1),TRUE,LEFT(AQ1487,vitri(".",AQ1487,1)-1))</f>
        <v/>
      </c>
    </row>
    <row r="1488" spans="13:54" x14ac:dyDescent="0.25">
      <c r="M1488" s="379"/>
      <c r="BB1488" s="206" t="str">
        <f t="array" ref="BB1488">_xlfn.IFS(AQ1488="","",LEN(AQ1488)-LEN(SUBSTITUTE(AQ1488,".",""))=3,LEFT(AQ1488,vitri(".",AQ1488,3)-1),LEN(AQ1488)-LEN(SUBSTITUTE(AQ1488,".",""))=2,LEFT(AQ1488,vitri(".",AQ1488,2)-1),TRUE,LEFT(AQ1488,vitri(".",AQ1488,1)-1))</f>
        <v/>
      </c>
    </row>
    <row r="1489" spans="13:54" x14ac:dyDescent="0.25">
      <c r="M1489" s="379"/>
      <c r="BB1489" s="206" t="str">
        <f t="array" ref="BB1489">_xlfn.IFS(AQ1489="","",LEN(AQ1489)-LEN(SUBSTITUTE(AQ1489,".",""))=3,LEFT(AQ1489,vitri(".",AQ1489,3)-1),LEN(AQ1489)-LEN(SUBSTITUTE(AQ1489,".",""))=2,LEFT(AQ1489,vitri(".",AQ1489,2)-1),TRUE,LEFT(AQ1489,vitri(".",AQ1489,1)-1))</f>
        <v/>
      </c>
    </row>
    <row r="1490" spans="13:54" x14ac:dyDescent="0.25">
      <c r="M1490" s="379"/>
      <c r="BB1490" s="206" t="str">
        <f t="array" ref="BB1490">_xlfn.IFS(AQ1490="","",LEN(AQ1490)-LEN(SUBSTITUTE(AQ1490,".",""))=3,LEFT(AQ1490,vitri(".",AQ1490,3)-1),LEN(AQ1490)-LEN(SUBSTITUTE(AQ1490,".",""))=2,LEFT(AQ1490,vitri(".",AQ1490,2)-1),TRUE,LEFT(AQ1490,vitri(".",AQ1490,1)-1))</f>
        <v/>
      </c>
    </row>
    <row r="1491" spans="13:54" x14ac:dyDescent="0.25">
      <c r="M1491" s="379"/>
      <c r="BB1491" s="206" t="str">
        <f t="array" ref="BB1491">_xlfn.IFS(AQ1491="","",LEN(AQ1491)-LEN(SUBSTITUTE(AQ1491,".",""))=3,LEFT(AQ1491,vitri(".",AQ1491,3)-1),LEN(AQ1491)-LEN(SUBSTITUTE(AQ1491,".",""))=2,LEFT(AQ1491,vitri(".",AQ1491,2)-1),TRUE,LEFT(AQ1491,vitri(".",AQ1491,1)-1))</f>
        <v/>
      </c>
    </row>
    <row r="1492" spans="13:54" x14ac:dyDescent="0.25">
      <c r="M1492" s="379"/>
      <c r="BB1492" s="206" t="str">
        <f t="array" ref="BB1492">_xlfn.IFS(AQ1492="","",LEN(AQ1492)-LEN(SUBSTITUTE(AQ1492,".",""))=3,LEFT(AQ1492,vitri(".",AQ1492,3)-1),LEN(AQ1492)-LEN(SUBSTITUTE(AQ1492,".",""))=2,LEFT(AQ1492,vitri(".",AQ1492,2)-1),TRUE,LEFT(AQ1492,vitri(".",AQ1492,1)-1))</f>
        <v/>
      </c>
    </row>
    <row r="1493" spans="13:54" x14ac:dyDescent="0.25">
      <c r="M1493" s="379"/>
      <c r="BB1493" s="206" t="str">
        <f t="array" ref="BB1493">_xlfn.IFS(AQ1493="","",LEN(AQ1493)-LEN(SUBSTITUTE(AQ1493,".",""))=3,LEFT(AQ1493,vitri(".",AQ1493,3)-1),LEN(AQ1493)-LEN(SUBSTITUTE(AQ1493,".",""))=2,LEFT(AQ1493,vitri(".",AQ1493,2)-1),TRUE,LEFT(AQ1493,vitri(".",AQ1493,1)-1))</f>
        <v/>
      </c>
    </row>
    <row r="1494" spans="13:54" x14ac:dyDescent="0.25">
      <c r="M1494" s="379"/>
      <c r="BB1494" s="206" t="str">
        <f t="array" ref="BB1494">_xlfn.IFS(AQ1494="","",LEN(AQ1494)-LEN(SUBSTITUTE(AQ1494,".",""))=3,LEFT(AQ1494,vitri(".",AQ1494,3)-1),LEN(AQ1494)-LEN(SUBSTITUTE(AQ1494,".",""))=2,LEFT(AQ1494,vitri(".",AQ1494,2)-1),TRUE,LEFT(AQ1494,vitri(".",AQ1494,1)-1))</f>
        <v/>
      </c>
    </row>
    <row r="1495" spans="13:54" x14ac:dyDescent="0.25">
      <c r="M1495" s="379"/>
      <c r="BB1495" s="206" t="str">
        <f t="array" ref="BB1495">_xlfn.IFS(AQ1495="","",LEN(AQ1495)-LEN(SUBSTITUTE(AQ1495,".",""))=3,LEFT(AQ1495,vitri(".",AQ1495,3)-1),LEN(AQ1495)-LEN(SUBSTITUTE(AQ1495,".",""))=2,LEFT(AQ1495,vitri(".",AQ1495,2)-1),TRUE,LEFT(AQ1495,vitri(".",AQ1495,1)-1))</f>
        <v/>
      </c>
    </row>
    <row r="1496" spans="13:54" x14ac:dyDescent="0.25">
      <c r="M1496" s="379"/>
      <c r="BB1496" s="206" t="str">
        <f t="array" ref="BB1496">_xlfn.IFS(AQ1496="","",LEN(AQ1496)-LEN(SUBSTITUTE(AQ1496,".",""))=3,LEFT(AQ1496,vitri(".",AQ1496,3)-1),LEN(AQ1496)-LEN(SUBSTITUTE(AQ1496,".",""))=2,LEFT(AQ1496,vitri(".",AQ1496,2)-1),TRUE,LEFT(AQ1496,vitri(".",AQ1496,1)-1))</f>
        <v/>
      </c>
    </row>
    <row r="1497" spans="13:54" x14ac:dyDescent="0.25">
      <c r="M1497" s="379"/>
      <c r="BB1497" s="206" t="str">
        <f t="array" ref="BB1497">_xlfn.IFS(AQ1497="","",LEN(AQ1497)-LEN(SUBSTITUTE(AQ1497,".",""))=3,LEFT(AQ1497,vitri(".",AQ1497,3)-1),LEN(AQ1497)-LEN(SUBSTITUTE(AQ1497,".",""))=2,LEFT(AQ1497,vitri(".",AQ1497,2)-1),TRUE,LEFT(AQ1497,vitri(".",AQ1497,1)-1))</f>
        <v/>
      </c>
    </row>
    <row r="1498" spans="13:54" x14ac:dyDescent="0.25">
      <c r="M1498" s="379"/>
      <c r="BB1498" s="206" t="str">
        <f t="array" ref="BB1498">_xlfn.IFS(AQ1498="","",LEN(AQ1498)-LEN(SUBSTITUTE(AQ1498,".",""))=3,LEFT(AQ1498,vitri(".",AQ1498,3)-1),LEN(AQ1498)-LEN(SUBSTITUTE(AQ1498,".",""))=2,LEFT(AQ1498,vitri(".",AQ1498,2)-1),TRUE,LEFT(AQ1498,vitri(".",AQ1498,1)-1))</f>
        <v/>
      </c>
    </row>
    <row r="1499" spans="13:54" x14ac:dyDescent="0.25">
      <c r="M1499" s="379"/>
      <c r="BB1499" s="206" t="str">
        <f t="array" ref="BB1499">_xlfn.IFS(AQ1499="","",LEN(AQ1499)-LEN(SUBSTITUTE(AQ1499,".",""))=3,LEFT(AQ1499,vitri(".",AQ1499,3)-1),LEN(AQ1499)-LEN(SUBSTITUTE(AQ1499,".",""))=2,LEFT(AQ1499,vitri(".",AQ1499,2)-1),TRUE,LEFT(AQ1499,vitri(".",AQ1499,1)-1))</f>
        <v/>
      </c>
    </row>
    <row r="1500" spans="13:54" x14ac:dyDescent="0.25">
      <c r="M1500" s="379"/>
      <c r="BB1500" s="206" t="str">
        <f t="array" ref="BB1500">_xlfn.IFS(AQ1500="","",LEN(AQ1500)-LEN(SUBSTITUTE(AQ1500,".",""))=3,LEFT(AQ1500,vitri(".",AQ1500,3)-1),LEN(AQ1500)-LEN(SUBSTITUTE(AQ1500,".",""))=2,LEFT(AQ1500,vitri(".",AQ1500,2)-1),TRUE,LEFT(AQ1500,vitri(".",AQ1500,1)-1))</f>
        <v/>
      </c>
    </row>
    <row r="1501" spans="13:54" x14ac:dyDescent="0.25">
      <c r="M1501" s="379"/>
      <c r="BB1501" s="206" t="str">
        <f t="array" ref="BB1501">_xlfn.IFS(AQ1501="","",LEN(AQ1501)-LEN(SUBSTITUTE(AQ1501,".",""))=3,LEFT(AQ1501,vitri(".",AQ1501,3)-1),LEN(AQ1501)-LEN(SUBSTITUTE(AQ1501,".",""))=2,LEFT(AQ1501,vitri(".",AQ1501,2)-1),TRUE,LEFT(AQ1501,vitri(".",AQ1501,1)-1))</f>
        <v/>
      </c>
    </row>
    <row r="1502" spans="13:54" x14ac:dyDescent="0.25">
      <c r="M1502" s="379"/>
      <c r="BB1502" s="206" t="str">
        <f t="array" ref="BB1502">_xlfn.IFS(AQ1502="","",LEN(AQ1502)-LEN(SUBSTITUTE(AQ1502,".",""))=3,LEFT(AQ1502,vitri(".",AQ1502,3)-1),LEN(AQ1502)-LEN(SUBSTITUTE(AQ1502,".",""))=2,LEFT(AQ1502,vitri(".",AQ1502,2)-1),TRUE,LEFT(AQ1502,vitri(".",AQ1502,1)-1))</f>
        <v/>
      </c>
    </row>
    <row r="1503" spans="13:54" x14ac:dyDescent="0.25">
      <c r="M1503" s="379"/>
      <c r="BB1503" s="206" t="str">
        <f t="array" ref="BB1503">_xlfn.IFS(AQ1503="","",LEN(AQ1503)-LEN(SUBSTITUTE(AQ1503,".",""))=3,LEFT(AQ1503,vitri(".",AQ1503,3)-1),LEN(AQ1503)-LEN(SUBSTITUTE(AQ1503,".",""))=2,LEFT(AQ1503,vitri(".",AQ1503,2)-1),TRUE,LEFT(AQ1503,vitri(".",AQ1503,1)-1))</f>
        <v/>
      </c>
    </row>
    <row r="1504" spans="13:54" x14ac:dyDescent="0.25">
      <c r="M1504" s="379"/>
      <c r="BB1504" s="206" t="str">
        <f t="array" ref="BB1504">_xlfn.IFS(AQ1504="","",LEN(AQ1504)-LEN(SUBSTITUTE(AQ1504,".",""))=3,LEFT(AQ1504,vitri(".",AQ1504,3)-1),LEN(AQ1504)-LEN(SUBSTITUTE(AQ1504,".",""))=2,LEFT(AQ1504,vitri(".",AQ1504,2)-1),TRUE,LEFT(AQ1504,vitri(".",AQ1504,1)-1))</f>
        <v/>
      </c>
    </row>
    <row r="1505" spans="13:54" x14ac:dyDescent="0.25">
      <c r="M1505" s="379"/>
      <c r="BB1505" s="206" t="str">
        <f t="array" ref="BB1505">_xlfn.IFS(AQ1505="","",LEN(AQ1505)-LEN(SUBSTITUTE(AQ1505,".",""))=3,LEFT(AQ1505,vitri(".",AQ1505,3)-1),LEN(AQ1505)-LEN(SUBSTITUTE(AQ1505,".",""))=2,LEFT(AQ1505,vitri(".",AQ1505,2)-1),TRUE,LEFT(AQ1505,vitri(".",AQ1505,1)-1))</f>
        <v/>
      </c>
    </row>
    <row r="1506" spans="13:54" x14ac:dyDescent="0.25">
      <c r="M1506" s="379"/>
      <c r="BB1506" s="206" t="str">
        <f t="array" ref="BB1506">_xlfn.IFS(AQ1506="","",LEN(AQ1506)-LEN(SUBSTITUTE(AQ1506,".",""))=3,LEFT(AQ1506,vitri(".",AQ1506,3)-1),LEN(AQ1506)-LEN(SUBSTITUTE(AQ1506,".",""))=2,LEFT(AQ1506,vitri(".",AQ1506,2)-1),TRUE,LEFT(AQ1506,vitri(".",AQ1506,1)-1))</f>
        <v/>
      </c>
    </row>
    <row r="1507" spans="13:54" x14ac:dyDescent="0.25">
      <c r="M1507" s="379"/>
      <c r="BB1507" s="206" t="str">
        <f t="array" ref="BB1507">_xlfn.IFS(AQ1507="","",LEN(AQ1507)-LEN(SUBSTITUTE(AQ1507,".",""))=3,LEFT(AQ1507,vitri(".",AQ1507,3)-1),LEN(AQ1507)-LEN(SUBSTITUTE(AQ1507,".",""))=2,LEFT(AQ1507,vitri(".",AQ1507,2)-1),TRUE,LEFT(AQ1507,vitri(".",AQ1507,1)-1))</f>
        <v/>
      </c>
    </row>
    <row r="1508" spans="13:54" x14ac:dyDescent="0.25">
      <c r="M1508" s="379"/>
      <c r="BB1508" s="206" t="str">
        <f t="array" ref="BB1508">_xlfn.IFS(AQ1508="","",LEN(AQ1508)-LEN(SUBSTITUTE(AQ1508,".",""))=3,LEFT(AQ1508,vitri(".",AQ1508,3)-1),LEN(AQ1508)-LEN(SUBSTITUTE(AQ1508,".",""))=2,LEFT(AQ1508,vitri(".",AQ1508,2)-1),TRUE,LEFT(AQ1508,vitri(".",AQ1508,1)-1))</f>
        <v/>
      </c>
    </row>
    <row r="1509" spans="13:54" x14ac:dyDescent="0.25">
      <c r="M1509" s="379"/>
      <c r="BB1509" s="206" t="str">
        <f t="array" ref="BB1509">_xlfn.IFS(AQ1509="","",LEN(AQ1509)-LEN(SUBSTITUTE(AQ1509,".",""))=3,LEFT(AQ1509,vitri(".",AQ1509,3)-1),LEN(AQ1509)-LEN(SUBSTITUTE(AQ1509,".",""))=2,LEFT(AQ1509,vitri(".",AQ1509,2)-1),TRUE,LEFT(AQ1509,vitri(".",AQ1509,1)-1))</f>
        <v/>
      </c>
    </row>
    <row r="1510" spans="13:54" x14ac:dyDescent="0.25">
      <c r="M1510" s="379"/>
      <c r="BB1510" s="206" t="str">
        <f t="array" ref="BB1510">_xlfn.IFS(AQ1510="","",LEN(AQ1510)-LEN(SUBSTITUTE(AQ1510,".",""))=3,LEFT(AQ1510,vitri(".",AQ1510,3)-1),LEN(AQ1510)-LEN(SUBSTITUTE(AQ1510,".",""))=2,LEFT(AQ1510,vitri(".",AQ1510,2)-1),TRUE,LEFT(AQ1510,vitri(".",AQ1510,1)-1))</f>
        <v/>
      </c>
    </row>
    <row r="1511" spans="13:54" x14ac:dyDescent="0.25">
      <c r="M1511" s="379"/>
      <c r="BB1511" s="206" t="str">
        <f t="array" ref="BB1511">_xlfn.IFS(AQ1511="","",LEN(AQ1511)-LEN(SUBSTITUTE(AQ1511,".",""))=3,LEFT(AQ1511,vitri(".",AQ1511,3)-1),LEN(AQ1511)-LEN(SUBSTITUTE(AQ1511,".",""))=2,LEFT(AQ1511,vitri(".",AQ1511,2)-1),TRUE,LEFT(AQ1511,vitri(".",AQ1511,1)-1))</f>
        <v/>
      </c>
    </row>
    <row r="1512" spans="13:54" x14ac:dyDescent="0.25">
      <c r="M1512" s="379"/>
      <c r="BB1512" s="206" t="str">
        <f t="array" ref="BB1512">_xlfn.IFS(AQ1512="","",LEN(AQ1512)-LEN(SUBSTITUTE(AQ1512,".",""))=3,LEFT(AQ1512,vitri(".",AQ1512,3)-1),LEN(AQ1512)-LEN(SUBSTITUTE(AQ1512,".",""))=2,LEFT(AQ1512,vitri(".",AQ1512,2)-1),TRUE,LEFT(AQ1512,vitri(".",AQ1512,1)-1))</f>
        <v/>
      </c>
    </row>
    <row r="1513" spans="13:54" x14ac:dyDescent="0.25">
      <c r="M1513" s="379"/>
      <c r="BB1513" s="206" t="str">
        <f t="array" ref="BB1513">_xlfn.IFS(AQ1513="","",LEN(AQ1513)-LEN(SUBSTITUTE(AQ1513,".",""))=3,LEFT(AQ1513,vitri(".",AQ1513,3)-1),LEN(AQ1513)-LEN(SUBSTITUTE(AQ1513,".",""))=2,LEFT(AQ1513,vitri(".",AQ1513,2)-1),TRUE,LEFT(AQ1513,vitri(".",AQ1513,1)-1))</f>
        <v/>
      </c>
    </row>
    <row r="1514" spans="13:54" x14ac:dyDescent="0.25">
      <c r="M1514" s="379"/>
      <c r="BB1514" s="206" t="str">
        <f t="array" ref="BB1514">_xlfn.IFS(AQ1514="","",LEN(AQ1514)-LEN(SUBSTITUTE(AQ1514,".",""))=3,LEFT(AQ1514,vitri(".",AQ1514,3)-1),LEN(AQ1514)-LEN(SUBSTITUTE(AQ1514,".",""))=2,LEFT(AQ1514,vitri(".",AQ1514,2)-1),TRUE,LEFT(AQ1514,vitri(".",AQ1514,1)-1))</f>
        <v/>
      </c>
    </row>
    <row r="1515" spans="13:54" x14ac:dyDescent="0.25">
      <c r="M1515" s="379"/>
      <c r="BB1515" s="206" t="str">
        <f t="array" ref="BB1515">_xlfn.IFS(AQ1515="","",LEN(AQ1515)-LEN(SUBSTITUTE(AQ1515,".",""))=3,LEFT(AQ1515,vitri(".",AQ1515,3)-1),LEN(AQ1515)-LEN(SUBSTITUTE(AQ1515,".",""))=2,LEFT(AQ1515,vitri(".",AQ1515,2)-1),TRUE,LEFT(AQ1515,vitri(".",AQ1515,1)-1))</f>
        <v/>
      </c>
    </row>
    <row r="1516" spans="13:54" x14ac:dyDescent="0.25">
      <c r="M1516" s="379"/>
      <c r="BB1516" s="206" t="str">
        <f t="array" ref="BB1516">_xlfn.IFS(AQ1516="","",LEN(AQ1516)-LEN(SUBSTITUTE(AQ1516,".",""))=3,LEFT(AQ1516,vitri(".",AQ1516,3)-1),LEN(AQ1516)-LEN(SUBSTITUTE(AQ1516,".",""))=2,LEFT(AQ1516,vitri(".",AQ1516,2)-1),TRUE,LEFT(AQ1516,vitri(".",AQ1516,1)-1))</f>
        <v/>
      </c>
    </row>
    <row r="1517" spans="13:54" x14ac:dyDescent="0.25">
      <c r="M1517" s="379"/>
      <c r="BB1517" s="206" t="str">
        <f t="array" ref="BB1517">_xlfn.IFS(AQ1517="","",LEN(AQ1517)-LEN(SUBSTITUTE(AQ1517,".",""))=3,LEFT(AQ1517,vitri(".",AQ1517,3)-1),LEN(AQ1517)-LEN(SUBSTITUTE(AQ1517,".",""))=2,LEFT(AQ1517,vitri(".",AQ1517,2)-1),TRUE,LEFT(AQ1517,vitri(".",AQ1517,1)-1))</f>
        <v/>
      </c>
    </row>
    <row r="1518" spans="13:54" x14ac:dyDescent="0.25">
      <c r="M1518" s="379"/>
      <c r="BB1518" s="206" t="str">
        <f t="array" ref="BB1518">_xlfn.IFS(AQ1518="","",LEN(AQ1518)-LEN(SUBSTITUTE(AQ1518,".",""))=3,LEFT(AQ1518,vitri(".",AQ1518,3)-1),LEN(AQ1518)-LEN(SUBSTITUTE(AQ1518,".",""))=2,LEFT(AQ1518,vitri(".",AQ1518,2)-1),TRUE,LEFT(AQ1518,vitri(".",AQ1518,1)-1))</f>
        <v/>
      </c>
    </row>
    <row r="1519" spans="13:54" x14ac:dyDescent="0.25">
      <c r="M1519" s="379"/>
      <c r="BB1519" s="206" t="str">
        <f t="array" ref="BB1519">_xlfn.IFS(AQ1519="","",LEN(AQ1519)-LEN(SUBSTITUTE(AQ1519,".",""))=3,LEFT(AQ1519,vitri(".",AQ1519,3)-1),LEN(AQ1519)-LEN(SUBSTITUTE(AQ1519,".",""))=2,LEFT(AQ1519,vitri(".",AQ1519,2)-1),TRUE,LEFT(AQ1519,vitri(".",AQ1519,1)-1))</f>
        <v/>
      </c>
    </row>
    <row r="1520" spans="13:54" x14ac:dyDescent="0.25">
      <c r="M1520" s="379"/>
      <c r="BB1520" s="206" t="str">
        <f t="array" ref="BB1520">_xlfn.IFS(AQ1520="","",LEN(AQ1520)-LEN(SUBSTITUTE(AQ1520,".",""))=3,LEFT(AQ1520,vitri(".",AQ1520,3)-1),LEN(AQ1520)-LEN(SUBSTITUTE(AQ1520,".",""))=2,LEFT(AQ1520,vitri(".",AQ1520,2)-1),TRUE,LEFT(AQ1520,vitri(".",AQ1520,1)-1))</f>
        <v/>
      </c>
    </row>
    <row r="1521" spans="13:54" x14ac:dyDescent="0.25">
      <c r="M1521" s="379"/>
      <c r="BB1521" s="206" t="str">
        <f t="array" ref="BB1521">_xlfn.IFS(AQ1521="","",LEN(AQ1521)-LEN(SUBSTITUTE(AQ1521,".",""))=3,LEFT(AQ1521,vitri(".",AQ1521,3)-1),LEN(AQ1521)-LEN(SUBSTITUTE(AQ1521,".",""))=2,LEFT(AQ1521,vitri(".",AQ1521,2)-1),TRUE,LEFT(AQ1521,vitri(".",AQ1521,1)-1))</f>
        <v/>
      </c>
    </row>
    <row r="1522" spans="13:54" x14ac:dyDescent="0.25">
      <c r="M1522" s="379"/>
      <c r="BB1522" s="206" t="str">
        <f t="array" ref="BB1522">_xlfn.IFS(AQ1522="","",LEN(AQ1522)-LEN(SUBSTITUTE(AQ1522,".",""))=3,LEFT(AQ1522,vitri(".",AQ1522,3)-1),LEN(AQ1522)-LEN(SUBSTITUTE(AQ1522,".",""))=2,LEFT(AQ1522,vitri(".",AQ1522,2)-1),TRUE,LEFT(AQ1522,vitri(".",AQ1522,1)-1))</f>
        <v/>
      </c>
    </row>
    <row r="1523" spans="13:54" x14ac:dyDescent="0.25">
      <c r="M1523" s="379"/>
      <c r="BB1523" s="206" t="str">
        <f t="array" ref="BB1523">_xlfn.IFS(AQ1523="","",LEN(AQ1523)-LEN(SUBSTITUTE(AQ1523,".",""))=3,LEFT(AQ1523,vitri(".",AQ1523,3)-1),LEN(AQ1523)-LEN(SUBSTITUTE(AQ1523,".",""))=2,LEFT(AQ1523,vitri(".",AQ1523,2)-1),TRUE,LEFT(AQ1523,vitri(".",AQ1523,1)-1))</f>
        <v/>
      </c>
    </row>
    <row r="1524" spans="13:54" x14ac:dyDescent="0.25">
      <c r="M1524" s="379"/>
      <c r="BB1524" s="206" t="str">
        <f t="array" ref="BB1524">_xlfn.IFS(AQ1524="","",LEN(AQ1524)-LEN(SUBSTITUTE(AQ1524,".",""))=3,LEFT(AQ1524,vitri(".",AQ1524,3)-1),LEN(AQ1524)-LEN(SUBSTITUTE(AQ1524,".",""))=2,LEFT(AQ1524,vitri(".",AQ1524,2)-1),TRUE,LEFT(AQ1524,vitri(".",AQ1524,1)-1))</f>
        <v/>
      </c>
    </row>
    <row r="1525" spans="13:54" x14ac:dyDescent="0.25">
      <c r="M1525" s="379"/>
      <c r="BB1525" s="206" t="str">
        <f t="array" ref="BB1525">_xlfn.IFS(AQ1525="","",LEN(AQ1525)-LEN(SUBSTITUTE(AQ1525,".",""))=3,LEFT(AQ1525,vitri(".",AQ1525,3)-1),LEN(AQ1525)-LEN(SUBSTITUTE(AQ1525,".",""))=2,LEFT(AQ1525,vitri(".",AQ1525,2)-1),TRUE,LEFT(AQ1525,vitri(".",AQ1525,1)-1))</f>
        <v/>
      </c>
    </row>
    <row r="1526" spans="13:54" x14ac:dyDescent="0.25">
      <c r="M1526" s="379"/>
      <c r="BB1526" s="206" t="str">
        <f t="array" ref="BB1526">_xlfn.IFS(AQ1526="","",LEN(AQ1526)-LEN(SUBSTITUTE(AQ1526,".",""))=3,LEFT(AQ1526,vitri(".",AQ1526,3)-1),LEN(AQ1526)-LEN(SUBSTITUTE(AQ1526,".",""))=2,LEFT(AQ1526,vitri(".",AQ1526,2)-1),TRUE,LEFT(AQ1526,vitri(".",AQ1526,1)-1))</f>
        <v/>
      </c>
    </row>
    <row r="1527" spans="13:54" x14ac:dyDescent="0.25">
      <c r="M1527" s="379"/>
      <c r="BB1527" s="206" t="str">
        <f t="array" ref="BB1527">_xlfn.IFS(AQ1527="","",LEN(AQ1527)-LEN(SUBSTITUTE(AQ1527,".",""))=3,LEFT(AQ1527,vitri(".",AQ1527,3)-1),LEN(AQ1527)-LEN(SUBSTITUTE(AQ1527,".",""))=2,LEFT(AQ1527,vitri(".",AQ1527,2)-1),TRUE,LEFT(AQ1527,vitri(".",AQ1527,1)-1))</f>
        <v/>
      </c>
    </row>
    <row r="1528" spans="13:54" x14ac:dyDescent="0.25">
      <c r="M1528" s="379"/>
      <c r="BB1528" s="206" t="str">
        <f t="array" ref="BB1528">_xlfn.IFS(AQ1528="","",LEN(AQ1528)-LEN(SUBSTITUTE(AQ1528,".",""))=3,LEFT(AQ1528,vitri(".",AQ1528,3)-1),LEN(AQ1528)-LEN(SUBSTITUTE(AQ1528,".",""))=2,LEFT(AQ1528,vitri(".",AQ1528,2)-1),TRUE,LEFT(AQ1528,vitri(".",AQ1528,1)-1))</f>
        <v/>
      </c>
    </row>
    <row r="1529" spans="13:54" x14ac:dyDescent="0.25">
      <c r="M1529" s="379"/>
      <c r="BB1529" s="206" t="str">
        <f t="array" ref="BB1529">_xlfn.IFS(AQ1529="","",LEN(AQ1529)-LEN(SUBSTITUTE(AQ1529,".",""))=3,LEFT(AQ1529,vitri(".",AQ1529,3)-1),LEN(AQ1529)-LEN(SUBSTITUTE(AQ1529,".",""))=2,LEFT(AQ1529,vitri(".",AQ1529,2)-1),TRUE,LEFT(AQ1529,vitri(".",AQ1529,1)-1))</f>
        <v/>
      </c>
    </row>
    <row r="1530" spans="13:54" x14ac:dyDescent="0.25">
      <c r="M1530" s="379"/>
      <c r="BB1530" s="206" t="str">
        <f t="array" ref="BB1530">_xlfn.IFS(AQ1530="","",LEN(AQ1530)-LEN(SUBSTITUTE(AQ1530,".",""))=3,LEFT(AQ1530,vitri(".",AQ1530,3)-1),LEN(AQ1530)-LEN(SUBSTITUTE(AQ1530,".",""))=2,LEFT(AQ1530,vitri(".",AQ1530,2)-1),TRUE,LEFT(AQ1530,vitri(".",AQ1530,1)-1))</f>
        <v/>
      </c>
    </row>
    <row r="1531" spans="13:54" x14ac:dyDescent="0.25">
      <c r="M1531" s="379"/>
      <c r="BB1531" s="206" t="str">
        <f t="array" ref="BB1531">_xlfn.IFS(AQ1531="","",LEN(AQ1531)-LEN(SUBSTITUTE(AQ1531,".",""))=3,LEFT(AQ1531,vitri(".",AQ1531,3)-1),LEN(AQ1531)-LEN(SUBSTITUTE(AQ1531,".",""))=2,LEFT(AQ1531,vitri(".",AQ1531,2)-1),TRUE,LEFT(AQ1531,vitri(".",AQ1531,1)-1))</f>
        <v/>
      </c>
    </row>
    <row r="1532" spans="13:54" x14ac:dyDescent="0.25">
      <c r="M1532" s="379"/>
      <c r="BB1532" s="206" t="str">
        <f t="array" ref="BB1532">_xlfn.IFS(AQ1532="","",LEN(AQ1532)-LEN(SUBSTITUTE(AQ1532,".",""))=3,LEFT(AQ1532,vitri(".",AQ1532,3)-1),LEN(AQ1532)-LEN(SUBSTITUTE(AQ1532,".",""))=2,LEFT(AQ1532,vitri(".",AQ1532,2)-1),TRUE,LEFT(AQ1532,vitri(".",AQ1532,1)-1))</f>
        <v/>
      </c>
    </row>
    <row r="1533" spans="13:54" x14ac:dyDescent="0.25">
      <c r="M1533" s="379"/>
      <c r="BB1533" s="206" t="str">
        <f t="array" ref="BB1533">_xlfn.IFS(AQ1533="","",LEN(AQ1533)-LEN(SUBSTITUTE(AQ1533,".",""))=3,LEFT(AQ1533,vitri(".",AQ1533,3)-1),LEN(AQ1533)-LEN(SUBSTITUTE(AQ1533,".",""))=2,LEFT(AQ1533,vitri(".",AQ1533,2)-1),TRUE,LEFT(AQ1533,vitri(".",AQ1533,1)-1))</f>
        <v/>
      </c>
    </row>
    <row r="1534" spans="13:54" x14ac:dyDescent="0.25">
      <c r="M1534" s="379"/>
      <c r="BB1534" s="206" t="str">
        <f t="array" ref="BB1534">_xlfn.IFS(AQ1534="","",LEN(AQ1534)-LEN(SUBSTITUTE(AQ1534,".",""))=3,LEFT(AQ1534,vitri(".",AQ1534,3)-1),LEN(AQ1534)-LEN(SUBSTITUTE(AQ1534,".",""))=2,LEFT(AQ1534,vitri(".",AQ1534,2)-1),TRUE,LEFT(AQ1534,vitri(".",AQ1534,1)-1))</f>
        <v/>
      </c>
    </row>
    <row r="1535" spans="13:54" x14ac:dyDescent="0.25">
      <c r="M1535" s="379"/>
      <c r="BB1535" s="206" t="str">
        <f t="array" ref="BB1535">_xlfn.IFS(AQ1535="","",LEN(AQ1535)-LEN(SUBSTITUTE(AQ1535,".",""))=3,LEFT(AQ1535,vitri(".",AQ1535,3)-1),LEN(AQ1535)-LEN(SUBSTITUTE(AQ1535,".",""))=2,LEFT(AQ1535,vitri(".",AQ1535,2)-1),TRUE,LEFT(AQ1535,vitri(".",AQ1535,1)-1))</f>
        <v/>
      </c>
    </row>
    <row r="1536" spans="13:54" x14ac:dyDescent="0.25">
      <c r="M1536" s="379"/>
      <c r="BB1536" s="206" t="str">
        <f t="array" ref="BB1536">_xlfn.IFS(AQ1536="","",LEN(AQ1536)-LEN(SUBSTITUTE(AQ1536,".",""))=3,LEFT(AQ1536,vitri(".",AQ1536,3)-1),LEN(AQ1536)-LEN(SUBSTITUTE(AQ1536,".",""))=2,LEFT(AQ1536,vitri(".",AQ1536,2)-1),TRUE,LEFT(AQ1536,vitri(".",AQ1536,1)-1))</f>
        <v/>
      </c>
    </row>
    <row r="1537" spans="13:54" x14ac:dyDescent="0.25">
      <c r="M1537" s="379"/>
      <c r="BB1537" s="206" t="str">
        <f t="array" ref="BB1537">_xlfn.IFS(AQ1537="","",LEN(AQ1537)-LEN(SUBSTITUTE(AQ1537,".",""))=3,LEFT(AQ1537,vitri(".",AQ1537,3)-1),LEN(AQ1537)-LEN(SUBSTITUTE(AQ1537,".",""))=2,LEFT(AQ1537,vitri(".",AQ1537,2)-1),TRUE,LEFT(AQ1537,vitri(".",AQ1537,1)-1))</f>
        <v/>
      </c>
    </row>
    <row r="1538" spans="13:54" x14ac:dyDescent="0.25">
      <c r="M1538" s="379"/>
      <c r="BB1538" s="206" t="str">
        <f t="array" ref="BB1538">_xlfn.IFS(AQ1538="","",LEN(AQ1538)-LEN(SUBSTITUTE(AQ1538,".",""))=3,LEFT(AQ1538,vitri(".",AQ1538,3)-1),LEN(AQ1538)-LEN(SUBSTITUTE(AQ1538,".",""))=2,LEFT(AQ1538,vitri(".",AQ1538,2)-1),TRUE,LEFT(AQ1538,vitri(".",AQ1538,1)-1))</f>
        <v/>
      </c>
    </row>
    <row r="1539" spans="13:54" x14ac:dyDescent="0.25">
      <c r="M1539" s="379"/>
      <c r="BB1539" s="206" t="str">
        <f t="array" ref="BB1539">_xlfn.IFS(AQ1539="","",LEN(AQ1539)-LEN(SUBSTITUTE(AQ1539,".",""))=3,LEFT(AQ1539,vitri(".",AQ1539,3)-1),LEN(AQ1539)-LEN(SUBSTITUTE(AQ1539,".",""))=2,LEFT(AQ1539,vitri(".",AQ1539,2)-1),TRUE,LEFT(AQ1539,vitri(".",AQ1539,1)-1))</f>
        <v/>
      </c>
    </row>
    <row r="1540" spans="13:54" x14ac:dyDescent="0.25">
      <c r="M1540" s="379"/>
      <c r="BB1540" s="206" t="str">
        <f t="array" ref="BB1540">_xlfn.IFS(AQ1540="","",LEN(AQ1540)-LEN(SUBSTITUTE(AQ1540,".",""))=3,LEFT(AQ1540,vitri(".",AQ1540,3)-1),LEN(AQ1540)-LEN(SUBSTITUTE(AQ1540,".",""))=2,LEFT(AQ1540,vitri(".",AQ1540,2)-1),TRUE,LEFT(AQ1540,vitri(".",AQ1540,1)-1))</f>
        <v/>
      </c>
    </row>
    <row r="1541" spans="13:54" x14ac:dyDescent="0.25">
      <c r="M1541" s="379"/>
      <c r="BB1541" s="206" t="str">
        <f t="array" ref="BB1541">_xlfn.IFS(AQ1541="","",LEN(AQ1541)-LEN(SUBSTITUTE(AQ1541,".",""))=3,LEFT(AQ1541,vitri(".",AQ1541,3)-1),LEN(AQ1541)-LEN(SUBSTITUTE(AQ1541,".",""))=2,LEFT(AQ1541,vitri(".",AQ1541,2)-1),TRUE,LEFT(AQ1541,vitri(".",AQ1541,1)-1))</f>
        <v/>
      </c>
    </row>
    <row r="1542" spans="13:54" x14ac:dyDescent="0.25">
      <c r="M1542" s="379"/>
      <c r="BB1542" s="206" t="str">
        <f t="array" ref="BB1542">_xlfn.IFS(AQ1542="","",LEN(AQ1542)-LEN(SUBSTITUTE(AQ1542,".",""))=3,LEFT(AQ1542,vitri(".",AQ1542,3)-1),LEN(AQ1542)-LEN(SUBSTITUTE(AQ1542,".",""))=2,LEFT(AQ1542,vitri(".",AQ1542,2)-1),TRUE,LEFT(AQ1542,vitri(".",AQ1542,1)-1))</f>
        <v/>
      </c>
    </row>
    <row r="1543" spans="13:54" x14ac:dyDescent="0.25">
      <c r="M1543" s="379"/>
      <c r="BB1543" s="206" t="str">
        <f t="array" ref="BB1543">_xlfn.IFS(AQ1543="","",LEN(AQ1543)-LEN(SUBSTITUTE(AQ1543,".",""))=3,LEFT(AQ1543,vitri(".",AQ1543,3)-1),LEN(AQ1543)-LEN(SUBSTITUTE(AQ1543,".",""))=2,LEFT(AQ1543,vitri(".",AQ1543,2)-1),TRUE,LEFT(AQ1543,vitri(".",AQ1543,1)-1))</f>
        <v/>
      </c>
    </row>
    <row r="1544" spans="13:54" x14ac:dyDescent="0.25">
      <c r="M1544" s="379"/>
      <c r="BB1544" s="206" t="str">
        <f t="array" ref="BB1544">_xlfn.IFS(AQ1544="","",LEN(AQ1544)-LEN(SUBSTITUTE(AQ1544,".",""))=3,LEFT(AQ1544,vitri(".",AQ1544,3)-1),LEN(AQ1544)-LEN(SUBSTITUTE(AQ1544,".",""))=2,LEFT(AQ1544,vitri(".",AQ1544,2)-1),TRUE,LEFT(AQ1544,vitri(".",AQ1544,1)-1))</f>
        <v/>
      </c>
    </row>
    <row r="1545" spans="13:54" x14ac:dyDescent="0.25">
      <c r="M1545" s="379"/>
      <c r="BB1545" s="206" t="str">
        <f t="array" ref="BB1545">_xlfn.IFS(AQ1545="","",LEN(AQ1545)-LEN(SUBSTITUTE(AQ1545,".",""))=3,LEFT(AQ1545,vitri(".",AQ1545,3)-1),LEN(AQ1545)-LEN(SUBSTITUTE(AQ1545,".",""))=2,LEFT(AQ1545,vitri(".",AQ1545,2)-1),TRUE,LEFT(AQ1545,vitri(".",AQ1545,1)-1))</f>
        <v/>
      </c>
    </row>
    <row r="1546" spans="13:54" x14ac:dyDescent="0.25">
      <c r="M1546" s="379"/>
      <c r="BB1546" s="206" t="str">
        <f t="array" ref="BB1546">_xlfn.IFS(AQ1546="","",LEN(AQ1546)-LEN(SUBSTITUTE(AQ1546,".",""))=3,LEFT(AQ1546,vitri(".",AQ1546,3)-1),LEN(AQ1546)-LEN(SUBSTITUTE(AQ1546,".",""))=2,LEFT(AQ1546,vitri(".",AQ1546,2)-1),TRUE,LEFT(AQ1546,vitri(".",AQ1546,1)-1))</f>
        <v/>
      </c>
    </row>
    <row r="1547" spans="13:54" x14ac:dyDescent="0.25">
      <c r="M1547" s="379"/>
      <c r="BB1547" s="206" t="str">
        <f t="array" ref="BB1547">_xlfn.IFS(AQ1547="","",LEN(AQ1547)-LEN(SUBSTITUTE(AQ1547,".",""))=3,LEFT(AQ1547,vitri(".",AQ1547,3)-1),LEN(AQ1547)-LEN(SUBSTITUTE(AQ1547,".",""))=2,LEFT(AQ1547,vitri(".",AQ1547,2)-1),TRUE,LEFT(AQ1547,vitri(".",AQ1547,1)-1))</f>
        <v/>
      </c>
    </row>
    <row r="1548" spans="13:54" x14ac:dyDescent="0.25">
      <c r="M1548" s="379"/>
      <c r="BB1548" s="206" t="str">
        <f t="array" ref="BB1548">_xlfn.IFS(AQ1548="","",LEN(AQ1548)-LEN(SUBSTITUTE(AQ1548,".",""))=3,LEFT(AQ1548,vitri(".",AQ1548,3)-1),LEN(AQ1548)-LEN(SUBSTITUTE(AQ1548,".",""))=2,LEFT(AQ1548,vitri(".",AQ1548,2)-1),TRUE,LEFT(AQ1548,vitri(".",AQ1548,1)-1))</f>
        <v/>
      </c>
    </row>
    <row r="1549" spans="13:54" x14ac:dyDescent="0.25">
      <c r="M1549" s="379"/>
      <c r="BB1549" s="206" t="str">
        <f t="array" ref="BB1549">_xlfn.IFS(AQ1549="","",LEN(AQ1549)-LEN(SUBSTITUTE(AQ1549,".",""))=3,LEFT(AQ1549,vitri(".",AQ1549,3)-1),LEN(AQ1549)-LEN(SUBSTITUTE(AQ1549,".",""))=2,LEFT(AQ1549,vitri(".",AQ1549,2)-1),TRUE,LEFT(AQ1549,vitri(".",AQ1549,1)-1))</f>
        <v/>
      </c>
    </row>
    <row r="1550" spans="13:54" x14ac:dyDescent="0.25">
      <c r="M1550" s="379"/>
      <c r="BB1550" s="206" t="str">
        <f t="array" ref="BB1550">_xlfn.IFS(AQ1550="","",LEN(AQ1550)-LEN(SUBSTITUTE(AQ1550,".",""))=3,LEFT(AQ1550,vitri(".",AQ1550,3)-1),LEN(AQ1550)-LEN(SUBSTITUTE(AQ1550,".",""))=2,LEFT(AQ1550,vitri(".",AQ1550,2)-1),TRUE,LEFT(AQ1550,vitri(".",AQ1550,1)-1))</f>
        <v/>
      </c>
    </row>
    <row r="1551" spans="13:54" x14ac:dyDescent="0.25">
      <c r="M1551" s="379"/>
      <c r="BB1551" s="206" t="str">
        <f t="array" ref="BB1551">_xlfn.IFS(AQ1551="","",LEN(AQ1551)-LEN(SUBSTITUTE(AQ1551,".",""))=3,LEFT(AQ1551,vitri(".",AQ1551,3)-1),LEN(AQ1551)-LEN(SUBSTITUTE(AQ1551,".",""))=2,LEFT(AQ1551,vitri(".",AQ1551,2)-1),TRUE,LEFT(AQ1551,vitri(".",AQ1551,1)-1))</f>
        <v/>
      </c>
    </row>
    <row r="1552" spans="13:54" x14ac:dyDescent="0.25">
      <c r="M1552" s="379"/>
      <c r="BB1552" s="206" t="str">
        <f t="array" ref="BB1552">_xlfn.IFS(AQ1552="","",LEN(AQ1552)-LEN(SUBSTITUTE(AQ1552,".",""))=3,LEFT(AQ1552,vitri(".",AQ1552,3)-1),LEN(AQ1552)-LEN(SUBSTITUTE(AQ1552,".",""))=2,LEFT(AQ1552,vitri(".",AQ1552,2)-1),TRUE,LEFT(AQ1552,vitri(".",AQ1552,1)-1))</f>
        <v/>
      </c>
    </row>
    <row r="1553" spans="13:54" x14ac:dyDescent="0.25">
      <c r="M1553" s="379"/>
      <c r="BB1553" s="206" t="str">
        <f t="array" ref="BB1553">_xlfn.IFS(AQ1553="","",LEN(AQ1553)-LEN(SUBSTITUTE(AQ1553,".",""))=3,LEFT(AQ1553,vitri(".",AQ1553,3)-1),LEN(AQ1553)-LEN(SUBSTITUTE(AQ1553,".",""))=2,LEFT(AQ1553,vitri(".",AQ1553,2)-1),TRUE,LEFT(AQ1553,vitri(".",AQ1553,1)-1))</f>
        <v/>
      </c>
    </row>
    <row r="1554" spans="13:54" x14ac:dyDescent="0.25">
      <c r="M1554" s="379"/>
      <c r="BB1554" s="206" t="str">
        <f t="array" ref="BB1554">_xlfn.IFS(AQ1554="","",LEN(AQ1554)-LEN(SUBSTITUTE(AQ1554,".",""))=3,LEFT(AQ1554,vitri(".",AQ1554,3)-1),LEN(AQ1554)-LEN(SUBSTITUTE(AQ1554,".",""))=2,LEFT(AQ1554,vitri(".",AQ1554,2)-1),TRUE,LEFT(AQ1554,vitri(".",AQ1554,1)-1))</f>
        <v/>
      </c>
    </row>
    <row r="1555" spans="13:54" x14ac:dyDescent="0.25">
      <c r="M1555" s="379"/>
      <c r="BB1555" s="206" t="str">
        <f t="array" ref="BB1555">_xlfn.IFS(AQ1555="","",LEN(AQ1555)-LEN(SUBSTITUTE(AQ1555,".",""))=3,LEFT(AQ1555,vitri(".",AQ1555,3)-1),LEN(AQ1555)-LEN(SUBSTITUTE(AQ1555,".",""))=2,LEFT(AQ1555,vitri(".",AQ1555,2)-1),TRUE,LEFT(AQ1555,vitri(".",AQ1555,1)-1))</f>
        <v/>
      </c>
    </row>
    <row r="1556" spans="13:54" x14ac:dyDescent="0.25">
      <c r="M1556" s="379"/>
      <c r="BB1556" s="206" t="str">
        <f t="array" ref="BB1556">_xlfn.IFS(AQ1556="","",LEN(AQ1556)-LEN(SUBSTITUTE(AQ1556,".",""))=3,LEFT(AQ1556,vitri(".",AQ1556,3)-1),LEN(AQ1556)-LEN(SUBSTITUTE(AQ1556,".",""))=2,LEFT(AQ1556,vitri(".",AQ1556,2)-1),TRUE,LEFT(AQ1556,vitri(".",AQ1556,1)-1))</f>
        <v/>
      </c>
    </row>
    <row r="1557" spans="13:54" x14ac:dyDescent="0.25">
      <c r="M1557" s="379"/>
      <c r="BB1557" s="206" t="str">
        <f t="array" ref="BB1557">_xlfn.IFS(AQ1557="","",LEN(AQ1557)-LEN(SUBSTITUTE(AQ1557,".",""))=3,LEFT(AQ1557,vitri(".",AQ1557,3)-1),LEN(AQ1557)-LEN(SUBSTITUTE(AQ1557,".",""))=2,LEFT(AQ1557,vitri(".",AQ1557,2)-1),TRUE,LEFT(AQ1557,vitri(".",AQ1557,1)-1))</f>
        <v/>
      </c>
    </row>
    <row r="1558" spans="13:54" x14ac:dyDescent="0.25">
      <c r="M1558" s="379"/>
      <c r="BB1558" s="206" t="str">
        <f t="array" ref="BB1558">_xlfn.IFS(AQ1558="","",LEN(AQ1558)-LEN(SUBSTITUTE(AQ1558,".",""))=3,LEFT(AQ1558,vitri(".",AQ1558,3)-1),LEN(AQ1558)-LEN(SUBSTITUTE(AQ1558,".",""))=2,LEFT(AQ1558,vitri(".",AQ1558,2)-1),TRUE,LEFT(AQ1558,vitri(".",AQ1558,1)-1))</f>
        <v/>
      </c>
    </row>
    <row r="1559" spans="13:54" x14ac:dyDescent="0.25">
      <c r="M1559" s="379"/>
      <c r="BB1559" s="206" t="str">
        <f t="array" ref="BB1559">_xlfn.IFS(AQ1559="","",LEN(AQ1559)-LEN(SUBSTITUTE(AQ1559,".",""))=3,LEFT(AQ1559,vitri(".",AQ1559,3)-1),LEN(AQ1559)-LEN(SUBSTITUTE(AQ1559,".",""))=2,LEFT(AQ1559,vitri(".",AQ1559,2)-1),TRUE,LEFT(AQ1559,vitri(".",AQ1559,1)-1))</f>
        <v/>
      </c>
    </row>
    <row r="1560" spans="13:54" x14ac:dyDescent="0.25">
      <c r="M1560" s="379"/>
      <c r="BB1560" s="206" t="str">
        <f t="array" ref="BB1560">_xlfn.IFS(AQ1560="","",LEN(AQ1560)-LEN(SUBSTITUTE(AQ1560,".",""))=3,LEFT(AQ1560,vitri(".",AQ1560,3)-1),LEN(AQ1560)-LEN(SUBSTITUTE(AQ1560,".",""))=2,LEFT(AQ1560,vitri(".",AQ1560,2)-1),TRUE,LEFT(AQ1560,vitri(".",AQ1560,1)-1))</f>
        <v/>
      </c>
    </row>
    <row r="1561" spans="13:54" x14ac:dyDescent="0.25">
      <c r="M1561" s="379"/>
      <c r="BB1561" s="206" t="str">
        <f t="array" ref="BB1561">_xlfn.IFS(AQ1561="","",LEN(AQ1561)-LEN(SUBSTITUTE(AQ1561,".",""))=3,LEFT(AQ1561,vitri(".",AQ1561,3)-1),LEN(AQ1561)-LEN(SUBSTITUTE(AQ1561,".",""))=2,LEFT(AQ1561,vitri(".",AQ1561,2)-1),TRUE,LEFT(AQ1561,vitri(".",AQ1561,1)-1))</f>
        <v/>
      </c>
    </row>
    <row r="1562" spans="13:54" x14ac:dyDescent="0.25">
      <c r="M1562" s="379"/>
      <c r="BB1562" s="206" t="str">
        <f t="array" ref="BB1562">_xlfn.IFS(AQ1562="","",LEN(AQ1562)-LEN(SUBSTITUTE(AQ1562,".",""))=3,LEFT(AQ1562,vitri(".",AQ1562,3)-1),LEN(AQ1562)-LEN(SUBSTITUTE(AQ1562,".",""))=2,LEFT(AQ1562,vitri(".",AQ1562,2)-1),TRUE,LEFT(AQ1562,vitri(".",AQ1562,1)-1))</f>
        <v/>
      </c>
    </row>
    <row r="1563" spans="13:54" x14ac:dyDescent="0.25">
      <c r="M1563" s="379"/>
      <c r="BB1563" s="206" t="str">
        <f t="array" ref="BB1563">_xlfn.IFS(AQ1563="","",LEN(AQ1563)-LEN(SUBSTITUTE(AQ1563,".",""))=3,LEFT(AQ1563,vitri(".",AQ1563,3)-1),LEN(AQ1563)-LEN(SUBSTITUTE(AQ1563,".",""))=2,LEFT(AQ1563,vitri(".",AQ1563,2)-1),TRUE,LEFT(AQ1563,vitri(".",AQ1563,1)-1))</f>
        <v/>
      </c>
    </row>
    <row r="1564" spans="13:54" x14ac:dyDescent="0.25">
      <c r="M1564" s="379"/>
      <c r="BB1564" s="206" t="str">
        <f t="array" ref="BB1564">_xlfn.IFS(AQ1564="","",LEN(AQ1564)-LEN(SUBSTITUTE(AQ1564,".",""))=3,LEFT(AQ1564,vitri(".",AQ1564,3)-1),LEN(AQ1564)-LEN(SUBSTITUTE(AQ1564,".",""))=2,LEFT(AQ1564,vitri(".",AQ1564,2)-1),TRUE,LEFT(AQ1564,vitri(".",AQ1564,1)-1))</f>
        <v/>
      </c>
    </row>
    <row r="1565" spans="13:54" x14ac:dyDescent="0.25">
      <c r="M1565" s="379"/>
      <c r="BB1565" s="206" t="str">
        <f t="array" ref="BB1565">_xlfn.IFS(AQ1565="","",LEN(AQ1565)-LEN(SUBSTITUTE(AQ1565,".",""))=3,LEFT(AQ1565,vitri(".",AQ1565,3)-1),LEN(AQ1565)-LEN(SUBSTITUTE(AQ1565,".",""))=2,LEFT(AQ1565,vitri(".",AQ1565,2)-1),TRUE,LEFT(AQ1565,vitri(".",AQ1565,1)-1))</f>
        <v/>
      </c>
    </row>
    <row r="1566" spans="13:54" x14ac:dyDescent="0.25">
      <c r="M1566" s="379"/>
      <c r="BB1566" s="206" t="str">
        <f t="array" ref="BB1566">_xlfn.IFS(AQ1566="","",LEN(AQ1566)-LEN(SUBSTITUTE(AQ1566,".",""))=3,LEFT(AQ1566,vitri(".",AQ1566,3)-1),LEN(AQ1566)-LEN(SUBSTITUTE(AQ1566,".",""))=2,LEFT(AQ1566,vitri(".",AQ1566,2)-1),TRUE,LEFT(AQ1566,vitri(".",AQ1566,1)-1))</f>
        <v/>
      </c>
    </row>
    <row r="1567" spans="13:54" x14ac:dyDescent="0.25">
      <c r="M1567" s="379"/>
      <c r="BB1567" s="206" t="str">
        <f t="array" ref="BB1567">_xlfn.IFS(AQ1567="","",LEN(AQ1567)-LEN(SUBSTITUTE(AQ1567,".",""))=3,LEFT(AQ1567,vitri(".",AQ1567,3)-1),LEN(AQ1567)-LEN(SUBSTITUTE(AQ1567,".",""))=2,LEFT(AQ1567,vitri(".",AQ1567,2)-1),TRUE,LEFT(AQ1567,vitri(".",AQ1567,1)-1))</f>
        <v/>
      </c>
    </row>
    <row r="1568" spans="13:54" x14ac:dyDescent="0.25">
      <c r="M1568" s="379"/>
      <c r="BB1568" s="206" t="str">
        <f t="array" ref="BB1568">_xlfn.IFS(AQ1568="","",LEN(AQ1568)-LEN(SUBSTITUTE(AQ1568,".",""))=3,LEFT(AQ1568,vitri(".",AQ1568,3)-1),LEN(AQ1568)-LEN(SUBSTITUTE(AQ1568,".",""))=2,LEFT(AQ1568,vitri(".",AQ1568,2)-1),TRUE,LEFT(AQ1568,vitri(".",AQ1568,1)-1))</f>
        <v/>
      </c>
    </row>
    <row r="1569" spans="13:54" x14ac:dyDescent="0.25">
      <c r="M1569" s="379"/>
      <c r="BB1569" s="206" t="str">
        <f t="array" ref="BB1569">_xlfn.IFS(AQ1569="","",LEN(AQ1569)-LEN(SUBSTITUTE(AQ1569,".",""))=3,LEFT(AQ1569,vitri(".",AQ1569,3)-1),LEN(AQ1569)-LEN(SUBSTITUTE(AQ1569,".",""))=2,LEFT(AQ1569,vitri(".",AQ1569,2)-1),TRUE,LEFT(AQ1569,vitri(".",AQ1569,1)-1))</f>
        <v/>
      </c>
    </row>
    <row r="1570" spans="13:54" x14ac:dyDescent="0.25">
      <c r="M1570" s="379"/>
      <c r="BB1570" s="206" t="str">
        <f t="array" ref="BB1570">_xlfn.IFS(AQ1570="","",LEN(AQ1570)-LEN(SUBSTITUTE(AQ1570,".",""))=3,LEFT(AQ1570,vitri(".",AQ1570,3)-1),LEN(AQ1570)-LEN(SUBSTITUTE(AQ1570,".",""))=2,LEFT(AQ1570,vitri(".",AQ1570,2)-1),TRUE,LEFT(AQ1570,vitri(".",AQ1570,1)-1))</f>
        <v/>
      </c>
    </row>
    <row r="1571" spans="13:54" x14ac:dyDescent="0.25">
      <c r="M1571" s="379"/>
      <c r="BB1571" s="206" t="str">
        <f t="array" ref="BB1571">_xlfn.IFS(AQ1571="","",LEN(AQ1571)-LEN(SUBSTITUTE(AQ1571,".",""))=3,LEFT(AQ1571,vitri(".",AQ1571,3)-1),LEN(AQ1571)-LEN(SUBSTITUTE(AQ1571,".",""))=2,LEFT(AQ1571,vitri(".",AQ1571,2)-1),TRUE,LEFT(AQ1571,vitri(".",AQ1571,1)-1))</f>
        <v/>
      </c>
    </row>
    <row r="1572" spans="13:54" x14ac:dyDescent="0.25">
      <c r="M1572" s="379"/>
      <c r="BB1572" s="206" t="str">
        <f t="array" ref="BB1572">_xlfn.IFS(AQ1572="","",LEN(AQ1572)-LEN(SUBSTITUTE(AQ1572,".",""))=3,LEFT(AQ1572,vitri(".",AQ1572,3)-1),LEN(AQ1572)-LEN(SUBSTITUTE(AQ1572,".",""))=2,LEFT(AQ1572,vitri(".",AQ1572,2)-1),TRUE,LEFT(AQ1572,vitri(".",AQ1572,1)-1))</f>
        <v/>
      </c>
    </row>
    <row r="1573" spans="13:54" x14ac:dyDescent="0.25">
      <c r="M1573" s="379"/>
      <c r="BB1573" s="206" t="str">
        <f t="array" ref="BB1573">_xlfn.IFS(AQ1573="","",LEN(AQ1573)-LEN(SUBSTITUTE(AQ1573,".",""))=3,LEFT(AQ1573,vitri(".",AQ1573,3)-1),LEN(AQ1573)-LEN(SUBSTITUTE(AQ1573,".",""))=2,LEFT(AQ1573,vitri(".",AQ1573,2)-1),TRUE,LEFT(AQ1573,vitri(".",AQ1573,1)-1))</f>
        <v/>
      </c>
    </row>
    <row r="1574" spans="13:54" x14ac:dyDescent="0.25">
      <c r="M1574" s="379"/>
      <c r="BB1574" s="206" t="str">
        <f t="array" ref="BB1574">_xlfn.IFS(AQ1574="","",LEN(AQ1574)-LEN(SUBSTITUTE(AQ1574,".",""))=3,LEFT(AQ1574,vitri(".",AQ1574,3)-1),LEN(AQ1574)-LEN(SUBSTITUTE(AQ1574,".",""))=2,LEFT(AQ1574,vitri(".",AQ1574,2)-1),TRUE,LEFT(AQ1574,vitri(".",AQ1574,1)-1))</f>
        <v/>
      </c>
    </row>
    <row r="1575" spans="13:54" x14ac:dyDescent="0.25">
      <c r="M1575" s="379"/>
      <c r="BB1575" s="206" t="str">
        <f t="array" ref="BB1575">_xlfn.IFS(AQ1575="","",LEN(AQ1575)-LEN(SUBSTITUTE(AQ1575,".",""))=3,LEFT(AQ1575,vitri(".",AQ1575,3)-1),LEN(AQ1575)-LEN(SUBSTITUTE(AQ1575,".",""))=2,LEFT(AQ1575,vitri(".",AQ1575,2)-1),TRUE,LEFT(AQ1575,vitri(".",AQ1575,1)-1))</f>
        <v/>
      </c>
    </row>
    <row r="1576" spans="13:54" x14ac:dyDescent="0.25">
      <c r="M1576" s="379"/>
      <c r="BB1576" s="206" t="str">
        <f t="array" ref="BB1576">_xlfn.IFS(AQ1576="","",LEN(AQ1576)-LEN(SUBSTITUTE(AQ1576,".",""))=3,LEFT(AQ1576,vitri(".",AQ1576,3)-1),LEN(AQ1576)-LEN(SUBSTITUTE(AQ1576,".",""))=2,LEFT(AQ1576,vitri(".",AQ1576,2)-1),TRUE,LEFT(AQ1576,vitri(".",AQ1576,1)-1))</f>
        <v/>
      </c>
    </row>
    <row r="1577" spans="13:54" x14ac:dyDescent="0.25">
      <c r="M1577" s="379"/>
      <c r="BB1577" s="206" t="str">
        <f t="array" ref="BB1577">_xlfn.IFS(AQ1577="","",LEN(AQ1577)-LEN(SUBSTITUTE(AQ1577,".",""))=3,LEFT(AQ1577,vitri(".",AQ1577,3)-1),LEN(AQ1577)-LEN(SUBSTITUTE(AQ1577,".",""))=2,LEFT(AQ1577,vitri(".",AQ1577,2)-1),TRUE,LEFT(AQ1577,vitri(".",AQ1577,1)-1))</f>
        <v/>
      </c>
    </row>
    <row r="1578" spans="13:54" x14ac:dyDescent="0.25">
      <c r="M1578" s="379"/>
      <c r="BB1578" s="206" t="str">
        <f t="array" ref="BB1578">_xlfn.IFS(AQ1578="","",LEN(AQ1578)-LEN(SUBSTITUTE(AQ1578,".",""))=3,LEFT(AQ1578,vitri(".",AQ1578,3)-1),LEN(AQ1578)-LEN(SUBSTITUTE(AQ1578,".",""))=2,LEFT(AQ1578,vitri(".",AQ1578,2)-1),TRUE,LEFT(AQ1578,vitri(".",AQ1578,1)-1))</f>
        <v/>
      </c>
    </row>
    <row r="1579" spans="13:54" x14ac:dyDescent="0.25">
      <c r="M1579" s="379"/>
      <c r="BB1579" s="206" t="str">
        <f t="array" ref="BB1579">_xlfn.IFS(AQ1579="","",LEN(AQ1579)-LEN(SUBSTITUTE(AQ1579,".",""))=3,LEFT(AQ1579,vitri(".",AQ1579,3)-1),LEN(AQ1579)-LEN(SUBSTITUTE(AQ1579,".",""))=2,LEFT(AQ1579,vitri(".",AQ1579,2)-1),TRUE,LEFT(AQ1579,vitri(".",AQ1579,1)-1))</f>
        <v/>
      </c>
    </row>
    <row r="1580" spans="13:54" x14ac:dyDescent="0.25">
      <c r="M1580" s="379"/>
      <c r="BB1580" s="206" t="str">
        <f t="array" ref="BB1580">_xlfn.IFS(AQ1580="","",LEN(AQ1580)-LEN(SUBSTITUTE(AQ1580,".",""))=3,LEFT(AQ1580,vitri(".",AQ1580,3)-1),LEN(AQ1580)-LEN(SUBSTITUTE(AQ1580,".",""))=2,LEFT(AQ1580,vitri(".",AQ1580,2)-1),TRUE,LEFT(AQ1580,vitri(".",AQ1580,1)-1))</f>
        <v/>
      </c>
    </row>
    <row r="1581" spans="13:54" x14ac:dyDescent="0.25">
      <c r="M1581" s="379"/>
      <c r="BB1581" s="206" t="str">
        <f t="array" ref="BB1581">_xlfn.IFS(AQ1581="","",LEN(AQ1581)-LEN(SUBSTITUTE(AQ1581,".",""))=3,LEFT(AQ1581,vitri(".",AQ1581,3)-1),LEN(AQ1581)-LEN(SUBSTITUTE(AQ1581,".",""))=2,LEFT(AQ1581,vitri(".",AQ1581,2)-1),TRUE,LEFT(AQ1581,vitri(".",AQ1581,1)-1))</f>
        <v/>
      </c>
    </row>
    <row r="1582" spans="13:54" x14ac:dyDescent="0.25">
      <c r="M1582" s="379"/>
      <c r="BB1582" s="206" t="str">
        <f t="array" ref="BB1582">_xlfn.IFS(AQ1582="","",LEN(AQ1582)-LEN(SUBSTITUTE(AQ1582,".",""))=3,LEFT(AQ1582,vitri(".",AQ1582,3)-1),LEN(AQ1582)-LEN(SUBSTITUTE(AQ1582,".",""))=2,LEFT(AQ1582,vitri(".",AQ1582,2)-1),TRUE,LEFT(AQ1582,vitri(".",AQ1582,1)-1))</f>
        <v/>
      </c>
    </row>
    <row r="1583" spans="13:54" x14ac:dyDescent="0.25">
      <c r="M1583" s="379"/>
      <c r="BB1583" s="206" t="str">
        <f t="array" ref="BB1583">_xlfn.IFS(AQ1583="","",LEN(AQ1583)-LEN(SUBSTITUTE(AQ1583,".",""))=3,LEFT(AQ1583,vitri(".",AQ1583,3)-1),LEN(AQ1583)-LEN(SUBSTITUTE(AQ1583,".",""))=2,LEFT(AQ1583,vitri(".",AQ1583,2)-1),TRUE,LEFT(AQ1583,vitri(".",AQ1583,1)-1))</f>
        <v/>
      </c>
    </row>
    <row r="1584" spans="13:54" x14ac:dyDescent="0.25">
      <c r="M1584" s="379"/>
      <c r="BB1584" s="206" t="str">
        <f t="array" ref="BB1584">_xlfn.IFS(AQ1584="","",LEN(AQ1584)-LEN(SUBSTITUTE(AQ1584,".",""))=3,LEFT(AQ1584,vitri(".",AQ1584,3)-1),LEN(AQ1584)-LEN(SUBSTITUTE(AQ1584,".",""))=2,LEFT(AQ1584,vitri(".",AQ1584,2)-1),TRUE,LEFT(AQ1584,vitri(".",AQ1584,1)-1))</f>
        <v/>
      </c>
    </row>
    <row r="1585" spans="13:54" x14ac:dyDescent="0.25">
      <c r="M1585" s="379"/>
      <c r="BB1585" s="206" t="str">
        <f t="array" ref="BB1585">_xlfn.IFS(AQ1585="","",LEN(AQ1585)-LEN(SUBSTITUTE(AQ1585,".",""))=3,LEFT(AQ1585,vitri(".",AQ1585,3)-1),LEN(AQ1585)-LEN(SUBSTITUTE(AQ1585,".",""))=2,LEFT(AQ1585,vitri(".",AQ1585,2)-1),TRUE,LEFT(AQ1585,vitri(".",AQ1585,1)-1))</f>
        <v/>
      </c>
    </row>
    <row r="1586" spans="13:54" x14ac:dyDescent="0.25">
      <c r="M1586" s="379"/>
      <c r="BB1586" s="206" t="str">
        <f t="array" ref="BB1586">_xlfn.IFS(AQ1586="","",LEN(AQ1586)-LEN(SUBSTITUTE(AQ1586,".",""))=3,LEFT(AQ1586,vitri(".",AQ1586,3)-1),LEN(AQ1586)-LEN(SUBSTITUTE(AQ1586,".",""))=2,LEFT(AQ1586,vitri(".",AQ1586,2)-1),TRUE,LEFT(AQ1586,vitri(".",AQ1586,1)-1))</f>
        <v/>
      </c>
    </row>
    <row r="1587" spans="13:54" x14ac:dyDescent="0.25">
      <c r="M1587" s="379"/>
      <c r="BB1587" s="206" t="str">
        <f t="array" ref="BB1587">_xlfn.IFS(AQ1587="","",LEN(AQ1587)-LEN(SUBSTITUTE(AQ1587,".",""))=3,LEFT(AQ1587,vitri(".",AQ1587,3)-1),LEN(AQ1587)-LEN(SUBSTITUTE(AQ1587,".",""))=2,LEFT(AQ1587,vitri(".",AQ1587,2)-1),TRUE,LEFT(AQ1587,vitri(".",AQ1587,1)-1))</f>
        <v/>
      </c>
    </row>
    <row r="1588" spans="13:54" x14ac:dyDescent="0.25">
      <c r="M1588" s="379"/>
      <c r="BB1588" s="206" t="str">
        <f t="array" ref="BB1588">_xlfn.IFS(AQ1588="","",LEN(AQ1588)-LEN(SUBSTITUTE(AQ1588,".",""))=3,LEFT(AQ1588,vitri(".",AQ1588,3)-1),LEN(AQ1588)-LEN(SUBSTITUTE(AQ1588,".",""))=2,LEFT(AQ1588,vitri(".",AQ1588,2)-1),TRUE,LEFT(AQ1588,vitri(".",AQ1588,1)-1))</f>
        <v/>
      </c>
    </row>
    <row r="1589" spans="13:54" x14ac:dyDescent="0.25">
      <c r="M1589" s="379"/>
      <c r="BB1589" s="206" t="str">
        <f t="array" ref="BB1589">_xlfn.IFS(AQ1589="","",LEN(AQ1589)-LEN(SUBSTITUTE(AQ1589,".",""))=3,LEFT(AQ1589,vitri(".",AQ1589,3)-1),LEN(AQ1589)-LEN(SUBSTITUTE(AQ1589,".",""))=2,LEFT(AQ1589,vitri(".",AQ1589,2)-1),TRUE,LEFT(AQ1589,vitri(".",AQ1589,1)-1))</f>
        <v/>
      </c>
    </row>
    <row r="1590" spans="13:54" x14ac:dyDescent="0.25">
      <c r="M1590" s="379"/>
      <c r="BB1590" s="206" t="str">
        <f t="array" ref="BB1590">_xlfn.IFS(AQ1590="","",LEN(AQ1590)-LEN(SUBSTITUTE(AQ1590,".",""))=3,LEFT(AQ1590,vitri(".",AQ1590,3)-1),LEN(AQ1590)-LEN(SUBSTITUTE(AQ1590,".",""))=2,LEFT(AQ1590,vitri(".",AQ1590,2)-1),TRUE,LEFT(AQ1590,vitri(".",AQ1590,1)-1))</f>
        <v/>
      </c>
    </row>
    <row r="1591" spans="13:54" x14ac:dyDescent="0.25">
      <c r="M1591" s="379"/>
      <c r="BB1591" s="206" t="str">
        <f t="array" ref="BB1591">_xlfn.IFS(AQ1591="","",LEN(AQ1591)-LEN(SUBSTITUTE(AQ1591,".",""))=3,LEFT(AQ1591,vitri(".",AQ1591,3)-1),LEN(AQ1591)-LEN(SUBSTITUTE(AQ1591,".",""))=2,LEFT(AQ1591,vitri(".",AQ1591,2)-1),TRUE,LEFT(AQ1591,vitri(".",AQ1591,1)-1))</f>
        <v/>
      </c>
    </row>
    <row r="1592" spans="13:54" x14ac:dyDescent="0.25">
      <c r="M1592" s="379"/>
      <c r="BB1592" s="206" t="str">
        <f t="array" ref="BB1592">_xlfn.IFS(AQ1592="","",LEN(AQ1592)-LEN(SUBSTITUTE(AQ1592,".",""))=3,LEFT(AQ1592,vitri(".",AQ1592,3)-1),LEN(AQ1592)-LEN(SUBSTITUTE(AQ1592,".",""))=2,LEFT(AQ1592,vitri(".",AQ1592,2)-1),TRUE,LEFT(AQ1592,vitri(".",AQ1592,1)-1))</f>
        <v/>
      </c>
    </row>
    <row r="1593" spans="13:54" x14ac:dyDescent="0.25">
      <c r="M1593" s="379"/>
      <c r="BB1593" s="206" t="str">
        <f t="array" ref="BB1593">_xlfn.IFS(AQ1593="","",LEN(AQ1593)-LEN(SUBSTITUTE(AQ1593,".",""))=3,LEFT(AQ1593,vitri(".",AQ1593,3)-1),LEN(AQ1593)-LEN(SUBSTITUTE(AQ1593,".",""))=2,LEFT(AQ1593,vitri(".",AQ1593,2)-1),TRUE,LEFT(AQ1593,vitri(".",AQ1593,1)-1))</f>
        <v/>
      </c>
    </row>
    <row r="1594" spans="13:54" x14ac:dyDescent="0.25">
      <c r="M1594" s="379"/>
      <c r="BB1594" s="206" t="str">
        <f t="array" ref="BB1594">_xlfn.IFS(AQ1594="","",LEN(AQ1594)-LEN(SUBSTITUTE(AQ1594,".",""))=3,LEFT(AQ1594,vitri(".",AQ1594,3)-1),LEN(AQ1594)-LEN(SUBSTITUTE(AQ1594,".",""))=2,LEFT(AQ1594,vitri(".",AQ1594,2)-1),TRUE,LEFT(AQ1594,vitri(".",AQ1594,1)-1))</f>
        <v/>
      </c>
    </row>
    <row r="1595" spans="13:54" x14ac:dyDescent="0.25">
      <c r="M1595" s="379"/>
      <c r="BB1595" s="206" t="str">
        <f t="array" ref="BB1595">_xlfn.IFS(AQ1595="","",LEN(AQ1595)-LEN(SUBSTITUTE(AQ1595,".",""))=3,LEFT(AQ1595,vitri(".",AQ1595,3)-1),LEN(AQ1595)-LEN(SUBSTITUTE(AQ1595,".",""))=2,LEFT(AQ1595,vitri(".",AQ1595,2)-1),TRUE,LEFT(AQ1595,vitri(".",AQ1595,1)-1))</f>
        <v/>
      </c>
    </row>
    <row r="1596" spans="13:54" x14ac:dyDescent="0.25">
      <c r="M1596" s="379"/>
      <c r="BB1596" s="206" t="str">
        <f t="array" ref="BB1596">_xlfn.IFS(AQ1596="","",LEN(AQ1596)-LEN(SUBSTITUTE(AQ1596,".",""))=3,LEFT(AQ1596,vitri(".",AQ1596,3)-1),LEN(AQ1596)-LEN(SUBSTITUTE(AQ1596,".",""))=2,LEFT(AQ1596,vitri(".",AQ1596,2)-1),TRUE,LEFT(AQ1596,vitri(".",AQ1596,1)-1))</f>
        <v/>
      </c>
    </row>
    <row r="1597" spans="13:54" x14ac:dyDescent="0.25">
      <c r="M1597" s="379"/>
      <c r="BB1597" s="206" t="str">
        <f t="array" ref="BB1597">_xlfn.IFS(AQ1597="","",LEN(AQ1597)-LEN(SUBSTITUTE(AQ1597,".",""))=3,LEFT(AQ1597,vitri(".",AQ1597,3)-1),LEN(AQ1597)-LEN(SUBSTITUTE(AQ1597,".",""))=2,LEFT(AQ1597,vitri(".",AQ1597,2)-1),TRUE,LEFT(AQ1597,vitri(".",AQ1597,1)-1))</f>
        <v/>
      </c>
    </row>
    <row r="1598" spans="13:54" x14ac:dyDescent="0.25">
      <c r="M1598" s="379"/>
      <c r="BB1598" s="206" t="str">
        <f t="array" ref="BB1598">_xlfn.IFS(AQ1598="","",LEN(AQ1598)-LEN(SUBSTITUTE(AQ1598,".",""))=3,LEFT(AQ1598,vitri(".",AQ1598,3)-1),LEN(AQ1598)-LEN(SUBSTITUTE(AQ1598,".",""))=2,LEFT(AQ1598,vitri(".",AQ1598,2)-1),TRUE,LEFT(AQ1598,vitri(".",AQ1598,1)-1))</f>
        <v/>
      </c>
    </row>
    <row r="1599" spans="13:54" x14ac:dyDescent="0.25">
      <c r="M1599" s="379"/>
      <c r="BB1599" s="206" t="str">
        <f t="array" ref="BB1599">_xlfn.IFS(AQ1599="","",LEN(AQ1599)-LEN(SUBSTITUTE(AQ1599,".",""))=3,LEFT(AQ1599,vitri(".",AQ1599,3)-1),LEN(AQ1599)-LEN(SUBSTITUTE(AQ1599,".",""))=2,LEFT(AQ1599,vitri(".",AQ1599,2)-1),TRUE,LEFT(AQ1599,vitri(".",AQ1599,1)-1))</f>
        <v/>
      </c>
    </row>
    <row r="1600" spans="13:54" x14ac:dyDescent="0.25">
      <c r="M1600" s="379"/>
      <c r="BB1600" s="206" t="str">
        <f t="array" ref="BB1600">_xlfn.IFS(AQ1600="","",LEN(AQ1600)-LEN(SUBSTITUTE(AQ1600,".",""))=3,LEFT(AQ1600,vitri(".",AQ1600,3)-1),LEN(AQ1600)-LEN(SUBSTITUTE(AQ1600,".",""))=2,LEFT(AQ1600,vitri(".",AQ1600,2)-1),TRUE,LEFT(AQ1600,vitri(".",AQ1600,1)-1))</f>
        <v/>
      </c>
    </row>
    <row r="1601" spans="13:54" x14ac:dyDescent="0.25">
      <c r="M1601" s="379"/>
      <c r="BB1601" s="206" t="str">
        <f t="array" ref="BB1601">_xlfn.IFS(AQ1601="","",LEN(AQ1601)-LEN(SUBSTITUTE(AQ1601,".",""))=3,LEFT(AQ1601,vitri(".",AQ1601,3)-1),LEN(AQ1601)-LEN(SUBSTITUTE(AQ1601,".",""))=2,LEFT(AQ1601,vitri(".",AQ1601,2)-1),TRUE,LEFT(AQ1601,vitri(".",AQ1601,1)-1))</f>
        <v/>
      </c>
    </row>
    <row r="1602" spans="13:54" x14ac:dyDescent="0.25">
      <c r="M1602" s="379"/>
      <c r="BB1602" s="206" t="str">
        <f t="array" ref="BB1602">_xlfn.IFS(AQ1602="","",LEN(AQ1602)-LEN(SUBSTITUTE(AQ1602,".",""))=3,LEFT(AQ1602,vitri(".",AQ1602,3)-1),LEN(AQ1602)-LEN(SUBSTITUTE(AQ1602,".",""))=2,LEFT(AQ1602,vitri(".",AQ1602,2)-1),TRUE,LEFT(AQ1602,vitri(".",AQ1602,1)-1))</f>
        <v/>
      </c>
    </row>
    <row r="1603" spans="13:54" x14ac:dyDescent="0.25">
      <c r="M1603" s="379"/>
      <c r="BB1603" s="206" t="str">
        <f t="array" ref="BB1603">_xlfn.IFS(AQ1603="","",LEN(AQ1603)-LEN(SUBSTITUTE(AQ1603,".",""))=3,LEFT(AQ1603,vitri(".",AQ1603,3)-1),LEN(AQ1603)-LEN(SUBSTITUTE(AQ1603,".",""))=2,LEFT(AQ1603,vitri(".",AQ1603,2)-1),TRUE,LEFT(AQ1603,vitri(".",AQ1603,1)-1))</f>
        <v/>
      </c>
    </row>
    <row r="1604" spans="13:54" x14ac:dyDescent="0.25">
      <c r="M1604" s="379"/>
      <c r="BB1604" s="206" t="str">
        <f t="array" ref="BB1604">_xlfn.IFS(AQ1604="","",LEN(AQ1604)-LEN(SUBSTITUTE(AQ1604,".",""))=3,LEFT(AQ1604,vitri(".",AQ1604,3)-1),LEN(AQ1604)-LEN(SUBSTITUTE(AQ1604,".",""))=2,LEFT(AQ1604,vitri(".",AQ1604,2)-1),TRUE,LEFT(AQ1604,vitri(".",AQ1604,1)-1))</f>
        <v/>
      </c>
    </row>
    <row r="1605" spans="13:54" x14ac:dyDescent="0.25">
      <c r="M1605" s="379"/>
      <c r="BB1605" s="206" t="str">
        <f t="array" ref="BB1605">_xlfn.IFS(AQ1605="","",LEN(AQ1605)-LEN(SUBSTITUTE(AQ1605,".",""))=3,LEFT(AQ1605,vitri(".",AQ1605,3)-1),LEN(AQ1605)-LEN(SUBSTITUTE(AQ1605,".",""))=2,LEFT(AQ1605,vitri(".",AQ1605,2)-1),TRUE,LEFT(AQ1605,vitri(".",AQ1605,1)-1))</f>
        <v/>
      </c>
    </row>
    <row r="1606" spans="13:54" x14ac:dyDescent="0.25">
      <c r="M1606" s="379"/>
      <c r="BB1606" s="206" t="str">
        <f t="array" ref="BB1606">_xlfn.IFS(AQ1606="","",LEN(AQ1606)-LEN(SUBSTITUTE(AQ1606,".",""))=3,LEFT(AQ1606,vitri(".",AQ1606,3)-1),LEN(AQ1606)-LEN(SUBSTITUTE(AQ1606,".",""))=2,LEFT(AQ1606,vitri(".",AQ1606,2)-1),TRUE,LEFT(AQ1606,vitri(".",AQ1606,1)-1))</f>
        <v/>
      </c>
    </row>
    <row r="1607" spans="13:54" x14ac:dyDescent="0.25">
      <c r="M1607" s="379"/>
      <c r="BB1607" s="206" t="str">
        <f t="array" ref="BB1607">_xlfn.IFS(AQ1607="","",LEN(AQ1607)-LEN(SUBSTITUTE(AQ1607,".",""))=3,LEFT(AQ1607,vitri(".",AQ1607,3)-1),LEN(AQ1607)-LEN(SUBSTITUTE(AQ1607,".",""))=2,LEFT(AQ1607,vitri(".",AQ1607,2)-1),TRUE,LEFT(AQ1607,vitri(".",AQ1607,1)-1))</f>
        <v/>
      </c>
    </row>
    <row r="1608" spans="13:54" x14ac:dyDescent="0.25">
      <c r="M1608" s="379"/>
      <c r="BB1608" s="206" t="str">
        <f t="array" ref="BB1608">_xlfn.IFS(AQ1608="","",LEN(AQ1608)-LEN(SUBSTITUTE(AQ1608,".",""))=3,LEFT(AQ1608,vitri(".",AQ1608,3)-1),LEN(AQ1608)-LEN(SUBSTITUTE(AQ1608,".",""))=2,LEFT(AQ1608,vitri(".",AQ1608,2)-1),TRUE,LEFT(AQ1608,vitri(".",AQ1608,1)-1))</f>
        <v/>
      </c>
    </row>
    <row r="1609" spans="13:54" x14ac:dyDescent="0.25">
      <c r="M1609" s="379"/>
      <c r="BB1609" s="206" t="str">
        <f t="array" ref="BB1609">_xlfn.IFS(AQ1609="","",LEN(AQ1609)-LEN(SUBSTITUTE(AQ1609,".",""))=3,LEFT(AQ1609,vitri(".",AQ1609,3)-1),LEN(AQ1609)-LEN(SUBSTITUTE(AQ1609,".",""))=2,LEFT(AQ1609,vitri(".",AQ1609,2)-1),TRUE,LEFT(AQ1609,vitri(".",AQ1609,1)-1))</f>
        <v/>
      </c>
    </row>
    <row r="1610" spans="13:54" x14ac:dyDescent="0.25">
      <c r="M1610" s="379"/>
      <c r="BB1610" s="206" t="str">
        <f t="array" ref="BB1610">_xlfn.IFS(AQ1610="","",LEN(AQ1610)-LEN(SUBSTITUTE(AQ1610,".",""))=3,LEFT(AQ1610,vitri(".",AQ1610,3)-1),LEN(AQ1610)-LEN(SUBSTITUTE(AQ1610,".",""))=2,LEFT(AQ1610,vitri(".",AQ1610,2)-1),TRUE,LEFT(AQ1610,vitri(".",AQ1610,1)-1))</f>
        <v/>
      </c>
    </row>
    <row r="1611" spans="13:54" x14ac:dyDescent="0.25">
      <c r="M1611" s="379"/>
      <c r="BB1611" s="206" t="str">
        <f t="array" ref="BB1611">_xlfn.IFS(AQ1611="","",LEN(AQ1611)-LEN(SUBSTITUTE(AQ1611,".",""))=3,LEFT(AQ1611,vitri(".",AQ1611,3)-1),LEN(AQ1611)-LEN(SUBSTITUTE(AQ1611,".",""))=2,LEFT(AQ1611,vitri(".",AQ1611,2)-1),TRUE,LEFT(AQ1611,vitri(".",AQ1611,1)-1))</f>
        <v/>
      </c>
    </row>
    <row r="1612" spans="13:54" x14ac:dyDescent="0.25">
      <c r="M1612" s="379"/>
      <c r="BB1612" s="206" t="str">
        <f t="array" ref="BB1612">_xlfn.IFS(AQ1612="","",LEN(AQ1612)-LEN(SUBSTITUTE(AQ1612,".",""))=3,LEFT(AQ1612,vitri(".",AQ1612,3)-1),LEN(AQ1612)-LEN(SUBSTITUTE(AQ1612,".",""))=2,LEFT(AQ1612,vitri(".",AQ1612,2)-1),TRUE,LEFT(AQ1612,vitri(".",AQ1612,1)-1))</f>
        <v/>
      </c>
    </row>
    <row r="1613" spans="13:54" x14ac:dyDescent="0.25">
      <c r="M1613" s="379"/>
      <c r="BB1613" s="206" t="str">
        <f t="array" ref="BB1613">_xlfn.IFS(AQ1613="","",LEN(AQ1613)-LEN(SUBSTITUTE(AQ1613,".",""))=3,LEFT(AQ1613,vitri(".",AQ1613,3)-1),LEN(AQ1613)-LEN(SUBSTITUTE(AQ1613,".",""))=2,LEFT(AQ1613,vitri(".",AQ1613,2)-1),TRUE,LEFT(AQ1613,vitri(".",AQ1613,1)-1))</f>
        <v/>
      </c>
    </row>
    <row r="1614" spans="13:54" x14ac:dyDescent="0.25">
      <c r="M1614" s="379"/>
      <c r="BB1614" s="206" t="str">
        <f t="array" ref="BB1614">_xlfn.IFS(AQ1614="","",LEN(AQ1614)-LEN(SUBSTITUTE(AQ1614,".",""))=3,LEFT(AQ1614,vitri(".",AQ1614,3)-1),LEN(AQ1614)-LEN(SUBSTITUTE(AQ1614,".",""))=2,LEFT(AQ1614,vitri(".",AQ1614,2)-1),TRUE,LEFT(AQ1614,vitri(".",AQ1614,1)-1))</f>
        <v/>
      </c>
    </row>
    <row r="1615" spans="13:54" x14ac:dyDescent="0.25">
      <c r="M1615" s="379"/>
      <c r="BB1615" s="206" t="str">
        <f t="array" ref="BB1615">_xlfn.IFS(AQ1615="","",LEN(AQ1615)-LEN(SUBSTITUTE(AQ1615,".",""))=3,LEFT(AQ1615,vitri(".",AQ1615,3)-1),LEN(AQ1615)-LEN(SUBSTITUTE(AQ1615,".",""))=2,LEFT(AQ1615,vitri(".",AQ1615,2)-1),TRUE,LEFT(AQ1615,vitri(".",AQ1615,1)-1))</f>
        <v/>
      </c>
    </row>
    <row r="1616" spans="13:54" x14ac:dyDescent="0.25">
      <c r="M1616" s="379"/>
      <c r="BB1616" s="206" t="str">
        <f t="array" ref="BB1616">_xlfn.IFS(AQ1616="","",LEN(AQ1616)-LEN(SUBSTITUTE(AQ1616,".",""))=3,LEFT(AQ1616,vitri(".",AQ1616,3)-1),LEN(AQ1616)-LEN(SUBSTITUTE(AQ1616,".",""))=2,LEFT(AQ1616,vitri(".",AQ1616,2)-1),TRUE,LEFT(AQ1616,vitri(".",AQ1616,1)-1))</f>
        <v/>
      </c>
    </row>
    <row r="1617" spans="13:54" x14ac:dyDescent="0.25">
      <c r="M1617" s="379"/>
      <c r="BB1617" s="206" t="str">
        <f t="array" ref="BB1617">_xlfn.IFS(AQ1617="","",LEN(AQ1617)-LEN(SUBSTITUTE(AQ1617,".",""))=3,LEFT(AQ1617,vitri(".",AQ1617,3)-1),LEN(AQ1617)-LEN(SUBSTITUTE(AQ1617,".",""))=2,LEFT(AQ1617,vitri(".",AQ1617,2)-1),TRUE,LEFT(AQ1617,vitri(".",AQ1617,1)-1))</f>
        <v/>
      </c>
    </row>
    <row r="1618" spans="13:54" x14ac:dyDescent="0.25">
      <c r="M1618" s="379"/>
      <c r="BB1618" s="206" t="str">
        <f t="array" ref="BB1618">_xlfn.IFS(AQ1618="","",LEN(AQ1618)-LEN(SUBSTITUTE(AQ1618,".",""))=3,LEFT(AQ1618,vitri(".",AQ1618,3)-1),LEN(AQ1618)-LEN(SUBSTITUTE(AQ1618,".",""))=2,LEFT(AQ1618,vitri(".",AQ1618,2)-1),TRUE,LEFT(AQ1618,vitri(".",AQ1618,1)-1))</f>
        <v/>
      </c>
    </row>
    <row r="1619" spans="13:54" x14ac:dyDescent="0.25">
      <c r="M1619" s="379"/>
      <c r="BB1619" s="206" t="str">
        <f t="array" ref="BB1619">_xlfn.IFS(AQ1619="","",LEN(AQ1619)-LEN(SUBSTITUTE(AQ1619,".",""))=3,LEFT(AQ1619,vitri(".",AQ1619,3)-1),LEN(AQ1619)-LEN(SUBSTITUTE(AQ1619,".",""))=2,LEFT(AQ1619,vitri(".",AQ1619,2)-1),TRUE,LEFT(AQ1619,vitri(".",AQ1619,1)-1))</f>
        <v/>
      </c>
    </row>
    <row r="1620" spans="13:54" x14ac:dyDescent="0.25">
      <c r="M1620" s="379"/>
      <c r="BB1620" s="206" t="str">
        <f t="array" ref="BB1620">_xlfn.IFS(AQ1620="","",LEN(AQ1620)-LEN(SUBSTITUTE(AQ1620,".",""))=3,LEFT(AQ1620,vitri(".",AQ1620,3)-1),LEN(AQ1620)-LEN(SUBSTITUTE(AQ1620,".",""))=2,LEFT(AQ1620,vitri(".",AQ1620,2)-1),TRUE,LEFT(AQ1620,vitri(".",AQ1620,1)-1))</f>
        <v/>
      </c>
    </row>
    <row r="1621" spans="13:54" x14ac:dyDescent="0.25">
      <c r="M1621" s="379"/>
      <c r="BB1621" s="206" t="str">
        <f t="array" ref="BB1621">_xlfn.IFS(AQ1621="","",LEN(AQ1621)-LEN(SUBSTITUTE(AQ1621,".",""))=3,LEFT(AQ1621,vitri(".",AQ1621,3)-1),LEN(AQ1621)-LEN(SUBSTITUTE(AQ1621,".",""))=2,LEFT(AQ1621,vitri(".",AQ1621,2)-1),TRUE,LEFT(AQ1621,vitri(".",AQ1621,1)-1))</f>
        <v/>
      </c>
    </row>
    <row r="1622" spans="13:54" x14ac:dyDescent="0.25">
      <c r="M1622" s="379"/>
      <c r="BB1622" s="206" t="str">
        <f t="array" ref="BB1622">_xlfn.IFS(AQ1622="","",LEN(AQ1622)-LEN(SUBSTITUTE(AQ1622,".",""))=3,LEFT(AQ1622,vitri(".",AQ1622,3)-1),LEN(AQ1622)-LEN(SUBSTITUTE(AQ1622,".",""))=2,LEFT(AQ1622,vitri(".",AQ1622,2)-1),TRUE,LEFT(AQ1622,vitri(".",AQ1622,1)-1))</f>
        <v/>
      </c>
    </row>
    <row r="1623" spans="13:54" x14ac:dyDescent="0.25">
      <c r="M1623" s="379"/>
      <c r="BB1623" s="206" t="str">
        <f t="array" ref="BB1623">_xlfn.IFS(AQ1623="","",LEN(AQ1623)-LEN(SUBSTITUTE(AQ1623,".",""))=3,LEFT(AQ1623,vitri(".",AQ1623,3)-1),LEN(AQ1623)-LEN(SUBSTITUTE(AQ1623,".",""))=2,LEFT(AQ1623,vitri(".",AQ1623,2)-1),TRUE,LEFT(AQ1623,vitri(".",AQ1623,1)-1))</f>
        <v/>
      </c>
    </row>
    <row r="1624" spans="13:54" x14ac:dyDescent="0.25">
      <c r="M1624" s="379"/>
      <c r="BB1624" s="206" t="str">
        <f t="array" ref="BB1624">_xlfn.IFS(AQ1624="","",LEN(AQ1624)-LEN(SUBSTITUTE(AQ1624,".",""))=3,LEFT(AQ1624,vitri(".",AQ1624,3)-1),LEN(AQ1624)-LEN(SUBSTITUTE(AQ1624,".",""))=2,LEFT(AQ1624,vitri(".",AQ1624,2)-1),TRUE,LEFT(AQ1624,vitri(".",AQ1624,1)-1))</f>
        <v/>
      </c>
    </row>
    <row r="1625" spans="13:54" x14ac:dyDescent="0.25">
      <c r="M1625" s="379"/>
      <c r="BB1625" s="206" t="str">
        <f t="array" ref="BB1625">_xlfn.IFS(AQ1625="","",LEN(AQ1625)-LEN(SUBSTITUTE(AQ1625,".",""))=3,LEFT(AQ1625,vitri(".",AQ1625,3)-1),LEN(AQ1625)-LEN(SUBSTITUTE(AQ1625,".",""))=2,LEFT(AQ1625,vitri(".",AQ1625,2)-1),TRUE,LEFT(AQ1625,vitri(".",AQ1625,1)-1))</f>
        <v/>
      </c>
    </row>
    <row r="1626" spans="13:54" x14ac:dyDescent="0.25">
      <c r="M1626" s="379"/>
      <c r="BB1626" s="206" t="str">
        <f t="array" ref="BB1626">_xlfn.IFS(AQ1626="","",LEN(AQ1626)-LEN(SUBSTITUTE(AQ1626,".",""))=3,LEFT(AQ1626,vitri(".",AQ1626,3)-1),LEN(AQ1626)-LEN(SUBSTITUTE(AQ1626,".",""))=2,LEFT(AQ1626,vitri(".",AQ1626,2)-1),TRUE,LEFT(AQ1626,vitri(".",AQ1626,1)-1))</f>
        <v/>
      </c>
    </row>
    <row r="1627" spans="13:54" x14ac:dyDescent="0.25">
      <c r="M1627" s="379"/>
      <c r="BB1627" s="206" t="str">
        <f t="array" ref="BB1627">_xlfn.IFS(AQ1627="","",LEN(AQ1627)-LEN(SUBSTITUTE(AQ1627,".",""))=3,LEFT(AQ1627,vitri(".",AQ1627,3)-1),LEN(AQ1627)-LEN(SUBSTITUTE(AQ1627,".",""))=2,LEFT(AQ1627,vitri(".",AQ1627,2)-1),TRUE,LEFT(AQ1627,vitri(".",AQ1627,1)-1))</f>
        <v/>
      </c>
    </row>
    <row r="1628" spans="13:54" x14ac:dyDescent="0.25">
      <c r="M1628" s="379"/>
      <c r="BB1628" s="206" t="str">
        <f t="array" ref="BB1628">_xlfn.IFS(AQ1628="","",LEN(AQ1628)-LEN(SUBSTITUTE(AQ1628,".",""))=3,LEFT(AQ1628,vitri(".",AQ1628,3)-1),LEN(AQ1628)-LEN(SUBSTITUTE(AQ1628,".",""))=2,LEFT(AQ1628,vitri(".",AQ1628,2)-1),TRUE,LEFT(AQ1628,vitri(".",AQ1628,1)-1))</f>
        <v/>
      </c>
    </row>
    <row r="1629" spans="13:54" x14ac:dyDescent="0.25">
      <c r="M1629" s="379"/>
      <c r="BB1629" s="206" t="str">
        <f t="array" ref="BB1629">_xlfn.IFS(AQ1629="","",LEN(AQ1629)-LEN(SUBSTITUTE(AQ1629,".",""))=3,LEFT(AQ1629,vitri(".",AQ1629,3)-1),LEN(AQ1629)-LEN(SUBSTITUTE(AQ1629,".",""))=2,LEFT(AQ1629,vitri(".",AQ1629,2)-1),TRUE,LEFT(AQ1629,vitri(".",AQ1629,1)-1))</f>
        <v/>
      </c>
    </row>
    <row r="1630" spans="13:54" x14ac:dyDescent="0.25">
      <c r="M1630" s="379"/>
      <c r="BB1630" s="206" t="str">
        <f t="array" ref="BB1630">_xlfn.IFS(AQ1630="","",LEN(AQ1630)-LEN(SUBSTITUTE(AQ1630,".",""))=3,LEFT(AQ1630,vitri(".",AQ1630,3)-1),LEN(AQ1630)-LEN(SUBSTITUTE(AQ1630,".",""))=2,LEFT(AQ1630,vitri(".",AQ1630,2)-1),TRUE,LEFT(AQ1630,vitri(".",AQ1630,1)-1))</f>
        <v/>
      </c>
    </row>
    <row r="1631" spans="13:54" x14ac:dyDescent="0.25">
      <c r="M1631" s="379"/>
      <c r="BB1631" s="206" t="str">
        <f t="array" ref="BB1631">_xlfn.IFS(AQ1631="","",LEN(AQ1631)-LEN(SUBSTITUTE(AQ1631,".",""))=3,LEFT(AQ1631,vitri(".",AQ1631,3)-1),LEN(AQ1631)-LEN(SUBSTITUTE(AQ1631,".",""))=2,LEFT(AQ1631,vitri(".",AQ1631,2)-1),TRUE,LEFT(AQ1631,vitri(".",AQ1631,1)-1))</f>
        <v/>
      </c>
    </row>
    <row r="1632" spans="13:54" x14ac:dyDescent="0.25">
      <c r="M1632" s="379"/>
      <c r="BB1632" s="206" t="str">
        <f t="array" ref="BB1632">_xlfn.IFS(AQ1632="","",LEN(AQ1632)-LEN(SUBSTITUTE(AQ1632,".",""))=3,LEFT(AQ1632,vitri(".",AQ1632,3)-1),LEN(AQ1632)-LEN(SUBSTITUTE(AQ1632,".",""))=2,LEFT(AQ1632,vitri(".",AQ1632,2)-1),TRUE,LEFT(AQ1632,vitri(".",AQ1632,1)-1))</f>
        <v/>
      </c>
    </row>
    <row r="1633" spans="13:54" x14ac:dyDescent="0.25">
      <c r="M1633" s="379"/>
      <c r="BB1633" s="206" t="str">
        <f t="array" ref="BB1633">_xlfn.IFS(AQ1633="","",LEN(AQ1633)-LEN(SUBSTITUTE(AQ1633,".",""))=3,LEFT(AQ1633,vitri(".",AQ1633,3)-1),LEN(AQ1633)-LEN(SUBSTITUTE(AQ1633,".",""))=2,LEFT(AQ1633,vitri(".",AQ1633,2)-1),TRUE,LEFT(AQ1633,vitri(".",AQ1633,1)-1))</f>
        <v/>
      </c>
    </row>
    <row r="1634" spans="13:54" x14ac:dyDescent="0.25">
      <c r="M1634" s="379"/>
      <c r="BB1634" s="206" t="str">
        <f t="array" ref="BB1634">_xlfn.IFS(AQ1634="","",LEN(AQ1634)-LEN(SUBSTITUTE(AQ1634,".",""))=3,LEFT(AQ1634,vitri(".",AQ1634,3)-1),LEN(AQ1634)-LEN(SUBSTITUTE(AQ1634,".",""))=2,LEFT(AQ1634,vitri(".",AQ1634,2)-1),TRUE,LEFT(AQ1634,vitri(".",AQ1634,1)-1))</f>
        <v/>
      </c>
    </row>
    <row r="1635" spans="13:54" x14ac:dyDescent="0.25">
      <c r="M1635" s="379"/>
      <c r="BB1635" s="206" t="str">
        <f t="array" ref="BB1635">_xlfn.IFS(AQ1635="","",LEN(AQ1635)-LEN(SUBSTITUTE(AQ1635,".",""))=3,LEFT(AQ1635,vitri(".",AQ1635,3)-1),LEN(AQ1635)-LEN(SUBSTITUTE(AQ1635,".",""))=2,LEFT(AQ1635,vitri(".",AQ1635,2)-1),TRUE,LEFT(AQ1635,vitri(".",AQ1635,1)-1))</f>
        <v/>
      </c>
    </row>
    <row r="1636" spans="13:54" x14ac:dyDescent="0.25">
      <c r="M1636" s="379"/>
      <c r="BB1636" s="206" t="str">
        <f t="array" ref="BB1636">_xlfn.IFS(AQ1636="","",LEN(AQ1636)-LEN(SUBSTITUTE(AQ1636,".",""))=3,LEFT(AQ1636,vitri(".",AQ1636,3)-1),LEN(AQ1636)-LEN(SUBSTITUTE(AQ1636,".",""))=2,LEFT(AQ1636,vitri(".",AQ1636,2)-1),TRUE,LEFT(AQ1636,vitri(".",AQ1636,1)-1))</f>
        <v/>
      </c>
    </row>
    <row r="1637" spans="13:54" x14ac:dyDescent="0.25">
      <c r="M1637" s="379"/>
      <c r="BB1637" s="206" t="str">
        <f t="array" ref="BB1637">_xlfn.IFS(AQ1637="","",LEN(AQ1637)-LEN(SUBSTITUTE(AQ1637,".",""))=3,LEFT(AQ1637,vitri(".",AQ1637,3)-1),LEN(AQ1637)-LEN(SUBSTITUTE(AQ1637,".",""))=2,LEFT(AQ1637,vitri(".",AQ1637,2)-1),TRUE,LEFT(AQ1637,vitri(".",AQ1637,1)-1))</f>
        <v/>
      </c>
    </row>
    <row r="1638" spans="13:54" x14ac:dyDescent="0.25">
      <c r="M1638" s="379"/>
      <c r="BB1638" s="206" t="str">
        <f t="array" ref="BB1638">_xlfn.IFS(AQ1638="","",LEN(AQ1638)-LEN(SUBSTITUTE(AQ1638,".",""))=3,LEFT(AQ1638,vitri(".",AQ1638,3)-1),LEN(AQ1638)-LEN(SUBSTITUTE(AQ1638,".",""))=2,LEFT(AQ1638,vitri(".",AQ1638,2)-1),TRUE,LEFT(AQ1638,vitri(".",AQ1638,1)-1))</f>
        <v/>
      </c>
    </row>
    <row r="1639" spans="13:54" x14ac:dyDescent="0.25">
      <c r="M1639" s="379"/>
      <c r="BB1639" s="206" t="str">
        <f t="array" ref="BB1639">_xlfn.IFS(AQ1639="","",LEN(AQ1639)-LEN(SUBSTITUTE(AQ1639,".",""))=3,LEFT(AQ1639,vitri(".",AQ1639,3)-1),LEN(AQ1639)-LEN(SUBSTITUTE(AQ1639,".",""))=2,LEFT(AQ1639,vitri(".",AQ1639,2)-1),TRUE,LEFT(AQ1639,vitri(".",AQ1639,1)-1))</f>
        <v/>
      </c>
    </row>
    <row r="1640" spans="13:54" x14ac:dyDescent="0.25">
      <c r="M1640" s="379"/>
      <c r="BB1640" s="206" t="str">
        <f t="array" ref="BB1640">_xlfn.IFS(AQ1640="","",LEN(AQ1640)-LEN(SUBSTITUTE(AQ1640,".",""))=3,LEFT(AQ1640,vitri(".",AQ1640,3)-1),LEN(AQ1640)-LEN(SUBSTITUTE(AQ1640,".",""))=2,LEFT(AQ1640,vitri(".",AQ1640,2)-1),TRUE,LEFT(AQ1640,vitri(".",AQ1640,1)-1))</f>
        <v/>
      </c>
    </row>
    <row r="1641" spans="13:54" x14ac:dyDescent="0.25">
      <c r="M1641" s="379"/>
      <c r="BB1641" s="206" t="str">
        <f t="array" ref="BB1641">_xlfn.IFS(AQ1641="","",LEN(AQ1641)-LEN(SUBSTITUTE(AQ1641,".",""))=3,LEFT(AQ1641,vitri(".",AQ1641,3)-1),LEN(AQ1641)-LEN(SUBSTITUTE(AQ1641,".",""))=2,LEFT(AQ1641,vitri(".",AQ1641,2)-1),TRUE,LEFT(AQ1641,vitri(".",AQ1641,1)-1))</f>
        <v/>
      </c>
    </row>
    <row r="1642" spans="13:54" x14ac:dyDescent="0.25">
      <c r="M1642" s="379"/>
      <c r="BB1642" s="206" t="str">
        <f t="array" ref="BB1642">_xlfn.IFS(AQ1642="","",LEN(AQ1642)-LEN(SUBSTITUTE(AQ1642,".",""))=3,LEFT(AQ1642,vitri(".",AQ1642,3)-1),LEN(AQ1642)-LEN(SUBSTITUTE(AQ1642,".",""))=2,LEFT(AQ1642,vitri(".",AQ1642,2)-1),TRUE,LEFT(AQ1642,vitri(".",AQ1642,1)-1))</f>
        <v/>
      </c>
    </row>
    <row r="1643" spans="13:54" x14ac:dyDescent="0.25">
      <c r="M1643" s="379"/>
      <c r="BB1643" s="206" t="str">
        <f t="array" ref="BB1643">_xlfn.IFS(AQ1643="","",LEN(AQ1643)-LEN(SUBSTITUTE(AQ1643,".",""))=3,LEFT(AQ1643,vitri(".",AQ1643,3)-1),LEN(AQ1643)-LEN(SUBSTITUTE(AQ1643,".",""))=2,LEFT(AQ1643,vitri(".",AQ1643,2)-1),TRUE,LEFT(AQ1643,vitri(".",AQ1643,1)-1))</f>
        <v/>
      </c>
    </row>
    <row r="1644" spans="13:54" x14ac:dyDescent="0.25">
      <c r="M1644" s="379"/>
      <c r="BB1644" s="206" t="str">
        <f t="array" ref="BB1644">_xlfn.IFS(AQ1644="","",LEN(AQ1644)-LEN(SUBSTITUTE(AQ1644,".",""))=3,LEFT(AQ1644,vitri(".",AQ1644,3)-1),LEN(AQ1644)-LEN(SUBSTITUTE(AQ1644,".",""))=2,LEFT(AQ1644,vitri(".",AQ1644,2)-1),TRUE,LEFT(AQ1644,vitri(".",AQ1644,1)-1))</f>
        <v/>
      </c>
    </row>
    <row r="1645" spans="13:54" x14ac:dyDescent="0.25">
      <c r="M1645" s="379"/>
      <c r="BB1645" s="206" t="str">
        <f t="array" ref="BB1645">_xlfn.IFS(AQ1645="","",LEN(AQ1645)-LEN(SUBSTITUTE(AQ1645,".",""))=3,LEFT(AQ1645,vitri(".",AQ1645,3)-1),LEN(AQ1645)-LEN(SUBSTITUTE(AQ1645,".",""))=2,LEFT(AQ1645,vitri(".",AQ1645,2)-1),TRUE,LEFT(AQ1645,vitri(".",AQ1645,1)-1))</f>
        <v/>
      </c>
    </row>
    <row r="1646" spans="13:54" x14ac:dyDescent="0.25">
      <c r="M1646" s="379"/>
      <c r="BB1646" s="206" t="str">
        <f t="array" ref="BB1646">_xlfn.IFS(AQ1646="","",LEN(AQ1646)-LEN(SUBSTITUTE(AQ1646,".",""))=3,LEFT(AQ1646,vitri(".",AQ1646,3)-1),LEN(AQ1646)-LEN(SUBSTITUTE(AQ1646,".",""))=2,LEFT(AQ1646,vitri(".",AQ1646,2)-1),TRUE,LEFT(AQ1646,vitri(".",AQ1646,1)-1))</f>
        <v/>
      </c>
    </row>
    <row r="1647" spans="13:54" x14ac:dyDescent="0.25">
      <c r="M1647" s="379"/>
      <c r="BB1647" s="206" t="str">
        <f t="array" ref="BB1647">_xlfn.IFS(AQ1647="","",LEN(AQ1647)-LEN(SUBSTITUTE(AQ1647,".",""))=3,LEFT(AQ1647,vitri(".",AQ1647,3)-1),LEN(AQ1647)-LEN(SUBSTITUTE(AQ1647,".",""))=2,LEFT(AQ1647,vitri(".",AQ1647,2)-1),TRUE,LEFT(AQ1647,vitri(".",AQ1647,1)-1))</f>
        <v/>
      </c>
    </row>
    <row r="1648" spans="13:54" x14ac:dyDescent="0.25">
      <c r="M1648" s="379"/>
      <c r="BB1648" s="206" t="str">
        <f t="array" ref="BB1648">_xlfn.IFS(AQ1648="","",LEN(AQ1648)-LEN(SUBSTITUTE(AQ1648,".",""))=3,LEFT(AQ1648,vitri(".",AQ1648,3)-1),LEN(AQ1648)-LEN(SUBSTITUTE(AQ1648,".",""))=2,LEFT(AQ1648,vitri(".",AQ1648,2)-1),TRUE,LEFT(AQ1648,vitri(".",AQ1648,1)-1))</f>
        <v/>
      </c>
    </row>
    <row r="1649" spans="13:54" x14ac:dyDescent="0.25">
      <c r="M1649" s="379"/>
      <c r="BB1649" s="206" t="str">
        <f t="array" ref="BB1649">_xlfn.IFS(AQ1649="","",LEN(AQ1649)-LEN(SUBSTITUTE(AQ1649,".",""))=3,LEFT(AQ1649,vitri(".",AQ1649,3)-1),LEN(AQ1649)-LEN(SUBSTITUTE(AQ1649,".",""))=2,LEFT(AQ1649,vitri(".",AQ1649,2)-1),TRUE,LEFT(AQ1649,vitri(".",AQ1649,1)-1))</f>
        <v/>
      </c>
    </row>
    <row r="1650" spans="13:54" x14ac:dyDescent="0.25">
      <c r="M1650" s="379"/>
      <c r="BB1650" s="206" t="str">
        <f t="array" ref="BB1650">_xlfn.IFS(AQ1650="","",LEN(AQ1650)-LEN(SUBSTITUTE(AQ1650,".",""))=3,LEFT(AQ1650,vitri(".",AQ1650,3)-1),LEN(AQ1650)-LEN(SUBSTITUTE(AQ1650,".",""))=2,LEFT(AQ1650,vitri(".",AQ1650,2)-1),TRUE,LEFT(AQ1650,vitri(".",AQ1650,1)-1))</f>
        <v/>
      </c>
    </row>
    <row r="1651" spans="13:54" x14ac:dyDescent="0.25">
      <c r="M1651" s="379"/>
      <c r="BB1651" s="206" t="str">
        <f t="array" ref="BB1651">_xlfn.IFS(AQ1651="","",LEN(AQ1651)-LEN(SUBSTITUTE(AQ1651,".",""))=3,LEFT(AQ1651,vitri(".",AQ1651,3)-1),LEN(AQ1651)-LEN(SUBSTITUTE(AQ1651,".",""))=2,LEFT(AQ1651,vitri(".",AQ1651,2)-1),TRUE,LEFT(AQ1651,vitri(".",AQ1651,1)-1))</f>
        <v/>
      </c>
    </row>
    <row r="1652" spans="13:54" x14ac:dyDescent="0.25">
      <c r="M1652" s="379"/>
      <c r="BB1652" s="206" t="str">
        <f t="array" ref="BB1652">_xlfn.IFS(AQ1652="","",LEN(AQ1652)-LEN(SUBSTITUTE(AQ1652,".",""))=3,LEFT(AQ1652,vitri(".",AQ1652,3)-1),LEN(AQ1652)-LEN(SUBSTITUTE(AQ1652,".",""))=2,LEFT(AQ1652,vitri(".",AQ1652,2)-1),TRUE,LEFT(AQ1652,vitri(".",AQ1652,1)-1))</f>
        <v/>
      </c>
    </row>
    <row r="1653" spans="13:54" x14ac:dyDescent="0.25">
      <c r="M1653" s="379"/>
      <c r="BB1653" s="206" t="str">
        <f t="array" ref="BB1653">_xlfn.IFS(AQ1653="","",LEN(AQ1653)-LEN(SUBSTITUTE(AQ1653,".",""))=3,LEFT(AQ1653,vitri(".",AQ1653,3)-1),LEN(AQ1653)-LEN(SUBSTITUTE(AQ1653,".",""))=2,LEFT(AQ1653,vitri(".",AQ1653,2)-1),TRUE,LEFT(AQ1653,vitri(".",AQ1653,1)-1))</f>
        <v/>
      </c>
    </row>
    <row r="1654" spans="13:54" x14ac:dyDescent="0.25">
      <c r="M1654" s="379"/>
      <c r="BB1654" s="206" t="str">
        <f t="array" ref="BB1654">_xlfn.IFS(AQ1654="","",LEN(AQ1654)-LEN(SUBSTITUTE(AQ1654,".",""))=3,LEFT(AQ1654,vitri(".",AQ1654,3)-1),LEN(AQ1654)-LEN(SUBSTITUTE(AQ1654,".",""))=2,LEFT(AQ1654,vitri(".",AQ1654,2)-1),TRUE,LEFT(AQ1654,vitri(".",AQ1654,1)-1))</f>
        <v/>
      </c>
    </row>
    <row r="1655" spans="13:54" x14ac:dyDescent="0.25">
      <c r="M1655" s="379"/>
      <c r="BB1655" s="206" t="str">
        <f t="array" ref="BB1655">_xlfn.IFS(AQ1655="","",LEN(AQ1655)-LEN(SUBSTITUTE(AQ1655,".",""))=3,LEFT(AQ1655,vitri(".",AQ1655,3)-1),LEN(AQ1655)-LEN(SUBSTITUTE(AQ1655,".",""))=2,LEFT(AQ1655,vitri(".",AQ1655,2)-1),TRUE,LEFT(AQ1655,vitri(".",AQ1655,1)-1))</f>
        <v/>
      </c>
    </row>
    <row r="1656" spans="13:54" x14ac:dyDescent="0.25">
      <c r="M1656" s="379"/>
      <c r="BB1656" s="206" t="str">
        <f t="array" ref="BB1656">_xlfn.IFS(AQ1656="","",LEN(AQ1656)-LEN(SUBSTITUTE(AQ1656,".",""))=3,LEFT(AQ1656,vitri(".",AQ1656,3)-1),LEN(AQ1656)-LEN(SUBSTITUTE(AQ1656,".",""))=2,LEFT(AQ1656,vitri(".",AQ1656,2)-1),TRUE,LEFT(AQ1656,vitri(".",AQ1656,1)-1))</f>
        <v/>
      </c>
    </row>
    <row r="1657" spans="13:54" x14ac:dyDescent="0.25">
      <c r="M1657" s="379"/>
      <c r="BB1657" s="206" t="str">
        <f t="array" ref="BB1657">_xlfn.IFS(AQ1657="","",LEN(AQ1657)-LEN(SUBSTITUTE(AQ1657,".",""))=3,LEFT(AQ1657,vitri(".",AQ1657,3)-1),LEN(AQ1657)-LEN(SUBSTITUTE(AQ1657,".",""))=2,LEFT(AQ1657,vitri(".",AQ1657,2)-1),TRUE,LEFT(AQ1657,vitri(".",AQ1657,1)-1))</f>
        <v/>
      </c>
    </row>
    <row r="1658" spans="13:54" x14ac:dyDescent="0.25">
      <c r="M1658" s="379"/>
      <c r="BB1658" s="206" t="str">
        <f t="array" ref="BB1658">_xlfn.IFS(AQ1658="","",LEN(AQ1658)-LEN(SUBSTITUTE(AQ1658,".",""))=3,LEFT(AQ1658,vitri(".",AQ1658,3)-1),LEN(AQ1658)-LEN(SUBSTITUTE(AQ1658,".",""))=2,LEFT(AQ1658,vitri(".",AQ1658,2)-1),TRUE,LEFT(AQ1658,vitri(".",AQ1658,1)-1))</f>
        <v/>
      </c>
    </row>
    <row r="1659" spans="13:54" x14ac:dyDescent="0.25">
      <c r="M1659" s="379"/>
      <c r="BB1659" s="206" t="str">
        <f t="array" ref="BB1659">_xlfn.IFS(AQ1659="","",LEN(AQ1659)-LEN(SUBSTITUTE(AQ1659,".",""))=3,LEFT(AQ1659,vitri(".",AQ1659,3)-1),LEN(AQ1659)-LEN(SUBSTITUTE(AQ1659,".",""))=2,LEFT(AQ1659,vitri(".",AQ1659,2)-1),TRUE,LEFT(AQ1659,vitri(".",AQ1659,1)-1))</f>
        <v/>
      </c>
    </row>
    <row r="1660" spans="13:54" x14ac:dyDescent="0.25">
      <c r="M1660" s="379"/>
      <c r="BB1660" s="206" t="str">
        <f t="array" ref="BB1660">_xlfn.IFS(AQ1660="","",LEN(AQ1660)-LEN(SUBSTITUTE(AQ1660,".",""))=3,LEFT(AQ1660,vitri(".",AQ1660,3)-1),LEN(AQ1660)-LEN(SUBSTITUTE(AQ1660,".",""))=2,LEFT(AQ1660,vitri(".",AQ1660,2)-1),TRUE,LEFT(AQ1660,vitri(".",AQ1660,1)-1))</f>
        <v/>
      </c>
    </row>
    <row r="1661" spans="13:54" x14ac:dyDescent="0.25">
      <c r="M1661" s="379"/>
      <c r="BB1661" s="206" t="str">
        <f t="array" ref="BB1661">_xlfn.IFS(AQ1661="","",LEN(AQ1661)-LEN(SUBSTITUTE(AQ1661,".",""))=3,LEFT(AQ1661,vitri(".",AQ1661,3)-1),LEN(AQ1661)-LEN(SUBSTITUTE(AQ1661,".",""))=2,LEFT(AQ1661,vitri(".",AQ1661,2)-1),TRUE,LEFT(AQ1661,vitri(".",AQ1661,1)-1))</f>
        <v/>
      </c>
    </row>
    <row r="1662" spans="13:54" x14ac:dyDescent="0.25">
      <c r="M1662" s="379"/>
      <c r="BB1662" s="206" t="str">
        <f t="array" ref="BB1662">_xlfn.IFS(AQ1662="","",LEN(AQ1662)-LEN(SUBSTITUTE(AQ1662,".",""))=3,LEFT(AQ1662,vitri(".",AQ1662,3)-1),LEN(AQ1662)-LEN(SUBSTITUTE(AQ1662,".",""))=2,LEFT(AQ1662,vitri(".",AQ1662,2)-1),TRUE,LEFT(AQ1662,vitri(".",AQ1662,1)-1))</f>
        <v/>
      </c>
    </row>
    <row r="1663" spans="13:54" x14ac:dyDescent="0.25">
      <c r="M1663" s="379"/>
      <c r="BB1663" s="206" t="str">
        <f t="array" ref="BB1663">_xlfn.IFS(AQ1663="","",LEN(AQ1663)-LEN(SUBSTITUTE(AQ1663,".",""))=3,LEFT(AQ1663,vitri(".",AQ1663,3)-1),LEN(AQ1663)-LEN(SUBSTITUTE(AQ1663,".",""))=2,LEFT(AQ1663,vitri(".",AQ1663,2)-1),TRUE,LEFT(AQ1663,vitri(".",AQ1663,1)-1))</f>
        <v/>
      </c>
    </row>
    <row r="1664" spans="13:54" x14ac:dyDescent="0.25">
      <c r="M1664" s="379"/>
      <c r="BB1664" s="206" t="str">
        <f t="array" ref="BB1664">_xlfn.IFS(AQ1664="","",LEN(AQ1664)-LEN(SUBSTITUTE(AQ1664,".",""))=3,LEFT(AQ1664,vitri(".",AQ1664,3)-1),LEN(AQ1664)-LEN(SUBSTITUTE(AQ1664,".",""))=2,LEFT(AQ1664,vitri(".",AQ1664,2)-1),TRUE,LEFT(AQ1664,vitri(".",AQ1664,1)-1))</f>
        <v/>
      </c>
    </row>
    <row r="1665" spans="13:54" x14ac:dyDescent="0.25">
      <c r="M1665" s="379"/>
      <c r="BB1665" s="206" t="str">
        <f t="array" ref="BB1665">_xlfn.IFS(AQ1665="","",LEN(AQ1665)-LEN(SUBSTITUTE(AQ1665,".",""))=3,LEFT(AQ1665,vitri(".",AQ1665,3)-1),LEN(AQ1665)-LEN(SUBSTITUTE(AQ1665,".",""))=2,LEFT(AQ1665,vitri(".",AQ1665,2)-1),TRUE,LEFT(AQ1665,vitri(".",AQ1665,1)-1))</f>
        <v/>
      </c>
    </row>
    <row r="1666" spans="13:54" x14ac:dyDescent="0.25">
      <c r="M1666" s="379"/>
      <c r="BB1666" s="206" t="str">
        <f t="array" ref="BB1666">_xlfn.IFS(AQ1666="","",LEN(AQ1666)-LEN(SUBSTITUTE(AQ1666,".",""))=3,LEFT(AQ1666,vitri(".",AQ1666,3)-1),LEN(AQ1666)-LEN(SUBSTITUTE(AQ1666,".",""))=2,LEFT(AQ1666,vitri(".",AQ1666,2)-1),TRUE,LEFT(AQ1666,vitri(".",AQ1666,1)-1))</f>
        <v/>
      </c>
    </row>
    <row r="1667" spans="13:54" x14ac:dyDescent="0.25">
      <c r="M1667" s="379"/>
      <c r="BB1667" s="206" t="str">
        <f t="array" ref="BB1667">_xlfn.IFS(AQ1667="","",LEN(AQ1667)-LEN(SUBSTITUTE(AQ1667,".",""))=3,LEFT(AQ1667,vitri(".",AQ1667,3)-1),LEN(AQ1667)-LEN(SUBSTITUTE(AQ1667,".",""))=2,LEFT(AQ1667,vitri(".",AQ1667,2)-1),TRUE,LEFT(AQ1667,vitri(".",AQ1667,1)-1))</f>
        <v/>
      </c>
    </row>
    <row r="1668" spans="13:54" x14ac:dyDescent="0.25">
      <c r="M1668" s="379"/>
      <c r="BB1668" s="206" t="str">
        <f t="array" ref="BB1668">_xlfn.IFS(AQ1668="","",LEN(AQ1668)-LEN(SUBSTITUTE(AQ1668,".",""))=3,LEFT(AQ1668,vitri(".",AQ1668,3)-1),LEN(AQ1668)-LEN(SUBSTITUTE(AQ1668,".",""))=2,LEFT(AQ1668,vitri(".",AQ1668,2)-1),TRUE,LEFT(AQ1668,vitri(".",AQ1668,1)-1))</f>
        <v/>
      </c>
    </row>
    <row r="1669" spans="13:54" x14ac:dyDescent="0.25">
      <c r="M1669" s="379"/>
      <c r="BB1669" s="206" t="str">
        <f t="array" ref="BB1669">_xlfn.IFS(AQ1669="","",LEN(AQ1669)-LEN(SUBSTITUTE(AQ1669,".",""))=3,LEFT(AQ1669,vitri(".",AQ1669,3)-1),LEN(AQ1669)-LEN(SUBSTITUTE(AQ1669,".",""))=2,LEFT(AQ1669,vitri(".",AQ1669,2)-1),TRUE,LEFT(AQ1669,vitri(".",AQ1669,1)-1))</f>
        <v/>
      </c>
    </row>
    <row r="1670" spans="13:54" x14ac:dyDescent="0.25">
      <c r="M1670" s="379"/>
      <c r="BB1670" s="206" t="str">
        <f t="array" ref="BB1670">_xlfn.IFS(AQ1670="","",LEN(AQ1670)-LEN(SUBSTITUTE(AQ1670,".",""))=3,LEFT(AQ1670,vitri(".",AQ1670,3)-1),LEN(AQ1670)-LEN(SUBSTITUTE(AQ1670,".",""))=2,LEFT(AQ1670,vitri(".",AQ1670,2)-1),TRUE,LEFT(AQ1670,vitri(".",AQ1670,1)-1))</f>
        <v/>
      </c>
    </row>
    <row r="1671" spans="13:54" x14ac:dyDescent="0.25">
      <c r="M1671" s="379"/>
      <c r="BB1671" s="206" t="str">
        <f t="array" ref="BB1671">_xlfn.IFS(AQ1671="","",LEN(AQ1671)-LEN(SUBSTITUTE(AQ1671,".",""))=3,LEFT(AQ1671,vitri(".",AQ1671,3)-1),LEN(AQ1671)-LEN(SUBSTITUTE(AQ1671,".",""))=2,LEFT(AQ1671,vitri(".",AQ1671,2)-1),TRUE,LEFT(AQ1671,vitri(".",AQ1671,1)-1))</f>
        <v/>
      </c>
    </row>
    <row r="1672" spans="13:54" x14ac:dyDescent="0.25">
      <c r="M1672" s="379"/>
      <c r="BB1672" s="206" t="str">
        <f t="array" ref="BB1672">_xlfn.IFS(AQ1672="","",LEN(AQ1672)-LEN(SUBSTITUTE(AQ1672,".",""))=3,LEFT(AQ1672,vitri(".",AQ1672,3)-1),LEN(AQ1672)-LEN(SUBSTITUTE(AQ1672,".",""))=2,LEFT(AQ1672,vitri(".",AQ1672,2)-1),TRUE,LEFT(AQ1672,vitri(".",AQ1672,1)-1))</f>
        <v/>
      </c>
    </row>
    <row r="1673" spans="13:54" x14ac:dyDescent="0.25">
      <c r="M1673" s="379"/>
      <c r="BB1673" s="206" t="str">
        <f t="array" ref="BB1673">_xlfn.IFS(AQ1673="","",LEN(AQ1673)-LEN(SUBSTITUTE(AQ1673,".",""))=3,LEFT(AQ1673,vitri(".",AQ1673,3)-1),LEN(AQ1673)-LEN(SUBSTITUTE(AQ1673,".",""))=2,LEFT(AQ1673,vitri(".",AQ1673,2)-1),TRUE,LEFT(AQ1673,vitri(".",AQ1673,1)-1))</f>
        <v/>
      </c>
    </row>
    <row r="1674" spans="13:54" x14ac:dyDescent="0.25">
      <c r="M1674" s="379"/>
      <c r="BB1674" s="206" t="str">
        <f t="array" ref="BB1674">_xlfn.IFS(AQ1674="","",LEN(AQ1674)-LEN(SUBSTITUTE(AQ1674,".",""))=3,LEFT(AQ1674,vitri(".",AQ1674,3)-1),LEN(AQ1674)-LEN(SUBSTITUTE(AQ1674,".",""))=2,LEFT(AQ1674,vitri(".",AQ1674,2)-1),TRUE,LEFT(AQ1674,vitri(".",AQ1674,1)-1))</f>
        <v/>
      </c>
    </row>
    <row r="1675" spans="13:54" x14ac:dyDescent="0.25">
      <c r="M1675" s="379"/>
      <c r="BB1675" s="206" t="str">
        <f t="array" ref="BB1675">_xlfn.IFS(AQ1675="","",LEN(AQ1675)-LEN(SUBSTITUTE(AQ1675,".",""))=3,LEFT(AQ1675,vitri(".",AQ1675,3)-1),LEN(AQ1675)-LEN(SUBSTITUTE(AQ1675,".",""))=2,LEFT(AQ1675,vitri(".",AQ1675,2)-1),TRUE,LEFT(AQ1675,vitri(".",AQ1675,1)-1))</f>
        <v/>
      </c>
    </row>
    <row r="1676" spans="13:54" x14ac:dyDescent="0.25">
      <c r="M1676" s="379"/>
      <c r="BB1676" s="206" t="str">
        <f t="array" ref="BB1676">_xlfn.IFS(AQ1676="","",LEN(AQ1676)-LEN(SUBSTITUTE(AQ1676,".",""))=3,LEFT(AQ1676,vitri(".",AQ1676,3)-1),LEN(AQ1676)-LEN(SUBSTITUTE(AQ1676,".",""))=2,LEFT(AQ1676,vitri(".",AQ1676,2)-1),TRUE,LEFT(AQ1676,vitri(".",AQ1676,1)-1))</f>
        <v/>
      </c>
    </row>
    <row r="1677" spans="13:54" x14ac:dyDescent="0.25">
      <c r="M1677" s="379"/>
      <c r="BB1677" s="206" t="str">
        <f t="array" ref="BB1677">_xlfn.IFS(AQ1677="","",LEN(AQ1677)-LEN(SUBSTITUTE(AQ1677,".",""))=3,LEFT(AQ1677,vitri(".",AQ1677,3)-1),LEN(AQ1677)-LEN(SUBSTITUTE(AQ1677,".",""))=2,LEFT(AQ1677,vitri(".",AQ1677,2)-1),TRUE,LEFT(AQ1677,vitri(".",AQ1677,1)-1))</f>
        <v/>
      </c>
    </row>
    <row r="1678" spans="13:54" x14ac:dyDescent="0.25">
      <c r="M1678" s="379"/>
      <c r="BB1678" s="206" t="str">
        <f t="array" ref="BB1678">_xlfn.IFS(AQ1678="","",LEN(AQ1678)-LEN(SUBSTITUTE(AQ1678,".",""))=3,LEFT(AQ1678,vitri(".",AQ1678,3)-1),LEN(AQ1678)-LEN(SUBSTITUTE(AQ1678,".",""))=2,LEFT(AQ1678,vitri(".",AQ1678,2)-1),TRUE,LEFT(AQ1678,vitri(".",AQ1678,1)-1))</f>
        <v/>
      </c>
    </row>
    <row r="1679" spans="13:54" x14ac:dyDescent="0.25">
      <c r="M1679" s="379"/>
      <c r="BB1679" s="206" t="str">
        <f t="array" ref="BB1679">_xlfn.IFS(AQ1679="","",LEN(AQ1679)-LEN(SUBSTITUTE(AQ1679,".",""))=3,LEFT(AQ1679,vitri(".",AQ1679,3)-1),LEN(AQ1679)-LEN(SUBSTITUTE(AQ1679,".",""))=2,LEFT(AQ1679,vitri(".",AQ1679,2)-1),TRUE,LEFT(AQ1679,vitri(".",AQ1679,1)-1))</f>
        <v/>
      </c>
    </row>
    <row r="1680" spans="13:54" x14ac:dyDescent="0.25">
      <c r="M1680" s="379"/>
      <c r="BB1680" s="206" t="str">
        <f t="array" ref="BB1680">_xlfn.IFS(AQ1680="","",LEN(AQ1680)-LEN(SUBSTITUTE(AQ1680,".",""))=3,LEFT(AQ1680,vitri(".",AQ1680,3)-1),LEN(AQ1680)-LEN(SUBSTITUTE(AQ1680,".",""))=2,LEFT(AQ1680,vitri(".",AQ1680,2)-1),TRUE,LEFT(AQ1680,vitri(".",AQ1680,1)-1))</f>
        <v/>
      </c>
    </row>
    <row r="1681" spans="13:54" x14ac:dyDescent="0.25">
      <c r="M1681" s="379"/>
      <c r="BB1681" s="206" t="str">
        <f t="array" ref="BB1681">_xlfn.IFS(AQ1681="","",LEN(AQ1681)-LEN(SUBSTITUTE(AQ1681,".",""))=3,LEFT(AQ1681,vitri(".",AQ1681,3)-1),LEN(AQ1681)-LEN(SUBSTITUTE(AQ1681,".",""))=2,LEFT(AQ1681,vitri(".",AQ1681,2)-1),TRUE,LEFT(AQ1681,vitri(".",AQ1681,1)-1))</f>
        <v/>
      </c>
    </row>
    <row r="1682" spans="13:54" x14ac:dyDescent="0.25">
      <c r="M1682" s="379"/>
      <c r="BB1682" s="206" t="str">
        <f t="array" ref="BB1682">_xlfn.IFS(AQ1682="","",LEN(AQ1682)-LEN(SUBSTITUTE(AQ1682,".",""))=3,LEFT(AQ1682,vitri(".",AQ1682,3)-1),LEN(AQ1682)-LEN(SUBSTITUTE(AQ1682,".",""))=2,LEFT(AQ1682,vitri(".",AQ1682,2)-1),TRUE,LEFT(AQ1682,vitri(".",AQ1682,1)-1))</f>
        <v/>
      </c>
    </row>
    <row r="1683" spans="13:54" x14ac:dyDescent="0.25">
      <c r="M1683" s="379"/>
      <c r="BB1683" s="206" t="str">
        <f t="array" ref="BB1683">_xlfn.IFS(AQ1683="","",LEN(AQ1683)-LEN(SUBSTITUTE(AQ1683,".",""))=3,LEFT(AQ1683,vitri(".",AQ1683,3)-1),LEN(AQ1683)-LEN(SUBSTITUTE(AQ1683,".",""))=2,LEFT(AQ1683,vitri(".",AQ1683,2)-1),TRUE,LEFT(AQ1683,vitri(".",AQ1683,1)-1))</f>
        <v/>
      </c>
    </row>
    <row r="1684" spans="13:54" x14ac:dyDescent="0.25">
      <c r="M1684" s="379"/>
      <c r="BB1684" s="206" t="str">
        <f t="array" ref="BB1684">_xlfn.IFS(AQ1684="","",LEN(AQ1684)-LEN(SUBSTITUTE(AQ1684,".",""))=3,LEFT(AQ1684,vitri(".",AQ1684,3)-1),LEN(AQ1684)-LEN(SUBSTITUTE(AQ1684,".",""))=2,LEFT(AQ1684,vitri(".",AQ1684,2)-1),TRUE,LEFT(AQ1684,vitri(".",AQ1684,1)-1))</f>
        <v/>
      </c>
    </row>
    <row r="1685" spans="13:54" x14ac:dyDescent="0.25">
      <c r="M1685" s="379"/>
      <c r="BB1685" s="206" t="str">
        <f t="array" ref="BB1685">_xlfn.IFS(AQ1685="","",LEN(AQ1685)-LEN(SUBSTITUTE(AQ1685,".",""))=3,LEFT(AQ1685,vitri(".",AQ1685,3)-1),LEN(AQ1685)-LEN(SUBSTITUTE(AQ1685,".",""))=2,LEFT(AQ1685,vitri(".",AQ1685,2)-1),TRUE,LEFT(AQ1685,vitri(".",AQ1685,1)-1))</f>
        <v/>
      </c>
    </row>
    <row r="1686" spans="13:54" x14ac:dyDescent="0.25">
      <c r="M1686" s="379"/>
      <c r="BB1686" s="206" t="str">
        <f t="array" ref="BB1686">_xlfn.IFS(AQ1686="","",LEN(AQ1686)-LEN(SUBSTITUTE(AQ1686,".",""))=3,LEFT(AQ1686,vitri(".",AQ1686,3)-1),LEN(AQ1686)-LEN(SUBSTITUTE(AQ1686,".",""))=2,LEFT(AQ1686,vitri(".",AQ1686,2)-1),TRUE,LEFT(AQ1686,vitri(".",AQ1686,1)-1))</f>
        <v/>
      </c>
    </row>
    <row r="1687" spans="13:54" x14ac:dyDescent="0.25">
      <c r="M1687" s="379"/>
      <c r="BB1687" s="206" t="str">
        <f t="array" ref="BB1687">_xlfn.IFS(AQ1687="","",LEN(AQ1687)-LEN(SUBSTITUTE(AQ1687,".",""))=3,LEFT(AQ1687,vitri(".",AQ1687,3)-1),LEN(AQ1687)-LEN(SUBSTITUTE(AQ1687,".",""))=2,LEFT(AQ1687,vitri(".",AQ1687,2)-1),TRUE,LEFT(AQ1687,vitri(".",AQ1687,1)-1))</f>
        <v/>
      </c>
    </row>
    <row r="1688" spans="13:54" x14ac:dyDescent="0.25">
      <c r="M1688" s="379"/>
      <c r="BB1688" s="206" t="str">
        <f t="array" ref="BB1688">_xlfn.IFS(AQ1688="","",LEN(AQ1688)-LEN(SUBSTITUTE(AQ1688,".",""))=3,LEFT(AQ1688,vitri(".",AQ1688,3)-1),LEN(AQ1688)-LEN(SUBSTITUTE(AQ1688,".",""))=2,LEFT(AQ1688,vitri(".",AQ1688,2)-1),TRUE,LEFT(AQ1688,vitri(".",AQ1688,1)-1))</f>
        <v/>
      </c>
    </row>
    <row r="1689" spans="13:54" x14ac:dyDescent="0.25">
      <c r="M1689" s="379"/>
      <c r="BB1689" s="206" t="str">
        <f t="array" ref="BB1689">_xlfn.IFS(AQ1689="","",LEN(AQ1689)-LEN(SUBSTITUTE(AQ1689,".",""))=3,LEFT(AQ1689,vitri(".",AQ1689,3)-1),LEN(AQ1689)-LEN(SUBSTITUTE(AQ1689,".",""))=2,LEFT(AQ1689,vitri(".",AQ1689,2)-1),TRUE,LEFT(AQ1689,vitri(".",AQ1689,1)-1))</f>
        <v/>
      </c>
    </row>
    <row r="1690" spans="13:54" x14ac:dyDescent="0.25">
      <c r="M1690" s="379"/>
      <c r="BB1690" s="206" t="str">
        <f t="array" ref="BB1690">_xlfn.IFS(AQ1690="","",LEN(AQ1690)-LEN(SUBSTITUTE(AQ1690,".",""))=3,LEFT(AQ1690,vitri(".",AQ1690,3)-1),LEN(AQ1690)-LEN(SUBSTITUTE(AQ1690,".",""))=2,LEFT(AQ1690,vitri(".",AQ1690,2)-1),TRUE,LEFT(AQ1690,vitri(".",AQ1690,1)-1))</f>
        <v/>
      </c>
    </row>
    <row r="1691" spans="13:54" x14ac:dyDescent="0.25">
      <c r="M1691" s="379"/>
      <c r="BB1691" s="206" t="str">
        <f t="array" ref="BB1691">_xlfn.IFS(AQ1691="","",LEN(AQ1691)-LEN(SUBSTITUTE(AQ1691,".",""))=3,LEFT(AQ1691,vitri(".",AQ1691,3)-1),LEN(AQ1691)-LEN(SUBSTITUTE(AQ1691,".",""))=2,LEFT(AQ1691,vitri(".",AQ1691,2)-1),TRUE,LEFT(AQ1691,vitri(".",AQ1691,1)-1))</f>
        <v/>
      </c>
    </row>
    <row r="1692" spans="13:54" x14ac:dyDescent="0.25">
      <c r="M1692" s="379"/>
      <c r="BB1692" s="206" t="str">
        <f t="array" ref="BB1692">_xlfn.IFS(AQ1692="","",LEN(AQ1692)-LEN(SUBSTITUTE(AQ1692,".",""))=3,LEFT(AQ1692,vitri(".",AQ1692,3)-1),LEN(AQ1692)-LEN(SUBSTITUTE(AQ1692,".",""))=2,LEFT(AQ1692,vitri(".",AQ1692,2)-1),TRUE,LEFT(AQ1692,vitri(".",AQ1692,1)-1))</f>
        <v/>
      </c>
    </row>
    <row r="1693" spans="13:54" x14ac:dyDescent="0.25">
      <c r="M1693" s="379"/>
      <c r="BB1693" s="206" t="str">
        <f t="array" ref="BB1693">_xlfn.IFS(AQ1693="","",LEN(AQ1693)-LEN(SUBSTITUTE(AQ1693,".",""))=3,LEFT(AQ1693,vitri(".",AQ1693,3)-1),LEN(AQ1693)-LEN(SUBSTITUTE(AQ1693,".",""))=2,LEFT(AQ1693,vitri(".",AQ1693,2)-1),TRUE,LEFT(AQ1693,vitri(".",AQ1693,1)-1))</f>
        <v/>
      </c>
    </row>
    <row r="1694" spans="13:54" x14ac:dyDescent="0.25">
      <c r="M1694" s="379"/>
      <c r="BB1694" s="206" t="str">
        <f t="array" ref="BB1694">_xlfn.IFS(AQ1694="","",LEN(AQ1694)-LEN(SUBSTITUTE(AQ1694,".",""))=3,LEFT(AQ1694,vitri(".",AQ1694,3)-1),LEN(AQ1694)-LEN(SUBSTITUTE(AQ1694,".",""))=2,LEFT(AQ1694,vitri(".",AQ1694,2)-1),TRUE,LEFT(AQ1694,vitri(".",AQ1694,1)-1))</f>
        <v/>
      </c>
    </row>
    <row r="1695" spans="13:54" x14ac:dyDescent="0.25">
      <c r="M1695" s="379"/>
      <c r="BB1695" s="206" t="str">
        <f t="array" ref="BB1695">_xlfn.IFS(AQ1695="","",LEN(AQ1695)-LEN(SUBSTITUTE(AQ1695,".",""))=3,LEFT(AQ1695,vitri(".",AQ1695,3)-1),LEN(AQ1695)-LEN(SUBSTITUTE(AQ1695,".",""))=2,LEFT(AQ1695,vitri(".",AQ1695,2)-1),TRUE,LEFT(AQ1695,vitri(".",AQ1695,1)-1))</f>
        <v/>
      </c>
    </row>
    <row r="1696" spans="13:54" x14ac:dyDescent="0.25">
      <c r="M1696" s="379"/>
      <c r="BB1696" s="206" t="str">
        <f t="array" ref="BB1696">_xlfn.IFS(AQ1696="","",LEN(AQ1696)-LEN(SUBSTITUTE(AQ1696,".",""))=3,LEFT(AQ1696,vitri(".",AQ1696,3)-1),LEN(AQ1696)-LEN(SUBSTITUTE(AQ1696,".",""))=2,LEFT(AQ1696,vitri(".",AQ1696,2)-1),TRUE,LEFT(AQ1696,vitri(".",AQ1696,1)-1))</f>
        <v/>
      </c>
    </row>
    <row r="1697" spans="13:54" x14ac:dyDescent="0.25">
      <c r="M1697" s="379"/>
      <c r="BB1697" s="206" t="str">
        <f t="array" ref="BB1697">_xlfn.IFS(AQ1697="","",LEN(AQ1697)-LEN(SUBSTITUTE(AQ1697,".",""))=3,LEFT(AQ1697,vitri(".",AQ1697,3)-1),LEN(AQ1697)-LEN(SUBSTITUTE(AQ1697,".",""))=2,LEFT(AQ1697,vitri(".",AQ1697,2)-1),TRUE,LEFT(AQ1697,vitri(".",AQ1697,1)-1))</f>
        <v/>
      </c>
    </row>
    <row r="1698" spans="13:54" x14ac:dyDescent="0.25">
      <c r="M1698" s="379"/>
      <c r="BB1698" s="206" t="str">
        <f t="array" ref="BB1698">_xlfn.IFS(AQ1698="","",LEN(AQ1698)-LEN(SUBSTITUTE(AQ1698,".",""))=3,LEFT(AQ1698,vitri(".",AQ1698,3)-1),LEN(AQ1698)-LEN(SUBSTITUTE(AQ1698,".",""))=2,LEFT(AQ1698,vitri(".",AQ1698,2)-1),TRUE,LEFT(AQ1698,vitri(".",AQ1698,1)-1))</f>
        <v/>
      </c>
    </row>
    <row r="1699" spans="13:54" x14ac:dyDescent="0.25">
      <c r="M1699" s="379"/>
      <c r="BB1699" s="206" t="str">
        <f t="array" ref="BB1699">_xlfn.IFS(AQ1699="","",LEN(AQ1699)-LEN(SUBSTITUTE(AQ1699,".",""))=3,LEFT(AQ1699,vitri(".",AQ1699,3)-1),LEN(AQ1699)-LEN(SUBSTITUTE(AQ1699,".",""))=2,LEFT(AQ1699,vitri(".",AQ1699,2)-1),TRUE,LEFT(AQ1699,vitri(".",AQ1699,1)-1))</f>
        <v/>
      </c>
    </row>
    <row r="1700" spans="13:54" x14ac:dyDescent="0.25">
      <c r="M1700" s="379"/>
      <c r="BB1700" s="206" t="str">
        <f t="array" ref="BB1700">_xlfn.IFS(AQ1700="","",LEN(AQ1700)-LEN(SUBSTITUTE(AQ1700,".",""))=3,LEFT(AQ1700,vitri(".",AQ1700,3)-1),LEN(AQ1700)-LEN(SUBSTITUTE(AQ1700,".",""))=2,LEFT(AQ1700,vitri(".",AQ1700,2)-1),TRUE,LEFT(AQ1700,vitri(".",AQ1700,1)-1))</f>
        <v/>
      </c>
    </row>
    <row r="1701" spans="13:54" x14ac:dyDescent="0.25">
      <c r="M1701" s="379"/>
      <c r="BB1701" s="206" t="str">
        <f t="array" ref="BB1701">_xlfn.IFS(AQ1701="","",LEN(AQ1701)-LEN(SUBSTITUTE(AQ1701,".",""))=3,LEFT(AQ1701,vitri(".",AQ1701,3)-1),LEN(AQ1701)-LEN(SUBSTITUTE(AQ1701,".",""))=2,LEFT(AQ1701,vitri(".",AQ1701,2)-1),TRUE,LEFT(AQ1701,vitri(".",AQ1701,1)-1))</f>
        <v/>
      </c>
    </row>
    <row r="1702" spans="13:54" x14ac:dyDescent="0.25">
      <c r="M1702" s="379"/>
      <c r="BB1702" s="206" t="str">
        <f t="array" ref="BB1702">_xlfn.IFS(AQ1702="","",LEN(AQ1702)-LEN(SUBSTITUTE(AQ1702,".",""))=3,LEFT(AQ1702,vitri(".",AQ1702,3)-1),LEN(AQ1702)-LEN(SUBSTITUTE(AQ1702,".",""))=2,LEFT(AQ1702,vitri(".",AQ1702,2)-1),TRUE,LEFT(AQ1702,vitri(".",AQ1702,1)-1))</f>
        <v/>
      </c>
    </row>
    <row r="1703" spans="13:54" x14ac:dyDescent="0.25">
      <c r="M1703" s="379"/>
      <c r="BB1703" s="206" t="str">
        <f t="array" ref="BB1703">_xlfn.IFS(AQ1703="","",LEN(AQ1703)-LEN(SUBSTITUTE(AQ1703,".",""))=3,LEFT(AQ1703,vitri(".",AQ1703,3)-1),LEN(AQ1703)-LEN(SUBSTITUTE(AQ1703,".",""))=2,LEFT(AQ1703,vitri(".",AQ1703,2)-1),TRUE,LEFT(AQ1703,vitri(".",AQ1703,1)-1))</f>
        <v/>
      </c>
    </row>
    <row r="1704" spans="13:54" x14ac:dyDescent="0.25">
      <c r="M1704" s="379"/>
      <c r="BB1704" s="206" t="str">
        <f t="array" ref="BB1704">_xlfn.IFS(AQ1704="","",LEN(AQ1704)-LEN(SUBSTITUTE(AQ1704,".",""))=3,LEFT(AQ1704,vitri(".",AQ1704,3)-1),LEN(AQ1704)-LEN(SUBSTITUTE(AQ1704,".",""))=2,LEFT(AQ1704,vitri(".",AQ1704,2)-1),TRUE,LEFT(AQ1704,vitri(".",AQ1704,1)-1))</f>
        <v/>
      </c>
    </row>
    <row r="1705" spans="13:54" x14ac:dyDescent="0.25">
      <c r="M1705" s="379"/>
      <c r="BB1705" s="206" t="str">
        <f t="array" ref="BB1705">_xlfn.IFS(AQ1705="","",LEN(AQ1705)-LEN(SUBSTITUTE(AQ1705,".",""))=3,LEFT(AQ1705,vitri(".",AQ1705,3)-1),LEN(AQ1705)-LEN(SUBSTITUTE(AQ1705,".",""))=2,LEFT(AQ1705,vitri(".",AQ1705,2)-1),TRUE,LEFT(AQ1705,vitri(".",AQ1705,1)-1))</f>
        <v/>
      </c>
    </row>
    <row r="1706" spans="13:54" x14ac:dyDescent="0.25">
      <c r="M1706" s="379"/>
      <c r="BB1706" s="206" t="str">
        <f t="array" ref="BB1706">_xlfn.IFS(AQ1706="","",LEN(AQ1706)-LEN(SUBSTITUTE(AQ1706,".",""))=3,LEFT(AQ1706,vitri(".",AQ1706,3)-1),LEN(AQ1706)-LEN(SUBSTITUTE(AQ1706,".",""))=2,LEFT(AQ1706,vitri(".",AQ1706,2)-1),TRUE,LEFT(AQ1706,vitri(".",AQ1706,1)-1))</f>
        <v/>
      </c>
    </row>
    <row r="1707" spans="13:54" x14ac:dyDescent="0.25">
      <c r="M1707" s="379"/>
      <c r="BB1707" s="206" t="str">
        <f t="array" ref="BB1707">_xlfn.IFS(AQ1707="","",LEN(AQ1707)-LEN(SUBSTITUTE(AQ1707,".",""))=3,LEFT(AQ1707,vitri(".",AQ1707,3)-1),LEN(AQ1707)-LEN(SUBSTITUTE(AQ1707,".",""))=2,LEFT(AQ1707,vitri(".",AQ1707,2)-1),TRUE,LEFT(AQ1707,vitri(".",AQ1707,1)-1))</f>
        <v/>
      </c>
    </row>
    <row r="1708" spans="13:54" x14ac:dyDescent="0.25">
      <c r="M1708" s="379"/>
      <c r="BB1708" s="206" t="str">
        <f t="array" ref="BB1708">_xlfn.IFS(AQ1708="","",LEN(AQ1708)-LEN(SUBSTITUTE(AQ1708,".",""))=3,LEFT(AQ1708,vitri(".",AQ1708,3)-1),LEN(AQ1708)-LEN(SUBSTITUTE(AQ1708,".",""))=2,LEFT(AQ1708,vitri(".",AQ1708,2)-1),TRUE,LEFT(AQ1708,vitri(".",AQ1708,1)-1))</f>
        <v/>
      </c>
    </row>
    <row r="1709" spans="13:54" x14ac:dyDescent="0.25">
      <c r="M1709" s="379"/>
      <c r="BB1709" s="206" t="str">
        <f t="array" ref="BB1709">_xlfn.IFS(AQ1709="","",LEN(AQ1709)-LEN(SUBSTITUTE(AQ1709,".",""))=3,LEFT(AQ1709,vitri(".",AQ1709,3)-1),LEN(AQ1709)-LEN(SUBSTITUTE(AQ1709,".",""))=2,LEFT(AQ1709,vitri(".",AQ1709,2)-1),TRUE,LEFT(AQ1709,vitri(".",AQ1709,1)-1))</f>
        <v/>
      </c>
    </row>
    <row r="1710" spans="13:54" x14ac:dyDescent="0.25">
      <c r="M1710" s="379"/>
      <c r="BB1710" s="206" t="str">
        <f t="array" ref="BB1710">_xlfn.IFS(AQ1710="","",LEN(AQ1710)-LEN(SUBSTITUTE(AQ1710,".",""))=3,LEFT(AQ1710,vitri(".",AQ1710,3)-1),LEN(AQ1710)-LEN(SUBSTITUTE(AQ1710,".",""))=2,LEFT(AQ1710,vitri(".",AQ1710,2)-1),TRUE,LEFT(AQ1710,vitri(".",AQ1710,1)-1))</f>
        <v/>
      </c>
    </row>
    <row r="1711" spans="13:54" x14ac:dyDescent="0.25">
      <c r="M1711" s="379"/>
      <c r="BB1711" s="206" t="str">
        <f t="array" ref="BB1711">_xlfn.IFS(AQ1711="","",LEN(AQ1711)-LEN(SUBSTITUTE(AQ1711,".",""))=3,LEFT(AQ1711,vitri(".",AQ1711,3)-1),LEN(AQ1711)-LEN(SUBSTITUTE(AQ1711,".",""))=2,LEFT(AQ1711,vitri(".",AQ1711,2)-1),TRUE,LEFT(AQ1711,vitri(".",AQ1711,1)-1))</f>
        <v/>
      </c>
    </row>
    <row r="1712" spans="13:54" x14ac:dyDescent="0.25">
      <c r="M1712" s="379"/>
      <c r="BB1712" s="206" t="str">
        <f t="array" ref="BB1712">_xlfn.IFS(AQ1712="","",LEN(AQ1712)-LEN(SUBSTITUTE(AQ1712,".",""))=3,LEFT(AQ1712,vitri(".",AQ1712,3)-1),LEN(AQ1712)-LEN(SUBSTITUTE(AQ1712,".",""))=2,LEFT(AQ1712,vitri(".",AQ1712,2)-1),TRUE,LEFT(AQ1712,vitri(".",AQ1712,1)-1))</f>
        <v/>
      </c>
    </row>
    <row r="1713" spans="13:54" x14ac:dyDescent="0.25">
      <c r="M1713" s="379"/>
      <c r="BB1713" s="206" t="str">
        <f t="array" ref="BB1713">_xlfn.IFS(AQ1713="","",LEN(AQ1713)-LEN(SUBSTITUTE(AQ1713,".",""))=3,LEFT(AQ1713,vitri(".",AQ1713,3)-1),LEN(AQ1713)-LEN(SUBSTITUTE(AQ1713,".",""))=2,LEFT(AQ1713,vitri(".",AQ1713,2)-1),TRUE,LEFT(AQ1713,vitri(".",AQ1713,1)-1))</f>
        <v/>
      </c>
    </row>
    <row r="1714" spans="13:54" x14ac:dyDescent="0.25">
      <c r="M1714" s="379"/>
      <c r="BB1714" s="206" t="str">
        <f t="array" ref="BB1714">_xlfn.IFS(AQ1714="","",LEN(AQ1714)-LEN(SUBSTITUTE(AQ1714,".",""))=3,LEFT(AQ1714,vitri(".",AQ1714,3)-1),LEN(AQ1714)-LEN(SUBSTITUTE(AQ1714,".",""))=2,LEFT(AQ1714,vitri(".",AQ1714,2)-1),TRUE,LEFT(AQ1714,vitri(".",AQ1714,1)-1))</f>
        <v/>
      </c>
    </row>
    <row r="1715" spans="13:54" x14ac:dyDescent="0.25">
      <c r="M1715" s="379"/>
      <c r="BB1715" s="206" t="str">
        <f t="array" ref="BB1715">_xlfn.IFS(AQ1715="","",LEN(AQ1715)-LEN(SUBSTITUTE(AQ1715,".",""))=3,LEFT(AQ1715,vitri(".",AQ1715,3)-1),LEN(AQ1715)-LEN(SUBSTITUTE(AQ1715,".",""))=2,LEFT(AQ1715,vitri(".",AQ1715,2)-1),TRUE,LEFT(AQ1715,vitri(".",AQ1715,1)-1))</f>
        <v/>
      </c>
    </row>
    <row r="1716" spans="13:54" x14ac:dyDescent="0.25">
      <c r="M1716" s="379"/>
      <c r="BB1716" s="206" t="str">
        <f t="array" ref="BB1716">_xlfn.IFS(AQ1716="","",LEN(AQ1716)-LEN(SUBSTITUTE(AQ1716,".",""))=3,LEFT(AQ1716,vitri(".",AQ1716,3)-1),LEN(AQ1716)-LEN(SUBSTITUTE(AQ1716,".",""))=2,LEFT(AQ1716,vitri(".",AQ1716,2)-1),TRUE,LEFT(AQ1716,vitri(".",AQ1716,1)-1))</f>
        <v/>
      </c>
    </row>
    <row r="1717" spans="13:54" x14ac:dyDescent="0.25">
      <c r="M1717" s="379"/>
      <c r="BB1717" s="206" t="str">
        <f t="array" ref="BB1717">_xlfn.IFS(AQ1717="","",LEN(AQ1717)-LEN(SUBSTITUTE(AQ1717,".",""))=3,LEFT(AQ1717,vitri(".",AQ1717,3)-1),LEN(AQ1717)-LEN(SUBSTITUTE(AQ1717,".",""))=2,LEFT(AQ1717,vitri(".",AQ1717,2)-1),TRUE,LEFT(AQ1717,vitri(".",AQ1717,1)-1))</f>
        <v/>
      </c>
    </row>
    <row r="1718" spans="13:54" x14ac:dyDescent="0.25">
      <c r="M1718" s="379"/>
      <c r="BB1718" s="206" t="str">
        <f t="array" ref="BB1718">_xlfn.IFS(AQ1718="","",LEN(AQ1718)-LEN(SUBSTITUTE(AQ1718,".",""))=3,LEFT(AQ1718,vitri(".",AQ1718,3)-1),LEN(AQ1718)-LEN(SUBSTITUTE(AQ1718,".",""))=2,LEFT(AQ1718,vitri(".",AQ1718,2)-1),TRUE,LEFT(AQ1718,vitri(".",AQ1718,1)-1))</f>
        <v/>
      </c>
    </row>
    <row r="1719" spans="13:54" x14ac:dyDescent="0.25">
      <c r="M1719" s="379"/>
      <c r="BB1719" s="206" t="str">
        <f t="array" ref="BB1719">_xlfn.IFS(AQ1719="","",LEN(AQ1719)-LEN(SUBSTITUTE(AQ1719,".",""))=3,LEFT(AQ1719,vitri(".",AQ1719,3)-1),LEN(AQ1719)-LEN(SUBSTITUTE(AQ1719,".",""))=2,LEFT(AQ1719,vitri(".",AQ1719,2)-1),TRUE,LEFT(AQ1719,vitri(".",AQ1719,1)-1))</f>
        <v/>
      </c>
    </row>
    <row r="1720" spans="13:54" x14ac:dyDescent="0.25">
      <c r="M1720" s="379"/>
      <c r="BB1720" s="206" t="str">
        <f t="array" ref="BB1720">_xlfn.IFS(AQ1720="","",LEN(AQ1720)-LEN(SUBSTITUTE(AQ1720,".",""))=3,LEFT(AQ1720,vitri(".",AQ1720,3)-1),LEN(AQ1720)-LEN(SUBSTITUTE(AQ1720,".",""))=2,LEFT(AQ1720,vitri(".",AQ1720,2)-1),TRUE,LEFT(AQ1720,vitri(".",AQ1720,1)-1))</f>
        <v/>
      </c>
    </row>
    <row r="1721" spans="13:54" x14ac:dyDescent="0.25">
      <c r="M1721" s="379"/>
      <c r="BB1721" s="206" t="str">
        <f t="array" ref="BB1721">_xlfn.IFS(AQ1721="","",LEN(AQ1721)-LEN(SUBSTITUTE(AQ1721,".",""))=3,LEFT(AQ1721,vitri(".",AQ1721,3)-1),LEN(AQ1721)-LEN(SUBSTITUTE(AQ1721,".",""))=2,LEFT(AQ1721,vitri(".",AQ1721,2)-1),TRUE,LEFT(AQ1721,vitri(".",AQ1721,1)-1))</f>
        <v/>
      </c>
    </row>
    <row r="1722" spans="13:54" x14ac:dyDescent="0.25">
      <c r="M1722" s="379"/>
      <c r="BB1722" s="206" t="str">
        <f t="array" ref="BB1722">_xlfn.IFS(AQ1722="","",LEN(AQ1722)-LEN(SUBSTITUTE(AQ1722,".",""))=3,LEFT(AQ1722,vitri(".",AQ1722,3)-1),LEN(AQ1722)-LEN(SUBSTITUTE(AQ1722,".",""))=2,LEFT(AQ1722,vitri(".",AQ1722,2)-1),TRUE,LEFT(AQ1722,vitri(".",AQ1722,1)-1))</f>
        <v/>
      </c>
    </row>
    <row r="1723" spans="13:54" x14ac:dyDescent="0.25">
      <c r="M1723" s="379"/>
      <c r="BB1723" s="206" t="str">
        <f t="array" ref="BB1723">_xlfn.IFS(AQ1723="","",LEN(AQ1723)-LEN(SUBSTITUTE(AQ1723,".",""))=3,LEFT(AQ1723,vitri(".",AQ1723,3)-1),LEN(AQ1723)-LEN(SUBSTITUTE(AQ1723,".",""))=2,LEFT(AQ1723,vitri(".",AQ1723,2)-1),TRUE,LEFT(AQ1723,vitri(".",AQ1723,1)-1))</f>
        <v/>
      </c>
    </row>
    <row r="1724" spans="13:54" x14ac:dyDescent="0.25">
      <c r="M1724" s="379"/>
      <c r="BB1724" s="206" t="str">
        <f t="array" ref="BB1724">_xlfn.IFS(AQ1724="","",LEN(AQ1724)-LEN(SUBSTITUTE(AQ1724,".",""))=3,LEFT(AQ1724,vitri(".",AQ1724,3)-1),LEN(AQ1724)-LEN(SUBSTITUTE(AQ1724,".",""))=2,LEFT(AQ1724,vitri(".",AQ1724,2)-1),TRUE,LEFT(AQ1724,vitri(".",AQ1724,1)-1))</f>
        <v/>
      </c>
    </row>
    <row r="1725" spans="13:54" x14ac:dyDescent="0.25">
      <c r="M1725" s="379"/>
      <c r="BB1725" s="206" t="str">
        <f t="array" ref="BB1725">_xlfn.IFS(AQ1725="","",LEN(AQ1725)-LEN(SUBSTITUTE(AQ1725,".",""))=3,LEFT(AQ1725,vitri(".",AQ1725,3)-1),LEN(AQ1725)-LEN(SUBSTITUTE(AQ1725,".",""))=2,LEFT(AQ1725,vitri(".",AQ1725,2)-1),TRUE,LEFT(AQ1725,vitri(".",AQ1725,1)-1))</f>
        <v/>
      </c>
    </row>
    <row r="1726" spans="13:54" x14ac:dyDescent="0.25">
      <c r="M1726" s="379"/>
      <c r="BB1726" s="206" t="str">
        <f t="array" ref="BB1726">_xlfn.IFS(AQ1726="","",LEN(AQ1726)-LEN(SUBSTITUTE(AQ1726,".",""))=3,LEFT(AQ1726,vitri(".",AQ1726,3)-1),LEN(AQ1726)-LEN(SUBSTITUTE(AQ1726,".",""))=2,LEFT(AQ1726,vitri(".",AQ1726,2)-1),TRUE,LEFT(AQ1726,vitri(".",AQ1726,1)-1))</f>
        <v/>
      </c>
    </row>
    <row r="1727" spans="13:54" x14ac:dyDescent="0.25">
      <c r="M1727" s="379"/>
      <c r="BB1727" s="206" t="str">
        <f t="array" ref="BB1727">_xlfn.IFS(AQ1727="","",LEN(AQ1727)-LEN(SUBSTITUTE(AQ1727,".",""))=3,LEFT(AQ1727,vitri(".",AQ1727,3)-1),LEN(AQ1727)-LEN(SUBSTITUTE(AQ1727,".",""))=2,LEFT(AQ1727,vitri(".",AQ1727,2)-1),TRUE,LEFT(AQ1727,vitri(".",AQ1727,1)-1))</f>
        <v/>
      </c>
    </row>
    <row r="1728" spans="13:54" x14ac:dyDescent="0.25">
      <c r="M1728" s="379"/>
      <c r="BB1728" s="206" t="str">
        <f t="array" ref="BB1728">_xlfn.IFS(AQ1728="","",LEN(AQ1728)-LEN(SUBSTITUTE(AQ1728,".",""))=3,LEFT(AQ1728,vitri(".",AQ1728,3)-1),LEN(AQ1728)-LEN(SUBSTITUTE(AQ1728,".",""))=2,LEFT(AQ1728,vitri(".",AQ1728,2)-1),TRUE,LEFT(AQ1728,vitri(".",AQ1728,1)-1))</f>
        <v/>
      </c>
    </row>
    <row r="1729" spans="13:54" x14ac:dyDescent="0.25">
      <c r="M1729" s="379"/>
      <c r="BB1729" s="206" t="str">
        <f t="array" ref="BB1729">_xlfn.IFS(AQ1729="","",LEN(AQ1729)-LEN(SUBSTITUTE(AQ1729,".",""))=3,LEFT(AQ1729,vitri(".",AQ1729,3)-1),LEN(AQ1729)-LEN(SUBSTITUTE(AQ1729,".",""))=2,LEFT(AQ1729,vitri(".",AQ1729,2)-1),TRUE,LEFT(AQ1729,vitri(".",AQ1729,1)-1))</f>
        <v/>
      </c>
    </row>
    <row r="1730" spans="13:54" x14ac:dyDescent="0.25">
      <c r="M1730" s="379"/>
      <c r="BB1730" s="206" t="str">
        <f t="array" ref="BB1730">_xlfn.IFS(AQ1730="","",LEN(AQ1730)-LEN(SUBSTITUTE(AQ1730,".",""))=3,LEFT(AQ1730,vitri(".",AQ1730,3)-1),LEN(AQ1730)-LEN(SUBSTITUTE(AQ1730,".",""))=2,LEFT(AQ1730,vitri(".",AQ1730,2)-1),TRUE,LEFT(AQ1730,vitri(".",AQ1730,1)-1))</f>
        <v/>
      </c>
    </row>
    <row r="1731" spans="13:54" x14ac:dyDescent="0.25">
      <c r="M1731" s="379"/>
      <c r="BB1731" s="206" t="str">
        <f t="array" ref="BB1731">_xlfn.IFS(AQ1731="","",LEN(AQ1731)-LEN(SUBSTITUTE(AQ1731,".",""))=3,LEFT(AQ1731,vitri(".",AQ1731,3)-1),LEN(AQ1731)-LEN(SUBSTITUTE(AQ1731,".",""))=2,LEFT(AQ1731,vitri(".",AQ1731,2)-1),TRUE,LEFT(AQ1731,vitri(".",AQ1731,1)-1))</f>
        <v/>
      </c>
    </row>
    <row r="1732" spans="13:54" x14ac:dyDescent="0.25">
      <c r="M1732" s="379"/>
      <c r="BB1732" s="206" t="str">
        <f t="array" ref="BB1732">_xlfn.IFS(AQ1732="","",LEN(AQ1732)-LEN(SUBSTITUTE(AQ1732,".",""))=3,LEFT(AQ1732,vitri(".",AQ1732,3)-1),LEN(AQ1732)-LEN(SUBSTITUTE(AQ1732,".",""))=2,LEFT(AQ1732,vitri(".",AQ1732,2)-1),TRUE,LEFT(AQ1732,vitri(".",AQ1732,1)-1))</f>
        <v/>
      </c>
    </row>
    <row r="1733" spans="13:54" x14ac:dyDescent="0.25">
      <c r="M1733" s="379"/>
      <c r="BB1733" s="206" t="str">
        <f t="array" ref="BB1733">_xlfn.IFS(AQ1733="","",LEN(AQ1733)-LEN(SUBSTITUTE(AQ1733,".",""))=3,LEFT(AQ1733,vitri(".",AQ1733,3)-1),LEN(AQ1733)-LEN(SUBSTITUTE(AQ1733,".",""))=2,LEFT(AQ1733,vitri(".",AQ1733,2)-1),TRUE,LEFT(AQ1733,vitri(".",AQ1733,1)-1))</f>
        <v/>
      </c>
    </row>
    <row r="1734" spans="13:54" x14ac:dyDescent="0.25">
      <c r="M1734" s="379"/>
      <c r="BB1734" s="206" t="str">
        <f t="array" ref="BB1734">_xlfn.IFS(AQ1734="","",LEN(AQ1734)-LEN(SUBSTITUTE(AQ1734,".",""))=3,LEFT(AQ1734,vitri(".",AQ1734,3)-1),LEN(AQ1734)-LEN(SUBSTITUTE(AQ1734,".",""))=2,LEFT(AQ1734,vitri(".",AQ1734,2)-1),TRUE,LEFT(AQ1734,vitri(".",AQ1734,1)-1))</f>
        <v/>
      </c>
    </row>
    <row r="1735" spans="13:54" x14ac:dyDescent="0.25">
      <c r="M1735" s="379"/>
      <c r="BB1735" s="206" t="str">
        <f t="array" ref="BB1735">_xlfn.IFS(AQ1735="","",LEN(AQ1735)-LEN(SUBSTITUTE(AQ1735,".",""))=3,LEFT(AQ1735,vitri(".",AQ1735,3)-1),LEN(AQ1735)-LEN(SUBSTITUTE(AQ1735,".",""))=2,LEFT(AQ1735,vitri(".",AQ1735,2)-1),TRUE,LEFT(AQ1735,vitri(".",AQ1735,1)-1))</f>
        <v/>
      </c>
    </row>
    <row r="1736" spans="13:54" x14ac:dyDescent="0.25">
      <c r="M1736" s="379"/>
      <c r="BB1736" s="206" t="str">
        <f t="array" ref="BB1736">_xlfn.IFS(AQ1736="","",LEN(AQ1736)-LEN(SUBSTITUTE(AQ1736,".",""))=3,LEFT(AQ1736,vitri(".",AQ1736,3)-1),LEN(AQ1736)-LEN(SUBSTITUTE(AQ1736,".",""))=2,LEFT(AQ1736,vitri(".",AQ1736,2)-1),TRUE,LEFT(AQ1736,vitri(".",AQ1736,1)-1))</f>
        <v/>
      </c>
    </row>
    <row r="1737" spans="13:54" x14ac:dyDescent="0.25">
      <c r="M1737" s="379"/>
      <c r="BB1737" s="206" t="str">
        <f t="array" ref="BB1737">_xlfn.IFS(AQ1737="","",LEN(AQ1737)-LEN(SUBSTITUTE(AQ1737,".",""))=3,LEFT(AQ1737,vitri(".",AQ1737,3)-1),LEN(AQ1737)-LEN(SUBSTITUTE(AQ1737,".",""))=2,LEFT(AQ1737,vitri(".",AQ1737,2)-1),TRUE,LEFT(AQ1737,vitri(".",AQ1737,1)-1))</f>
        <v/>
      </c>
    </row>
    <row r="1738" spans="13:54" x14ac:dyDescent="0.25">
      <c r="M1738" s="379"/>
      <c r="BB1738" s="206" t="str">
        <f t="array" ref="BB1738">_xlfn.IFS(AQ1738="","",LEN(AQ1738)-LEN(SUBSTITUTE(AQ1738,".",""))=3,LEFT(AQ1738,vitri(".",AQ1738,3)-1),LEN(AQ1738)-LEN(SUBSTITUTE(AQ1738,".",""))=2,LEFT(AQ1738,vitri(".",AQ1738,2)-1),TRUE,LEFT(AQ1738,vitri(".",AQ1738,1)-1))</f>
        <v/>
      </c>
    </row>
    <row r="1739" spans="13:54" x14ac:dyDescent="0.25">
      <c r="M1739" s="379"/>
      <c r="BB1739" s="206" t="str">
        <f t="array" ref="BB1739">_xlfn.IFS(AQ1739="","",LEN(AQ1739)-LEN(SUBSTITUTE(AQ1739,".",""))=3,LEFT(AQ1739,vitri(".",AQ1739,3)-1),LEN(AQ1739)-LEN(SUBSTITUTE(AQ1739,".",""))=2,LEFT(AQ1739,vitri(".",AQ1739,2)-1),TRUE,LEFT(AQ1739,vitri(".",AQ1739,1)-1))</f>
        <v/>
      </c>
    </row>
    <row r="1740" spans="13:54" x14ac:dyDescent="0.25">
      <c r="M1740" s="379"/>
      <c r="BB1740" s="206" t="str">
        <f t="array" ref="BB1740">_xlfn.IFS(AQ1740="","",LEN(AQ1740)-LEN(SUBSTITUTE(AQ1740,".",""))=3,LEFT(AQ1740,vitri(".",AQ1740,3)-1),LEN(AQ1740)-LEN(SUBSTITUTE(AQ1740,".",""))=2,LEFT(AQ1740,vitri(".",AQ1740,2)-1),TRUE,LEFT(AQ1740,vitri(".",AQ1740,1)-1))</f>
        <v/>
      </c>
    </row>
    <row r="1741" spans="13:54" x14ac:dyDescent="0.25">
      <c r="M1741" s="379"/>
      <c r="BB1741" s="206" t="str">
        <f t="array" ref="BB1741">_xlfn.IFS(AQ1741="","",LEN(AQ1741)-LEN(SUBSTITUTE(AQ1741,".",""))=3,LEFT(AQ1741,vitri(".",AQ1741,3)-1),LEN(AQ1741)-LEN(SUBSTITUTE(AQ1741,".",""))=2,LEFT(AQ1741,vitri(".",AQ1741,2)-1),TRUE,LEFT(AQ1741,vitri(".",AQ1741,1)-1))</f>
        <v/>
      </c>
    </row>
    <row r="1742" spans="13:54" x14ac:dyDescent="0.25">
      <c r="M1742" s="379"/>
      <c r="BB1742" s="206" t="str">
        <f t="array" ref="BB1742">_xlfn.IFS(AQ1742="","",LEN(AQ1742)-LEN(SUBSTITUTE(AQ1742,".",""))=3,LEFT(AQ1742,vitri(".",AQ1742,3)-1),LEN(AQ1742)-LEN(SUBSTITUTE(AQ1742,".",""))=2,LEFT(AQ1742,vitri(".",AQ1742,2)-1),TRUE,LEFT(AQ1742,vitri(".",AQ1742,1)-1))</f>
        <v/>
      </c>
    </row>
    <row r="1743" spans="13:54" x14ac:dyDescent="0.25">
      <c r="M1743" s="379"/>
      <c r="BB1743" s="206" t="str">
        <f t="array" ref="BB1743">_xlfn.IFS(AQ1743="","",LEN(AQ1743)-LEN(SUBSTITUTE(AQ1743,".",""))=3,LEFT(AQ1743,vitri(".",AQ1743,3)-1),LEN(AQ1743)-LEN(SUBSTITUTE(AQ1743,".",""))=2,LEFT(AQ1743,vitri(".",AQ1743,2)-1),TRUE,LEFT(AQ1743,vitri(".",AQ1743,1)-1))</f>
        <v/>
      </c>
    </row>
    <row r="1744" spans="13:54" x14ac:dyDescent="0.25">
      <c r="M1744" s="379"/>
      <c r="BB1744" s="206" t="str">
        <f t="array" ref="BB1744">_xlfn.IFS(AQ1744="","",LEN(AQ1744)-LEN(SUBSTITUTE(AQ1744,".",""))=3,LEFT(AQ1744,vitri(".",AQ1744,3)-1),LEN(AQ1744)-LEN(SUBSTITUTE(AQ1744,".",""))=2,LEFT(AQ1744,vitri(".",AQ1744,2)-1),TRUE,LEFT(AQ1744,vitri(".",AQ1744,1)-1))</f>
        <v/>
      </c>
    </row>
    <row r="1745" spans="13:54" x14ac:dyDescent="0.25">
      <c r="M1745" s="379"/>
      <c r="BB1745" s="206" t="str">
        <f t="array" ref="BB1745">_xlfn.IFS(AQ1745="","",LEN(AQ1745)-LEN(SUBSTITUTE(AQ1745,".",""))=3,LEFT(AQ1745,vitri(".",AQ1745,3)-1),LEN(AQ1745)-LEN(SUBSTITUTE(AQ1745,".",""))=2,LEFT(AQ1745,vitri(".",AQ1745,2)-1),TRUE,LEFT(AQ1745,vitri(".",AQ1745,1)-1))</f>
        <v/>
      </c>
    </row>
    <row r="1746" spans="13:54" x14ac:dyDescent="0.25">
      <c r="M1746" s="379"/>
      <c r="BB1746" s="206" t="str">
        <f t="array" ref="BB1746">_xlfn.IFS(AQ1746="","",LEN(AQ1746)-LEN(SUBSTITUTE(AQ1746,".",""))=3,LEFT(AQ1746,vitri(".",AQ1746,3)-1),LEN(AQ1746)-LEN(SUBSTITUTE(AQ1746,".",""))=2,LEFT(AQ1746,vitri(".",AQ1746,2)-1),TRUE,LEFT(AQ1746,vitri(".",AQ1746,1)-1))</f>
        <v/>
      </c>
    </row>
    <row r="1747" spans="13:54" x14ac:dyDescent="0.25">
      <c r="M1747" s="379"/>
      <c r="BB1747" s="206" t="str">
        <f t="array" ref="BB1747">_xlfn.IFS(AQ1747="","",LEN(AQ1747)-LEN(SUBSTITUTE(AQ1747,".",""))=3,LEFT(AQ1747,vitri(".",AQ1747,3)-1),LEN(AQ1747)-LEN(SUBSTITUTE(AQ1747,".",""))=2,LEFT(AQ1747,vitri(".",AQ1747,2)-1),TRUE,LEFT(AQ1747,vitri(".",AQ1747,1)-1))</f>
        <v/>
      </c>
    </row>
    <row r="1748" spans="13:54" x14ac:dyDescent="0.25">
      <c r="M1748" s="379"/>
      <c r="BB1748" s="206" t="str">
        <f t="array" ref="BB1748">_xlfn.IFS(AQ1748="","",LEN(AQ1748)-LEN(SUBSTITUTE(AQ1748,".",""))=3,LEFT(AQ1748,vitri(".",AQ1748,3)-1),LEN(AQ1748)-LEN(SUBSTITUTE(AQ1748,".",""))=2,LEFT(AQ1748,vitri(".",AQ1748,2)-1),TRUE,LEFT(AQ1748,vitri(".",AQ1748,1)-1))</f>
        <v/>
      </c>
    </row>
    <row r="1749" spans="13:54" x14ac:dyDescent="0.25">
      <c r="M1749" s="379"/>
      <c r="BB1749" s="206" t="str">
        <f t="array" ref="BB1749">_xlfn.IFS(AQ1749="","",LEN(AQ1749)-LEN(SUBSTITUTE(AQ1749,".",""))=3,LEFT(AQ1749,vitri(".",AQ1749,3)-1),LEN(AQ1749)-LEN(SUBSTITUTE(AQ1749,".",""))=2,LEFT(AQ1749,vitri(".",AQ1749,2)-1),TRUE,LEFT(AQ1749,vitri(".",AQ1749,1)-1))</f>
        <v/>
      </c>
    </row>
    <row r="1750" spans="13:54" x14ac:dyDescent="0.25">
      <c r="M1750" s="379"/>
      <c r="BB1750" s="206" t="str">
        <f t="array" ref="BB1750">_xlfn.IFS(AQ1750="","",LEN(AQ1750)-LEN(SUBSTITUTE(AQ1750,".",""))=3,LEFT(AQ1750,vitri(".",AQ1750,3)-1),LEN(AQ1750)-LEN(SUBSTITUTE(AQ1750,".",""))=2,LEFT(AQ1750,vitri(".",AQ1750,2)-1),TRUE,LEFT(AQ1750,vitri(".",AQ1750,1)-1))</f>
        <v/>
      </c>
    </row>
    <row r="1751" spans="13:54" x14ac:dyDescent="0.25">
      <c r="M1751" s="379"/>
      <c r="BB1751" s="206" t="str">
        <f t="array" ref="BB1751">_xlfn.IFS(AQ1751="","",LEN(AQ1751)-LEN(SUBSTITUTE(AQ1751,".",""))=3,LEFT(AQ1751,vitri(".",AQ1751,3)-1),LEN(AQ1751)-LEN(SUBSTITUTE(AQ1751,".",""))=2,LEFT(AQ1751,vitri(".",AQ1751,2)-1),TRUE,LEFT(AQ1751,vitri(".",AQ1751,1)-1))</f>
        <v/>
      </c>
    </row>
    <row r="1752" spans="13:54" x14ac:dyDescent="0.25">
      <c r="M1752" s="379"/>
      <c r="BB1752" s="206" t="str">
        <f t="array" ref="BB1752">_xlfn.IFS(AQ1752="","",LEN(AQ1752)-LEN(SUBSTITUTE(AQ1752,".",""))=3,LEFT(AQ1752,vitri(".",AQ1752,3)-1),LEN(AQ1752)-LEN(SUBSTITUTE(AQ1752,".",""))=2,LEFT(AQ1752,vitri(".",AQ1752,2)-1),TRUE,LEFT(AQ1752,vitri(".",AQ1752,1)-1))</f>
        <v/>
      </c>
    </row>
    <row r="1753" spans="13:54" x14ac:dyDescent="0.25">
      <c r="M1753" s="379"/>
      <c r="BB1753" s="206" t="str">
        <f t="array" ref="BB1753">_xlfn.IFS(AQ1753="","",LEN(AQ1753)-LEN(SUBSTITUTE(AQ1753,".",""))=3,LEFT(AQ1753,vitri(".",AQ1753,3)-1),LEN(AQ1753)-LEN(SUBSTITUTE(AQ1753,".",""))=2,LEFT(AQ1753,vitri(".",AQ1753,2)-1),TRUE,LEFT(AQ1753,vitri(".",AQ1753,1)-1))</f>
        <v/>
      </c>
    </row>
    <row r="1754" spans="13:54" x14ac:dyDescent="0.25">
      <c r="M1754" s="379"/>
      <c r="BB1754" s="206" t="str">
        <f t="array" ref="BB1754">_xlfn.IFS(AQ1754="","",LEN(AQ1754)-LEN(SUBSTITUTE(AQ1754,".",""))=3,LEFT(AQ1754,vitri(".",AQ1754,3)-1),LEN(AQ1754)-LEN(SUBSTITUTE(AQ1754,".",""))=2,LEFT(AQ1754,vitri(".",AQ1754,2)-1),TRUE,LEFT(AQ1754,vitri(".",AQ1754,1)-1))</f>
        <v/>
      </c>
    </row>
    <row r="1755" spans="13:54" x14ac:dyDescent="0.25">
      <c r="M1755" s="379"/>
      <c r="BB1755" s="206" t="str">
        <f t="array" ref="BB1755">_xlfn.IFS(AQ1755="","",LEN(AQ1755)-LEN(SUBSTITUTE(AQ1755,".",""))=3,LEFT(AQ1755,vitri(".",AQ1755,3)-1),LEN(AQ1755)-LEN(SUBSTITUTE(AQ1755,".",""))=2,LEFT(AQ1755,vitri(".",AQ1755,2)-1),TRUE,LEFT(AQ1755,vitri(".",AQ1755,1)-1))</f>
        <v/>
      </c>
    </row>
    <row r="1756" spans="13:54" x14ac:dyDescent="0.25">
      <c r="M1756" s="379"/>
      <c r="BB1756" s="206" t="str">
        <f t="array" ref="BB1756">_xlfn.IFS(AQ1756="","",LEN(AQ1756)-LEN(SUBSTITUTE(AQ1756,".",""))=3,LEFT(AQ1756,vitri(".",AQ1756,3)-1),LEN(AQ1756)-LEN(SUBSTITUTE(AQ1756,".",""))=2,LEFT(AQ1756,vitri(".",AQ1756,2)-1),TRUE,LEFT(AQ1756,vitri(".",AQ1756,1)-1))</f>
        <v/>
      </c>
    </row>
    <row r="1757" spans="13:54" x14ac:dyDescent="0.25">
      <c r="M1757" s="379"/>
      <c r="BB1757" s="206" t="str">
        <f t="array" ref="BB1757">_xlfn.IFS(AQ1757="","",LEN(AQ1757)-LEN(SUBSTITUTE(AQ1757,".",""))=3,LEFT(AQ1757,vitri(".",AQ1757,3)-1),LEN(AQ1757)-LEN(SUBSTITUTE(AQ1757,".",""))=2,LEFT(AQ1757,vitri(".",AQ1757,2)-1),TRUE,LEFT(AQ1757,vitri(".",AQ1757,1)-1))</f>
        <v/>
      </c>
    </row>
    <row r="1758" spans="13:54" x14ac:dyDescent="0.25">
      <c r="M1758" s="379"/>
      <c r="BB1758" s="206" t="str">
        <f t="array" ref="BB1758">_xlfn.IFS(AQ1758="","",LEN(AQ1758)-LEN(SUBSTITUTE(AQ1758,".",""))=3,LEFT(AQ1758,vitri(".",AQ1758,3)-1),LEN(AQ1758)-LEN(SUBSTITUTE(AQ1758,".",""))=2,LEFT(AQ1758,vitri(".",AQ1758,2)-1),TRUE,LEFT(AQ1758,vitri(".",AQ1758,1)-1))</f>
        <v/>
      </c>
    </row>
    <row r="1759" spans="13:54" x14ac:dyDescent="0.25">
      <c r="M1759" s="379"/>
      <c r="BB1759" s="206" t="str">
        <f t="array" ref="BB1759">_xlfn.IFS(AQ1759="","",LEN(AQ1759)-LEN(SUBSTITUTE(AQ1759,".",""))=3,LEFT(AQ1759,vitri(".",AQ1759,3)-1),LEN(AQ1759)-LEN(SUBSTITUTE(AQ1759,".",""))=2,LEFT(AQ1759,vitri(".",AQ1759,2)-1),TRUE,LEFT(AQ1759,vitri(".",AQ1759,1)-1))</f>
        <v/>
      </c>
    </row>
    <row r="1760" spans="13:54" x14ac:dyDescent="0.25">
      <c r="M1760" s="379"/>
      <c r="BB1760" s="206" t="str">
        <f t="array" ref="BB1760">_xlfn.IFS(AQ1760="","",LEN(AQ1760)-LEN(SUBSTITUTE(AQ1760,".",""))=3,LEFT(AQ1760,vitri(".",AQ1760,3)-1),LEN(AQ1760)-LEN(SUBSTITUTE(AQ1760,".",""))=2,LEFT(AQ1760,vitri(".",AQ1760,2)-1),TRUE,LEFT(AQ1760,vitri(".",AQ1760,1)-1))</f>
        <v/>
      </c>
    </row>
    <row r="1761" spans="13:54" x14ac:dyDescent="0.25">
      <c r="M1761" s="379"/>
      <c r="BB1761" s="206" t="str">
        <f t="array" ref="BB1761">_xlfn.IFS(AQ1761="","",LEN(AQ1761)-LEN(SUBSTITUTE(AQ1761,".",""))=3,LEFT(AQ1761,vitri(".",AQ1761,3)-1),LEN(AQ1761)-LEN(SUBSTITUTE(AQ1761,".",""))=2,LEFT(AQ1761,vitri(".",AQ1761,2)-1),TRUE,LEFT(AQ1761,vitri(".",AQ1761,1)-1))</f>
        <v/>
      </c>
    </row>
    <row r="1762" spans="13:54" x14ac:dyDescent="0.25">
      <c r="M1762" s="379"/>
      <c r="BB1762" s="206" t="str">
        <f t="array" ref="BB1762">_xlfn.IFS(AQ1762="","",LEN(AQ1762)-LEN(SUBSTITUTE(AQ1762,".",""))=3,LEFT(AQ1762,vitri(".",AQ1762,3)-1),LEN(AQ1762)-LEN(SUBSTITUTE(AQ1762,".",""))=2,LEFT(AQ1762,vitri(".",AQ1762,2)-1),TRUE,LEFT(AQ1762,vitri(".",AQ1762,1)-1))</f>
        <v/>
      </c>
    </row>
    <row r="1763" spans="13:54" x14ac:dyDescent="0.25">
      <c r="M1763" s="379"/>
      <c r="BB1763" s="206" t="str">
        <f t="array" ref="BB1763">_xlfn.IFS(AQ1763="","",LEN(AQ1763)-LEN(SUBSTITUTE(AQ1763,".",""))=3,LEFT(AQ1763,vitri(".",AQ1763,3)-1),LEN(AQ1763)-LEN(SUBSTITUTE(AQ1763,".",""))=2,LEFT(AQ1763,vitri(".",AQ1763,2)-1),TRUE,LEFT(AQ1763,vitri(".",AQ1763,1)-1))</f>
        <v/>
      </c>
    </row>
    <row r="1764" spans="13:54" x14ac:dyDescent="0.25">
      <c r="M1764" s="379"/>
      <c r="BB1764" s="206" t="str">
        <f t="array" ref="BB1764">_xlfn.IFS(AQ1764="","",LEN(AQ1764)-LEN(SUBSTITUTE(AQ1764,".",""))=3,LEFT(AQ1764,vitri(".",AQ1764,3)-1),LEN(AQ1764)-LEN(SUBSTITUTE(AQ1764,".",""))=2,LEFT(AQ1764,vitri(".",AQ1764,2)-1),TRUE,LEFT(AQ1764,vitri(".",AQ1764,1)-1))</f>
        <v/>
      </c>
    </row>
    <row r="1765" spans="13:54" x14ac:dyDescent="0.25">
      <c r="M1765" s="379"/>
      <c r="BB1765" s="206" t="str">
        <f t="array" ref="BB1765">_xlfn.IFS(AQ1765="","",LEN(AQ1765)-LEN(SUBSTITUTE(AQ1765,".",""))=3,LEFT(AQ1765,vitri(".",AQ1765,3)-1),LEN(AQ1765)-LEN(SUBSTITUTE(AQ1765,".",""))=2,LEFT(AQ1765,vitri(".",AQ1765,2)-1),TRUE,LEFT(AQ1765,vitri(".",AQ1765,1)-1))</f>
        <v/>
      </c>
    </row>
    <row r="1766" spans="13:54" x14ac:dyDescent="0.25">
      <c r="M1766" s="379"/>
      <c r="BB1766" s="206" t="str">
        <f t="array" ref="BB1766">_xlfn.IFS(AQ1766="","",LEN(AQ1766)-LEN(SUBSTITUTE(AQ1766,".",""))=3,LEFT(AQ1766,vitri(".",AQ1766,3)-1),LEN(AQ1766)-LEN(SUBSTITUTE(AQ1766,".",""))=2,LEFT(AQ1766,vitri(".",AQ1766,2)-1),TRUE,LEFT(AQ1766,vitri(".",AQ1766,1)-1))</f>
        <v/>
      </c>
    </row>
    <row r="1767" spans="13:54" x14ac:dyDescent="0.25">
      <c r="M1767" s="379"/>
      <c r="BB1767" s="206" t="str">
        <f t="array" ref="BB1767">_xlfn.IFS(AQ1767="","",LEN(AQ1767)-LEN(SUBSTITUTE(AQ1767,".",""))=3,LEFT(AQ1767,vitri(".",AQ1767,3)-1),LEN(AQ1767)-LEN(SUBSTITUTE(AQ1767,".",""))=2,LEFT(AQ1767,vitri(".",AQ1767,2)-1),TRUE,LEFT(AQ1767,vitri(".",AQ1767,1)-1))</f>
        <v/>
      </c>
    </row>
    <row r="1768" spans="13:54" x14ac:dyDescent="0.25">
      <c r="M1768" s="379"/>
      <c r="BB1768" s="206" t="str">
        <f t="array" ref="BB1768">_xlfn.IFS(AQ1768="","",LEN(AQ1768)-LEN(SUBSTITUTE(AQ1768,".",""))=3,LEFT(AQ1768,vitri(".",AQ1768,3)-1),LEN(AQ1768)-LEN(SUBSTITUTE(AQ1768,".",""))=2,LEFT(AQ1768,vitri(".",AQ1768,2)-1),TRUE,LEFT(AQ1768,vitri(".",AQ1768,1)-1))</f>
        <v/>
      </c>
    </row>
    <row r="1769" spans="13:54" x14ac:dyDescent="0.25">
      <c r="M1769" s="379"/>
      <c r="BB1769" s="206" t="str">
        <f t="array" ref="BB1769">_xlfn.IFS(AQ1769="","",LEN(AQ1769)-LEN(SUBSTITUTE(AQ1769,".",""))=3,LEFT(AQ1769,vitri(".",AQ1769,3)-1),LEN(AQ1769)-LEN(SUBSTITUTE(AQ1769,".",""))=2,LEFT(AQ1769,vitri(".",AQ1769,2)-1),TRUE,LEFT(AQ1769,vitri(".",AQ1769,1)-1))</f>
        <v/>
      </c>
    </row>
    <row r="1770" spans="13:54" x14ac:dyDescent="0.25">
      <c r="M1770" s="379"/>
      <c r="BB1770" s="206" t="str">
        <f t="array" ref="BB1770">_xlfn.IFS(AQ1770="","",LEN(AQ1770)-LEN(SUBSTITUTE(AQ1770,".",""))=3,LEFT(AQ1770,vitri(".",AQ1770,3)-1),LEN(AQ1770)-LEN(SUBSTITUTE(AQ1770,".",""))=2,LEFT(AQ1770,vitri(".",AQ1770,2)-1),TRUE,LEFT(AQ1770,vitri(".",AQ1770,1)-1))</f>
        <v/>
      </c>
    </row>
    <row r="1771" spans="13:54" x14ac:dyDescent="0.25">
      <c r="M1771" s="379"/>
      <c r="BB1771" s="206" t="str">
        <f t="array" ref="BB1771">_xlfn.IFS(AQ1771="","",LEN(AQ1771)-LEN(SUBSTITUTE(AQ1771,".",""))=3,LEFT(AQ1771,vitri(".",AQ1771,3)-1),LEN(AQ1771)-LEN(SUBSTITUTE(AQ1771,".",""))=2,LEFT(AQ1771,vitri(".",AQ1771,2)-1),TRUE,LEFT(AQ1771,vitri(".",AQ1771,1)-1))</f>
        <v/>
      </c>
    </row>
    <row r="1772" spans="13:54" x14ac:dyDescent="0.25">
      <c r="M1772" s="379"/>
      <c r="BB1772" s="206" t="str">
        <f t="array" ref="BB1772">_xlfn.IFS(AQ1772="","",LEN(AQ1772)-LEN(SUBSTITUTE(AQ1772,".",""))=3,LEFT(AQ1772,vitri(".",AQ1772,3)-1),LEN(AQ1772)-LEN(SUBSTITUTE(AQ1772,".",""))=2,LEFT(AQ1772,vitri(".",AQ1772,2)-1),TRUE,LEFT(AQ1772,vitri(".",AQ1772,1)-1))</f>
        <v/>
      </c>
    </row>
    <row r="1773" spans="13:54" x14ac:dyDescent="0.25">
      <c r="M1773" s="379"/>
      <c r="BB1773" s="206" t="str">
        <f t="array" ref="BB1773">_xlfn.IFS(AQ1773="","",LEN(AQ1773)-LEN(SUBSTITUTE(AQ1773,".",""))=3,LEFT(AQ1773,vitri(".",AQ1773,3)-1),LEN(AQ1773)-LEN(SUBSTITUTE(AQ1773,".",""))=2,LEFT(AQ1773,vitri(".",AQ1773,2)-1),TRUE,LEFT(AQ1773,vitri(".",AQ1773,1)-1))</f>
        <v/>
      </c>
    </row>
    <row r="1774" spans="13:54" x14ac:dyDescent="0.25">
      <c r="M1774" s="379"/>
      <c r="BB1774" s="206" t="str">
        <f t="array" ref="BB1774">_xlfn.IFS(AQ1774="","",LEN(AQ1774)-LEN(SUBSTITUTE(AQ1774,".",""))=3,LEFT(AQ1774,vitri(".",AQ1774,3)-1),LEN(AQ1774)-LEN(SUBSTITUTE(AQ1774,".",""))=2,LEFT(AQ1774,vitri(".",AQ1774,2)-1),TRUE,LEFT(AQ1774,vitri(".",AQ1774,1)-1))</f>
        <v/>
      </c>
    </row>
    <row r="1775" spans="13:54" x14ac:dyDescent="0.25">
      <c r="M1775" s="379"/>
      <c r="BB1775" s="206" t="str">
        <f t="array" ref="BB1775">_xlfn.IFS(AQ1775="","",LEN(AQ1775)-LEN(SUBSTITUTE(AQ1775,".",""))=3,LEFT(AQ1775,vitri(".",AQ1775,3)-1),LEN(AQ1775)-LEN(SUBSTITUTE(AQ1775,".",""))=2,LEFT(AQ1775,vitri(".",AQ1775,2)-1),TRUE,LEFT(AQ1775,vitri(".",AQ1775,1)-1))</f>
        <v/>
      </c>
    </row>
    <row r="1776" spans="13:54" x14ac:dyDescent="0.25">
      <c r="M1776" s="379"/>
      <c r="BB1776" s="206" t="str">
        <f t="array" ref="BB1776">_xlfn.IFS(AQ1776="","",LEN(AQ1776)-LEN(SUBSTITUTE(AQ1776,".",""))=3,LEFT(AQ1776,vitri(".",AQ1776,3)-1),LEN(AQ1776)-LEN(SUBSTITUTE(AQ1776,".",""))=2,LEFT(AQ1776,vitri(".",AQ1776,2)-1),TRUE,LEFT(AQ1776,vitri(".",AQ1776,1)-1))</f>
        <v/>
      </c>
    </row>
    <row r="1777" spans="13:54" x14ac:dyDescent="0.25">
      <c r="M1777" s="379"/>
      <c r="BB1777" s="206" t="str">
        <f t="array" ref="BB1777">_xlfn.IFS(AQ1777="","",LEN(AQ1777)-LEN(SUBSTITUTE(AQ1777,".",""))=3,LEFT(AQ1777,vitri(".",AQ1777,3)-1),LEN(AQ1777)-LEN(SUBSTITUTE(AQ1777,".",""))=2,LEFT(AQ1777,vitri(".",AQ1777,2)-1),TRUE,LEFT(AQ1777,vitri(".",AQ1777,1)-1))</f>
        <v/>
      </c>
    </row>
    <row r="1778" spans="13:54" x14ac:dyDescent="0.25">
      <c r="M1778" s="379"/>
      <c r="BB1778" s="206" t="str">
        <f t="array" ref="BB1778">_xlfn.IFS(AQ1778="","",LEN(AQ1778)-LEN(SUBSTITUTE(AQ1778,".",""))=3,LEFT(AQ1778,vitri(".",AQ1778,3)-1),LEN(AQ1778)-LEN(SUBSTITUTE(AQ1778,".",""))=2,LEFT(AQ1778,vitri(".",AQ1778,2)-1),TRUE,LEFT(AQ1778,vitri(".",AQ1778,1)-1))</f>
        <v/>
      </c>
    </row>
    <row r="1779" spans="13:54" x14ac:dyDescent="0.25">
      <c r="M1779" s="379"/>
      <c r="BB1779" s="206" t="str">
        <f t="array" ref="BB1779">_xlfn.IFS(AQ1779="","",LEN(AQ1779)-LEN(SUBSTITUTE(AQ1779,".",""))=3,LEFT(AQ1779,vitri(".",AQ1779,3)-1),LEN(AQ1779)-LEN(SUBSTITUTE(AQ1779,".",""))=2,LEFT(AQ1779,vitri(".",AQ1779,2)-1),TRUE,LEFT(AQ1779,vitri(".",AQ1779,1)-1))</f>
        <v/>
      </c>
    </row>
    <row r="1780" spans="13:54" x14ac:dyDescent="0.25">
      <c r="M1780" s="379"/>
      <c r="BB1780" s="206" t="str">
        <f t="array" ref="BB1780">_xlfn.IFS(AQ1780="","",LEN(AQ1780)-LEN(SUBSTITUTE(AQ1780,".",""))=3,LEFT(AQ1780,vitri(".",AQ1780,3)-1),LEN(AQ1780)-LEN(SUBSTITUTE(AQ1780,".",""))=2,LEFT(AQ1780,vitri(".",AQ1780,2)-1),TRUE,LEFT(AQ1780,vitri(".",AQ1780,1)-1))</f>
        <v/>
      </c>
    </row>
    <row r="1781" spans="13:54" x14ac:dyDescent="0.25">
      <c r="M1781" s="379"/>
      <c r="BB1781" s="206" t="str">
        <f t="array" ref="BB1781">_xlfn.IFS(AQ1781="","",LEN(AQ1781)-LEN(SUBSTITUTE(AQ1781,".",""))=3,LEFT(AQ1781,vitri(".",AQ1781,3)-1),LEN(AQ1781)-LEN(SUBSTITUTE(AQ1781,".",""))=2,LEFT(AQ1781,vitri(".",AQ1781,2)-1),TRUE,LEFT(AQ1781,vitri(".",AQ1781,1)-1))</f>
        <v/>
      </c>
    </row>
    <row r="1782" spans="13:54" x14ac:dyDescent="0.25">
      <c r="M1782" s="379"/>
      <c r="BB1782" s="206" t="str">
        <f t="array" ref="BB1782">_xlfn.IFS(AQ1782="","",LEN(AQ1782)-LEN(SUBSTITUTE(AQ1782,".",""))=3,LEFT(AQ1782,vitri(".",AQ1782,3)-1),LEN(AQ1782)-LEN(SUBSTITUTE(AQ1782,".",""))=2,LEFT(AQ1782,vitri(".",AQ1782,2)-1),TRUE,LEFT(AQ1782,vitri(".",AQ1782,1)-1))</f>
        <v/>
      </c>
    </row>
    <row r="1783" spans="13:54" x14ac:dyDescent="0.25">
      <c r="M1783" s="379"/>
      <c r="BB1783" s="206" t="str">
        <f t="array" ref="BB1783">_xlfn.IFS(AQ1783="","",LEN(AQ1783)-LEN(SUBSTITUTE(AQ1783,".",""))=3,LEFT(AQ1783,vitri(".",AQ1783,3)-1),LEN(AQ1783)-LEN(SUBSTITUTE(AQ1783,".",""))=2,LEFT(AQ1783,vitri(".",AQ1783,2)-1),TRUE,LEFT(AQ1783,vitri(".",AQ1783,1)-1))</f>
        <v/>
      </c>
    </row>
    <row r="1784" spans="13:54" x14ac:dyDescent="0.25">
      <c r="M1784" s="379"/>
      <c r="BB1784" s="206" t="str">
        <f t="array" ref="BB1784">_xlfn.IFS(AQ1784="","",LEN(AQ1784)-LEN(SUBSTITUTE(AQ1784,".",""))=3,LEFT(AQ1784,vitri(".",AQ1784,3)-1),LEN(AQ1784)-LEN(SUBSTITUTE(AQ1784,".",""))=2,LEFT(AQ1784,vitri(".",AQ1784,2)-1),TRUE,LEFT(AQ1784,vitri(".",AQ1784,1)-1))</f>
        <v/>
      </c>
    </row>
    <row r="1785" spans="13:54" x14ac:dyDescent="0.25">
      <c r="M1785" s="379"/>
      <c r="BB1785" s="206" t="str">
        <f t="array" ref="BB1785">_xlfn.IFS(AQ1785="","",LEN(AQ1785)-LEN(SUBSTITUTE(AQ1785,".",""))=3,LEFT(AQ1785,vitri(".",AQ1785,3)-1),LEN(AQ1785)-LEN(SUBSTITUTE(AQ1785,".",""))=2,LEFT(AQ1785,vitri(".",AQ1785,2)-1),TRUE,LEFT(AQ1785,vitri(".",AQ1785,1)-1))</f>
        <v/>
      </c>
    </row>
    <row r="1786" spans="13:54" x14ac:dyDescent="0.25">
      <c r="M1786" s="379"/>
      <c r="BB1786" s="206" t="str">
        <f t="array" ref="BB1786">_xlfn.IFS(AQ1786="","",LEN(AQ1786)-LEN(SUBSTITUTE(AQ1786,".",""))=3,LEFT(AQ1786,vitri(".",AQ1786,3)-1),LEN(AQ1786)-LEN(SUBSTITUTE(AQ1786,".",""))=2,LEFT(AQ1786,vitri(".",AQ1786,2)-1),TRUE,LEFT(AQ1786,vitri(".",AQ1786,1)-1))</f>
        <v/>
      </c>
    </row>
    <row r="1787" spans="13:54" x14ac:dyDescent="0.25">
      <c r="M1787" s="379"/>
      <c r="BB1787" s="206" t="str">
        <f t="array" ref="BB1787">_xlfn.IFS(AQ1787="","",LEN(AQ1787)-LEN(SUBSTITUTE(AQ1787,".",""))=3,LEFT(AQ1787,vitri(".",AQ1787,3)-1),LEN(AQ1787)-LEN(SUBSTITUTE(AQ1787,".",""))=2,LEFT(AQ1787,vitri(".",AQ1787,2)-1),TRUE,LEFT(AQ1787,vitri(".",AQ1787,1)-1))</f>
        <v/>
      </c>
    </row>
    <row r="1788" spans="13:54" x14ac:dyDescent="0.25">
      <c r="M1788" s="379"/>
      <c r="BB1788" s="206" t="str">
        <f t="array" ref="BB1788">_xlfn.IFS(AQ1788="","",LEN(AQ1788)-LEN(SUBSTITUTE(AQ1788,".",""))=3,LEFT(AQ1788,vitri(".",AQ1788,3)-1),LEN(AQ1788)-LEN(SUBSTITUTE(AQ1788,".",""))=2,LEFT(AQ1788,vitri(".",AQ1788,2)-1),TRUE,LEFT(AQ1788,vitri(".",AQ1788,1)-1))</f>
        <v/>
      </c>
    </row>
    <row r="1789" spans="13:54" x14ac:dyDescent="0.25">
      <c r="M1789" s="379"/>
      <c r="BB1789" s="206" t="str">
        <f t="array" ref="BB1789">_xlfn.IFS(AQ1789="","",LEN(AQ1789)-LEN(SUBSTITUTE(AQ1789,".",""))=3,LEFT(AQ1789,vitri(".",AQ1789,3)-1),LEN(AQ1789)-LEN(SUBSTITUTE(AQ1789,".",""))=2,LEFT(AQ1789,vitri(".",AQ1789,2)-1),TRUE,LEFT(AQ1789,vitri(".",AQ1789,1)-1))</f>
        <v/>
      </c>
    </row>
    <row r="1790" spans="13:54" x14ac:dyDescent="0.25">
      <c r="M1790" s="379"/>
      <c r="BB1790" s="206" t="str">
        <f t="array" ref="BB1790">_xlfn.IFS(AQ1790="","",LEN(AQ1790)-LEN(SUBSTITUTE(AQ1790,".",""))=3,LEFT(AQ1790,vitri(".",AQ1790,3)-1),LEN(AQ1790)-LEN(SUBSTITUTE(AQ1790,".",""))=2,LEFT(AQ1790,vitri(".",AQ1790,2)-1),TRUE,LEFT(AQ1790,vitri(".",AQ1790,1)-1))</f>
        <v/>
      </c>
    </row>
    <row r="1791" spans="13:54" x14ac:dyDescent="0.25">
      <c r="M1791" s="379"/>
      <c r="BB1791" s="206" t="str">
        <f t="array" ref="BB1791">_xlfn.IFS(AQ1791="","",LEN(AQ1791)-LEN(SUBSTITUTE(AQ1791,".",""))=3,LEFT(AQ1791,vitri(".",AQ1791,3)-1),LEN(AQ1791)-LEN(SUBSTITUTE(AQ1791,".",""))=2,LEFT(AQ1791,vitri(".",AQ1791,2)-1),TRUE,LEFT(AQ1791,vitri(".",AQ1791,1)-1))</f>
        <v/>
      </c>
    </row>
    <row r="1792" spans="13:54" x14ac:dyDescent="0.25">
      <c r="M1792" s="379"/>
      <c r="BB1792" s="206" t="str">
        <f t="array" ref="BB1792">_xlfn.IFS(AQ1792="","",LEN(AQ1792)-LEN(SUBSTITUTE(AQ1792,".",""))=3,LEFT(AQ1792,vitri(".",AQ1792,3)-1),LEN(AQ1792)-LEN(SUBSTITUTE(AQ1792,".",""))=2,LEFT(AQ1792,vitri(".",AQ1792,2)-1),TRUE,LEFT(AQ1792,vitri(".",AQ1792,1)-1))</f>
        <v/>
      </c>
    </row>
    <row r="1793" spans="13:54" x14ac:dyDescent="0.25">
      <c r="M1793" s="379"/>
      <c r="BB1793" s="206" t="str">
        <f t="array" ref="BB1793">_xlfn.IFS(AQ1793="","",LEN(AQ1793)-LEN(SUBSTITUTE(AQ1793,".",""))=3,LEFT(AQ1793,vitri(".",AQ1793,3)-1),LEN(AQ1793)-LEN(SUBSTITUTE(AQ1793,".",""))=2,LEFT(AQ1793,vitri(".",AQ1793,2)-1),TRUE,LEFT(AQ1793,vitri(".",AQ1793,1)-1))</f>
        <v/>
      </c>
    </row>
    <row r="1794" spans="13:54" x14ac:dyDescent="0.25">
      <c r="M1794" s="379"/>
      <c r="BB1794" s="206" t="str">
        <f t="array" ref="BB1794">_xlfn.IFS(AQ1794="","",LEN(AQ1794)-LEN(SUBSTITUTE(AQ1794,".",""))=3,LEFT(AQ1794,vitri(".",AQ1794,3)-1),LEN(AQ1794)-LEN(SUBSTITUTE(AQ1794,".",""))=2,LEFT(AQ1794,vitri(".",AQ1794,2)-1),TRUE,LEFT(AQ1794,vitri(".",AQ1794,1)-1))</f>
        <v/>
      </c>
    </row>
    <row r="1795" spans="13:54" x14ac:dyDescent="0.25">
      <c r="M1795" s="379"/>
      <c r="BB1795" s="206" t="str">
        <f t="array" ref="BB1795">_xlfn.IFS(AQ1795="","",LEN(AQ1795)-LEN(SUBSTITUTE(AQ1795,".",""))=3,LEFT(AQ1795,vitri(".",AQ1795,3)-1),LEN(AQ1795)-LEN(SUBSTITUTE(AQ1795,".",""))=2,LEFT(AQ1795,vitri(".",AQ1795,2)-1),TRUE,LEFT(AQ1795,vitri(".",AQ1795,1)-1))</f>
        <v/>
      </c>
    </row>
    <row r="1796" spans="13:54" x14ac:dyDescent="0.25">
      <c r="M1796" s="379"/>
      <c r="BB1796" s="206" t="str">
        <f t="array" ref="BB1796">_xlfn.IFS(AQ1796="","",LEN(AQ1796)-LEN(SUBSTITUTE(AQ1796,".",""))=3,LEFT(AQ1796,vitri(".",AQ1796,3)-1),LEN(AQ1796)-LEN(SUBSTITUTE(AQ1796,".",""))=2,LEFT(AQ1796,vitri(".",AQ1796,2)-1),TRUE,LEFT(AQ1796,vitri(".",AQ1796,1)-1))</f>
        <v/>
      </c>
    </row>
    <row r="1797" spans="13:54" x14ac:dyDescent="0.25">
      <c r="M1797" s="379"/>
      <c r="BB1797" s="206" t="str">
        <f t="array" ref="BB1797">_xlfn.IFS(AQ1797="","",LEN(AQ1797)-LEN(SUBSTITUTE(AQ1797,".",""))=3,LEFT(AQ1797,vitri(".",AQ1797,3)-1),LEN(AQ1797)-LEN(SUBSTITUTE(AQ1797,".",""))=2,LEFT(AQ1797,vitri(".",AQ1797,2)-1),TRUE,LEFT(AQ1797,vitri(".",AQ1797,1)-1))</f>
        <v/>
      </c>
    </row>
    <row r="1798" spans="13:54" x14ac:dyDescent="0.25">
      <c r="M1798" s="379"/>
      <c r="BB1798" s="206" t="str">
        <f t="array" ref="BB1798">_xlfn.IFS(AQ1798="","",LEN(AQ1798)-LEN(SUBSTITUTE(AQ1798,".",""))=3,LEFT(AQ1798,vitri(".",AQ1798,3)-1),LEN(AQ1798)-LEN(SUBSTITUTE(AQ1798,".",""))=2,LEFT(AQ1798,vitri(".",AQ1798,2)-1),TRUE,LEFT(AQ1798,vitri(".",AQ1798,1)-1))</f>
        <v/>
      </c>
    </row>
    <row r="1799" spans="13:54" x14ac:dyDescent="0.25">
      <c r="M1799" s="379"/>
      <c r="BB1799" s="206" t="str">
        <f t="array" ref="BB1799">_xlfn.IFS(AQ1799="","",LEN(AQ1799)-LEN(SUBSTITUTE(AQ1799,".",""))=3,LEFT(AQ1799,vitri(".",AQ1799,3)-1),LEN(AQ1799)-LEN(SUBSTITUTE(AQ1799,".",""))=2,LEFT(AQ1799,vitri(".",AQ1799,2)-1),TRUE,LEFT(AQ1799,vitri(".",AQ1799,1)-1))</f>
        <v/>
      </c>
    </row>
    <row r="1800" spans="13:54" x14ac:dyDescent="0.25">
      <c r="M1800" s="379"/>
      <c r="BB1800" s="206" t="str">
        <f t="array" ref="BB1800">_xlfn.IFS(AQ1800="","",LEN(AQ1800)-LEN(SUBSTITUTE(AQ1800,".",""))=3,LEFT(AQ1800,vitri(".",AQ1800,3)-1),LEN(AQ1800)-LEN(SUBSTITUTE(AQ1800,".",""))=2,LEFT(AQ1800,vitri(".",AQ1800,2)-1),TRUE,LEFT(AQ1800,vitri(".",AQ1800,1)-1))</f>
        <v/>
      </c>
    </row>
    <row r="1801" spans="13:54" x14ac:dyDescent="0.25">
      <c r="M1801" s="379"/>
      <c r="BB1801" s="206" t="str">
        <f t="array" ref="BB1801">_xlfn.IFS(AQ1801="","",LEN(AQ1801)-LEN(SUBSTITUTE(AQ1801,".",""))=3,LEFT(AQ1801,vitri(".",AQ1801,3)-1),LEN(AQ1801)-LEN(SUBSTITUTE(AQ1801,".",""))=2,LEFT(AQ1801,vitri(".",AQ1801,2)-1),TRUE,LEFT(AQ1801,vitri(".",AQ1801,1)-1))</f>
        <v/>
      </c>
    </row>
    <row r="1802" spans="13:54" x14ac:dyDescent="0.25">
      <c r="M1802" s="379"/>
      <c r="BB1802" s="206" t="str">
        <f t="array" ref="BB1802">_xlfn.IFS(AQ1802="","",LEN(AQ1802)-LEN(SUBSTITUTE(AQ1802,".",""))=3,LEFT(AQ1802,vitri(".",AQ1802,3)-1),LEN(AQ1802)-LEN(SUBSTITUTE(AQ1802,".",""))=2,LEFT(AQ1802,vitri(".",AQ1802,2)-1),TRUE,LEFT(AQ1802,vitri(".",AQ1802,1)-1))</f>
        <v/>
      </c>
    </row>
    <row r="1803" spans="13:54" x14ac:dyDescent="0.25">
      <c r="M1803" s="379"/>
      <c r="BB1803" s="206" t="str">
        <f t="array" ref="BB1803">_xlfn.IFS(AQ1803="","",LEN(AQ1803)-LEN(SUBSTITUTE(AQ1803,".",""))=3,LEFT(AQ1803,vitri(".",AQ1803,3)-1),LEN(AQ1803)-LEN(SUBSTITUTE(AQ1803,".",""))=2,LEFT(AQ1803,vitri(".",AQ1803,2)-1),TRUE,LEFT(AQ1803,vitri(".",AQ1803,1)-1))</f>
        <v/>
      </c>
    </row>
    <row r="1804" spans="13:54" x14ac:dyDescent="0.25">
      <c r="M1804" s="379"/>
      <c r="BB1804" s="206" t="str">
        <f t="array" ref="BB1804">_xlfn.IFS(AQ1804="","",LEN(AQ1804)-LEN(SUBSTITUTE(AQ1804,".",""))=3,LEFT(AQ1804,vitri(".",AQ1804,3)-1),LEN(AQ1804)-LEN(SUBSTITUTE(AQ1804,".",""))=2,LEFT(AQ1804,vitri(".",AQ1804,2)-1),TRUE,LEFT(AQ1804,vitri(".",AQ1804,1)-1))</f>
        <v/>
      </c>
    </row>
    <row r="1805" spans="13:54" x14ac:dyDescent="0.25">
      <c r="M1805" s="379"/>
      <c r="BB1805" s="206" t="str">
        <f t="array" ref="BB1805">_xlfn.IFS(AQ1805="","",LEN(AQ1805)-LEN(SUBSTITUTE(AQ1805,".",""))=3,LEFT(AQ1805,vitri(".",AQ1805,3)-1),LEN(AQ1805)-LEN(SUBSTITUTE(AQ1805,".",""))=2,LEFT(AQ1805,vitri(".",AQ1805,2)-1),TRUE,LEFT(AQ1805,vitri(".",AQ1805,1)-1))</f>
        <v/>
      </c>
    </row>
    <row r="1806" spans="13:54" x14ac:dyDescent="0.25">
      <c r="M1806" s="379"/>
      <c r="BB1806" s="206" t="str">
        <f t="array" ref="BB1806">_xlfn.IFS(AQ1806="","",LEN(AQ1806)-LEN(SUBSTITUTE(AQ1806,".",""))=3,LEFT(AQ1806,vitri(".",AQ1806,3)-1),LEN(AQ1806)-LEN(SUBSTITUTE(AQ1806,".",""))=2,LEFT(AQ1806,vitri(".",AQ1806,2)-1),TRUE,LEFT(AQ1806,vitri(".",AQ1806,1)-1))</f>
        <v/>
      </c>
    </row>
    <row r="1807" spans="13:54" x14ac:dyDescent="0.25">
      <c r="M1807" s="379"/>
      <c r="BB1807" s="206" t="str">
        <f t="array" ref="BB1807">_xlfn.IFS(AQ1807="","",LEN(AQ1807)-LEN(SUBSTITUTE(AQ1807,".",""))=3,LEFT(AQ1807,vitri(".",AQ1807,3)-1),LEN(AQ1807)-LEN(SUBSTITUTE(AQ1807,".",""))=2,LEFT(AQ1807,vitri(".",AQ1807,2)-1),TRUE,LEFT(AQ1807,vitri(".",AQ1807,1)-1))</f>
        <v/>
      </c>
    </row>
    <row r="1808" spans="13:54" x14ac:dyDescent="0.25">
      <c r="M1808" s="379"/>
      <c r="BB1808" s="206" t="str">
        <f t="array" ref="BB1808">_xlfn.IFS(AQ1808="","",LEN(AQ1808)-LEN(SUBSTITUTE(AQ1808,".",""))=3,LEFT(AQ1808,vitri(".",AQ1808,3)-1),LEN(AQ1808)-LEN(SUBSTITUTE(AQ1808,".",""))=2,LEFT(AQ1808,vitri(".",AQ1808,2)-1),TRUE,LEFT(AQ1808,vitri(".",AQ1808,1)-1))</f>
        <v/>
      </c>
    </row>
    <row r="1809" spans="13:54" x14ac:dyDescent="0.25">
      <c r="M1809" s="379"/>
      <c r="BB1809" s="206" t="str">
        <f t="array" ref="BB1809">_xlfn.IFS(AQ1809="","",LEN(AQ1809)-LEN(SUBSTITUTE(AQ1809,".",""))=3,LEFT(AQ1809,vitri(".",AQ1809,3)-1),LEN(AQ1809)-LEN(SUBSTITUTE(AQ1809,".",""))=2,LEFT(AQ1809,vitri(".",AQ1809,2)-1),TRUE,LEFT(AQ1809,vitri(".",AQ1809,1)-1))</f>
        <v/>
      </c>
    </row>
    <row r="1810" spans="13:54" x14ac:dyDescent="0.25">
      <c r="M1810" s="379"/>
      <c r="BB1810" s="206" t="str">
        <f t="array" ref="BB1810">_xlfn.IFS(AQ1810="","",LEN(AQ1810)-LEN(SUBSTITUTE(AQ1810,".",""))=3,LEFT(AQ1810,vitri(".",AQ1810,3)-1),LEN(AQ1810)-LEN(SUBSTITUTE(AQ1810,".",""))=2,LEFT(AQ1810,vitri(".",AQ1810,2)-1),TRUE,LEFT(AQ1810,vitri(".",AQ1810,1)-1))</f>
        <v/>
      </c>
    </row>
    <row r="1811" spans="13:54" x14ac:dyDescent="0.25">
      <c r="M1811" s="379"/>
      <c r="BB1811" s="206" t="str">
        <f t="array" ref="BB1811">_xlfn.IFS(AQ1811="","",LEN(AQ1811)-LEN(SUBSTITUTE(AQ1811,".",""))=3,LEFT(AQ1811,vitri(".",AQ1811,3)-1),LEN(AQ1811)-LEN(SUBSTITUTE(AQ1811,".",""))=2,LEFT(AQ1811,vitri(".",AQ1811,2)-1),TRUE,LEFT(AQ1811,vitri(".",AQ1811,1)-1))</f>
        <v/>
      </c>
    </row>
    <row r="1812" spans="13:54" x14ac:dyDescent="0.25">
      <c r="M1812" s="379"/>
      <c r="BB1812" s="206" t="str">
        <f t="array" ref="BB1812">_xlfn.IFS(AQ1812="","",LEN(AQ1812)-LEN(SUBSTITUTE(AQ1812,".",""))=3,LEFT(AQ1812,vitri(".",AQ1812,3)-1),LEN(AQ1812)-LEN(SUBSTITUTE(AQ1812,".",""))=2,LEFT(AQ1812,vitri(".",AQ1812,2)-1),TRUE,LEFT(AQ1812,vitri(".",AQ1812,1)-1))</f>
        <v/>
      </c>
    </row>
    <row r="1813" spans="13:54" x14ac:dyDescent="0.25">
      <c r="M1813" s="379"/>
      <c r="BB1813" s="206" t="str">
        <f t="array" ref="BB1813">_xlfn.IFS(AQ1813="","",LEN(AQ1813)-LEN(SUBSTITUTE(AQ1813,".",""))=3,LEFT(AQ1813,vitri(".",AQ1813,3)-1),LEN(AQ1813)-LEN(SUBSTITUTE(AQ1813,".",""))=2,LEFT(AQ1813,vitri(".",AQ1813,2)-1),TRUE,LEFT(AQ1813,vitri(".",AQ1813,1)-1))</f>
        <v/>
      </c>
    </row>
    <row r="1814" spans="13:54" x14ac:dyDescent="0.25">
      <c r="M1814" s="379"/>
      <c r="BB1814" s="206" t="str">
        <f t="array" ref="BB1814">_xlfn.IFS(AQ1814="","",LEN(AQ1814)-LEN(SUBSTITUTE(AQ1814,".",""))=3,LEFT(AQ1814,vitri(".",AQ1814,3)-1),LEN(AQ1814)-LEN(SUBSTITUTE(AQ1814,".",""))=2,LEFT(AQ1814,vitri(".",AQ1814,2)-1),TRUE,LEFT(AQ1814,vitri(".",AQ1814,1)-1))</f>
        <v/>
      </c>
    </row>
    <row r="1815" spans="13:54" x14ac:dyDescent="0.25">
      <c r="M1815" s="379"/>
      <c r="BB1815" s="206" t="str">
        <f t="array" ref="BB1815">_xlfn.IFS(AQ1815="","",LEN(AQ1815)-LEN(SUBSTITUTE(AQ1815,".",""))=3,LEFT(AQ1815,vitri(".",AQ1815,3)-1),LEN(AQ1815)-LEN(SUBSTITUTE(AQ1815,".",""))=2,LEFT(AQ1815,vitri(".",AQ1815,2)-1),TRUE,LEFT(AQ1815,vitri(".",AQ1815,1)-1))</f>
        <v/>
      </c>
    </row>
    <row r="1816" spans="13:54" x14ac:dyDescent="0.25">
      <c r="M1816" s="379"/>
      <c r="BB1816" s="206" t="str">
        <f t="array" ref="BB1816">_xlfn.IFS(AQ1816="","",LEN(AQ1816)-LEN(SUBSTITUTE(AQ1816,".",""))=3,LEFT(AQ1816,vitri(".",AQ1816,3)-1),LEN(AQ1816)-LEN(SUBSTITUTE(AQ1816,".",""))=2,LEFT(AQ1816,vitri(".",AQ1816,2)-1),TRUE,LEFT(AQ1816,vitri(".",AQ1816,1)-1))</f>
        <v/>
      </c>
    </row>
    <row r="1817" spans="13:54" x14ac:dyDescent="0.25">
      <c r="M1817" s="379"/>
      <c r="BB1817" s="206" t="str">
        <f t="array" ref="BB1817">_xlfn.IFS(AQ1817="","",LEN(AQ1817)-LEN(SUBSTITUTE(AQ1817,".",""))=3,LEFT(AQ1817,vitri(".",AQ1817,3)-1),LEN(AQ1817)-LEN(SUBSTITUTE(AQ1817,".",""))=2,LEFT(AQ1817,vitri(".",AQ1817,2)-1),TRUE,LEFT(AQ1817,vitri(".",AQ1817,1)-1))</f>
        <v/>
      </c>
    </row>
    <row r="1818" spans="13:54" x14ac:dyDescent="0.25">
      <c r="M1818" s="379"/>
      <c r="BB1818" s="206" t="str">
        <f t="array" ref="BB1818">_xlfn.IFS(AQ1818="","",LEN(AQ1818)-LEN(SUBSTITUTE(AQ1818,".",""))=3,LEFT(AQ1818,vitri(".",AQ1818,3)-1),LEN(AQ1818)-LEN(SUBSTITUTE(AQ1818,".",""))=2,LEFT(AQ1818,vitri(".",AQ1818,2)-1),TRUE,LEFT(AQ1818,vitri(".",AQ1818,1)-1))</f>
        <v/>
      </c>
    </row>
    <row r="1819" spans="13:54" x14ac:dyDescent="0.25">
      <c r="M1819" s="379"/>
      <c r="BB1819" s="206" t="str">
        <f t="array" ref="BB1819">_xlfn.IFS(AQ1819="","",LEN(AQ1819)-LEN(SUBSTITUTE(AQ1819,".",""))=3,LEFT(AQ1819,vitri(".",AQ1819,3)-1),LEN(AQ1819)-LEN(SUBSTITUTE(AQ1819,".",""))=2,LEFT(AQ1819,vitri(".",AQ1819,2)-1),TRUE,LEFT(AQ1819,vitri(".",AQ1819,1)-1))</f>
        <v/>
      </c>
    </row>
    <row r="1820" spans="13:54" x14ac:dyDescent="0.25">
      <c r="M1820" s="379"/>
      <c r="BB1820" s="206" t="str">
        <f t="array" ref="BB1820">_xlfn.IFS(AQ1820="","",LEN(AQ1820)-LEN(SUBSTITUTE(AQ1820,".",""))=3,LEFT(AQ1820,vitri(".",AQ1820,3)-1),LEN(AQ1820)-LEN(SUBSTITUTE(AQ1820,".",""))=2,LEFT(AQ1820,vitri(".",AQ1820,2)-1),TRUE,LEFT(AQ1820,vitri(".",AQ1820,1)-1))</f>
        <v/>
      </c>
    </row>
    <row r="1821" spans="13:54" x14ac:dyDescent="0.25">
      <c r="M1821" s="379"/>
      <c r="BB1821" s="206" t="str">
        <f t="array" ref="BB1821">_xlfn.IFS(AQ1821="","",LEN(AQ1821)-LEN(SUBSTITUTE(AQ1821,".",""))=3,LEFT(AQ1821,vitri(".",AQ1821,3)-1),LEN(AQ1821)-LEN(SUBSTITUTE(AQ1821,".",""))=2,LEFT(AQ1821,vitri(".",AQ1821,2)-1),TRUE,LEFT(AQ1821,vitri(".",AQ1821,1)-1))</f>
        <v/>
      </c>
    </row>
    <row r="1822" spans="13:54" x14ac:dyDescent="0.25">
      <c r="M1822" s="379"/>
      <c r="BB1822" s="206" t="str">
        <f t="array" ref="BB1822">_xlfn.IFS(AQ1822="","",LEN(AQ1822)-LEN(SUBSTITUTE(AQ1822,".",""))=3,LEFT(AQ1822,vitri(".",AQ1822,3)-1),LEN(AQ1822)-LEN(SUBSTITUTE(AQ1822,".",""))=2,LEFT(AQ1822,vitri(".",AQ1822,2)-1),TRUE,LEFT(AQ1822,vitri(".",AQ1822,1)-1))</f>
        <v/>
      </c>
    </row>
    <row r="1823" spans="13:54" x14ac:dyDescent="0.25">
      <c r="M1823" s="379"/>
      <c r="BB1823" s="206" t="str">
        <f t="array" ref="BB1823">_xlfn.IFS(AQ1823="","",LEN(AQ1823)-LEN(SUBSTITUTE(AQ1823,".",""))=3,LEFT(AQ1823,vitri(".",AQ1823,3)-1),LEN(AQ1823)-LEN(SUBSTITUTE(AQ1823,".",""))=2,LEFT(AQ1823,vitri(".",AQ1823,2)-1),TRUE,LEFT(AQ1823,vitri(".",AQ1823,1)-1))</f>
        <v/>
      </c>
    </row>
    <row r="1824" spans="13:54" x14ac:dyDescent="0.25">
      <c r="M1824" s="379"/>
      <c r="BB1824" s="206" t="str">
        <f t="array" ref="BB1824">_xlfn.IFS(AQ1824="","",LEN(AQ1824)-LEN(SUBSTITUTE(AQ1824,".",""))=3,LEFT(AQ1824,vitri(".",AQ1824,3)-1),LEN(AQ1824)-LEN(SUBSTITUTE(AQ1824,".",""))=2,LEFT(AQ1824,vitri(".",AQ1824,2)-1),TRUE,LEFT(AQ1824,vitri(".",AQ1824,1)-1))</f>
        <v/>
      </c>
    </row>
    <row r="1825" spans="13:54" x14ac:dyDescent="0.25">
      <c r="M1825" s="379"/>
      <c r="BB1825" s="206" t="str">
        <f t="array" ref="BB1825">_xlfn.IFS(AQ1825="","",LEN(AQ1825)-LEN(SUBSTITUTE(AQ1825,".",""))=3,LEFT(AQ1825,vitri(".",AQ1825,3)-1),LEN(AQ1825)-LEN(SUBSTITUTE(AQ1825,".",""))=2,LEFT(AQ1825,vitri(".",AQ1825,2)-1),TRUE,LEFT(AQ1825,vitri(".",AQ1825,1)-1))</f>
        <v/>
      </c>
    </row>
    <row r="1826" spans="13:54" x14ac:dyDescent="0.25">
      <c r="M1826" s="379"/>
      <c r="BB1826" s="206" t="str">
        <f t="array" ref="BB1826">_xlfn.IFS(AQ1826="","",LEN(AQ1826)-LEN(SUBSTITUTE(AQ1826,".",""))=3,LEFT(AQ1826,vitri(".",AQ1826,3)-1),LEN(AQ1826)-LEN(SUBSTITUTE(AQ1826,".",""))=2,LEFT(AQ1826,vitri(".",AQ1826,2)-1),TRUE,LEFT(AQ1826,vitri(".",AQ1826,1)-1))</f>
        <v/>
      </c>
    </row>
    <row r="1827" spans="13:54" x14ac:dyDescent="0.25">
      <c r="M1827" s="379"/>
      <c r="BB1827" s="206" t="str">
        <f t="array" ref="BB1827">_xlfn.IFS(AQ1827="","",LEN(AQ1827)-LEN(SUBSTITUTE(AQ1827,".",""))=3,LEFT(AQ1827,vitri(".",AQ1827,3)-1),LEN(AQ1827)-LEN(SUBSTITUTE(AQ1827,".",""))=2,LEFT(AQ1827,vitri(".",AQ1827,2)-1),TRUE,LEFT(AQ1827,vitri(".",AQ1827,1)-1))</f>
        <v/>
      </c>
    </row>
    <row r="1828" spans="13:54" x14ac:dyDescent="0.25">
      <c r="M1828" s="379"/>
      <c r="BB1828" s="206" t="str">
        <f t="array" ref="BB1828">_xlfn.IFS(AQ1828="","",LEN(AQ1828)-LEN(SUBSTITUTE(AQ1828,".",""))=3,LEFT(AQ1828,vitri(".",AQ1828,3)-1),LEN(AQ1828)-LEN(SUBSTITUTE(AQ1828,".",""))=2,LEFT(AQ1828,vitri(".",AQ1828,2)-1),TRUE,LEFT(AQ1828,vitri(".",AQ1828,1)-1))</f>
        <v/>
      </c>
    </row>
    <row r="1829" spans="13:54" x14ac:dyDescent="0.25">
      <c r="M1829" s="379"/>
      <c r="BB1829" s="206" t="str">
        <f t="array" ref="BB1829">_xlfn.IFS(AQ1829="","",LEN(AQ1829)-LEN(SUBSTITUTE(AQ1829,".",""))=3,LEFT(AQ1829,vitri(".",AQ1829,3)-1),LEN(AQ1829)-LEN(SUBSTITUTE(AQ1829,".",""))=2,LEFT(AQ1829,vitri(".",AQ1829,2)-1),TRUE,LEFT(AQ1829,vitri(".",AQ1829,1)-1))</f>
        <v/>
      </c>
    </row>
    <row r="1830" spans="13:54" x14ac:dyDescent="0.25">
      <c r="M1830" s="379"/>
      <c r="BB1830" s="206" t="str">
        <f t="array" ref="BB1830">_xlfn.IFS(AQ1830="","",LEN(AQ1830)-LEN(SUBSTITUTE(AQ1830,".",""))=3,LEFT(AQ1830,vitri(".",AQ1830,3)-1),LEN(AQ1830)-LEN(SUBSTITUTE(AQ1830,".",""))=2,LEFT(AQ1830,vitri(".",AQ1830,2)-1),TRUE,LEFT(AQ1830,vitri(".",AQ1830,1)-1))</f>
        <v/>
      </c>
    </row>
    <row r="1831" spans="13:54" x14ac:dyDescent="0.25">
      <c r="M1831" s="379"/>
      <c r="BB1831" s="206" t="str">
        <f t="array" ref="BB1831">_xlfn.IFS(AQ1831="","",LEN(AQ1831)-LEN(SUBSTITUTE(AQ1831,".",""))=3,LEFT(AQ1831,vitri(".",AQ1831,3)-1),LEN(AQ1831)-LEN(SUBSTITUTE(AQ1831,".",""))=2,LEFT(AQ1831,vitri(".",AQ1831,2)-1),TRUE,LEFT(AQ1831,vitri(".",AQ1831,1)-1))</f>
        <v/>
      </c>
    </row>
    <row r="1832" spans="13:54" x14ac:dyDescent="0.25">
      <c r="M1832" s="379"/>
      <c r="BB1832" s="206" t="str">
        <f t="array" ref="BB1832">_xlfn.IFS(AQ1832="","",LEN(AQ1832)-LEN(SUBSTITUTE(AQ1832,".",""))=3,LEFT(AQ1832,vitri(".",AQ1832,3)-1),LEN(AQ1832)-LEN(SUBSTITUTE(AQ1832,".",""))=2,LEFT(AQ1832,vitri(".",AQ1832,2)-1),TRUE,LEFT(AQ1832,vitri(".",AQ1832,1)-1))</f>
        <v/>
      </c>
    </row>
    <row r="1833" spans="13:54" x14ac:dyDescent="0.25">
      <c r="M1833" s="379"/>
      <c r="BB1833" s="206" t="str">
        <f t="array" ref="BB1833">_xlfn.IFS(AQ1833="","",LEN(AQ1833)-LEN(SUBSTITUTE(AQ1833,".",""))=3,LEFT(AQ1833,vitri(".",AQ1833,3)-1),LEN(AQ1833)-LEN(SUBSTITUTE(AQ1833,".",""))=2,LEFT(AQ1833,vitri(".",AQ1833,2)-1),TRUE,LEFT(AQ1833,vitri(".",AQ1833,1)-1))</f>
        <v/>
      </c>
    </row>
    <row r="1834" spans="13:54" x14ac:dyDescent="0.25">
      <c r="M1834" s="379"/>
      <c r="BB1834" s="206" t="str">
        <f t="array" ref="BB1834">_xlfn.IFS(AQ1834="","",LEN(AQ1834)-LEN(SUBSTITUTE(AQ1834,".",""))=3,LEFT(AQ1834,vitri(".",AQ1834,3)-1),LEN(AQ1834)-LEN(SUBSTITUTE(AQ1834,".",""))=2,LEFT(AQ1834,vitri(".",AQ1834,2)-1),TRUE,LEFT(AQ1834,vitri(".",AQ1834,1)-1))</f>
        <v/>
      </c>
    </row>
    <row r="1835" spans="13:54" x14ac:dyDescent="0.25">
      <c r="M1835" s="379"/>
      <c r="BB1835" s="206" t="str">
        <f t="array" ref="BB1835">_xlfn.IFS(AQ1835="","",LEN(AQ1835)-LEN(SUBSTITUTE(AQ1835,".",""))=3,LEFT(AQ1835,vitri(".",AQ1835,3)-1),LEN(AQ1835)-LEN(SUBSTITUTE(AQ1835,".",""))=2,LEFT(AQ1835,vitri(".",AQ1835,2)-1),TRUE,LEFT(AQ1835,vitri(".",AQ1835,1)-1))</f>
        <v/>
      </c>
    </row>
    <row r="1836" spans="13:54" x14ac:dyDescent="0.25">
      <c r="M1836" s="379"/>
      <c r="BB1836" s="206" t="str">
        <f t="array" ref="BB1836">_xlfn.IFS(AQ1836="","",LEN(AQ1836)-LEN(SUBSTITUTE(AQ1836,".",""))=3,LEFT(AQ1836,vitri(".",AQ1836,3)-1),LEN(AQ1836)-LEN(SUBSTITUTE(AQ1836,".",""))=2,LEFT(AQ1836,vitri(".",AQ1836,2)-1),TRUE,LEFT(AQ1836,vitri(".",AQ1836,1)-1))</f>
        <v/>
      </c>
    </row>
    <row r="1837" spans="13:54" x14ac:dyDescent="0.25">
      <c r="M1837" s="379"/>
      <c r="BB1837" s="206" t="str">
        <f t="array" ref="BB1837">_xlfn.IFS(AQ1837="","",LEN(AQ1837)-LEN(SUBSTITUTE(AQ1837,".",""))=3,LEFT(AQ1837,vitri(".",AQ1837,3)-1),LEN(AQ1837)-LEN(SUBSTITUTE(AQ1837,".",""))=2,LEFT(AQ1837,vitri(".",AQ1837,2)-1),TRUE,LEFT(AQ1837,vitri(".",AQ1837,1)-1))</f>
        <v/>
      </c>
    </row>
    <row r="1838" spans="13:54" x14ac:dyDescent="0.25">
      <c r="M1838" s="379"/>
      <c r="BB1838" s="206" t="str">
        <f t="array" ref="BB1838">_xlfn.IFS(AQ1838="","",LEN(AQ1838)-LEN(SUBSTITUTE(AQ1838,".",""))=3,LEFT(AQ1838,vitri(".",AQ1838,3)-1),LEN(AQ1838)-LEN(SUBSTITUTE(AQ1838,".",""))=2,LEFT(AQ1838,vitri(".",AQ1838,2)-1),TRUE,LEFT(AQ1838,vitri(".",AQ1838,1)-1))</f>
        <v/>
      </c>
    </row>
    <row r="1839" spans="13:54" x14ac:dyDescent="0.25">
      <c r="M1839" s="379"/>
      <c r="BB1839" s="206" t="str">
        <f t="array" ref="BB1839">_xlfn.IFS(AQ1839="","",LEN(AQ1839)-LEN(SUBSTITUTE(AQ1839,".",""))=3,LEFT(AQ1839,vitri(".",AQ1839,3)-1),LEN(AQ1839)-LEN(SUBSTITUTE(AQ1839,".",""))=2,LEFT(AQ1839,vitri(".",AQ1839,2)-1),TRUE,LEFT(AQ1839,vitri(".",AQ1839,1)-1))</f>
        <v/>
      </c>
    </row>
    <row r="1840" spans="13:54" x14ac:dyDescent="0.25">
      <c r="M1840" s="379"/>
      <c r="BB1840" s="206" t="str">
        <f t="array" ref="BB1840">_xlfn.IFS(AQ1840="","",LEN(AQ1840)-LEN(SUBSTITUTE(AQ1840,".",""))=3,LEFT(AQ1840,vitri(".",AQ1840,3)-1),LEN(AQ1840)-LEN(SUBSTITUTE(AQ1840,".",""))=2,LEFT(AQ1840,vitri(".",AQ1840,2)-1),TRUE,LEFT(AQ1840,vitri(".",AQ1840,1)-1))</f>
        <v/>
      </c>
    </row>
    <row r="1841" spans="13:54" x14ac:dyDescent="0.25">
      <c r="M1841" s="379"/>
      <c r="BB1841" s="206" t="str">
        <f t="array" ref="BB1841">_xlfn.IFS(AQ1841="","",LEN(AQ1841)-LEN(SUBSTITUTE(AQ1841,".",""))=3,LEFT(AQ1841,vitri(".",AQ1841,3)-1),LEN(AQ1841)-LEN(SUBSTITUTE(AQ1841,".",""))=2,LEFT(AQ1841,vitri(".",AQ1841,2)-1),TRUE,LEFT(AQ1841,vitri(".",AQ1841,1)-1))</f>
        <v/>
      </c>
    </row>
    <row r="1842" spans="13:54" x14ac:dyDescent="0.25">
      <c r="M1842" s="379"/>
      <c r="BB1842" s="206" t="str">
        <f t="array" ref="BB1842">_xlfn.IFS(AQ1842="","",LEN(AQ1842)-LEN(SUBSTITUTE(AQ1842,".",""))=3,LEFT(AQ1842,vitri(".",AQ1842,3)-1),LEN(AQ1842)-LEN(SUBSTITUTE(AQ1842,".",""))=2,LEFT(AQ1842,vitri(".",AQ1842,2)-1),TRUE,LEFT(AQ1842,vitri(".",AQ1842,1)-1))</f>
        <v/>
      </c>
    </row>
    <row r="1843" spans="13:54" x14ac:dyDescent="0.25">
      <c r="M1843" s="379"/>
      <c r="BB1843" s="206" t="str">
        <f t="array" ref="BB1843">_xlfn.IFS(AQ1843="","",LEN(AQ1843)-LEN(SUBSTITUTE(AQ1843,".",""))=3,LEFT(AQ1843,vitri(".",AQ1843,3)-1),LEN(AQ1843)-LEN(SUBSTITUTE(AQ1843,".",""))=2,LEFT(AQ1843,vitri(".",AQ1843,2)-1),TRUE,LEFT(AQ1843,vitri(".",AQ1843,1)-1))</f>
        <v/>
      </c>
    </row>
    <row r="1844" spans="13:54" x14ac:dyDescent="0.25">
      <c r="M1844" s="379"/>
      <c r="BB1844" s="206" t="str">
        <f t="array" ref="BB1844">_xlfn.IFS(AQ1844="","",LEN(AQ1844)-LEN(SUBSTITUTE(AQ1844,".",""))=3,LEFT(AQ1844,vitri(".",AQ1844,3)-1),LEN(AQ1844)-LEN(SUBSTITUTE(AQ1844,".",""))=2,LEFT(AQ1844,vitri(".",AQ1844,2)-1),TRUE,LEFT(AQ1844,vitri(".",AQ1844,1)-1))</f>
        <v/>
      </c>
    </row>
    <row r="1845" spans="13:54" x14ac:dyDescent="0.25">
      <c r="M1845" s="379"/>
      <c r="BB1845" s="206" t="str">
        <f t="array" ref="BB1845">_xlfn.IFS(AQ1845="","",LEN(AQ1845)-LEN(SUBSTITUTE(AQ1845,".",""))=3,LEFT(AQ1845,vitri(".",AQ1845,3)-1),LEN(AQ1845)-LEN(SUBSTITUTE(AQ1845,".",""))=2,LEFT(AQ1845,vitri(".",AQ1845,2)-1),TRUE,LEFT(AQ1845,vitri(".",AQ1845,1)-1))</f>
        <v/>
      </c>
    </row>
    <row r="1846" spans="13:54" x14ac:dyDescent="0.25">
      <c r="M1846" s="379"/>
      <c r="BB1846" s="206" t="str">
        <f t="array" ref="BB1846">_xlfn.IFS(AQ1846="","",LEN(AQ1846)-LEN(SUBSTITUTE(AQ1846,".",""))=3,LEFT(AQ1846,vitri(".",AQ1846,3)-1),LEN(AQ1846)-LEN(SUBSTITUTE(AQ1846,".",""))=2,LEFT(AQ1846,vitri(".",AQ1846,2)-1),TRUE,LEFT(AQ1846,vitri(".",AQ1846,1)-1))</f>
        <v/>
      </c>
    </row>
    <row r="1847" spans="13:54" x14ac:dyDescent="0.25">
      <c r="M1847" s="379"/>
      <c r="BB1847" s="206" t="str">
        <f t="array" ref="BB1847">_xlfn.IFS(AQ1847="","",LEN(AQ1847)-LEN(SUBSTITUTE(AQ1847,".",""))=3,LEFT(AQ1847,vitri(".",AQ1847,3)-1),LEN(AQ1847)-LEN(SUBSTITUTE(AQ1847,".",""))=2,LEFT(AQ1847,vitri(".",AQ1847,2)-1),TRUE,LEFT(AQ1847,vitri(".",AQ1847,1)-1))</f>
        <v/>
      </c>
    </row>
    <row r="1848" spans="13:54" x14ac:dyDescent="0.25">
      <c r="M1848" s="379"/>
      <c r="BB1848" s="206" t="str">
        <f t="array" ref="BB1848">_xlfn.IFS(AQ1848="","",LEN(AQ1848)-LEN(SUBSTITUTE(AQ1848,".",""))=3,LEFT(AQ1848,vitri(".",AQ1848,3)-1),LEN(AQ1848)-LEN(SUBSTITUTE(AQ1848,".",""))=2,LEFT(AQ1848,vitri(".",AQ1848,2)-1),TRUE,LEFT(AQ1848,vitri(".",AQ1848,1)-1))</f>
        <v/>
      </c>
    </row>
    <row r="1849" spans="13:54" x14ac:dyDescent="0.25">
      <c r="M1849" s="379"/>
      <c r="BB1849" s="206" t="str">
        <f t="array" ref="BB1849">_xlfn.IFS(AQ1849="","",LEN(AQ1849)-LEN(SUBSTITUTE(AQ1849,".",""))=3,LEFT(AQ1849,vitri(".",AQ1849,3)-1),LEN(AQ1849)-LEN(SUBSTITUTE(AQ1849,".",""))=2,LEFT(AQ1849,vitri(".",AQ1849,2)-1),TRUE,LEFT(AQ1849,vitri(".",AQ1849,1)-1))</f>
        <v/>
      </c>
    </row>
    <row r="1850" spans="13:54" x14ac:dyDescent="0.25">
      <c r="M1850" s="379"/>
      <c r="BB1850" s="206" t="str">
        <f t="array" ref="BB1850">_xlfn.IFS(AQ1850="","",LEN(AQ1850)-LEN(SUBSTITUTE(AQ1850,".",""))=3,LEFT(AQ1850,vitri(".",AQ1850,3)-1),LEN(AQ1850)-LEN(SUBSTITUTE(AQ1850,".",""))=2,LEFT(AQ1850,vitri(".",AQ1850,2)-1),TRUE,LEFT(AQ1850,vitri(".",AQ1850,1)-1))</f>
        <v/>
      </c>
    </row>
    <row r="1851" spans="13:54" x14ac:dyDescent="0.25">
      <c r="M1851" s="379"/>
      <c r="BB1851" s="206" t="str">
        <f t="array" ref="BB1851">_xlfn.IFS(AQ1851="","",LEN(AQ1851)-LEN(SUBSTITUTE(AQ1851,".",""))=3,LEFT(AQ1851,vitri(".",AQ1851,3)-1),LEN(AQ1851)-LEN(SUBSTITUTE(AQ1851,".",""))=2,LEFT(AQ1851,vitri(".",AQ1851,2)-1),TRUE,LEFT(AQ1851,vitri(".",AQ1851,1)-1))</f>
        <v/>
      </c>
    </row>
    <row r="1852" spans="13:54" x14ac:dyDescent="0.25">
      <c r="M1852" s="379"/>
      <c r="BB1852" s="206" t="str">
        <f t="array" ref="BB1852">_xlfn.IFS(AQ1852="","",LEN(AQ1852)-LEN(SUBSTITUTE(AQ1852,".",""))=3,LEFT(AQ1852,vitri(".",AQ1852,3)-1),LEN(AQ1852)-LEN(SUBSTITUTE(AQ1852,".",""))=2,LEFT(AQ1852,vitri(".",AQ1852,2)-1),TRUE,LEFT(AQ1852,vitri(".",AQ1852,1)-1))</f>
        <v/>
      </c>
    </row>
    <row r="1853" spans="13:54" x14ac:dyDescent="0.25">
      <c r="M1853" s="379"/>
      <c r="BB1853" s="206" t="str">
        <f t="array" ref="BB1853">_xlfn.IFS(AQ1853="","",LEN(AQ1853)-LEN(SUBSTITUTE(AQ1853,".",""))=3,LEFT(AQ1853,vitri(".",AQ1853,3)-1),LEN(AQ1853)-LEN(SUBSTITUTE(AQ1853,".",""))=2,LEFT(AQ1853,vitri(".",AQ1853,2)-1),TRUE,LEFT(AQ1853,vitri(".",AQ1853,1)-1))</f>
        <v/>
      </c>
    </row>
    <row r="1854" spans="13:54" x14ac:dyDescent="0.25">
      <c r="M1854" s="379"/>
      <c r="BB1854" s="206" t="str">
        <f t="array" ref="BB1854">_xlfn.IFS(AQ1854="","",LEN(AQ1854)-LEN(SUBSTITUTE(AQ1854,".",""))=3,LEFT(AQ1854,vitri(".",AQ1854,3)-1),LEN(AQ1854)-LEN(SUBSTITUTE(AQ1854,".",""))=2,LEFT(AQ1854,vitri(".",AQ1854,2)-1),TRUE,LEFT(AQ1854,vitri(".",AQ1854,1)-1))</f>
        <v/>
      </c>
    </row>
    <row r="1855" spans="13:54" x14ac:dyDescent="0.25">
      <c r="M1855" s="379"/>
      <c r="BB1855" s="206" t="str">
        <f t="array" ref="BB1855">_xlfn.IFS(AQ1855="","",LEN(AQ1855)-LEN(SUBSTITUTE(AQ1855,".",""))=3,LEFT(AQ1855,vitri(".",AQ1855,3)-1),LEN(AQ1855)-LEN(SUBSTITUTE(AQ1855,".",""))=2,LEFT(AQ1855,vitri(".",AQ1855,2)-1),TRUE,LEFT(AQ1855,vitri(".",AQ1855,1)-1))</f>
        <v/>
      </c>
    </row>
    <row r="1856" spans="13:54" x14ac:dyDescent="0.25">
      <c r="M1856" s="379"/>
      <c r="BB1856" s="206" t="str">
        <f t="array" ref="BB1856">_xlfn.IFS(AQ1856="","",LEN(AQ1856)-LEN(SUBSTITUTE(AQ1856,".",""))=3,LEFT(AQ1856,vitri(".",AQ1856,3)-1),LEN(AQ1856)-LEN(SUBSTITUTE(AQ1856,".",""))=2,LEFT(AQ1856,vitri(".",AQ1856,2)-1),TRUE,LEFT(AQ1856,vitri(".",AQ1856,1)-1))</f>
        <v/>
      </c>
    </row>
    <row r="1857" spans="13:54" x14ac:dyDescent="0.25">
      <c r="M1857" s="379"/>
      <c r="BB1857" s="206" t="str">
        <f t="array" ref="BB1857">_xlfn.IFS(AQ1857="","",LEN(AQ1857)-LEN(SUBSTITUTE(AQ1857,".",""))=3,LEFT(AQ1857,vitri(".",AQ1857,3)-1),LEN(AQ1857)-LEN(SUBSTITUTE(AQ1857,".",""))=2,LEFT(AQ1857,vitri(".",AQ1857,2)-1),TRUE,LEFT(AQ1857,vitri(".",AQ1857,1)-1))</f>
        <v/>
      </c>
    </row>
    <row r="1858" spans="13:54" x14ac:dyDescent="0.25">
      <c r="M1858" s="379"/>
      <c r="BB1858" s="206" t="str">
        <f t="array" ref="BB1858">_xlfn.IFS(AQ1858="","",LEN(AQ1858)-LEN(SUBSTITUTE(AQ1858,".",""))=3,LEFT(AQ1858,vitri(".",AQ1858,3)-1),LEN(AQ1858)-LEN(SUBSTITUTE(AQ1858,".",""))=2,LEFT(AQ1858,vitri(".",AQ1858,2)-1),TRUE,LEFT(AQ1858,vitri(".",AQ1858,1)-1))</f>
        <v/>
      </c>
    </row>
    <row r="1859" spans="13:54" x14ac:dyDescent="0.25">
      <c r="M1859" s="379"/>
      <c r="BB1859" s="206" t="str">
        <f t="array" ref="BB1859">_xlfn.IFS(AQ1859="","",LEN(AQ1859)-LEN(SUBSTITUTE(AQ1859,".",""))=3,LEFT(AQ1859,vitri(".",AQ1859,3)-1),LEN(AQ1859)-LEN(SUBSTITUTE(AQ1859,".",""))=2,LEFT(AQ1859,vitri(".",AQ1859,2)-1),TRUE,LEFT(AQ1859,vitri(".",AQ1859,1)-1))</f>
        <v/>
      </c>
    </row>
    <row r="1860" spans="13:54" x14ac:dyDescent="0.25">
      <c r="M1860" s="379"/>
      <c r="BB1860" s="206" t="str">
        <f t="array" ref="BB1860">_xlfn.IFS(AQ1860="","",LEN(AQ1860)-LEN(SUBSTITUTE(AQ1860,".",""))=3,LEFT(AQ1860,vitri(".",AQ1860,3)-1),LEN(AQ1860)-LEN(SUBSTITUTE(AQ1860,".",""))=2,LEFT(AQ1860,vitri(".",AQ1860,2)-1),TRUE,LEFT(AQ1860,vitri(".",AQ1860,1)-1))</f>
        <v/>
      </c>
    </row>
    <row r="1861" spans="13:54" x14ac:dyDescent="0.25">
      <c r="M1861" s="379"/>
      <c r="BB1861" s="206" t="str">
        <f t="array" ref="BB1861">_xlfn.IFS(AQ1861="","",LEN(AQ1861)-LEN(SUBSTITUTE(AQ1861,".",""))=3,LEFT(AQ1861,vitri(".",AQ1861,3)-1),LEN(AQ1861)-LEN(SUBSTITUTE(AQ1861,".",""))=2,LEFT(AQ1861,vitri(".",AQ1861,2)-1),TRUE,LEFT(AQ1861,vitri(".",AQ1861,1)-1))</f>
        <v/>
      </c>
    </row>
    <row r="1862" spans="13:54" x14ac:dyDescent="0.25">
      <c r="M1862" s="379"/>
      <c r="BB1862" s="206" t="str">
        <f t="array" ref="BB1862">_xlfn.IFS(AQ1862="","",LEN(AQ1862)-LEN(SUBSTITUTE(AQ1862,".",""))=3,LEFT(AQ1862,vitri(".",AQ1862,3)-1),LEN(AQ1862)-LEN(SUBSTITUTE(AQ1862,".",""))=2,LEFT(AQ1862,vitri(".",AQ1862,2)-1),TRUE,LEFT(AQ1862,vitri(".",AQ1862,1)-1))</f>
        <v/>
      </c>
    </row>
    <row r="1863" spans="13:54" x14ac:dyDescent="0.25">
      <c r="M1863" s="379"/>
      <c r="BB1863" s="206" t="str">
        <f t="array" ref="BB1863">_xlfn.IFS(AQ1863="","",LEN(AQ1863)-LEN(SUBSTITUTE(AQ1863,".",""))=3,LEFT(AQ1863,vitri(".",AQ1863,3)-1),LEN(AQ1863)-LEN(SUBSTITUTE(AQ1863,".",""))=2,LEFT(AQ1863,vitri(".",AQ1863,2)-1),TRUE,LEFT(AQ1863,vitri(".",AQ1863,1)-1))</f>
        <v/>
      </c>
    </row>
    <row r="1864" spans="13:54" x14ac:dyDescent="0.25">
      <c r="M1864" s="379"/>
      <c r="BB1864" s="206" t="str">
        <f t="array" ref="BB1864">_xlfn.IFS(AQ1864="","",LEN(AQ1864)-LEN(SUBSTITUTE(AQ1864,".",""))=3,LEFT(AQ1864,vitri(".",AQ1864,3)-1),LEN(AQ1864)-LEN(SUBSTITUTE(AQ1864,".",""))=2,LEFT(AQ1864,vitri(".",AQ1864,2)-1),TRUE,LEFT(AQ1864,vitri(".",AQ1864,1)-1))</f>
        <v/>
      </c>
    </row>
    <row r="1865" spans="13:54" x14ac:dyDescent="0.25">
      <c r="M1865" s="379"/>
      <c r="BB1865" s="206" t="str">
        <f t="array" ref="BB1865">_xlfn.IFS(AQ1865="","",LEN(AQ1865)-LEN(SUBSTITUTE(AQ1865,".",""))=3,LEFT(AQ1865,vitri(".",AQ1865,3)-1),LEN(AQ1865)-LEN(SUBSTITUTE(AQ1865,".",""))=2,LEFT(AQ1865,vitri(".",AQ1865,2)-1),TRUE,LEFT(AQ1865,vitri(".",AQ1865,1)-1))</f>
        <v/>
      </c>
    </row>
    <row r="1866" spans="13:54" x14ac:dyDescent="0.25">
      <c r="M1866" s="379"/>
      <c r="BB1866" s="206" t="str">
        <f t="array" ref="BB1866">_xlfn.IFS(AQ1866="","",LEN(AQ1866)-LEN(SUBSTITUTE(AQ1866,".",""))=3,LEFT(AQ1866,vitri(".",AQ1866,3)-1),LEN(AQ1866)-LEN(SUBSTITUTE(AQ1866,".",""))=2,LEFT(AQ1866,vitri(".",AQ1866,2)-1),TRUE,LEFT(AQ1866,vitri(".",AQ1866,1)-1))</f>
        <v/>
      </c>
    </row>
    <row r="1867" spans="13:54" x14ac:dyDescent="0.25">
      <c r="M1867" s="379"/>
      <c r="BB1867" s="206" t="str">
        <f t="array" ref="BB1867">_xlfn.IFS(AQ1867="","",LEN(AQ1867)-LEN(SUBSTITUTE(AQ1867,".",""))=3,LEFT(AQ1867,vitri(".",AQ1867,3)-1),LEN(AQ1867)-LEN(SUBSTITUTE(AQ1867,".",""))=2,LEFT(AQ1867,vitri(".",AQ1867,2)-1),TRUE,LEFT(AQ1867,vitri(".",AQ1867,1)-1))</f>
        <v/>
      </c>
    </row>
    <row r="1868" spans="13:54" x14ac:dyDescent="0.25">
      <c r="M1868" s="379"/>
      <c r="BB1868" s="206" t="str">
        <f t="array" ref="BB1868">_xlfn.IFS(AQ1868="","",LEN(AQ1868)-LEN(SUBSTITUTE(AQ1868,".",""))=3,LEFT(AQ1868,vitri(".",AQ1868,3)-1),LEN(AQ1868)-LEN(SUBSTITUTE(AQ1868,".",""))=2,LEFT(AQ1868,vitri(".",AQ1868,2)-1),TRUE,LEFT(AQ1868,vitri(".",AQ1868,1)-1))</f>
        <v/>
      </c>
    </row>
    <row r="1869" spans="13:54" x14ac:dyDescent="0.25">
      <c r="M1869" s="379"/>
      <c r="BB1869" s="206" t="str">
        <f t="array" ref="BB1869">_xlfn.IFS(AQ1869="","",LEN(AQ1869)-LEN(SUBSTITUTE(AQ1869,".",""))=3,LEFT(AQ1869,vitri(".",AQ1869,3)-1),LEN(AQ1869)-LEN(SUBSTITUTE(AQ1869,".",""))=2,LEFT(AQ1869,vitri(".",AQ1869,2)-1),TRUE,LEFT(AQ1869,vitri(".",AQ1869,1)-1))</f>
        <v/>
      </c>
    </row>
    <row r="1870" spans="13:54" x14ac:dyDescent="0.25">
      <c r="M1870" s="379"/>
      <c r="BB1870" s="206" t="str">
        <f t="array" ref="BB1870">_xlfn.IFS(AQ1870="","",LEN(AQ1870)-LEN(SUBSTITUTE(AQ1870,".",""))=3,LEFT(AQ1870,vitri(".",AQ1870,3)-1),LEN(AQ1870)-LEN(SUBSTITUTE(AQ1870,".",""))=2,LEFT(AQ1870,vitri(".",AQ1870,2)-1),TRUE,LEFT(AQ1870,vitri(".",AQ1870,1)-1))</f>
        <v/>
      </c>
    </row>
    <row r="1871" spans="13:54" x14ac:dyDescent="0.25">
      <c r="M1871" s="379"/>
      <c r="BB1871" s="206" t="str">
        <f t="array" ref="BB1871">_xlfn.IFS(AQ1871="","",LEN(AQ1871)-LEN(SUBSTITUTE(AQ1871,".",""))=3,LEFT(AQ1871,vitri(".",AQ1871,3)-1),LEN(AQ1871)-LEN(SUBSTITUTE(AQ1871,".",""))=2,LEFT(AQ1871,vitri(".",AQ1871,2)-1),TRUE,LEFT(AQ1871,vitri(".",AQ1871,1)-1))</f>
        <v/>
      </c>
    </row>
    <row r="1872" spans="13:54" x14ac:dyDescent="0.25">
      <c r="M1872" s="379"/>
      <c r="BB1872" s="206" t="str">
        <f t="array" ref="BB1872">_xlfn.IFS(AQ1872="","",LEN(AQ1872)-LEN(SUBSTITUTE(AQ1872,".",""))=3,LEFT(AQ1872,vitri(".",AQ1872,3)-1),LEN(AQ1872)-LEN(SUBSTITUTE(AQ1872,".",""))=2,LEFT(AQ1872,vitri(".",AQ1872,2)-1),TRUE,LEFT(AQ1872,vitri(".",AQ1872,1)-1))</f>
        <v/>
      </c>
    </row>
    <row r="1873" spans="13:54" x14ac:dyDescent="0.25">
      <c r="M1873" s="379"/>
      <c r="BB1873" s="206" t="str">
        <f t="array" ref="BB1873">_xlfn.IFS(AQ1873="","",LEN(AQ1873)-LEN(SUBSTITUTE(AQ1873,".",""))=3,LEFT(AQ1873,vitri(".",AQ1873,3)-1),LEN(AQ1873)-LEN(SUBSTITUTE(AQ1873,".",""))=2,LEFT(AQ1873,vitri(".",AQ1873,2)-1),TRUE,LEFT(AQ1873,vitri(".",AQ1873,1)-1))</f>
        <v/>
      </c>
    </row>
    <row r="1874" spans="13:54" x14ac:dyDescent="0.25">
      <c r="M1874" s="379"/>
      <c r="BB1874" s="206" t="str">
        <f t="array" ref="BB1874">_xlfn.IFS(AQ1874="","",LEN(AQ1874)-LEN(SUBSTITUTE(AQ1874,".",""))=3,LEFT(AQ1874,vitri(".",AQ1874,3)-1),LEN(AQ1874)-LEN(SUBSTITUTE(AQ1874,".",""))=2,LEFT(AQ1874,vitri(".",AQ1874,2)-1),TRUE,LEFT(AQ1874,vitri(".",AQ1874,1)-1))</f>
        <v/>
      </c>
    </row>
    <row r="1875" spans="13:54" x14ac:dyDescent="0.25">
      <c r="M1875" s="379"/>
      <c r="BB1875" s="206" t="str">
        <f t="array" ref="BB1875">_xlfn.IFS(AQ1875="","",LEN(AQ1875)-LEN(SUBSTITUTE(AQ1875,".",""))=3,LEFT(AQ1875,vitri(".",AQ1875,3)-1),LEN(AQ1875)-LEN(SUBSTITUTE(AQ1875,".",""))=2,LEFT(AQ1875,vitri(".",AQ1875,2)-1),TRUE,LEFT(AQ1875,vitri(".",AQ1875,1)-1))</f>
        <v/>
      </c>
    </row>
    <row r="1876" spans="13:54" x14ac:dyDescent="0.25">
      <c r="M1876" s="379"/>
      <c r="BB1876" s="206" t="str">
        <f t="array" ref="BB1876">_xlfn.IFS(AQ1876="","",LEN(AQ1876)-LEN(SUBSTITUTE(AQ1876,".",""))=3,LEFT(AQ1876,vitri(".",AQ1876,3)-1),LEN(AQ1876)-LEN(SUBSTITUTE(AQ1876,".",""))=2,LEFT(AQ1876,vitri(".",AQ1876,2)-1),TRUE,LEFT(AQ1876,vitri(".",AQ1876,1)-1))</f>
        <v/>
      </c>
    </row>
    <row r="1877" spans="13:54" x14ac:dyDescent="0.25">
      <c r="M1877" s="379"/>
      <c r="BB1877" s="206" t="str">
        <f t="array" ref="BB1877">_xlfn.IFS(AQ1877="","",LEN(AQ1877)-LEN(SUBSTITUTE(AQ1877,".",""))=3,LEFT(AQ1877,vitri(".",AQ1877,3)-1),LEN(AQ1877)-LEN(SUBSTITUTE(AQ1877,".",""))=2,LEFT(AQ1877,vitri(".",AQ1877,2)-1),TRUE,LEFT(AQ1877,vitri(".",AQ1877,1)-1))</f>
        <v/>
      </c>
    </row>
    <row r="1878" spans="13:54" x14ac:dyDescent="0.25">
      <c r="M1878" s="379"/>
      <c r="BB1878" s="206" t="str">
        <f t="array" ref="BB1878">_xlfn.IFS(AQ1878="","",LEN(AQ1878)-LEN(SUBSTITUTE(AQ1878,".",""))=3,LEFT(AQ1878,vitri(".",AQ1878,3)-1),LEN(AQ1878)-LEN(SUBSTITUTE(AQ1878,".",""))=2,LEFT(AQ1878,vitri(".",AQ1878,2)-1),TRUE,LEFT(AQ1878,vitri(".",AQ1878,1)-1))</f>
        <v/>
      </c>
    </row>
    <row r="1879" spans="13:54" x14ac:dyDescent="0.25">
      <c r="M1879" s="379"/>
      <c r="BB1879" s="206" t="str">
        <f t="array" ref="BB1879">_xlfn.IFS(AQ1879="","",LEN(AQ1879)-LEN(SUBSTITUTE(AQ1879,".",""))=3,LEFT(AQ1879,vitri(".",AQ1879,3)-1),LEN(AQ1879)-LEN(SUBSTITUTE(AQ1879,".",""))=2,LEFT(AQ1879,vitri(".",AQ1879,2)-1),TRUE,LEFT(AQ1879,vitri(".",AQ1879,1)-1))</f>
        <v/>
      </c>
    </row>
    <row r="1880" spans="13:54" x14ac:dyDescent="0.25">
      <c r="M1880" s="379"/>
      <c r="BB1880" s="206" t="str">
        <f t="array" ref="BB1880">_xlfn.IFS(AQ1880="","",LEN(AQ1880)-LEN(SUBSTITUTE(AQ1880,".",""))=3,LEFT(AQ1880,vitri(".",AQ1880,3)-1),LEN(AQ1880)-LEN(SUBSTITUTE(AQ1880,".",""))=2,LEFT(AQ1880,vitri(".",AQ1880,2)-1),TRUE,LEFT(AQ1880,vitri(".",AQ1880,1)-1))</f>
        <v/>
      </c>
    </row>
    <row r="1881" spans="13:54" x14ac:dyDescent="0.25">
      <c r="M1881" s="379"/>
      <c r="BB1881" s="206" t="str">
        <f t="array" ref="BB1881">_xlfn.IFS(AQ1881="","",LEN(AQ1881)-LEN(SUBSTITUTE(AQ1881,".",""))=3,LEFT(AQ1881,vitri(".",AQ1881,3)-1),LEN(AQ1881)-LEN(SUBSTITUTE(AQ1881,".",""))=2,LEFT(AQ1881,vitri(".",AQ1881,2)-1),TRUE,LEFT(AQ1881,vitri(".",AQ1881,1)-1))</f>
        <v/>
      </c>
    </row>
    <row r="1882" spans="13:54" x14ac:dyDescent="0.25">
      <c r="M1882" s="379"/>
      <c r="BB1882" s="206" t="str">
        <f t="array" ref="BB1882">_xlfn.IFS(AQ1882="","",LEN(AQ1882)-LEN(SUBSTITUTE(AQ1882,".",""))=3,LEFT(AQ1882,vitri(".",AQ1882,3)-1),LEN(AQ1882)-LEN(SUBSTITUTE(AQ1882,".",""))=2,LEFT(AQ1882,vitri(".",AQ1882,2)-1),TRUE,LEFT(AQ1882,vitri(".",AQ1882,1)-1))</f>
        <v/>
      </c>
    </row>
    <row r="1883" spans="13:54" x14ac:dyDescent="0.25">
      <c r="M1883" s="379"/>
      <c r="BB1883" s="206" t="str">
        <f t="array" ref="BB1883">_xlfn.IFS(AQ1883="","",LEN(AQ1883)-LEN(SUBSTITUTE(AQ1883,".",""))=3,LEFT(AQ1883,vitri(".",AQ1883,3)-1),LEN(AQ1883)-LEN(SUBSTITUTE(AQ1883,".",""))=2,LEFT(AQ1883,vitri(".",AQ1883,2)-1),TRUE,LEFT(AQ1883,vitri(".",AQ1883,1)-1))</f>
        <v/>
      </c>
    </row>
    <row r="1884" spans="13:54" x14ac:dyDescent="0.25">
      <c r="M1884" s="379"/>
      <c r="BB1884" s="206" t="str">
        <f t="array" ref="BB1884">_xlfn.IFS(AQ1884="","",LEN(AQ1884)-LEN(SUBSTITUTE(AQ1884,".",""))=3,LEFT(AQ1884,vitri(".",AQ1884,3)-1),LEN(AQ1884)-LEN(SUBSTITUTE(AQ1884,".",""))=2,LEFT(AQ1884,vitri(".",AQ1884,2)-1),TRUE,LEFT(AQ1884,vitri(".",AQ1884,1)-1))</f>
        <v/>
      </c>
    </row>
    <row r="1885" spans="13:54" x14ac:dyDescent="0.25">
      <c r="M1885" s="379"/>
      <c r="BB1885" s="206" t="str">
        <f t="array" ref="BB1885">_xlfn.IFS(AQ1885="","",LEN(AQ1885)-LEN(SUBSTITUTE(AQ1885,".",""))=3,LEFT(AQ1885,vitri(".",AQ1885,3)-1),LEN(AQ1885)-LEN(SUBSTITUTE(AQ1885,".",""))=2,LEFT(AQ1885,vitri(".",AQ1885,2)-1),TRUE,LEFT(AQ1885,vitri(".",AQ1885,1)-1))</f>
        <v/>
      </c>
    </row>
    <row r="1886" spans="13:54" x14ac:dyDescent="0.25">
      <c r="M1886" s="379"/>
      <c r="BB1886" s="206" t="str">
        <f t="array" ref="BB1886">_xlfn.IFS(AQ1886="","",LEN(AQ1886)-LEN(SUBSTITUTE(AQ1886,".",""))=3,LEFT(AQ1886,vitri(".",AQ1886,3)-1),LEN(AQ1886)-LEN(SUBSTITUTE(AQ1886,".",""))=2,LEFT(AQ1886,vitri(".",AQ1886,2)-1),TRUE,LEFT(AQ1886,vitri(".",AQ1886,1)-1))</f>
        <v/>
      </c>
    </row>
    <row r="1887" spans="13:54" x14ac:dyDescent="0.25">
      <c r="M1887" s="379"/>
      <c r="BB1887" s="206" t="str">
        <f t="array" ref="BB1887">_xlfn.IFS(AQ1887="","",LEN(AQ1887)-LEN(SUBSTITUTE(AQ1887,".",""))=3,LEFT(AQ1887,vitri(".",AQ1887,3)-1),LEN(AQ1887)-LEN(SUBSTITUTE(AQ1887,".",""))=2,LEFT(AQ1887,vitri(".",AQ1887,2)-1),TRUE,LEFT(AQ1887,vitri(".",AQ1887,1)-1))</f>
        <v/>
      </c>
    </row>
    <row r="1888" spans="13:54" x14ac:dyDescent="0.25">
      <c r="M1888" s="379"/>
      <c r="BB1888" s="206" t="str">
        <f t="array" ref="BB1888">_xlfn.IFS(AQ1888="","",LEN(AQ1888)-LEN(SUBSTITUTE(AQ1888,".",""))=3,LEFT(AQ1888,vitri(".",AQ1888,3)-1),LEN(AQ1888)-LEN(SUBSTITUTE(AQ1888,".",""))=2,LEFT(AQ1888,vitri(".",AQ1888,2)-1),TRUE,LEFT(AQ1888,vitri(".",AQ1888,1)-1))</f>
        <v/>
      </c>
    </row>
    <row r="1889" spans="13:54" x14ac:dyDescent="0.25">
      <c r="M1889" s="379"/>
      <c r="BB1889" s="206" t="str">
        <f t="array" ref="BB1889">_xlfn.IFS(AQ1889="","",LEN(AQ1889)-LEN(SUBSTITUTE(AQ1889,".",""))=3,LEFT(AQ1889,vitri(".",AQ1889,3)-1),LEN(AQ1889)-LEN(SUBSTITUTE(AQ1889,".",""))=2,LEFT(AQ1889,vitri(".",AQ1889,2)-1),TRUE,LEFT(AQ1889,vitri(".",AQ1889,1)-1))</f>
        <v/>
      </c>
    </row>
    <row r="1890" spans="13:54" x14ac:dyDescent="0.25">
      <c r="M1890" s="379"/>
      <c r="BB1890" s="206" t="str">
        <f t="array" ref="BB1890">_xlfn.IFS(AQ1890="","",LEN(AQ1890)-LEN(SUBSTITUTE(AQ1890,".",""))=3,LEFT(AQ1890,vitri(".",AQ1890,3)-1),LEN(AQ1890)-LEN(SUBSTITUTE(AQ1890,".",""))=2,LEFT(AQ1890,vitri(".",AQ1890,2)-1),TRUE,LEFT(AQ1890,vitri(".",AQ1890,1)-1))</f>
        <v/>
      </c>
    </row>
    <row r="1891" spans="13:54" x14ac:dyDescent="0.25">
      <c r="M1891" s="379"/>
      <c r="BB1891" s="206" t="str">
        <f t="array" ref="BB1891">_xlfn.IFS(AQ1891="","",LEN(AQ1891)-LEN(SUBSTITUTE(AQ1891,".",""))=3,LEFT(AQ1891,vitri(".",AQ1891,3)-1),LEN(AQ1891)-LEN(SUBSTITUTE(AQ1891,".",""))=2,LEFT(AQ1891,vitri(".",AQ1891,2)-1),TRUE,LEFT(AQ1891,vitri(".",AQ1891,1)-1))</f>
        <v/>
      </c>
    </row>
    <row r="1892" spans="13:54" x14ac:dyDescent="0.25">
      <c r="M1892" s="379"/>
      <c r="BB1892" s="206" t="str">
        <f t="array" ref="BB1892">_xlfn.IFS(AQ1892="","",LEN(AQ1892)-LEN(SUBSTITUTE(AQ1892,".",""))=3,LEFT(AQ1892,vitri(".",AQ1892,3)-1),LEN(AQ1892)-LEN(SUBSTITUTE(AQ1892,".",""))=2,LEFT(AQ1892,vitri(".",AQ1892,2)-1),TRUE,LEFT(AQ1892,vitri(".",AQ1892,1)-1))</f>
        <v/>
      </c>
    </row>
    <row r="1893" spans="13:54" x14ac:dyDescent="0.25">
      <c r="M1893" s="379"/>
      <c r="BB1893" s="206" t="str">
        <f t="array" ref="BB1893">_xlfn.IFS(AQ1893="","",LEN(AQ1893)-LEN(SUBSTITUTE(AQ1893,".",""))=3,LEFT(AQ1893,vitri(".",AQ1893,3)-1),LEN(AQ1893)-LEN(SUBSTITUTE(AQ1893,".",""))=2,LEFT(AQ1893,vitri(".",AQ1893,2)-1),TRUE,LEFT(AQ1893,vitri(".",AQ1893,1)-1))</f>
        <v/>
      </c>
    </row>
    <row r="1894" spans="13:54" x14ac:dyDescent="0.25">
      <c r="M1894" s="379"/>
      <c r="BB1894" s="206" t="str">
        <f t="array" ref="BB1894">_xlfn.IFS(AQ1894="","",LEN(AQ1894)-LEN(SUBSTITUTE(AQ1894,".",""))=3,LEFT(AQ1894,vitri(".",AQ1894,3)-1),LEN(AQ1894)-LEN(SUBSTITUTE(AQ1894,".",""))=2,LEFT(AQ1894,vitri(".",AQ1894,2)-1),TRUE,LEFT(AQ1894,vitri(".",AQ1894,1)-1))</f>
        <v/>
      </c>
    </row>
    <row r="1895" spans="13:54" x14ac:dyDescent="0.25">
      <c r="M1895" s="379"/>
      <c r="BB1895" s="206" t="str">
        <f t="array" ref="BB1895">_xlfn.IFS(AQ1895="","",LEN(AQ1895)-LEN(SUBSTITUTE(AQ1895,".",""))=3,LEFT(AQ1895,vitri(".",AQ1895,3)-1),LEN(AQ1895)-LEN(SUBSTITUTE(AQ1895,".",""))=2,LEFT(AQ1895,vitri(".",AQ1895,2)-1),TRUE,LEFT(AQ1895,vitri(".",AQ1895,1)-1))</f>
        <v/>
      </c>
    </row>
    <row r="1896" spans="13:54" x14ac:dyDescent="0.25">
      <c r="M1896" s="379"/>
      <c r="BB1896" s="206" t="str">
        <f t="array" ref="BB1896">_xlfn.IFS(AQ1896="","",LEN(AQ1896)-LEN(SUBSTITUTE(AQ1896,".",""))=3,LEFT(AQ1896,vitri(".",AQ1896,3)-1),LEN(AQ1896)-LEN(SUBSTITUTE(AQ1896,".",""))=2,LEFT(AQ1896,vitri(".",AQ1896,2)-1),TRUE,LEFT(AQ1896,vitri(".",AQ1896,1)-1))</f>
        <v/>
      </c>
    </row>
    <row r="1897" spans="13:54" x14ac:dyDescent="0.25">
      <c r="M1897" s="379"/>
      <c r="BB1897" s="206" t="str">
        <f t="array" ref="BB1897">_xlfn.IFS(AQ1897="","",LEN(AQ1897)-LEN(SUBSTITUTE(AQ1897,".",""))=3,LEFT(AQ1897,vitri(".",AQ1897,3)-1),LEN(AQ1897)-LEN(SUBSTITUTE(AQ1897,".",""))=2,LEFT(AQ1897,vitri(".",AQ1897,2)-1),TRUE,LEFT(AQ1897,vitri(".",AQ1897,1)-1))</f>
        <v/>
      </c>
    </row>
    <row r="1898" spans="13:54" x14ac:dyDescent="0.25">
      <c r="M1898" s="379"/>
      <c r="BB1898" s="206" t="str">
        <f t="array" ref="BB1898">_xlfn.IFS(AQ1898="","",LEN(AQ1898)-LEN(SUBSTITUTE(AQ1898,".",""))=3,LEFT(AQ1898,vitri(".",AQ1898,3)-1),LEN(AQ1898)-LEN(SUBSTITUTE(AQ1898,".",""))=2,LEFT(AQ1898,vitri(".",AQ1898,2)-1),TRUE,LEFT(AQ1898,vitri(".",AQ1898,1)-1))</f>
        <v/>
      </c>
    </row>
    <row r="1899" spans="13:54" x14ac:dyDescent="0.25">
      <c r="M1899" s="379"/>
      <c r="BB1899" s="206" t="str">
        <f t="array" ref="BB1899">_xlfn.IFS(AQ1899="","",LEN(AQ1899)-LEN(SUBSTITUTE(AQ1899,".",""))=3,LEFT(AQ1899,vitri(".",AQ1899,3)-1),LEN(AQ1899)-LEN(SUBSTITUTE(AQ1899,".",""))=2,LEFT(AQ1899,vitri(".",AQ1899,2)-1),TRUE,LEFT(AQ1899,vitri(".",AQ1899,1)-1))</f>
        <v/>
      </c>
    </row>
    <row r="1900" spans="13:54" x14ac:dyDescent="0.25">
      <c r="M1900" s="379"/>
      <c r="BB1900" s="206" t="str">
        <f t="array" ref="BB1900">_xlfn.IFS(AQ1900="","",LEN(AQ1900)-LEN(SUBSTITUTE(AQ1900,".",""))=3,LEFT(AQ1900,vitri(".",AQ1900,3)-1),LEN(AQ1900)-LEN(SUBSTITUTE(AQ1900,".",""))=2,LEFT(AQ1900,vitri(".",AQ1900,2)-1),TRUE,LEFT(AQ1900,vitri(".",AQ1900,1)-1))</f>
        <v/>
      </c>
    </row>
    <row r="1901" spans="13:54" x14ac:dyDescent="0.25">
      <c r="M1901" s="379"/>
      <c r="BB1901" s="206" t="str">
        <f t="array" ref="BB1901">_xlfn.IFS(AQ1901="","",LEN(AQ1901)-LEN(SUBSTITUTE(AQ1901,".",""))=3,LEFT(AQ1901,vitri(".",AQ1901,3)-1),LEN(AQ1901)-LEN(SUBSTITUTE(AQ1901,".",""))=2,LEFT(AQ1901,vitri(".",AQ1901,2)-1),TRUE,LEFT(AQ1901,vitri(".",AQ1901,1)-1))</f>
        <v/>
      </c>
    </row>
    <row r="1902" spans="13:54" x14ac:dyDescent="0.25">
      <c r="M1902" s="379"/>
      <c r="BB1902" s="206" t="str">
        <f t="array" ref="BB1902">_xlfn.IFS(AQ1902="","",LEN(AQ1902)-LEN(SUBSTITUTE(AQ1902,".",""))=3,LEFT(AQ1902,vitri(".",AQ1902,3)-1),LEN(AQ1902)-LEN(SUBSTITUTE(AQ1902,".",""))=2,LEFT(AQ1902,vitri(".",AQ1902,2)-1),TRUE,LEFT(AQ1902,vitri(".",AQ1902,1)-1))</f>
        <v/>
      </c>
    </row>
    <row r="1903" spans="13:54" x14ac:dyDescent="0.25">
      <c r="M1903" s="379"/>
      <c r="BB1903" s="206" t="str">
        <f t="array" ref="BB1903">_xlfn.IFS(AQ1903="","",LEN(AQ1903)-LEN(SUBSTITUTE(AQ1903,".",""))=3,LEFT(AQ1903,vitri(".",AQ1903,3)-1),LEN(AQ1903)-LEN(SUBSTITUTE(AQ1903,".",""))=2,LEFT(AQ1903,vitri(".",AQ1903,2)-1),TRUE,LEFT(AQ1903,vitri(".",AQ1903,1)-1))</f>
        <v/>
      </c>
    </row>
    <row r="1904" spans="13:54" x14ac:dyDescent="0.25">
      <c r="M1904" s="379"/>
      <c r="BB1904" s="206" t="str">
        <f t="array" ref="BB1904">_xlfn.IFS(AQ1904="","",LEN(AQ1904)-LEN(SUBSTITUTE(AQ1904,".",""))=3,LEFT(AQ1904,vitri(".",AQ1904,3)-1),LEN(AQ1904)-LEN(SUBSTITUTE(AQ1904,".",""))=2,LEFT(AQ1904,vitri(".",AQ1904,2)-1),TRUE,LEFT(AQ1904,vitri(".",AQ1904,1)-1))</f>
        <v/>
      </c>
    </row>
    <row r="1905" spans="13:54" x14ac:dyDescent="0.25">
      <c r="M1905" s="379"/>
      <c r="BB1905" s="206" t="str">
        <f t="array" ref="BB1905">_xlfn.IFS(AQ1905="","",LEN(AQ1905)-LEN(SUBSTITUTE(AQ1905,".",""))=3,LEFT(AQ1905,vitri(".",AQ1905,3)-1),LEN(AQ1905)-LEN(SUBSTITUTE(AQ1905,".",""))=2,LEFT(AQ1905,vitri(".",AQ1905,2)-1),TRUE,LEFT(AQ1905,vitri(".",AQ1905,1)-1))</f>
        <v/>
      </c>
    </row>
    <row r="1906" spans="13:54" x14ac:dyDescent="0.25">
      <c r="M1906" s="379"/>
      <c r="BB1906" s="206" t="str">
        <f t="array" ref="BB1906">_xlfn.IFS(AQ1906="","",LEN(AQ1906)-LEN(SUBSTITUTE(AQ1906,".",""))=3,LEFT(AQ1906,vitri(".",AQ1906,3)-1),LEN(AQ1906)-LEN(SUBSTITUTE(AQ1906,".",""))=2,LEFT(AQ1906,vitri(".",AQ1906,2)-1),TRUE,LEFT(AQ1906,vitri(".",AQ1906,1)-1))</f>
        <v/>
      </c>
    </row>
    <row r="1907" spans="13:54" x14ac:dyDescent="0.25">
      <c r="M1907" s="379"/>
      <c r="BB1907" s="206" t="str">
        <f t="array" ref="BB1907">_xlfn.IFS(AQ1907="","",LEN(AQ1907)-LEN(SUBSTITUTE(AQ1907,".",""))=3,LEFT(AQ1907,vitri(".",AQ1907,3)-1),LEN(AQ1907)-LEN(SUBSTITUTE(AQ1907,".",""))=2,LEFT(AQ1907,vitri(".",AQ1907,2)-1),TRUE,LEFT(AQ1907,vitri(".",AQ1907,1)-1))</f>
        <v/>
      </c>
    </row>
    <row r="1908" spans="13:54" x14ac:dyDescent="0.25">
      <c r="M1908" s="379"/>
      <c r="BB1908" s="206" t="str">
        <f t="array" ref="BB1908">_xlfn.IFS(AQ1908="","",LEN(AQ1908)-LEN(SUBSTITUTE(AQ1908,".",""))=3,LEFT(AQ1908,vitri(".",AQ1908,3)-1),LEN(AQ1908)-LEN(SUBSTITUTE(AQ1908,".",""))=2,LEFT(AQ1908,vitri(".",AQ1908,2)-1),TRUE,LEFT(AQ1908,vitri(".",AQ1908,1)-1))</f>
        <v/>
      </c>
    </row>
    <row r="1909" spans="13:54" x14ac:dyDescent="0.25">
      <c r="M1909" s="379"/>
      <c r="BB1909" s="206" t="str">
        <f t="array" ref="BB1909">_xlfn.IFS(AQ1909="","",LEN(AQ1909)-LEN(SUBSTITUTE(AQ1909,".",""))=3,LEFT(AQ1909,vitri(".",AQ1909,3)-1),LEN(AQ1909)-LEN(SUBSTITUTE(AQ1909,".",""))=2,LEFT(AQ1909,vitri(".",AQ1909,2)-1),TRUE,LEFT(AQ1909,vitri(".",AQ1909,1)-1))</f>
        <v/>
      </c>
    </row>
    <row r="1910" spans="13:54" x14ac:dyDescent="0.25">
      <c r="M1910" s="379"/>
      <c r="BB1910" s="206" t="str">
        <f t="array" ref="BB1910">_xlfn.IFS(AQ1910="","",LEN(AQ1910)-LEN(SUBSTITUTE(AQ1910,".",""))=3,LEFT(AQ1910,vitri(".",AQ1910,3)-1),LEN(AQ1910)-LEN(SUBSTITUTE(AQ1910,".",""))=2,LEFT(AQ1910,vitri(".",AQ1910,2)-1),TRUE,LEFT(AQ1910,vitri(".",AQ1910,1)-1))</f>
        <v/>
      </c>
    </row>
    <row r="1911" spans="13:54" x14ac:dyDescent="0.25">
      <c r="M1911" s="379"/>
      <c r="BB1911" s="206" t="str">
        <f t="array" ref="BB1911">_xlfn.IFS(AQ1911="","",LEN(AQ1911)-LEN(SUBSTITUTE(AQ1911,".",""))=3,LEFT(AQ1911,vitri(".",AQ1911,3)-1),LEN(AQ1911)-LEN(SUBSTITUTE(AQ1911,".",""))=2,LEFT(AQ1911,vitri(".",AQ1911,2)-1),TRUE,LEFT(AQ1911,vitri(".",AQ1911,1)-1))</f>
        <v/>
      </c>
    </row>
    <row r="1912" spans="13:54" x14ac:dyDescent="0.25">
      <c r="M1912" s="379"/>
      <c r="BB1912" s="206" t="str">
        <f t="array" ref="BB1912">_xlfn.IFS(AQ1912="","",LEN(AQ1912)-LEN(SUBSTITUTE(AQ1912,".",""))=3,LEFT(AQ1912,vitri(".",AQ1912,3)-1),LEN(AQ1912)-LEN(SUBSTITUTE(AQ1912,".",""))=2,LEFT(AQ1912,vitri(".",AQ1912,2)-1),TRUE,LEFT(AQ1912,vitri(".",AQ1912,1)-1))</f>
        <v/>
      </c>
    </row>
    <row r="1913" spans="13:54" x14ac:dyDescent="0.25">
      <c r="M1913" s="379"/>
      <c r="BB1913" s="206" t="str">
        <f t="array" ref="BB1913">_xlfn.IFS(AQ1913="","",LEN(AQ1913)-LEN(SUBSTITUTE(AQ1913,".",""))=3,LEFT(AQ1913,vitri(".",AQ1913,3)-1),LEN(AQ1913)-LEN(SUBSTITUTE(AQ1913,".",""))=2,LEFT(AQ1913,vitri(".",AQ1913,2)-1),TRUE,LEFT(AQ1913,vitri(".",AQ1913,1)-1))</f>
        <v/>
      </c>
    </row>
    <row r="1914" spans="13:54" x14ac:dyDescent="0.25">
      <c r="M1914" s="379"/>
      <c r="BB1914" s="206" t="str">
        <f t="array" ref="BB1914">_xlfn.IFS(AQ1914="","",LEN(AQ1914)-LEN(SUBSTITUTE(AQ1914,".",""))=3,LEFT(AQ1914,vitri(".",AQ1914,3)-1),LEN(AQ1914)-LEN(SUBSTITUTE(AQ1914,".",""))=2,LEFT(AQ1914,vitri(".",AQ1914,2)-1),TRUE,LEFT(AQ1914,vitri(".",AQ1914,1)-1))</f>
        <v/>
      </c>
    </row>
    <row r="1915" spans="13:54" x14ac:dyDescent="0.25">
      <c r="M1915" s="379"/>
      <c r="BB1915" s="206" t="str">
        <f t="array" ref="BB1915">_xlfn.IFS(AQ1915="","",LEN(AQ1915)-LEN(SUBSTITUTE(AQ1915,".",""))=3,LEFT(AQ1915,vitri(".",AQ1915,3)-1),LEN(AQ1915)-LEN(SUBSTITUTE(AQ1915,".",""))=2,LEFT(AQ1915,vitri(".",AQ1915,2)-1),TRUE,LEFT(AQ1915,vitri(".",AQ1915,1)-1))</f>
        <v/>
      </c>
    </row>
    <row r="1916" spans="13:54" x14ac:dyDescent="0.25">
      <c r="M1916" s="379"/>
      <c r="BB1916" s="206" t="str">
        <f t="array" ref="BB1916">_xlfn.IFS(AQ1916="","",LEN(AQ1916)-LEN(SUBSTITUTE(AQ1916,".",""))=3,LEFT(AQ1916,vitri(".",AQ1916,3)-1),LEN(AQ1916)-LEN(SUBSTITUTE(AQ1916,".",""))=2,LEFT(AQ1916,vitri(".",AQ1916,2)-1),TRUE,LEFT(AQ1916,vitri(".",AQ1916,1)-1))</f>
        <v/>
      </c>
    </row>
    <row r="1917" spans="13:54" x14ac:dyDescent="0.25">
      <c r="M1917" s="379"/>
      <c r="BB1917" s="206" t="str">
        <f t="array" ref="BB1917">_xlfn.IFS(AQ1917="","",LEN(AQ1917)-LEN(SUBSTITUTE(AQ1917,".",""))=3,LEFT(AQ1917,vitri(".",AQ1917,3)-1),LEN(AQ1917)-LEN(SUBSTITUTE(AQ1917,".",""))=2,LEFT(AQ1917,vitri(".",AQ1917,2)-1),TRUE,LEFT(AQ1917,vitri(".",AQ1917,1)-1))</f>
        <v/>
      </c>
    </row>
    <row r="1918" spans="13:54" x14ac:dyDescent="0.25">
      <c r="M1918" s="379"/>
      <c r="BB1918" s="206" t="str">
        <f t="array" ref="BB1918">_xlfn.IFS(AQ1918="","",LEN(AQ1918)-LEN(SUBSTITUTE(AQ1918,".",""))=3,LEFT(AQ1918,vitri(".",AQ1918,3)-1),LEN(AQ1918)-LEN(SUBSTITUTE(AQ1918,".",""))=2,LEFT(AQ1918,vitri(".",AQ1918,2)-1),TRUE,LEFT(AQ1918,vitri(".",AQ1918,1)-1))</f>
        <v/>
      </c>
    </row>
    <row r="1919" spans="13:54" x14ac:dyDescent="0.25">
      <c r="M1919" s="379"/>
      <c r="BB1919" s="206" t="str">
        <f t="array" ref="BB1919">_xlfn.IFS(AQ1919="","",LEN(AQ1919)-LEN(SUBSTITUTE(AQ1919,".",""))=3,LEFT(AQ1919,vitri(".",AQ1919,3)-1),LEN(AQ1919)-LEN(SUBSTITUTE(AQ1919,".",""))=2,LEFT(AQ1919,vitri(".",AQ1919,2)-1),TRUE,LEFT(AQ1919,vitri(".",AQ1919,1)-1))</f>
        <v/>
      </c>
    </row>
    <row r="1920" spans="13:54" x14ac:dyDescent="0.25">
      <c r="M1920" s="379"/>
      <c r="BB1920" s="206" t="str">
        <f t="array" ref="BB1920">_xlfn.IFS(AQ1920="","",LEN(AQ1920)-LEN(SUBSTITUTE(AQ1920,".",""))=3,LEFT(AQ1920,vitri(".",AQ1920,3)-1),LEN(AQ1920)-LEN(SUBSTITUTE(AQ1920,".",""))=2,LEFT(AQ1920,vitri(".",AQ1920,2)-1),TRUE,LEFT(AQ1920,vitri(".",AQ1920,1)-1))</f>
        <v/>
      </c>
    </row>
    <row r="1921" spans="13:54" x14ac:dyDescent="0.25">
      <c r="M1921" s="379"/>
      <c r="BB1921" s="206" t="str">
        <f t="array" ref="BB1921">_xlfn.IFS(AQ1921="","",LEN(AQ1921)-LEN(SUBSTITUTE(AQ1921,".",""))=3,LEFT(AQ1921,vitri(".",AQ1921,3)-1),LEN(AQ1921)-LEN(SUBSTITUTE(AQ1921,".",""))=2,LEFT(AQ1921,vitri(".",AQ1921,2)-1),TRUE,LEFT(AQ1921,vitri(".",AQ1921,1)-1))</f>
        <v/>
      </c>
    </row>
    <row r="1922" spans="13:54" x14ac:dyDescent="0.25">
      <c r="M1922" s="379"/>
      <c r="BB1922" s="206" t="str">
        <f t="array" ref="BB1922">_xlfn.IFS(AQ1922="","",LEN(AQ1922)-LEN(SUBSTITUTE(AQ1922,".",""))=3,LEFT(AQ1922,vitri(".",AQ1922,3)-1),LEN(AQ1922)-LEN(SUBSTITUTE(AQ1922,".",""))=2,LEFT(AQ1922,vitri(".",AQ1922,2)-1),TRUE,LEFT(AQ1922,vitri(".",AQ1922,1)-1))</f>
        <v/>
      </c>
    </row>
    <row r="1923" spans="13:54" x14ac:dyDescent="0.25">
      <c r="M1923" s="379"/>
      <c r="BB1923" s="206" t="str">
        <f t="array" ref="BB1923">_xlfn.IFS(AQ1923="","",LEN(AQ1923)-LEN(SUBSTITUTE(AQ1923,".",""))=3,LEFT(AQ1923,vitri(".",AQ1923,3)-1),LEN(AQ1923)-LEN(SUBSTITUTE(AQ1923,".",""))=2,LEFT(AQ1923,vitri(".",AQ1923,2)-1),TRUE,LEFT(AQ1923,vitri(".",AQ1923,1)-1))</f>
        <v/>
      </c>
    </row>
    <row r="1924" spans="13:54" x14ac:dyDescent="0.25">
      <c r="M1924" s="379"/>
      <c r="BB1924" s="206" t="str">
        <f t="array" ref="BB1924">_xlfn.IFS(AQ1924="","",LEN(AQ1924)-LEN(SUBSTITUTE(AQ1924,".",""))=3,LEFT(AQ1924,vitri(".",AQ1924,3)-1),LEN(AQ1924)-LEN(SUBSTITUTE(AQ1924,".",""))=2,LEFT(AQ1924,vitri(".",AQ1924,2)-1),TRUE,LEFT(AQ1924,vitri(".",AQ1924,1)-1))</f>
        <v/>
      </c>
    </row>
    <row r="1925" spans="13:54" x14ac:dyDescent="0.25">
      <c r="M1925" s="379"/>
      <c r="BB1925" s="206" t="str">
        <f t="array" ref="BB1925">_xlfn.IFS(AQ1925="","",LEN(AQ1925)-LEN(SUBSTITUTE(AQ1925,".",""))=3,LEFT(AQ1925,vitri(".",AQ1925,3)-1),LEN(AQ1925)-LEN(SUBSTITUTE(AQ1925,".",""))=2,LEFT(AQ1925,vitri(".",AQ1925,2)-1),TRUE,LEFT(AQ1925,vitri(".",AQ1925,1)-1))</f>
        <v/>
      </c>
    </row>
    <row r="1926" spans="13:54" x14ac:dyDescent="0.25">
      <c r="M1926" s="379"/>
      <c r="BB1926" s="206" t="str">
        <f t="array" ref="BB1926">_xlfn.IFS(AQ1926="","",LEN(AQ1926)-LEN(SUBSTITUTE(AQ1926,".",""))=3,LEFT(AQ1926,vitri(".",AQ1926,3)-1),LEN(AQ1926)-LEN(SUBSTITUTE(AQ1926,".",""))=2,LEFT(AQ1926,vitri(".",AQ1926,2)-1),TRUE,LEFT(AQ1926,vitri(".",AQ1926,1)-1))</f>
        <v/>
      </c>
    </row>
    <row r="1927" spans="13:54" x14ac:dyDescent="0.25">
      <c r="M1927" s="379"/>
      <c r="BB1927" s="206" t="str">
        <f t="array" ref="BB1927">_xlfn.IFS(AQ1927="","",LEN(AQ1927)-LEN(SUBSTITUTE(AQ1927,".",""))=3,LEFT(AQ1927,vitri(".",AQ1927,3)-1),LEN(AQ1927)-LEN(SUBSTITUTE(AQ1927,".",""))=2,LEFT(AQ1927,vitri(".",AQ1927,2)-1),TRUE,LEFT(AQ1927,vitri(".",AQ1927,1)-1))</f>
        <v/>
      </c>
    </row>
    <row r="1928" spans="13:54" x14ac:dyDescent="0.25">
      <c r="M1928" s="379"/>
      <c r="BB1928" s="206" t="str">
        <f t="array" ref="BB1928">_xlfn.IFS(AQ1928="","",LEN(AQ1928)-LEN(SUBSTITUTE(AQ1928,".",""))=3,LEFT(AQ1928,vitri(".",AQ1928,3)-1),LEN(AQ1928)-LEN(SUBSTITUTE(AQ1928,".",""))=2,LEFT(AQ1928,vitri(".",AQ1928,2)-1),TRUE,LEFT(AQ1928,vitri(".",AQ1928,1)-1))</f>
        <v/>
      </c>
    </row>
    <row r="1929" spans="13:54" x14ac:dyDescent="0.25">
      <c r="M1929" s="379"/>
      <c r="BB1929" s="206" t="str">
        <f t="array" ref="BB1929">_xlfn.IFS(AQ1929="","",LEN(AQ1929)-LEN(SUBSTITUTE(AQ1929,".",""))=3,LEFT(AQ1929,vitri(".",AQ1929,3)-1),LEN(AQ1929)-LEN(SUBSTITUTE(AQ1929,".",""))=2,LEFT(AQ1929,vitri(".",AQ1929,2)-1),TRUE,LEFT(AQ1929,vitri(".",AQ1929,1)-1))</f>
        <v/>
      </c>
    </row>
    <row r="1930" spans="13:54" x14ac:dyDescent="0.25">
      <c r="M1930" s="379"/>
      <c r="BB1930" s="206" t="str">
        <f t="array" ref="BB1930">_xlfn.IFS(AQ1930="","",LEN(AQ1930)-LEN(SUBSTITUTE(AQ1930,".",""))=3,LEFT(AQ1930,vitri(".",AQ1930,3)-1),LEN(AQ1930)-LEN(SUBSTITUTE(AQ1930,".",""))=2,LEFT(AQ1930,vitri(".",AQ1930,2)-1),TRUE,LEFT(AQ1930,vitri(".",AQ1930,1)-1))</f>
        <v/>
      </c>
    </row>
    <row r="1931" spans="13:54" x14ac:dyDescent="0.25">
      <c r="M1931" s="379"/>
      <c r="BB1931" s="206" t="str">
        <f t="array" ref="BB1931">_xlfn.IFS(AQ1931="","",LEN(AQ1931)-LEN(SUBSTITUTE(AQ1931,".",""))=3,LEFT(AQ1931,vitri(".",AQ1931,3)-1),LEN(AQ1931)-LEN(SUBSTITUTE(AQ1931,".",""))=2,LEFT(AQ1931,vitri(".",AQ1931,2)-1),TRUE,LEFT(AQ1931,vitri(".",AQ1931,1)-1))</f>
        <v/>
      </c>
    </row>
    <row r="1932" spans="13:54" x14ac:dyDescent="0.25">
      <c r="M1932" s="379"/>
      <c r="BB1932" s="206" t="str">
        <f t="array" ref="BB1932">_xlfn.IFS(AQ1932="","",LEN(AQ1932)-LEN(SUBSTITUTE(AQ1932,".",""))=3,LEFT(AQ1932,vitri(".",AQ1932,3)-1),LEN(AQ1932)-LEN(SUBSTITUTE(AQ1932,".",""))=2,LEFT(AQ1932,vitri(".",AQ1932,2)-1),TRUE,LEFT(AQ1932,vitri(".",AQ1932,1)-1))</f>
        <v/>
      </c>
    </row>
    <row r="1933" spans="13:54" x14ac:dyDescent="0.25">
      <c r="M1933" s="379"/>
      <c r="BB1933" s="206" t="str">
        <f t="array" ref="BB1933">_xlfn.IFS(AQ1933="","",LEN(AQ1933)-LEN(SUBSTITUTE(AQ1933,".",""))=3,LEFT(AQ1933,vitri(".",AQ1933,3)-1),LEN(AQ1933)-LEN(SUBSTITUTE(AQ1933,".",""))=2,LEFT(AQ1933,vitri(".",AQ1933,2)-1),TRUE,LEFT(AQ1933,vitri(".",AQ1933,1)-1))</f>
        <v/>
      </c>
    </row>
    <row r="1934" spans="13:54" x14ac:dyDescent="0.25">
      <c r="M1934" s="379"/>
      <c r="BB1934" s="206" t="str">
        <f t="array" ref="BB1934">_xlfn.IFS(AQ1934="","",LEN(AQ1934)-LEN(SUBSTITUTE(AQ1934,".",""))=3,LEFT(AQ1934,vitri(".",AQ1934,3)-1),LEN(AQ1934)-LEN(SUBSTITUTE(AQ1934,".",""))=2,LEFT(AQ1934,vitri(".",AQ1934,2)-1),TRUE,LEFT(AQ1934,vitri(".",AQ1934,1)-1))</f>
        <v/>
      </c>
    </row>
    <row r="1935" spans="13:54" x14ac:dyDescent="0.25">
      <c r="M1935" s="379"/>
      <c r="BB1935" s="206" t="str">
        <f t="array" ref="BB1935">_xlfn.IFS(AQ1935="","",LEN(AQ1935)-LEN(SUBSTITUTE(AQ1935,".",""))=3,LEFT(AQ1935,vitri(".",AQ1935,3)-1),LEN(AQ1935)-LEN(SUBSTITUTE(AQ1935,".",""))=2,LEFT(AQ1935,vitri(".",AQ1935,2)-1),TRUE,LEFT(AQ1935,vitri(".",AQ1935,1)-1))</f>
        <v/>
      </c>
    </row>
    <row r="1936" spans="13:54" x14ac:dyDescent="0.25">
      <c r="M1936" s="379"/>
      <c r="BB1936" s="206" t="str">
        <f t="array" ref="BB1936">_xlfn.IFS(AQ1936="","",LEN(AQ1936)-LEN(SUBSTITUTE(AQ1936,".",""))=3,LEFT(AQ1936,vitri(".",AQ1936,3)-1),LEN(AQ1936)-LEN(SUBSTITUTE(AQ1936,".",""))=2,LEFT(AQ1936,vitri(".",AQ1936,2)-1),TRUE,LEFT(AQ1936,vitri(".",AQ1936,1)-1))</f>
        <v/>
      </c>
    </row>
    <row r="1937" spans="13:54" x14ac:dyDescent="0.25">
      <c r="M1937" s="379"/>
      <c r="BB1937" s="206" t="str">
        <f t="array" ref="BB1937">_xlfn.IFS(AQ1937="","",LEN(AQ1937)-LEN(SUBSTITUTE(AQ1937,".",""))=3,LEFT(AQ1937,vitri(".",AQ1937,3)-1),LEN(AQ1937)-LEN(SUBSTITUTE(AQ1937,".",""))=2,LEFT(AQ1937,vitri(".",AQ1937,2)-1),TRUE,LEFT(AQ1937,vitri(".",AQ1937,1)-1))</f>
        <v/>
      </c>
    </row>
    <row r="1938" spans="13:54" x14ac:dyDescent="0.25">
      <c r="M1938" s="379"/>
      <c r="BB1938" s="206" t="str">
        <f t="array" ref="BB1938">_xlfn.IFS(AQ1938="","",LEN(AQ1938)-LEN(SUBSTITUTE(AQ1938,".",""))=3,LEFT(AQ1938,vitri(".",AQ1938,3)-1),LEN(AQ1938)-LEN(SUBSTITUTE(AQ1938,".",""))=2,LEFT(AQ1938,vitri(".",AQ1938,2)-1),TRUE,LEFT(AQ1938,vitri(".",AQ1938,1)-1))</f>
        <v/>
      </c>
    </row>
    <row r="1939" spans="13:54" x14ac:dyDescent="0.25">
      <c r="M1939" s="379"/>
      <c r="BB1939" s="206" t="str">
        <f t="array" ref="BB1939">_xlfn.IFS(AQ1939="","",LEN(AQ1939)-LEN(SUBSTITUTE(AQ1939,".",""))=3,LEFT(AQ1939,vitri(".",AQ1939,3)-1),LEN(AQ1939)-LEN(SUBSTITUTE(AQ1939,".",""))=2,LEFT(AQ1939,vitri(".",AQ1939,2)-1),TRUE,LEFT(AQ1939,vitri(".",AQ1939,1)-1))</f>
        <v/>
      </c>
    </row>
    <row r="1940" spans="13:54" x14ac:dyDescent="0.25">
      <c r="M1940" s="379"/>
      <c r="BB1940" s="206" t="str">
        <f t="array" ref="BB1940">_xlfn.IFS(AQ1940="","",LEN(AQ1940)-LEN(SUBSTITUTE(AQ1940,".",""))=3,LEFT(AQ1940,vitri(".",AQ1940,3)-1),LEN(AQ1940)-LEN(SUBSTITUTE(AQ1940,".",""))=2,LEFT(AQ1940,vitri(".",AQ1940,2)-1),TRUE,LEFT(AQ1940,vitri(".",AQ1940,1)-1))</f>
        <v/>
      </c>
    </row>
    <row r="1941" spans="13:54" x14ac:dyDescent="0.25">
      <c r="M1941" s="379"/>
      <c r="BB1941" s="206" t="str">
        <f t="array" ref="BB1941">_xlfn.IFS(AQ1941="","",LEN(AQ1941)-LEN(SUBSTITUTE(AQ1941,".",""))=3,LEFT(AQ1941,vitri(".",AQ1941,3)-1),LEN(AQ1941)-LEN(SUBSTITUTE(AQ1941,".",""))=2,LEFT(AQ1941,vitri(".",AQ1941,2)-1),TRUE,LEFT(AQ1941,vitri(".",AQ1941,1)-1))</f>
        <v/>
      </c>
    </row>
    <row r="1942" spans="13:54" x14ac:dyDescent="0.25">
      <c r="M1942" s="379"/>
      <c r="BB1942" s="206" t="str">
        <f t="array" ref="BB1942">_xlfn.IFS(AQ1942="","",LEN(AQ1942)-LEN(SUBSTITUTE(AQ1942,".",""))=3,LEFT(AQ1942,vitri(".",AQ1942,3)-1),LEN(AQ1942)-LEN(SUBSTITUTE(AQ1942,".",""))=2,LEFT(AQ1942,vitri(".",AQ1942,2)-1),TRUE,LEFT(AQ1942,vitri(".",AQ1942,1)-1))</f>
        <v/>
      </c>
    </row>
    <row r="1943" spans="13:54" x14ac:dyDescent="0.25">
      <c r="M1943" s="379"/>
      <c r="BB1943" s="206" t="str">
        <f t="array" ref="BB1943">_xlfn.IFS(AQ1943="","",LEN(AQ1943)-LEN(SUBSTITUTE(AQ1943,".",""))=3,LEFT(AQ1943,vitri(".",AQ1943,3)-1),LEN(AQ1943)-LEN(SUBSTITUTE(AQ1943,".",""))=2,LEFT(AQ1943,vitri(".",AQ1943,2)-1),TRUE,LEFT(AQ1943,vitri(".",AQ1943,1)-1))</f>
        <v/>
      </c>
    </row>
    <row r="1944" spans="13:54" x14ac:dyDescent="0.25">
      <c r="M1944" s="379"/>
      <c r="BB1944" s="206" t="str">
        <f t="array" ref="BB1944">_xlfn.IFS(AQ1944="","",LEN(AQ1944)-LEN(SUBSTITUTE(AQ1944,".",""))=3,LEFT(AQ1944,vitri(".",AQ1944,3)-1),LEN(AQ1944)-LEN(SUBSTITUTE(AQ1944,".",""))=2,LEFT(AQ1944,vitri(".",AQ1944,2)-1),TRUE,LEFT(AQ1944,vitri(".",AQ1944,1)-1))</f>
        <v/>
      </c>
    </row>
    <row r="1945" spans="13:54" x14ac:dyDescent="0.25">
      <c r="M1945" s="379"/>
      <c r="BB1945" s="206" t="str">
        <f t="array" ref="BB1945">_xlfn.IFS(AQ1945="","",LEN(AQ1945)-LEN(SUBSTITUTE(AQ1945,".",""))=3,LEFT(AQ1945,vitri(".",AQ1945,3)-1),LEN(AQ1945)-LEN(SUBSTITUTE(AQ1945,".",""))=2,LEFT(AQ1945,vitri(".",AQ1945,2)-1),TRUE,LEFT(AQ1945,vitri(".",AQ1945,1)-1))</f>
        <v/>
      </c>
    </row>
    <row r="1946" spans="13:54" x14ac:dyDescent="0.25">
      <c r="M1946" s="379"/>
      <c r="BB1946" s="206" t="str">
        <f t="array" ref="BB1946">_xlfn.IFS(AQ1946="","",LEN(AQ1946)-LEN(SUBSTITUTE(AQ1946,".",""))=3,LEFT(AQ1946,vitri(".",AQ1946,3)-1),LEN(AQ1946)-LEN(SUBSTITUTE(AQ1946,".",""))=2,LEFT(AQ1946,vitri(".",AQ1946,2)-1),TRUE,LEFT(AQ1946,vitri(".",AQ1946,1)-1))</f>
        <v/>
      </c>
    </row>
    <row r="1947" spans="13:54" x14ac:dyDescent="0.25">
      <c r="M1947" s="379"/>
      <c r="BB1947" s="206" t="str">
        <f t="array" ref="BB1947">_xlfn.IFS(AQ1947="","",LEN(AQ1947)-LEN(SUBSTITUTE(AQ1947,".",""))=3,LEFT(AQ1947,vitri(".",AQ1947,3)-1),LEN(AQ1947)-LEN(SUBSTITUTE(AQ1947,".",""))=2,LEFT(AQ1947,vitri(".",AQ1947,2)-1),TRUE,LEFT(AQ1947,vitri(".",AQ1947,1)-1))</f>
        <v/>
      </c>
    </row>
    <row r="1948" spans="13:54" x14ac:dyDescent="0.25">
      <c r="M1948" s="379"/>
      <c r="BB1948" s="206" t="str">
        <f t="array" ref="BB1948">_xlfn.IFS(AQ1948="","",LEN(AQ1948)-LEN(SUBSTITUTE(AQ1948,".",""))=3,LEFT(AQ1948,vitri(".",AQ1948,3)-1),LEN(AQ1948)-LEN(SUBSTITUTE(AQ1948,".",""))=2,LEFT(AQ1948,vitri(".",AQ1948,2)-1),TRUE,LEFT(AQ1948,vitri(".",AQ1948,1)-1))</f>
        <v/>
      </c>
    </row>
    <row r="1949" spans="13:54" x14ac:dyDescent="0.25">
      <c r="M1949" s="379"/>
      <c r="BB1949" s="206" t="str">
        <f t="array" ref="BB1949">_xlfn.IFS(AQ1949="","",LEN(AQ1949)-LEN(SUBSTITUTE(AQ1949,".",""))=3,LEFT(AQ1949,vitri(".",AQ1949,3)-1),LEN(AQ1949)-LEN(SUBSTITUTE(AQ1949,".",""))=2,LEFT(AQ1949,vitri(".",AQ1949,2)-1),TRUE,LEFT(AQ1949,vitri(".",AQ1949,1)-1))</f>
        <v/>
      </c>
    </row>
    <row r="1950" spans="13:54" x14ac:dyDescent="0.25">
      <c r="M1950" s="379"/>
      <c r="BB1950" s="206" t="str">
        <f t="array" ref="BB1950">_xlfn.IFS(AQ1950="","",LEN(AQ1950)-LEN(SUBSTITUTE(AQ1950,".",""))=3,LEFT(AQ1950,vitri(".",AQ1950,3)-1),LEN(AQ1950)-LEN(SUBSTITUTE(AQ1950,".",""))=2,LEFT(AQ1950,vitri(".",AQ1950,2)-1),TRUE,LEFT(AQ1950,vitri(".",AQ1950,1)-1))</f>
        <v/>
      </c>
    </row>
    <row r="1951" spans="13:54" x14ac:dyDescent="0.25">
      <c r="M1951" s="379"/>
      <c r="BB1951" s="206" t="str">
        <f t="array" ref="BB1951">_xlfn.IFS(AQ1951="","",LEN(AQ1951)-LEN(SUBSTITUTE(AQ1951,".",""))=3,LEFT(AQ1951,vitri(".",AQ1951,3)-1),LEN(AQ1951)-LEN(SUBSTITUTE(AQ1951,".",""))=2,LEFT(AQ1951,vitri(".",AQ1951,2)-1),TRUE,LEFT(AQ1951,vitri(".",AQ1951,1)-1))</f>
        <v/>
      </c>
    </row>
    <row r="1952" spans="13:54" x14ac:dyDescent="0.25">
      <c r="M1952" s="379"/>
      <c r="BB1952" s="206" t="str">
        <f t="array" ref="BB1952">_xlfn.IFS(AQ1952="","",LEN(AQ1952)-LEN(SUBSTITUTE(AQ1952,".",""))=3,LEFT(AQ1952,vitri(".",AQ1952,3)-1),LEN(AQ1952)-LEN(SUBSTITUTE(AQ1952,".",""))=2,LEFT(AQ1952,vitri(".",AQ1952,2)-1),TRUE,LEFT(AQ1952,vitri(".",AQ1952,1)-1))</f>
        <v/>
      </c>
    </row>
    <row r="1953" spans="13:54" x14ac:dyDescent="0.25">
      <c r="M1953" s="379"/>
      <c r="BB1953" s="206" t="str">
        <f t="array" ref="BB1953">_xlfn.IFS(AQ1953="","",LEN(AQ1953)-LEN(SUBSTITUTE(AQ1953,".",""))=3,LEFT(AQ1953,vitri(".",AQ1953,3)-1),LEN(AQ1953)-LEN(SUBSTITUTE(AQ1953,".",""))=2,LEFT(AQ1953,vitri(".",AQ1953,2)-1),TRUE,LEFT(AQ1953,vitri(".",AQ1953,1)-1))</f>
        <v/>
      </c>
    </row>
    <row r="1954" spans="13:54" x14ac:dyDescent="0.25">
      <c r="M1954" s="379"/>
      <c r="BB1954" s="206" t="str">
        <f t="array" ref="BB1954">_xlfn.IFS(AQ1954="","",LEN(AQ1954)-LEN(SUBSTITUTE(AQ1954,".",""))=3,LEFT(AQ1954,vitri(".",AQ1954,3)-1),LEN(AQ1954)-LEN(SUBSTITUTE(AQ1954,".",""))=2,LEFT(AQ1954,vitri(".",AQ1954,2)-1),TRUE,LEFT(AQ1954,vitri(".",AQ1954,1)-1))</f>
        <v/>
      </c>
    </row>
    <row r="1955" spans="13:54" x14ac:dyDescent="0.25">
      <c r="M1955" s="379"/>
      <c r="BB1955" s="206" t="str">
        <f t="array" ref="BB1955">_xlfn.IFS(AQ1955="","",LEN(AQ1955)-LEN(SUBSTITUTE(AQ1955,".",""))=3,LEFT(AQ1955,vitri(".",AQ1955,3)-1),LEN(AQ1955)-LEN(SUBSTITUTE(AQ1955,".",""))=2,LEFT(AQ1955,vitri(".",AQ1955,2)-1),TRUE,LEFT(AQ1955,vitri(".",AQ1955,1)-1))</f>
        <v/>
      </c>
    </row>
    <row r="1956" spans="13:54" x14ac:dyDescent="0.25">
      <c r="M1956" s="379"/>
      <c r="BB1956" s="206" t="str">
        <f t="array" ref="BB1956">_xlfn.IFS(AQ1956="","",LEN(AQ1956)-LEN(SUBSTITUTE(AQ1956,".",""))=3,LEFT(AQ1956,vitri(".",AQ1956,3)-1),LEN(AQ1956)-LEN(SUBSTITUTE(AQ1956,".",""))=2,LEFT(AQ1956,vitri(".",AQ1956,2)-1),TRUE,LEFT(AQ1956,vitri(".",AQ1956,1)-1))</f>
        <v/>
      </c>
    </row>
    <row r="1957" spans="13:54" x14ac:dyDescent="0.25">
      <c r="M1957" s="379"/>
      <c r="BB1957" s="206" t="str">
        <f t="array" ref="BB1957">_xlfn.IFS(AQ1957="","",LEN(AQ1957)-LEN(SUBSTITUTE(AQ1957,".",""))=3,LEFT(AQ1957,vitri(".",AQ1957,3)-1),LEN(AQ1957)-LEN(SUBSTITUTE(AQ1957,".",""))=2,LEFT(AQ1957,vitri(".",AQ1957,2)-1),TRUE,LEFT(AQ1957,vitri(".",AQ1957,1)-1))</f>
        <v/>
      </c>
    </row>
    <row r="1958" spans="13:54" x14ac:dyDescent="0.25">
      <c r="M1958" s="379"/>
      <c r="BB1958" s="206" t="str">
        <f t="array" ref="BB1958">_xlfn.IFS(AQ1958="","",LEN(AQ1958)-LEN(SUBSTITUTE(AQ1958,".",""))=3,LEFT(AQ1958,vitri(".",AQ1958,3)-1),LEN(AQ1958)-LEN(SUBSTITUTE(AQ1958,".",""))=2,LEFT(AQ1958,vitri(".",AQ1958,2)-1),TRUE,LEFT(AQ1958,vitri(".",AQ1958,1)-1))</f>
        <v/>
      </c>
    </row>
    <row r="1959" spans="13:54" x14ac:dyDescent="0.25">
      <c r="M1959" s="379"/>
      <c r="BB1959" s="206" t="str">
        <f t="array" ref="BB1959">_xlfn.IFS(AQ1959="","",LEN(AQ1959)-LEN(SUBSTITUTE(AQ1959,".",""))=3,LEFT(AQ1959,vitri(".",AQ1959,3)-1),LEN(AQ1959)-LEN(SUBSTITUTE(AQ1959,".",""))=2,LEFT(AQ1959,vitri(".",AQ1959,2)-1),TRUE,LEFT(AQ1959,vitri(".",AQ1959,1)-1))</f>
        <v/>
      </c>
    </row>
    <row r="1960" spans="13:54" x14ac:dyDescent="0.25">
      <c r="M1960" s="379"/>
      <c r="BB1960" s="206" t="str">
        <f t="array" ref="BB1960">_xlfn.IFS(AQ1960="","",LEN(AQ1960)-LEN(SUBSTITUTE(AQ1960,".",""))=3,LEFT(AQ1960,vitri(".",AQ1960,3)-1),LEN(AQ1960)-LEN(SUBSTITUTE(AQ1960,".",""))=2,LEFT(AQ1960,vitri(".",AQ1960,2)-1),TRUE,LEFT(AQ1960,vitri(".",AQ1960,1)-1))</f>
        <v/>
      </c>
    </row>
    <row r="1961" spans="13:54" x14ac:dyDescent="0.25">
      <c r="M1961" s="379"/>
      <c r="BB1961" s="206" t="str">
        <f t="array" ref="BB1961">_xlfn.IFS(AQ1961="","",LEN(AQ1961)-LEN(SUBSTITUTE(AQ1961,".",""))=3,LEFT(AQ1961,vitri(".",AQ1961,3)-1),LEN(AQ1961)-LEN(SUBSTITUTE(AQ1961,".",""))=2,LEFT(AQ1961,vitri(".",AQ1961,2)-1),TRUE,LEFT(AQ1961,vitri(".",AQ1961,1)-1))</f>
        <v/>
      </c>
    </row>
    <row r="1962" spans="13:54" x14ac:dyDescent="0.25">
      <c r="M1962" s="379"/>
      <c r="BB1962" s="206" t="str">
        <f t="array" ref="BB1962">_xlfn.IFS(AQ1962="","",LEN(AQ1962)-LEN(SUBSTITUTE(AQ1962,".",""))=3,LEFT(AQ1962,vitri(".",AQ1962,3)-1),LEN(AQ1962)-LEN(SUBSTITUTE(AQ1962,".",""))=2,LEFT(AQ1962,vitri(".",AQ1962,2)-1),TRUE,LEFT(AQ1962,vitri(".",AQ1962,1)-1))</f>
        <v/>
      </c>
    </row>
    <row r="1963" spans="13:54" x14ac:dyDescent="0.25">
      <c r="M1963" s="379"/>
      <c r="BB1963" s="206" t="str">
        <f t="array" ref="BB1963">_xlfn.IFS(AQ1963="","",LEN(AQ1963)-LEN(SUBSTITUTE(AQ1963,".",""))=3,LEFT(AQ1963,vitri(".",AQ1963,3)-1),LEN(AQ1963)-LEN(SUBSTITUTE(AQ1963,".",""))=2,LEFT(AQ1963,vitri(".",AQ1963,2)-1),TRUE,LEFT(AQ1963,vitri(".",AQ1963,1)-1))</f>
        <v/>
      </c>
    </row>
    <row r="1964" spans="13:54" x14ac:dyDescent="0.25">
      <c r="M1964" s="379"/>
      <c r="BB1964" s="206" t="str">
        <f t="array" ref="BB1964">_xlfn.IFS(AQ1964="","",LEN(AQ1964)-LEN(SUBSTITUTE(AQ1964,".",""))=3,LEFT(AQ1964,vitri(".",AQ1964,3)-1),LEN(AQ1964)-LEN(SUBSTITUTE(AQ1964,".",""))=2,LEFT(AQ1964,vitri(".",AQ1964,2)-1),TRUE,LEFT(AQ1964,vitri(".",AQ1964,1)-1))</f>
        <v/>
      </c>
    </row>
    <row r="1965" spans="13:54" x14ac:dyDescent="0.25">
      <c r="M1965" s="379"/>
      <c r="BB1965" s="206" t="str">
        <f t="array" ref="BB1965">_xlfn.IFS(AQ1965="","",LEN(AQ1965)-LEN(SUBSTITUTE(AQ1965,".",""))=3,LEFT(AQ1965,vitri(".",AQ1965,3)-1),LEN(AQ1965)-LEN(SUBSTITUTE(AQ1965,".",""))=2,LEFT(AQ1965,vitri(".",AQ1965,2)-1),TRUE,LEFT(AQ1965,vitri(".",AQ1965,1)-1))</f>
        <v/>
      </c>
    </row>
    <row r="1966" spans="13:54" x14ac:dyDescent="0.25">
      <c r="M1966" s="379"/>
      <c r="BB1966" s="206" t="str">
        <f t="array" ref="BB1966">_xlfn.IFS(AQ1966="","",LEN(AQ1966)-LEN(SUBSTITUTE(AQ1966,".",""))=3,LEFT(AQ1966,vitri(".",AQ1966,3)-1),LEN(AQ1966)-LEN(SUBSTITUTE(AQ1966,".",""))=2,LEFT(AQ1966,vitri(".",AQ1966,2)-1),TRUE,LEFT(AQ1966,vitri(".",AQ1966,1)-1))</f>
        <v/>
      </c>
    </row>
    <row r="1967" spans="13:54" x14ac:dyDescent="0.25">
      <c r="M1967" s="379"/>
      <c r="BB1967" s="206" t="str">
        <f t="array" ref="BB1967">_xlfn.IFS(AQ1967="","",LEN(AQ1967)-LEN(SUBSTITUTE(AQ1967,".",""))=3,LEFT(AQ1967,vitri(".",AQ1967,3)-1),LEN(AQ1967)-LEN(SUBSTITUTE(AQ1967,".",""))=2,LEFT(AQ1967,vitri(".",AQ1967,2)-1),TRUE,LEFT(AQ1967,vitri(".",AQ1967,1)-1))</f>
        <v/>
      </c>
    </row>
    <row r="1968" spans="13:54" x14ac:dyDescent="0.25">
      <c r="M1968" s="379"/>
      <c r="BB1968" s="206" t="str">
        <f t="array" ref="BB1968">_xlfn.IFS(AQ1968="","",LEN(AQ1968)-LEN(SUBSTITUTE(AQ1968,".",""))=3,LEFT(AQ1968,vitri(".",AQ1968,3)-1),LEN(AQ1968)-LEN(SUBSTITUTE(AQ1968,".",""))=2,LEFT(AQ1968,vitri(".",AQ1968,2)-1),TRUE,LEFT(AQ1968,vitri(".",AQ1968,1)-1))</f>
        <v/>
      </c>
    </row>
    <row r="1969" spans="13:54" x14ac:dyDescent="0.25">
      <c r="M1969" s="379"/>
      <c r="BB1969" s="206" t="str">
        <f t="array" ref="BB1969">_xlfn.IFS(AQ1969="","",LEN(AQ1969)-LEN(SUBSTITUTE(AQ1969,".",""))=3,LEFT(AQ1969,vitri(".",AQ1969,3)-1),LEN(AQ1969)-LEN(SUBSTITUTE(AQ1969,".",""))=2,LEFT(AQ1969,vitri(".",AQ1969,2)-1),TRUE,LEFT(AQ1969,vitri(".",AQ1969,1)-1))</f>
        <v/>
      </c>
    </row>
    <row r="1970" spans="13:54" x14ac:dyDescent="0.25">
      <c r="M1970" s="379"/>
      <c r="BB1970" s="206" t="str">
        <f t="array" ref="BB1970">_xlfn.IFS(AQ1970="","",LEN(AQ1970)-LEN(SUBSTITUTE(AQ1970,".",""))=3,LEFT(AQ1970,vitri(".",AQ1970,3)-1),LEN(AQ1970)-LEN(SUBSTITUTE(AQ1970,".",""))=2,LEFT(AQ1970,vitri(".",AQ1970,2)-1),TRUE,LEFT(AQ1970,vitri(".",AQ1970,1)-1))</f>
        <v/>
      </c>
    </row>
    <row r="1971" spans="13:54" x14ac:dyDescent="0.25">
      <c r="M1971" s="379"/>
      <c r="BB1971" s="206" t="str">
        <f t="array" ref="BB1971">_xlfn.IFS(AQ1971="","",LEN(AQ1971)-LEN(SUBSTITUTE(AQ1971,".",""))=3,LEFT(AQ1971,vitri(".",AQ1971,3)-1),LEN(AQ1971)-LEN(SUBSTITUTE(AQ1971,".",""))=2,LEFT(AQ1971,vitri(".",AQ1971,2)-1),TRUE,LEFT(AQ1971,vitri(".",AQ1971,1)-1))</f>
        <v/>
      </c>
    </row>
    <row r="1972" spans="13:54" x14ac:dyDescent="0.25">
      <c r="M1972" s="379"/>
      <c r="BB1972" s="206" t="str">
        <f t="array" ref="BB1972">_xlfn.IFS(AQ1972="","",LEN(AQ1972)-LEN(SUBSTITUTE(AQ1972,".",""))=3,LEFT(AQ1972,vitri(".",AQ1972,3)-1),LEN(AQ1972)-LEN(SUBSTITUTE(AQ1972,".",""))=2,LEFT(AQ1972,vitri(".",AQ1972,2)-1),TRUE,LEFT(AQ1972,vitri(".",AQ1972,1)-1))</f>
        <v/>
      </c>
    </row>
    <row r="1973" spans="13:54" x14ac:dyDescent="0.25">
      <c r="M1973" s="379"/>
      <c r="BB1973" s="206" t="str">
        <f t="array" ref="BB1973">_xlfn.IFS(AQ1973="","",LEN(AQ1973)-LEN(SUBSTITUTE(AQ1973,".",""))=3,LEFT(AQ1973,vitri(".",AQ1973,3)-1),LEN(AQ1973)-LEN(SUBSTITUTE(AQ1973,".",""))=2,LEFT(AQ1973,vitri(".",AQ1973,2)-1),TRUE,LEFT(AQ1973,vitri(".",AQ1973,1)-1))</f>
        <v/>
      </c>
    </row>
    <row r="1974" spans="13:54" x14ac:dyDescent="0.25">
      <c r="M1974" s="379"/>
      <c r="BB1974" s="206" t="str">
        <f t="array" ref="BB1974">_xlfn.IFS(AQ1974="","",LEN(AQ1974)-LEN(SUBSTITUTE(AQ1974,".",""))=3,LEFT(AQ1974,vitri(".",AQ1974,3)-1),LEN(AQ1974)-LEN(SUBSTITUTE(AQ1974,".",""))=2,LEFT(AQ1974,vitri(".",AQ1974,2)-1),TRUE,LEFT(AQ1974,vitri(".",AQ1974,1)-1))</f>
        <v/>
      </c>
    </row>
    <row r="1975" spans="13:54" x14ac:dyDescent="0.25">
      <c r="M1975" s="379"/>
      <c r="BB1975" s="206" t="str">
        <f t="array" ref="BB1975">_xlfn.IFS(AQ1975="","",LEN(AQ1975)-LEN(SUBSTITUTE(AQ1975,".",""))=3,LEFT(AQ1975,vitri(".",AQ1975,3)-1),LEN(AQ1975)-LEN(SUBSTITUTE(AQ1975,".",""))=2,LEFT(AQ1975,vitri(".",AQ1975,2)-1),TRUE,LEFT(AQ1975,vitri(".",AQ1975,1)-1))</f>
        <v/>
      </c>
    </row>
    <row r="1976" spans="13:54" x14ac:dyDescent="0.25">
      <c r="M1976" s="379"/>
      <c r="BB1976" s="206" t="str">
        <f t="array" ref="BB1976">_xlfn.IFS(AQ1976="","",LEN(AQ1976)-LEN(SUBSTITUTE(AQ1976,".",""))=3,LEFT(AQ1976,vitri(".",AQ1976,3)-1),LEN(AQ1976)-LEN(SUBSTITUTE(AQ1976,".",""))=2,LEFT(AQ1976,vitri(".",AQ1976,2)-1),TRUE,LEFT(AQ1976,vitri(".",AQ1976,1)-1))</f>
        <v/>
      </c>
    </row>
    <row r="1977" spans="13:54" x14ac:dyDescent="0.25">
      <c r="M1977" s="379"/>
      <c r="BB1977" s="206" t="str">
        <f t="array" ref="BB1977">_xlfn.IFS(AQ1977="","",LEN(AQ1977)-LEN(SUBSTITUTE(AQ1977,".",""))=3,LEFT(AQ1977,vitri(".",AQ1977,3)-1),LEN(AQ1977)-LEN(SUBSTITUTE(AQ1977,".",""))=2,LEFT(AQ1977,vitri(".",AQ1977,2)-1),TRUE,LEFT(AQ1977,vitri(".",AQ1977,1)-1))</f>
        <v/>
      </c>
    </row>
    <row r="1978" spans="13:54" x14ac:dyDescent="0.25">
      <c r="M1978" s="379"/>
      <c r="BB1978" s="206" t="str">
        <f t="array" ref="BB1978">_xlfn.IFS(AQ1978="","",LEN(AQ1978)-LEN(SUBSTITUTE(AQ1978,".",""))=3,LEFT(AQ1978,vitri(".",AQ1978,3)-1),LEN(AQ1978)-LEN(SUBSTITUTE(AQ1978,".",""))=2,LEFT(AQ1978,vitri(".",AQ1978,2)-1),TRUE,LEFT(AQ1978,vitri(".",AQ1978,1)-1))</f>
        <v/>
      </c>
    </row>
    <row r="1979" spans="13:54" x14ac:dyDescent="0.25">
      <c r="M1979" s="379"/>
      <c r="BB1979" s="206" t="str">
        <f t="array" ref="BB1979">_xlfn.IFS(AQ1979="","",LEN(AQ1979)-LEN(SUBSTITUTE(AQ1979,".",""))=3,LEFT(AQ1979,vitri(".",AQ1979,3)-1),LEN(AQ1979)-LEN(SUBSTITUTE(AQ1979,".",""))=2,LEFT(AQ1979,vitri(".",AQ1979,2)-1),TRUE,LEFT(AQ1979,vitri(".",AQ1979,1)-1))</f>
        <v/>
      </c>
    </row>
    <row r="1980" spans="13:54" x14ac:dyDescent="0.25">
      <c r="M1980" s="379"/>
      <c r="BB1980" s="206" t="str">
        <f t="array" ref="BB1980">_xlfn.IFS(AQ1980="","",LEN(AQ1980)-LEN(SUBSTITUTE(AQ1980,".",""))=3,LEFT(AQ1980,vitri(".",AQ1980,3)-1),LEN(AQ1980)-LEN(SUBSTITUTE(AQ1980,".",""))=2,LEFT(AQ1980,vitri(".",AQ1980,2)-1),TRUE,LEFT(AQ1980,vitri(".",AQ1980,1)-1))</f>
        <v/>
      </c>
    </row>
    <row r="1981" spans="13:54" x14ac:dyDescent="0.25">
      <c r="M1981" s="379"/>
      <c r="BB1981" s="206" t="str">
        <f t="array" ref="BB1981">_xlfn.IFS(AQ1981="","",LEN(AQ1981)-LEN(SUBSTITUTE(AQ1981,".",""))=3,LEFT(AQ1981,vitri(".",AQ1981,3)-1),LEN(AQ1981)-LEN(SUBSTITUTE(AQ1981,".",""))=2,LEFT(AQ1981,vitri(".",AQ1981,2)-1),TRUE,LEFT(AQ1981,vitri(".",AQ1981,1)-1))</f>
        <v/>
      </c>
    </row>
    <row r="1982" spans="13:54" x14ac:dyDescent="0.25">
      <c r="M1982" s="379"/>
      <c r="BB1982" s="206" t="str">
        <f t="array" ref="BB1982">_xlfn.IFS(AQ1982="","",LEN(AQ1982)-LEN(SUBSTITUTE(AQ1982,".",""))=3,LEFT(AQ1982,vitri(".",AQ1982,3)-1),LEN(AQ1982)-LEN(SUBSTITUTE(AQ1982,".",""))=2,LEFT(AQ1982,vitri(".",AQ1982,2)-1),TRUE,LEFT(AQ1982,vitri(".",AQ1982,1)-1))</f>
        <v/>
      </c>
    </row>
    <row r="1983" spans="13:54" x14ac:dyDescent="0.25">
      <c r="M1983" s="379"/>
      <c r="BB1983" s="206" t="str">
        <f t="array" ref="BB1983">_xlfn.IFS(AQ1983="","",LEN(AQ1983)-LEN(SUBSTITUTE(AQ1983,".",""))=3,LEFT(AQ1983,vitri(".",AQ1983,3)-1),LEN(AQ1983)-LEN(SUBSTITUTE(AQ1983,".",""))=2,LEFT(AQ1983,vitri(".",AQ1983,2)-1),TRUE,LEFT(AQ1983,vitri(".",AQ1983,1)-1))</f>
        <v/>
      </c>
    </row>
    <row r="1984" spans="13:54" x14ac:dyDescent="0.25">
      <c r="M1984" s="379"/>
      <c r="BB1984" s="206" t="str">
        <f t="array" ref="BB1984">_xlfn.IFS(AQ1984="","",LEN(AQ1984)-LEN(SUBSTITUTE(AQ1984,".",""))=3,LEFT(AQ1984,vitri(".",AQ1984,3)-1),LEN(AQ1984)-LEN(SUBSTITUTE(AQ1984,".",""))=2,LEFT(AQ1984,vitri(".",AQ1984,2)-1),TRUE,LEFT(AQ1984,vitri(".",AQ1984,1)-1))</f>
        <v/>
      </c>
    </row>
    <row r="1985" spans="13:54" x14ac:dyDescent="0.25">
      <c r="M1985" s="379"/>
      <c r="BB1985" s="206" t="str">
        <f t="array" ref="BB1985">_xlfn.IFS(AQ1985="","",LEN(AQ1985)-LEN(SUBSTITUTE(AQ1985,".",""))=3,LEFT(AQ1985,vitri(".",AQ1985,3)-1),LEN(AQ1985)-LEN(SUBSTITUTE(AQ1985,".",""))=2,LEFT(AQ1985,vitri(".",AQ1985,2)-1),TRUE,LEFT(AQ1985,vitri(".",AQ1985,1)-1))</f>
        <v/>
      </c>
    </row>
    <row r="1986" spans="13:54" x14ac:dyDescent="0.25">
      <c r="M1986" s="379"/>
      <c r="BB1986" s="206" t="str">
        <f t="array" ref="BB1986">_xlfn.IFS(AQ1986="","",LEN(AQ1986)-LEN(SUBSTITUTE(AQ1986,".",""))=3,LEFT(AQ1986,vitri(".",AQ1986,3)-1),LEN(AQ1986)-LEN(SUBSTITUTE(AQ1986,".",""))=2,LEFT(AQ1986,vitri(".",AQ1986,2)-1),TRUE,LEFT(AQ1986,vitri(".",AQ1986,1)-1))</f>
        <v/>
      </c>
    </row>
    <row r="1987" spans="13:54" x14ac:dyDescent="0.25">
      <c r="M1987" s="379"/>
      <c r="BB1987" s="206" t="str">
        <f t="array" ref="BB1987">_xlfn.IFS(AQ1987="","",LEN(AQ1987)-LEN(SUBSTITUTE(AQ1987,".",""))=3,LEFT(AQ1987,vitri(".",AQ1987,3)-1),LEN(AQ1987)-LEN(SUBSTITUTE(AQ1987,".",""))=2,LEFT(AQ1987,vitri(".",AQ1987,2)-1),TRUE,LEFT(AQ1987,vitri(".",AQ1987,1)-1))</f>
        <v/>
      </c>
    </row>
    <row r="1988" spans="13:54" x14ac:dyDescent="0.25">
      <c r="M1988" s="379"/>
      <c r="BB1988" s="206" t="str">
        <f t="array" ref="BB1988">_xlfn.IFS(AQ1988="","",LEN(AQ1988)-LEN(SUBSTITUTE(AQ1988,".",""))=3,LEFT(AQ1988,vitri(".",AQ1988,3)-1),LEN(AQ1988)-LEN(SUBSTITUTE(AQ1988,".",""))=2,LEFT(AQ1988,vitri(".",AQ1988,2)-1),TRUE,LEFT(AQ1988,vitri(".",AQ1988,1)-1))</f>
        <v/>
      </c>
    </row>
    <row r="1989" spans="13:54" x14ac:dyDescent="0.25">
      <c r="M1989" s="379"/>
      <c r="BB1989" s="206" t="str">
        <f t="array" ref="BB1989">_xlfn.IFS(AQ1989="","",LEN(AQ1989)-LEN(SUBSTITUTE(AQ1989,".",""))=3,LEFT(AQ1989,vitri(".",AQ1989,3)-1),LEN(AQ1989)-LEN(SUBSTITUTE(AQ1989,".",""))=2,LEFT(AQ1989,vitri(".",AQ1989,2)-1),TRUE,LEFT(AQ1989,vitri(".",AQ1989,1)-1))</f>
        <v/>
      </c>
    </row>
    <row r="1990" spans="13:54" x14ac:dyDescent="0.25">
      <c r="M1990" s="379"/>
      <c r="BB1990" s="206" t="str">
        <f t="array" ref="BB1990">_xlfn.IFS(AQ1990="","",LEN(AQ1990)-LEN(SUBSTITUTE(AQ1990,".",""))=3,LEFT(AQ1990,vitri(".",AQ1990,3)-1),LEN(AQ1990)-LEN(SUBSTITUTE(AQ1990,".",""))=2,LEFT(AQ1990,vitri(".",AQ1990,2)-1),TRUE,LEFT(AQ1990,vitri(".",AQ1990,1)-1))</f>
        <v/>
      </c>
    </row>
    <row r="1991" spans="13:54" x14ac:dyDescent="0.25">
      <c r="M1991" s="379"/>
      <c r="BB1991" s="206" t="str">
        <f t="array" ref="BB1991">_xlfn.IFS(AQ1991="","",LEN(AQ1991)-LEN(SUBSTITUTE(AQ1991,".",""))=3,LEFT(AQ1991,vitri(".",AQ1991,3)-1),LEN(AQ1991)-LEN(SUBSTITUTE(AQ1991,".",""))=2,LEFT(AQ1991,vitri(".",AQ1991,2)-1),TRUE,LEFT(AQ1991,vitri(".",AQ1991,1)-1))</f>
        <v/>
      </c>
    </row>
    <row r="1992" spans="13:54" x14ac:dyDescent="0.25">
      <c r="M1992" s="379"/>
      <c r="BB1992" s="206" t="str">
        <f t="array" ref="BB1992">_xlfn.IFS(AQ1992="","",LEN(AQ1992)-LEN(SUBSTITUTE(AQ1992,".",""))=3,LEFT(AQ1992,vitri(".",AQ1992,3)-1),LEN(AQ1992)-LEN(SUBSTITUTE(AQ1992,".",""))=2,LEFT(AQ1992,vitri(".",AQ1992,2)-1),TRUE,LEFT(AQ1992,vitri(".",AQ1992,1)-1))</f>
        <v/>
      </c>
    </row>
    <row r="1993" spans="13:54" x14ac:dyDescent="0.25">
      <c r="M1993" s="379"/>
      <c r="BB1993" s="206" t="str">
        <f t="array" ref="BB1993">_xlfn.IFS(AQ1993="","",LEN(AQ1993)-LEN(SUBSTITUTE(AQ1993,".",""))=3,LEFT(AQ1993,vitri(".",AQ1993,3)-1),LEN(AQ1993)-LEN(SUBSTITUTE(AQ1993,".",""))=2,LEFT(AQ1993,vitri(".",AQ1993,2)-1),TRUE,LEFT(AQ1993,vitri(".",AQ1993,1)-1))</f>
        <v/>
      </c>
    </row>
    <row r="1994" spans="13:54" x14ac:dyDescent="0.25">
      <c r="M1994" s="379"/>
      <c r="BB1994" s="206" t="str">
        <f t="array" ref="BB1994">_xlfn.IFS(AQ1994="","",LEN(AQ1994)-LEN(SUBSTITUTE(AQ1994,".",""))=3,LEFT(AQ1994,vitri(".",AQ1994,3)-1),LEN(AQ1994)-LEN(SUBSTITUTE(AQ1994,".",""))=2,LEFT(AQ1994,vitri(".",AQ1994,2)-1),TRUE,LEFT(AQ1994,vitri(".",AQ1994,1)-1))</f>
        <v/>
      </c>
    </row>
    <row r="1995" spans="13:54" x14ac:dyDescent="0.25">
      <c r="M1995" s="379"/>
      <c r="BB1995" s="206" t="str">
        <f t="array" ref="BB1995">_xlfn.IFS(AQ1995="","",LEN(AQ1995)-LEN(SUBSTITUTE(AQ1995,".",""))=3,LEFT(AQ1995,vitri(".",AQ1995,3)-1),LEN(AQ1995)-LEN(SUBSTITUTE(AQ1995,".",""))=2,LEFT(AQ1995,vitri(".",AQ1995,2)-1),TRUE,LEFT(AQ1995,vitri(".",AQ1995,1)-1))</f>
        <v/>
      </c>
    </row>
    <row r="1996" spans="13:54" x14ac:dyDescent="0.25">
      <c r="M1996" s="379"/>
      <c r="BB1996" s="206" t="str">
        <f t="array" ref="BB1996">_xlfn.IFS(AQ1996="","",LEN(AQ1996)-LEN(SUBSTITUTE(AQ1996,".",""))=3,LEFT(AQ1996,vitri(".",AQ1996,3)-1),LEN(AQ1996)-LEN(SUBSTITUTE(AQ1996,".",""))=2,LEFT(AQ1996,vitri(".",AQ1996,2)-1),TRUE,LEFT(AQ1996,vitri(".",AQ1996,1)-1))</f>
        <v/>
      </c>
    </row>
    <row r="1997" spans="13:54" x14ac:dyDescent="0.25">
      <c r="M1997" s="379"/>
      <c r="BB1997" s="206" t="str">
        <f t="array" ref="BB1997">_xlfn.IFS(AQ1997="","",LEN(AQ1997)-LEN(SUBSTITUTE(AQ1997,".",""))=3,LEFT(AQ1997,vitri(".",AQ1997,3)-1),LEN(AQ1997)-LEN(SUBSTITUTE(AQ1997,".",""))=2,LEFT(AQ1997,vitri(".",AQ1997,2)-1),TRUE,LEFT(AQ1997,vitri(".",AQ1997,1)-1))</f>
        <v/>
      </c>
    </row>
    <row r="1998" spans="13:54" x14ac:dyDescent="0.25">
      <c r="M1998" s="379"/>
      <c r="BB1998" s="206" t="str">
        <f t="array" ref="BB1998">_xlfn.IFS(AQ1998="","",LEN(AQ1998)-LEN(SUBSTITUTE(AQ1998,".",""))=3,LEFT(AQ1998,vitri(".",AQ1998,3)-1),LEN(AQ1998)-LEN(SUBSTITUTE(AQ1998,".",""))=2,LEFT(AQ1998,vitri(".",AQ1998,2)-1),TRUE,LEFT(AQ1998,vitri(".",AQ1998,1)-1))</f>
        <v/>
      </c>
    </row>
    <row r="1999" spans="13:54" x14ac:dyDescent="0.25">
      <c r="M1999" s="379"/>
      <c r="BB1999" s="206" t="str">
        <f t="array" ref="BB1999">_xlfn.IFS(AQ1999="","",LEN(AQ1999)-LEN(SUBSTITUTE(AQ1999,".",""))=3,LEFT(AQ1999,vitri(".",AQ1999,3)-1),LEN(AQ1999)-LEN(SUBSTITUTE(AQ1999,".",""))=2,LEFT(AQ1999,vitri(".",AQ1999,2)-1),TRUE,LEFT(AQ1999,vitri(".",AQ1999,1)-1))</f>
        <v/>
      </c>
    </row>
    <row r="2000" spans="13:54" x14ac:dyDescent="0.25">
      <c r="M2000" s="379"/>
      <c r="BB2000" s="206" t="str">
        <f t="array" ref="BB2000">_xlfn.IFS(AQ2000="","",LEN(AQ2000)-LEN(SUBSTITUTE(AQ2000,".",""))=3,LEFT(AQ2000,vitri(".",AQ2000,3)-1),LEN(AQ2000)-LEN(SUBSTITUTE(AQ2000,".",""))=2,LEFT(AQ2000,vitri(".",AQ2000,2)-1),TRUE,LEFT(AQ2000,vitri(".",AQ2000,1)-1))</f>
        <v/>
      </c>
    </row>
  </sheetData>
  <sheetProtection algorithmName="SHA-512" hashValue="4jPUu1ueRGqfOfld7GoPYZeDMES/6A0zyc7sA79i7/YEWcF3b67hFHT7gwwg+VNP+vbT7Un4YhflseCPGDC1FA==" saltValue="RYTa02vmSwAx9Bxjn2pi6g==" spinCount="100000" sheet="1" objects="1" scenarios="1" selectLockedCells="1" selectUnlockedCells="1"/>
  <sortState xmlns:xlrd2="http://schemas.microsoft.com/office/spreadsheetml/2017/richdata2" ref="AQ4:AQ14">
    <sortCondition ref="AQ4:AQ14"/>
  </sortState>
  <phoneticPr fontId="1" type="noConversion"/>
  <conditionalFormatting sqref="Y5:Y6">
    <cfRule type="expression" dxfId="67" priority="17">
      <formula>MOD(ROW(),2)&gt;0</formula>
    </cfRule>
  </conditionalFormatting>
  <conditionalFormatting sqref="AA4:AA62">
    <cfRule type="expression" dxfId="66" priority="16">
      <formula>MOD(ROW(),2)&gt;0</formula>
    </cfRule>
  </conditionalFormatting>
  <conditionalFormatting sqref="AL5:AL6">
    <cfRule type="expression" dxfId="65" priority="15">
      <formula>MOD(ROW(),2)&gt;0</formula>
    </cfRule>
  </conditionalFormatting>
  <conditionalFormatting sqref="AN4:AN62">
    <cfRule type="expression" dxfId="64" priority="14">
      <formula>MOD(ROW(),2)&gt;0</formula>
    </cfRule>
  </conditionalFormatting>
  <conditionalFormatting sqref="M4:M111">
    <cfRule type="duplicateValues" dxfId="15" priority="4"/>
    <cfRule type="duplicateValues" dxfId="14" priority="6"/>
    <cfRule type="duplicateValues" dxfId="13" priority="8"/>
    <cfRule type="duplicateValues" dxfId="12" priority="10"/>
    <cfRule type="duplicateValues" dxfId="11" priority="2"/>
  </conditionalFormatting>
  <conditionalFormatting sqref="K4:K111">
    <cfRule type="duplicateValues" dxfId="10" priority="3"/>
    <cfRule type="duplicateValues" dxfId="9" priority="5"/>
    <cfRule type="duplicateValues" dxfId="8" priority="7"/>
    <cfRule type="duplicateValues" dxfId="7" priority="9"/>
    <cfRule type="duplicateValues" dxfId="6" priority="1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1"/>
  <dimension ref="A1:M78"/>
  <sheetViews>
    <sheetView zoomScaleNormal="100" workbookViewId="0">
      <pane ySplit="3" topLeftCell="A4" activePane="bottomLeft" state="frozen"/>
      <selection pane="bottomLeft" activeCell="K4" sqref="K4:L78"/>
    </sheetView>
  </sheetViews>
  <sheetFormatPr defaultColWidth="9.140625" defaultRowHeight="15.75" x14ac:dyDescent="0.25"/>
  <cols>
    <col min="1" max="1" width="5.5703125" style="20" customWidth="1"/>
    <col min="2" max="2" width="21.85546875" style="96" customWidth="1"/>
    <col min="3" max="3" width="10.28515625" style="294" customWidth="1"/>
    <col min="4" max="4" width="5.5703125" style="294" customWidth="1"/>
    <col min="5" max="5" width="22.140625" style="96" customWidth="1"/>
    <col min="6" max="6" width="12.140625" style="96" customWidth="1"/>
    <col min="7" max="7" width="6.140625" style="96" customWidth="1"/>
    <col min="8" max="8" width="23.28515625" style="96" customWidth="1"/>
    <col min="9" max="9" width="13.5703125" style="96" customWidth="1"/>
    <col min="10" max="10" width="8.7109375" style="96" customWidth="1"/>
    <col min="11" max="11" width="22.5703125" style="96" customWidth="1"/>
    <col min="12" max="12" width="12.42578125" style="96" customWidth="1"/>
    <col min="13" max="13" width="15.5703125" style="72" customWidth="1"/>
    <col min="14" max="16384" width="9.140625" style="72"/>
  </cols>
  <sheetData>
    <row r="1" spans="1:13" s="7" customFormat="1" ht="15.75" customHeight="1" x14ac:dyDescent="0.25">
      <c r="A1" s="102"/>
      <c r="B1" s="122"/>
      <c r="C1" s="164"/>
      <c r="D1" s="164"/>
      <c r="E1" s="165"/>
      <c r="F1" s="122"/>
      <c r="G1" s="122"/>
      <c r="H1" s="122"/>
      <c r="I1" s="122"/>
      <c r="J1" s="122"/>
      <c r="K1" s="122"/>
      <c r="L1" s="122"/>
    </row>
    <row r="2" spans="1:13" ht="15.75" customHeight="1" x14ac:dyDescent="0.25">
      <c r="A2" s="103"/>
      <c r="C2" s="96"/>
      <c r="D2" s="96" t="str">
        <f>IFERROR(VLOOKUP(C2,C4:D1002,2,FALSE),"")</f>
        <v/>
      </c>
      <c r="F2" s="96" t="str">
        <f>IFERROR(VLOOKUP(E2,E4:F1002,2,FALSE),"")</f>
        <v/>
      </c>
      <c r="H2" s="96" t="str">
        <f>IFERROR(VLOOKUP(G2,G4:H1002,2,FALSE),"")</f>
        <v/>
      </c>
      <c r="J2" s="96" t="str">
        <f>IFERROR(VLOOKUP(I2,I4:J1002,2,FALSE),"")</f>
        <v/>
      </c>
      <c r="M2" s="104" t="s">
        <v>185</v>
      </c>
    </row>
    <row r="3" spans="1:13" s="78" customFormat="1" ht="18" customHeight="1" x14ac:dyDescent="0.25">
      <c r="A3" s="283"/>
      <c r="B3" s="292" t="s">
        <v>7</v>
      </c>
      <c r="C3" s="293" t="s">
        <v>494</v>
      </c>
      <c r="D3" s="293"/>
      <c r="E3" s="292" t="s">
        <v>58</v>
      </c>
      <c r="F3" s="293" t="s">
        <v>495</v>
      </c>
      <c r="G3" s="293"/>
      <c r="H3" s="292" t="s">
        <v>492</v>
      </c>
      <c r="I3" s="293" t="s">
        <v>496</v>
      </c>
      <c r="J3" s="293"/>
      <c r="K3" s="292" t="s">
        <v>493</v>
      </c>
      <c r="L3" s="293" t="s">
        <v>497</v>
      </c>
      <c r="M3" s="104" t="s">
        <v>184</v>
      </c>
    </row>
    <row r="4" spans="1:13" ht="15.75" customHeight="1" x14ac:dyDescent="0.25">
      <c r="A4" s="104"/>
      <c r="B4" s="96" t="str">
        <f>IFERROR(VLOOKUP(A4,A6:B1004,2,FALSE),"")</f>
        <v/>
      </c>
      <c r="C4" s="294" t="s">
        <v>5</v>
      </c>
      <c r="E4" s="96" t="s">
        <v>5</v>
      </c>
      <c r="F4" s="96" t="s">
        <v>5</v>
      </c>
      <c r="H4" s="269" t="s">
        <v>5</v>
      </c>
      <c r="I4" s="269" t="s">
        <v>5</v>
      </c>
      <c r="K4" s="269" t="s">
        <v>5</v>
      </c>
      <c r="L4" s="269" t="s">
        <v>5</v>
      </c>
    </row>
    <row r="5" spans="1:13" ht="15.75" customHeight="1" x14ac:dyDescent="0.25">
      <c r="A5" s="104"/>
      <c r="B5" s="96" t="s">
        <v>3</v>
      </c>
      <c r="C5" s="294" t="s">
        <v>5</v>
      </c>
      <c r="E5" s="96" t="s">
        <v>5</v>
      </c>
      <c r="F5" s="96" t="s">
        <v>5</v>
      </c>
      <c r="H5" s="269" t="s">
        <v>5</v>
      </c>
      <c r="I5" s="269" t="s">
        <v>5</v>
      </c>
      <c r="K5" s="269" t="s">
        <v>5</v>
      </c>
      <c r="L5" s="269" t="s">
        <v>5</v>
      </c>
    </row>
    <row r="6" spans="1:13" ht="15" customHeight="1" x14ac:dyDescent="0.25">
      <c r="A6" s="104"/>
      <c r="B6" s="269" t="s">
        <v>62</v>
      </c>
      <c r="C6" s="269" t="s">
        <v>123</v>
      </c>
      <c r="E6" s="96" t="s">
        <v>990</v>
      </c>
      <c r="F6" s="96" t="s">
        <v>991</v>
      </c>
      <c r="H6" s="269" t="s">
        <v>1349</v>
      </c>
      <c r="I6" s="269" t="s">
        <v>705</v>
      </c>
      <c r="K6" s="269">
        <v>2</v>
      </c>
      <c r="L6" s="269">
        <v>2</v>
      </c>
    </row>
    <row r="7" spans="1:13" ht="15" customHeight="1" x14ac:dyDescent="0.25">
      <c r="A7" s="104"/>
      <c r="B7" s="269" t="s">
        <v>129</v>
      </c>
      <c r="C7" s="269" t="s">
        <v>130</v>
      </c>
      <c r="E7" s="269" t="s">
        <v>135</v>
      </c>
      <c r="F7" s="269" t="s">
        <v>1008</v>
      </c>
      <c r="H7" s="269" t="s">
        <v>994</v>
      </c>
      <c r="I7" s="269" t="s">
        <v>995</v>
      </c>
      <c r="K7" s="269" t="s">
        <v>996</v>
      </c>
      <c r="L7" s="269" t="s">
        <v>997</v>
      </c>
    </row>
    <row r="8" spans="1:13" ht="15.75" customHeight="1" x14ac:dyDescent="0.25">
      <c r="A8" s="104"/>
      <c r="B8" s="269" t="s">
        <v>136</v>
      </c>
      <c r="C8" s="269" t="s">
        <v>137</v>
      </c>
      <c r="E8" s="269" t="s">
        <v>133</v>
      </c>
      <c r="F8" s="269" t="s">
        <v>134</v>
      </c>
      <c r="H8" s="269" t="s">
        <v>996</v>
      </c>
      <c r="I8" s="269" t="s">
        <v>997</v>
      </c>
      <c r="K8" s="269" t="s">
        <v>1354</v>
      </c>
      <c r="L8" s="269" t="s">
        <v>143</v>
      </c>
    </row>
    <row r="9" spans="1:13" ht="15.75" customHeight="1" x14ac:dyDescent="0.25">
      <c r="A9" s="104"/>
      <c r="B9" s="96" t="s">
        <v>171</v>
      </c>
      <c r="C9" s="294" t="s">
        <v>1377</v>
      </c>
      <c r="E9" s="269" t="s">
        <v>1011</v>
      </c>
      <c r="F9" s="269" t="s">
        <v>1012</v>
      </c>
      <c r="H9" s="269" t="s">
        <v>1009</v>
      </c>
      <c r="I9" s="269" t="s">
        <v>1010</v>
      </c>
      <c r="K9" s="269" t="s">
        <v>1029</v>
      </c>
      <c r="L9" s="269" t="s">
        <v>1030</v>
      </c>
    </row>
    <row r="10" spans="1:13" ht="15.75" customHeight="1" x14ac:dyDescent="0.25">
      <c r="A10" s="104"/>
      <c r="B10" s="96" t="s">
        <v>1395</v>
      </c>
      <c r="C10" s="294" t="s">
        <v>721</v>
      </c>
      <c r="E10" s="269" t="s">
        <v>131</v>
      </c>
      <c r="F10" s="269" t="s">
        <v>132</v>
      </c>
      <c r="H10" s="269" t="s">
        <v>1013</v>
      </c>
      <c r="I10" s="269" t="s">
        <v>1014</v>
      </c>
      <c r="K10" s="269">
        <v>1</v>
      </c>
      <c r="L10" s="269">
        <v>1</v>
      </c>
    </row>
    <row r="11" spans="1:13" ht="15.75" customHeight="1" x14ac:dyDescent="0.25">
      <c r="A11" s="104"/>
      <c r="B11"/>
      <c r="C11"/>
      <c r="E11" s="269" t="s">
        <v>1018</v>
      </c>
      <c r="F11" s="269" t="s">
        <v>1019</v>
      </c>
      <c r="H11" s="269" t="s">
        <v>1015</v>
      </c>
      <c r="I11" s="269" t="s">
        <v>1016</v>
      </c>
      <c r="K11" s="269">
        <v>3</v>
      </c>
      <c r="L11" s="269">
        <v>3</v>
      </c>
    </row>
    <row r="12" spans="1:13" ht="15.75" customHeight="1" x14ac:dyDescent="0.25">
      <c r="A12" s="104"/>
      <c r="B12"/>
      <c r="C12"/>
      <c r="E12" s="269" t="s">
        <v>1020</v>
      </c>
      <c r="F12" s="269" t="s">
        <v>1021</v>
      </c>
      <c r="H12" s="269" t="s">
        <v>1017</v>
      </c>
      <c r="I12" s="269" t="s">
        <v>1016</v>
      </c>
      <c r="K12" s="269" t="s">
        <v>1032</v>
      </c>
      <c r="L12" s="269" t="s">
        <v>1033</v>
      </c>
    </row>
    <row r="13" spans="1:13" ht="15.75" customHeight="1" x14ac:dyDescent="0.25">
      <c r="A13" s="104"/>
      <c r="B13"/>
      <c r="C13"/>
      <c r="E13" s="269" t="s">
        <v>1022</v>
      </c>
      <c r="F13" s="269" t="s">
        <v>1023</v>
      </c>
      <c r="H13" s="269" t="s">
        <v>1026</v>
      </c>
      <c r="I13" s="269" t="s">
        <v>1026</v>
      </c>
      <c r="K13" s="269" t="s">
        <v>49</v>
      </c>
      <c r="L13" s="269" t="s">
        <v>1034</v>
      </c>
    </row>
    <row r="14" spans="1:13" ht="15.75" customHeight="1" x14ac:dyDescent="0.25">
      <c r="A14" s="104"/>
      <c r="B14"/>
      <c r="C14"/>
      <c r="E14" s="269" t="s">
        <v>1024</v>
      </c>
      <c r="F14" s="269" t="s">
        <v>1025</v>
      </c>
      <c r="H14" s="269" t="s">
        <v>1246</v>
      </c>
      <c r="I14" s="269" t="s">
        <v>1246</v>
      </c>
      <c r="K14" s="269" t="s">
        <v>506</v>
      </c>
      <c r="L14" s="269" t="s">
        <v>852</v>
      </c>
    </row>
    <row r="15" spans="1:13" ht="15.75" customHeight="1" x14ac:dyDescent="0.25">
      <c r="A15" s="104"/>
      <c r="B15"/>
      <c r="C15"/>
      <c r="E15" s="269" t="s">
        <v>465</v>
      </c>
      <c r="F15" s="269" t="s">
        <v>466</v>
      </c>
      <c r="H15" s="269" t="s">
        <v>1353</v>
      </c>
      <c r="I15" s="269" t="s">
        <v>1353</v>
      </c>
      <c r="K15"/>
      <c r="L15"/>
    </row>
    <row r="16" spans="1:13" ht="15.75" customHeight="1" x14ac:dyDescent="0.25">
      <c r="A16" s="104"/>
      <c r="B16"/>
      <c r="C16"/>
      <c r="E16" s="269" t="s">
        <v>327</v>
      </c>
      <c r="F16" s="269" t="s">
        <v>328</v>
      </c>
      <c r="H16" s="269" t="s">
        <v>28</v>
      </c>
      <c r="I16" s="269" t="s">
        <v>29</v>
      </c>
      <c r="K16"/>
      <c r="L16"/>
    </row>
    <row r="17" spans="1:12" ht="15.75" customHeight="1" x14ac:dyDescent="0.25">
      <c r="A17" s="104"/>
      <c r="B17"/>
      <c r="C17"/>
      <c r="E17" s="269" t="s">
        <v>1350</v>
      </c>
      <c r="F17" s="269" t="s">
        <v>1351</v>
      </c>
      <c r="H17" s="96" t="s">
        <v>1379</v>
      </c>
      <c r="I17" s="96" t="s">
        <v>1379</v>
      </c>
      <c r="K17"/>
      <c r="L17"/>
    </row>
    <row r="18" spans="1:12" ht="15.75" customHeight="1" x14ac:dyDescent="0.25">
      <c r="A18" s="104"/>
      <c r="B18"/>
      <c r="C18"/>
      <c r="E18" s="96" t="s">
        <v>1352</v>
      </c>
      <c r="F18" s="96" t="s">
        <v>640</v>
      </c>
      <c r="H18" s="96" t="s">
        <v>1380</v>
      </c>
      <c r="I18" s="96" t="s">
        <v>1380</v>
      </c>
      <c r="K18"/>
      <c r="L18"/>
    </row>
    <row r="19" spans="1:12" ht="15.75" customHeight="1" x14ac:dyDescent="0.25">
      <c r="A19" s="104"/>
      <c r="B19"/>
      <c r="C19"/>
      <c r="E19" s="269" t="s">
        <v>1027</v>
      </c>
      <c r="F19" s="269" t="s">
        <v>1028</v>
      </c>
      <c r="H19" s="96" t="s">
        <v>1383</v>
      </c>
      <c r="I19" s="96" t="s">
        <v>20</v>
      </c>
      <c r="K19"/>
      <c r="L19"/>
    </row>
    <row r="20" spans="1:12" ht="15.75" customHeight="1" x14ac:dyDescent="0.25">
      <c r="A20" s="104"/>
      <c r="B20"/>
      <c r="C20"/>
      <c r="E20" s="269" t="s">
        <v>838</v>
      </c>
      <c r="F20" s="269" t="s">
        <v>1031</v>
      </c>
      <c r="H20" s="96" t="s">
        <v>1384</v>
      </c>
      <c r="I20" s="96" t="s">
        <v>1384</v>
      </c>
      <c r="K20"/>
      <c r="L20"/>
    </row>
    <row r="21" spans="1:12" ht="15" customHeight="1" x14ac:dyDescent="0.25">
      <c r="A21" s="104"/>
      <c r="B21"/>
      <c r="C21"/>
      <c r="E21" s="269" t="s">
        <v>138</v>
      </c>
      <c r="F21" s="269" t="s">
        <v>139</v>
      </c>
      <c r="H21" s="96" t="s">
        <v>1393</v>
      </c>
      <c r="I21" s="96" t="s">
        <v>1394</v>
      </c>
      <c r="K21"/>
      <c r="L21"/>
    </row>
    <row r="22" spans="1:12" ht="15" customHeight="1" x14ac:dyDescent="0.25">
      <c r="A22" s="104"/>
      <c r="B22"/>
      <c r="C22"/>
      <c r="E22" s="96" t="s">
        <v>1355</v>
      </c>
      <c r="F22" s="96" t="s">
        <v>1356</v>
      </c>
      <c r="H22" s="96" t="s">
        <v>992</v>
      </c>
      <c r="I22" s="96">
        <v>1</v>
      </c>
      <c r="K22"/>
      <c r="L22"/>
    </row>
    <row r="23" spans="1:12" ht="15" customHeight="1" x14ac:dyDescent="0.25">
      <c r="A23" s="104"/>
      <c r="B23"/>
      <c r="C23"/>
      <c r="E23" s="269" t="s">
        <v>1357</v>
      </c>
      <c r="F23" s="269" t="s">
        <v>1358</v>
      </c>
      <c r="H23" s="96" t="s">
        <v>993</v>
      </c>
      <c r="I23" s="96">
        <v>2</v>
      </c>
      <c r="K23"/>
      <c r="L23"/>
    </row>
    <row r="24" spans="1:12" ht="15" customHeight="1" x14ac:dyDescent="0.25">
      <c r="A24" s="104"/>
      <c r="B24"/>
      <c r="C24"/>
      <c r="E24" s="269" t="s">
        <v>1359</v>
      </c>
      <c r="F24" s="269" t="s">
        <v>1360</v>
      </c>
      <c r="H24" s="96" t="s">
        <v>1218</v>
      </c>
      <c r="I24" s="96">
        <v>3</v>
      </c>
      <c r="K24"/>
      <c r="L24"/>
    </row>
    <row r="25" spans="1:12" ht="15" customHeight="1" x14ac:dyDescent="0.25">
      <c r="A25" s="104"/>
      <c r="B25"/>
      <c r="C25"/>
      <c r="E25" s="269" t="s">
        <v>1361</v>
      </c>
      <c r="F25" s="269" t="s">
        <v>467</v>
      </c>
      <c r="H25"/>
      <c r="I25"/>
      <c r="K25"/>
      <c r="L25"/>
    </row>
    <row r="26" spans="1:12" ht="15" customHeight="1" x14ac:dyDescent="0.25">
      <c r="A26" s="104"/>
      <c r="B26"/>
      <c r="C26"/>
      <c r="E26" s="269" t="s">
        <v>1362</v>
      </c>
      <c r="F26" s="269" t="s">
        <v>1363</v>
      </c>
      <c r="H26"/>
      <c r="I26"/>
      <c r="K26"/>
      <c r="L26"/>
    </row>
    <row r="27" spans="1:12" ht="15.75" customHeight="1" x14ac:dyDescent="0.25">
      <c r="A27" s="104"/>
      <c r="B27"/>
      <c r="C27"/>
      <c r="E27" s="269" t="s">
        <v>142</v>
      </c>
      <c r="F27" s="269" t="s">
        <v>143</v>
      </c>
      <c r="H27"/>
      <c r="I27"/>
      <c r="K27"/>
      <c r="L27"/>
    </row>
    <row r="28" spans="1:12" ht="15" customHeight="1" x14ac:dyDescent="0.25">
      <c r="A28" s="104"/>
      <c r="B28"/>
      <c r="C28"/>
      <c r="E28" s="96" t="s">
        <v>1364</v>
      </c>
      <c r="F28" s="96" t="s">
        <v>1365</v>
      </c>
      <c r="H28"/>
      <c r="I28"/>
      <c r="K28"/>
      <c r="L28"/>
    </row>
    <row r="29" spans="1:12" ht="15" customHeight="1" x14ac:dyDescent="0.25">
      <c r="A29" s="104"/>
      <c r="B29"/>
      <c r="C29"/>
      <c r="E29" s="96" t="s">
        <v>1366</v>
      </c>
      <c r="F29" s="96" t="s">
        <v>1367</v>
      </c>
      <c r="H29"/>
      <c r="I29"/>
      <c r="K29"/>
      <c r="L29"/>
    </row>
    <row r="30" spans="1:12" ht="15" customHeight="1" x14ac:dyDescent="0.25">
      <c r="A30" s="104"/>
      <c r="B30"/>
      <c r="C30"/>
      <c r="E30" s="96" t="s">
        <v>1368</v>
      </c>
      <c r="F30" s="96" t="s">
        <v>1369</v>
      </c>
      <c r="H30"/>
      <c r="I30"/>
      <c r="K30"/>
      <c r="L30"/>
    </row>
    <row r="31" spans="1:12" ht="15" customHeight="1" x14ac:dyDescent="0.25">
      <c r="A31" s="104"/>
      <c r="B31"/>
      <c r="C31"/>
      <c r="E31" s="96" t="s">
        <v>1370</v>
      </c>
      <c r="F31" s="96" t="s">
        <v>1371</v>
      </c>
      <c r="H31"/>
      <c r="I31"/>
      <c r="K31"/>
      <c r="L31"/>
    </row>
    <row r="32" spans="1:12" ht="15" customHeight="1" x14ac:dyDescent="0.25">
      <c r="A32" s="104"/>
      <c r="B32"/>
      <c r="C32"/>
      <c r="E32" s="96" t="s">
        <v>329</v>
      </c>
      <c r="F32" s="96" t="s">
        <v>330</v>
      </c>
      <c r="H32"/>
      <c r="I32"/>
      <c r="K32"/>
      <c r="L32"/>
    </row>
    <row r="33" spans="1:12" ht="15" customHeight="1" x14ac:dyDescent="0.25">
      <c r="A33" s="104"/>
      <c r="B33"/>
      <c r="C33"/>
      <c r="E33" s="96" t="s">
        <v>1373</v>
      </c>
      <c r="F33" s="96" t="s">
        <v>1374</v>
      </c>
      <c r="H33"/>
      <c r="I33"/>
      <c r="K33"/>
      <c r="L33"/>
    </row>
    <row r="34" spans="1:12" ht="15.75" customHeight="1" x14ac:dyDescent="0.25">
      <c r="A34" s="104"/>
      <c r="B34"/>
      <c r="C34"/>
      <c r="E34" s="96" t="s">
        <v>166</v>
      </c>
      <c r="F34" s="96" t="s">
        <v>1247</v>
      </c>
      <c r="H34"/>
      <c r="I34"/>
      <c r="K34"/>
      <c r="L34"/>
    </row>
    <row r="35" spans="1:12" ht="15" customHeight="1" x14ac:dyDescent="0.25">
      <c r="A35" s="104"/>
      <c r="B35"/>
      <c r="C35"/>
      <c r="E35" s="96" t="s">
        <v>1035</v>
      </c>
      <c r="F35" s="96" t="s">
        <v>1036</v>
      </c>
      <c r="H35"/>
      <c r="I35"/>
      <c r="K35"/>
      <c r="L35"/>
    </row>
    <row r="36" spans="1:12" ht="15" customHeight="1" x14ac:dyDescent="0.25">
      <c r="A36" s="104"/>
      <c r="B36"/>
      <c r="C36"/>
      <c r="E36" s="96" t="s">
        <v>84</v>
      </c>
      <c r="F36" s="96" t="s">
        <v>84</v>
      </c>
      <c r="H36"/>
      <c r="I36"/>
      <c r="K36"/>
      <c r="L36"/>
    </row>
    <row r="37" spans="1:12" ht="15.75" customHeight="1" x14ac:dyDescent="0.25">
      <c r="A37" s="104"/>
      <c r="B37"/>
      <c r="C37"/>
      <c r="E37" s="96" t="s">
        <v>1378</v>
      </c>
      <c r="F37" s="96" t="s">
        <v>468</v>
      </c>
      <c r="H37"/>
      <c r="I37"/>
      <c r="K37"/>
      <c r="L37"/>
    </row>
    <row r="38" spans="1:12" x14ac:dyDescent="0.25">
      <c r="B38"/>
      <c r="C38"/>
      <c r="E38" s="96" t="s">
        <v>1381</v>
      </c>
      <c r="F38" s="96" t="s">
        <v>1382</v>
      </c>
      <c r="H38"/>
      <c r="I38"/>
      <c r="K38"/>
      <c r="L38"/>
    </row>
    <row r="39" spans="1:12" x14ac:dyDescent="0.25">
      <c r="B39"/>
      <c r="C39"/>
      <c r="E39" s="96" t="s">
        <v>469</v>
      </c>
      <c r="F39" s="96" t="s">
        <v>470</v>
      </c>
      <c r="H39"/>
      <c r="I39"/>
      <c r="K39"/>
      <c r="L39"/>
    </row>
    <row r="40" spans="1:12" x14ac:dyDescent="0.25">
      <c r="B40"/>
      <c r="C40"/>
      <c r="E40" s="96" t="s">
        <v>471</v>
      </c>
      <c r="F40" s="96" t="s">
        <v>299</v>
      </c>
      <c r="H40"/>
      <c r="I40"/>
      <c r="K40"/>
      <c r="L40"/>
    </row>
    <row r="41" spans="1:12" x14ac:dyDescent="0.25">
      <c r="B41"/>
      <c r="C41"/>
      <c r="E41" s="96" t="s">
        <v>1385</v>
      </c>
      <c r="F41" s="96" t="s">
        <v>472</v>
      </c>
      <c r="H41"/>
      <c r="I41"/>
      <c r="K41"/>
      <c r="L41"/>
    </row>
    <row r="42" spans="1:12" x14ac:dyDescent="0.25">
      <c r="B42"/>
      <c r="C42"/>
      <c r="E42" s="96" t="s">
        <v>1386</v>
      </c>
      <c r="F42" s="96" t="s">
        <v>1387</v>
      </c>
      <c r="H42"/>
      <c r="I42"/>
      <c r="K42"/>
      <c r="L42"/>
    </row>
    <row r="43" spans="1:12" x14ac:dyDescent="0.25">
      <c r="B43"/>
      <c r="C43"/>
      <c r="E43" s="96" t="s">
        <v>1388</v>
      </c>
      <c r="F43" s="96" t="s">
        <v>709</v>
      </c>
      <c r="H43"/>
      <c r="I43"/>
      <c r="K43"/>
      <c r="L43"/>
    </row>
    <row r="44" spans="1:12" x14ac:dyDescent="0.25">
      <c r="B44"/>
      <c r="C44"/>
      <c r="E44" s="96" t="s">
        <v>1389</v>
      </c>
      <c r="F44" s="96" t="s">
        <v>1390</v>
      </c>
      <c r="H44"/>
      <c r="I44"/>
      <c r="K44"/>
      <c r="L44"/>
    </row>
    <row r="45" spans="1:12" x14ac:dyDescent="0.25">
      <c r="B45"/>
      <c r="C45"/>
      <c r="E45" s="96" t="s">
        <v>1391</v>
      </c>
      <c r="F45" s="96" t="s">
        <v>1392</v>
      </c>
      <c r="H45"/>
      <c r="I45"/>
      <c r="K45"/>
      <c r="L45"/>
    </row>
    <row r="46" spans="1:12" x14ac:dyDescent="0.25">
      <c r="B46"/>
      <c r="C46"/>
      <c r="E46" s="96" t="s">
        <v>473</v>
      </c>
      <c r="F46" s="96" t="s">
        <v>474</v>
      </c>
      <c r="H46"/>
      <c r="I46"/>
      <c r="K46"/>
      <c r="L46"/>
    </row>
    <row r="47" spans="1:12" x14ac:dyDescent="0.25">
      <c r="B47"/>
      <c r="C47"/>
      <c r="E47" s="96" t="s">
        <v>1396</v>
      </c>
      <c r="F47" s="96" t="s">
        <v>1397</v>
      </c>
      <c r="H47"/>
      <c r="I47"/>
      <c r="K47"/>
      <c r="L47"/>
    </row>
    <row r="48" spans="1:12" x14ac:dyDescent="0.25">
      <c r="B48"/>
      <c r="C48"/>
      <c r="E48" s="96" t="s">
        <v>1399</v>
      </c>
      <c r="F48" s="96" t="s">
        <v>1400</v>
      </c>
      <c r="H48"/>
      <c r="I48"/>
      <c r="K48"/>
      <c r="L48"/>
    </row>
    <row r="49" spans="2:12" x14ac:dyDescent="0.25">
      <c r="B49"/>
      <c r="C49"/>
      <c r="E49" s="96" t="s">
        <v>1402</v>
      </c>
      <c r="F49" s="96" t="s">
        <v>1403</v>
      </c>
      <c r="H49"/>
      <c r="I49"/>
      <c r="K49"/>
      <c r="L49"/>
    </row>
    <row r="50" spans="2:12" x14ac:dyDescent="0.25">
      <c r="B50"/>
      <c r="C50"/>
      <c r="E50"/>
      <c r="F50"/>
      <c r="H50"/>
      <c r="I50"/>
      <c r="K50"/>
      <c r="L50"/>
    </row>
    <row r="51" spans="2:12" x14ac:dyDescent="0.25">
      <c r="B51"/>
      <c r="C51"/>
      <c r="E51"/>
      <c r="F51"/>
      <c r="H51"/>
      <c r="I51"/>
      <c r="K51"/>
      <c r="L51"/>
    </row>
    <row r="52" spans="2:12" x14ac:dyDescent="0.25">
      <c r="B52"/>
      <c r="C52"/>
      <c r="E52"/>
      <c r="F52"/>
      <c r="H52"/>
      <c r="I52"/>
      <c r="K52"/>
      <c r="L52"/>
    </row>
    <row r="53" spans="2:12" x14ac:dyDescent="0.25">
      <c r="B53"/>
      <c r="C53"/>
      <c r="E53"/>
      <c r="F53"/>
      <c r="H53"/>
      <c r="I53"/>
      <c r="K53"/>
      <c r="L53"/>
    </row>
    <row r="54" spans="2:12" x14ac:dyDescent="0.25">
      <c r="B54"/>
      <c r="C54"/>
      <c r="E54"/>
      <c r="F54"/>
      <c r="H54"/>
      <c r="I54"/>
      <c r="K54"/>
      <c r="L54"/>
    </row>
    <row r="55" spans="2:12" x14ac:dyDescent="0.25">
      <c r="B55"/>
      <c r="C55"/>
      <c r="E55"/>
      <c r="F55"/>
      <c r="H55"/>
      <c r="I55"/>
      <c r="K55"/>
      <c r="L55"/>
    </row>
    <row r="56" spans="2:12" x14ac:dyDescent="0.25">
      <c r="B56"/>
      <c r="C56"/>
      <c r="E56"/>
      <c r="F56"/>
      <c r="H56"/>
      <c r="I56"/>
      <c r="K56"/>
      <c r="L56"/>
    </row>
    <row r="57" spans="2:12" x14ac:dyDescent="0.25">
      <c r="B57"/>
      <c r="C57"/>
      <c r="E57"/>
      <c r="F57"/>
      <c r="H57"/>
      <c r="I57"/>
      <c r="K57"/>
      <c r="L57"/>
    </row>
    <row r="58" spans="2:12" x14ac:dyDescent="0.25">
      <c r="B58"/>
      <c r="C58"/>
      <c r="E58"/>
      <c r="F58"/>
      <c r="H58"/>
      <c r="I58"/>
      <c r="K58"/>
      <c r="L58"/>
    </row>
    <row r="59" spans="2:12" x14ac:dyDescent="0.25">
      <c r="B59"/>
      <c r="C59"/>
      <c r="E59"/>
      <c r="F59"/>
      <c r="H59"/>
      <c r="I59"/>
      <c r="K59"/>
      <c r="L59"/>
    </row>
    <row r="60" spans="2:12" x14ac:dyDescent="0.25">
      <c r="B60"/>
      <c r="C60"/>
      <c r="E60"/>
      <c r="F60"/>
      <c r="H60"/>
      <c r="I60"/>
      <c r="K60"/>
      <c r="L60"/>
    </row>
    <row r="61" spans="2:12" x14ac:dyDescent="0.25">
      <c r="B61"/>
      <c r="C61"/>
      <c r="E61"/>
      <c r="F61"/>
      <c r="H61"/>
      <c r="I61"/>
      <c r="K61"/>
      <c r="L61"/>
    </row>
    <row r="62" spans="2:12" x14ac:dyDescent="0.25">
      <c r="B62"/>
      <c r="C62"/>
      <c r="E62"/>
      <c r="F62"/>
      <c r="H62"/>
      <c r="I62"/>
      <c r="K62"/>
      <c r="L62"/>
    </row>
    <row r="63" spans="2:12" x14ac:dyDescent="0.25">
      <c r="B63"/>
      <c r="C63"/>
      <c r="E63"/>
      <c r="F63"/>
      <c r="H63"/>
      <c r="I63"/>
      <c r="K63"/>
      <c r="L63"/>
    </row>
    <row r="64" spans="2:12" x14ac:dyDescent="0.25">
      <c r="B64"/>
      <c r="C64"/>
      <c r="E64"/>
      <c r="F64"/>
      <c r="H64"/>
      <c r="I64"/>
      <c r="K64"/>
      <c r="L64"/>
    </row>
    <row r="65" spans="2:12" x14ac:dyDescent="0.25">
      <c r="B65"/>
      <c r="C65"/>
      <c r="E65"/>
      <c r="F65"/>
      <c r="H65"/>
      <c r="I65"/>
      <c r="K65"/>
      <c r="L65"/>
    </row>
    <row r="66" spans="2:12" x14ac:dyDescent="0.25">
      <c r="B66"/>
      <c r="C66"/>
      <c r="E66"/>
      <c r="F66"/>
      <c r="H66"/>
      <c r="I66"/>
      <c r="K66"/>
      <c r="L66"/>
    </row>
    <row r="67" spans="2:12" x14ac:dyDescent="0.25">
      <c r="B67"/>
      <c r="C67"/>
      <c r="E67"/>
      <c r="F67"/>
      <c r="H67"/>
      <c r="I67"/>
      <c r="K67"/>
      <c r="L67"/>
    </row>
    <row r="68" spans="2:12" x14ac:dyDescent="0.25">
      <c r="B68"/>
      <c r="C68"/>
      <c r="E68"/>
      <c r="F68"/>
      <c r="H68"/>
      <c r="I68"/>
      <c r="K68"/>
      <c r="L68"/>
    </row>
    <row r="69" spans="2:12" x14ac:dyDescent="0.25">
      <c r="B69"/>
      <c r="C69"/>
      <c r="E69"/>
      <c r="F69"/>
      <c r="H69"/>
      <c r="I69"/>
      <c r="K69"/>
      <c r="L69"/>
    </row>
    <row r="70" spans="2:12" x14ac:dyDescent="0.25">
      <c r="B70"/>
      <c r="C70"/>
      <c r="E70"/>
      <c r="F70"/>
      <c r="H70"/>
      <c r="I70"/>
      <c r="K70"/>
      <c r="L70"/>
    </row>
    <row r="71" spans="2:12" x14ac:dyDescent="0.25">
      <c r="B71"/>
      <c r="C71"/>
      <c r="E71"/>
      <c r="F71"/>
      <c r="H71"/>
      <c r="I71"/>
      <c r="K71"/>
      <c r="L71"/>
    </row>
    <row r="72" spans="2:12" x14ac:dyDescent="0.25">
      <c r="B72"/>
      <c r="C72"/>
      <c r="E72"/>
      <c r="F72"/>
      <c r="H72"/>
      <c r="I72"/>
      <c r="K72"/>
      <c r="L72"/>
    </row>
    <row r="73" spans="2:12" x14ac:dyDescent="0.25">
      <c r="B73"/>
      <c r="C73"/>
      <c r="E73"/>
      <c r="F73"/>
      <c r="H73"/>
      <c r="I73"/>
      <c r="K73"/>
      <c r="L73"/>
    </row>
    <row r="74" spans="2:12" x14ac:dyDescent="0.25">
      <c r="B74"/>
      <c r="C74"/>
      <c r="E74"/>
      <c r="F74"/>
      <c r="H74"/>
      <c r="I74"/>
      <c r="K74"/>
      <c r="L74"/>
    </row>
    <row r="75" spans="2:12" x14ac:dyDescent="0.25">
      <c r="B75"/>
      <c r="C75"/>
      <c r="E75"/>
      <c r="F75"/>
      <c r="H75"/>
      <c r="I75"/>
      <c r="K75"/>
      <c r="L75"/>
    </row>
    <row r="76" spans="2:12" x14ac:dyDescent="0.25">
      <c r="B76"/>
      <c r="C76"/>
      <c r="E76"/>
      <c r="F76"/>
      <c r="H76"/>
      <c r="I76"/>
      <c r="K76"/>
      <c r="L76"/>
    </row>
    <row r="77" spans="2:12" x14ac:dyDescent="0.25">
      <c r="B77"/>
      <c r="C77"/>
      <c r="E77"/>
      <c r="F77"/>
      <c r="H77"/>
      <c r="I77"/>
      <c r="K77"/>
      <c r="L77"/>
    </row>
    <row r="78" spans="2:12" x14ac:dyDescent="0.25">
      <c r="B78" s="96" t="s">
        <v>1395</v>
      </c>
      <c r="C78" s="294" t="s">
        <v>721</v>
      </c>
      <c r="E78" s="96" t="s">
        <v>1407</v>
      </c>
      <c r="F78" s="96" t="s">
        <v>1408</v>
      </c>
      <c r="H78" s="96" t="s">
        <v>5</v>
      </c>
      <c r="I78" s="96" t="s">
        <v>5</v>
      </c>
      <c r="K78" s="96" t="s">
        <v>5</v>
      </c>
      <c r="L78" s="96" t="s">
        <v>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"/>
  <dimension ref="A1:BP2000"/>
  <sheetViews>
    <sheetView zoomScaleNormal="100" workbookViewId="0">
      <pane ySplit="3" topLeftCell="A4" activePane="bottomLeft" state="frozen"/>
      <selection pane="bottomLeft" activeCell="M4" sqref="M4:M2000"/>
    </sheetView>
  </sheetViews>
  <sheetFormatPr defaultColWidth="9.140625" defaultRowHeight="15.75" x14ac:dyDescent="0.25"/>
  <cols>
    <col min="1" max="1" width="5.5703125" style="191" customWidth="1"/>
    <col min="2" max="2" width="12.42578125" style="108" customWidth="1"/>
    <col min="3" max="3" width="25.85546875" style="1" customWidth="1"/>
    <col min="4" max="4" width="14.85546875" style="159" customWidth="1"/>
    <col min="5" max="5" width="42.140625" style="1" customWidth="1"/>
    <col min="6" max="6" width="14.42578125" style="1" customWidth="1"/>
    <col min="7" max="7" width="23.7109375" style="1" customWidth="1"/>
    <col min="8" max="8" width="12.42578125" style="1" customWidth="1"/>
    <col min="9" max="9" width="24.140625" style="1" customWidth="1"/>
    <col min="10" max="10" width="11.28515625" style="1" customWidth="1"/>
    <col min="11" max="11" width="35.140625" style="204" customWidth="1"/>
    <col min="12" max="12" width="8.7109375" style="160" customWidth="1"/>
    <col min="13" max="13" width="8.7109375" style="368" customWidth="1"/>
    <col min="14" max="14" width="9.140625" style="220"/>
    <col min="15" max="15" width="25" style="220" customWidth="1"/>
    <col min="16" max="16" width="16.42578125" style="342" customWidth="1"/>
    <col min="17" max="17" width="21.85546875" style="334" customWidth="1"/>
    <col min="18" max="18" width="10.28515625" style="343" customWidth="1"/>
    <col min="19" max="19" width="22.140625" style="334" customWidth="1"/>
    <col min="20" max="20" width="12.140625" style="334" customWidth="1"/>
    <col min="21" max="21" width="23.28515625" style="334" customWidth="1"/>
    <col min="22" max="22" width="13.5703125" style="334" customWidth="1"/>
    <col min="23" max="23" width="22.5703125" style="334" customWidth="1"/>
    <col min="24" max="24" width="12.42578125" style="334" customWidth="1"/>
    <col min="25" max="25" width="30.7109375" style="335" customWidth="1"/>
    <col min="26" max="26" width="8.7109375" style="344" customWidth="1"/>
    <col min="27" max="27" width="5.85546875" style="231" customWidth="1"/>
    <col min="28" max="28" width="11.85546875" style="63" customWidth="1"/>
    <col min="29" max="29" width="12.5703125" style="182" customWidth="1"/>
    <col min="30" max="30" width="21.85546875" style="183" customWidth="1"/>
    <col min="31" max="31" width="10.28515625" style="184" customWidth="1"/>
    <col min="32" max="32" width="22.140625" style="183" customWidth="1"/>
    <col min="33" max="33" width="12.140625" style="183" customWidth="1"/>
    <col min="34" max="34" width="23.28515625" style="183" customWidth="1"/>
    <col min="35" max="35" width="13.5703125" style="183" customWidth="1"/>
    <col min="36" max="36" width="22.5703125" style="183" customWidth="1"/>
    <col min="37" max="37" width="12.42578125" style="183" customWidth="1"/>
    <col min="38" max="38" width="30.7109375" style="185" customWidth="1"/>
    <col min="39" max="39" width="8.7109375" style="188" customWidth="1"/>
    <col min="40" max="40" width="5.85546875" style="193" customWidth="1"/>
    <col min="41" max="41" width="12.42578125" style="253" customWidth="1"/>
    <col min="42" max="42" width="8" style="210" customWidth="1"/>
    <col min="43" max="43" width="40.28515625" style="226" customWidth="1"/>
    <col min="44" max="44" width="9.140625" style="210"/>
    <col min="45" max="45" width="28" style="210" customWidth="1"/>
    <col min="46" max="46" width="9.140625" style="210"/>
    <col min="47" max="47" width="27" style="226" customWidth="1"/>
    <col min="48" max="48" width="9.140625" style="210"/>
    <col min="49" max="49" width="9.140625" style="63"/>
    <col min="50" max="53" width="9.140625" style="253"/>
    <col min="54" max="54" width="39" style="253" customWidth="1"/>
    <col min="55" max="60" width="9.140625" style="253"/>
    <col min="61" max="16384" width="9.140625" style="187"/>
  </cols>
  <sheetData>
    <row r="1" spans="1:68" s="76" customFormat="1" ht="15.75" customHeight="1" x14ac:dyDescent="0.25">
      <c r="A1" s="166"/>
      <c r="B1" s="106"/>
      <c r="C1" s="24"/>
      <c r="D1" s="153"/>
      <c r="E1" s="132"/>
      <c r="F1" s="24"/>
      <c r="G1" s="24"/>
      <c r="H1" s="24"/>
      <c r="I1" s="24"/>
      <c r="J1" s="24"/>
      <c r="K1" s="89"/>
      <c r="L1" s="154"/>
      <c r="M1" s="154"/>
      <c r="N1" s="311">
        <f>MAX(AB4:AB2000)</f>
        <v>42</v>
      </c>
      <c r="O1" s="210"/>
      <c r="P1" s="328"/>
      <c r="Q1" s="227"/>
      <c r="R1" s="329"/>
      <c r="S1" s="330"/>
      <c r="T1" s="227"/>
      <c r="U1" s="227"/>
      <c r="V1" s="227"/>
      <c r="W1" s="227"/>
      <c r="X1" s="227"/>
      <c r="Y1" s="331"/>
      <c r="Z1" s="332"/>
      <c r="AA1" s="224"/>
      <c r="AB1" s="52"/>
      <c r="AC1" s="166"/>
      <c r="AD1" s="167"/>
      <c r="AE1" s="168"/>
      <c r="AF1" s="169"/>
      <c r="AG1" s="167"/>
      <c r="AH1" s="167"/>
      <c r="AI1" s="167"/>
      <c r="AJ1" s="167"/>
      <c r="AK1" s="167"/>
      <c r="AL1" s="170"/>
      <c r="AM1" s="172"/>
      <c r="AN1" s="171"/>
      <c r="AO1" s="63"/>
      <c r="AP1" s="207">
        <v>42</v>
      </c>
      <c r="AQ1" s="207"/>
      <c r="AR1" s="207">
        <v>44</v>
      </c>
      <c r="AS1" s="207">
        <v>45</v>
      </c>
      <c r="AT1" s="207">
        <v>46</v>
      </c>
      <c r="AU1" s="258"/>
      <c r="AV1" s="259" t="s">
        <v>1500</v>
      </c>
      <c r="AW1" s="47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O1" s="76" t="s">
        <v>571</v>
      </c>
      <c r="BP1" s="76" t="s">
        <v>608</v>
      </c>
    </row>
    <row r="2" spans="1:68" s="174" customFormat="1" ht="0.95" customHeight="1" x14ac:dyDescent="0.25">
      <c r="A2" s="173"/>
      <c r="B2" s="107"/>
      <c r="C2" s="53" t="s">
        <v>129</v>
      </c>
      <c r="D2" s="53" t="str">
        <f>IFERROR(VLOOKUP(C2,C4:D1002,2,FALSE),"")</f>
        <v>PIA</v>
      </c>
      <c r="E2" s="53" t="s">
        <v>327</v>
      </c>
      <c r="F2" s="54" t="str">
        <f>IFERROR(VLOOKUP(E2,E4:F1002,2,FALSE),"")</f>
        <v>YST</v>
      </c>
      <c r="G2" s="53" t="s">
        <v>1017</v>
      </c>
      <c r="H2" s="54" t="str">
        <f>IFERROR(VLOOKUP(G2,G4:H1002,2,FALSE),"")</f>
        <v>O50</v>
      </c>
      <c r="I2" s="53" t="s">
        <v>5</v>
      </c>
      <c r="J2" s="54" t="str">
        <f>IFERROR(VLOOKUP(I2,I4:J1002,2,FALSE),"")</f>
        <v>-</v>
      </c>
      <c r="K2" s="252"/>
      <c r="L2" s="155"/>
      <c r="M2" s="155"/>
      <c r="N2" s="210">
        <f>COUNTA(AA4:AA2000)</f>
        <v>75</v>
      </c>
      <c r="O2" s="220" t="s">
        <v>510</v>
      </c>
      <c r="P2" s="333"/>
      <c r="Q2" s="334"/>
      <c r="R2" s="334"/>
      <c r="S2" s="334"/>
      <c r="T2" s="334"/>
      <c r="U2" s="334"/>
      <c r="V2" s="334"/>
      <c r="W2" s="334"/>
      <c r="X2" s="334"/>
      <c r="Y2" s="335"/>
      <c r="Z2" s="336"/>
      <c r="AA2" s="231"/>
      <c r="AB2" s="63"/>
      <c r="AC2" s="173"/>
      <c r="AD2" s="246" t="s">
        <v>129</v>
      </c>
      <c r="AE2" s="246" t="s">
        <v>130</v>
      </c>
      <c r="AF2" s="246" t="s">
        <v>327</v>
      </c>
      <c r="AG2" s="246" t="s">
        <v>328</v>
      </c>
      <c r="AH2" s="246" t="s">
        <v>1017</v>
      </c>
      <c r="AI2" s="246" t="s">
        <v>1016</v>
      </c>
      <c r="AJ2" s="246" t="s">
        <v>5</v>
      </c>
      <c r="AK2" s="246" t="s">
        <v>5</v>
      </c>
      <c r="AL2" s="247"/>
      <c r="AM2" s="175"/>
      <c r="AN2" s="172"/>
      <c r="AO2" s="206"/>
      <c r="AP2" s="225">
        <f>COUNT(AP4:AP1000)</f>
        <v>0</v>
      </c>
      <c r="AQ2" s="226"/>
      <c r="AR2" s="210"/>
      <c r="AS2" s="210"/>
      <c r="AT2" s="210"/>
      <c r="AU2" s="226"/>
      <c r="AV2" s="227" t="str">
        <f>AV1&amp;"\"&amp;AS4</f>
        <v>E:\Shared drives\02.Collabo\03.T&amp;T Staff\61. Khoa Van TRAN\BIM 5D\5D Workflow\5D Database\Test_3D\MEPF\Plumnbing\</v>
      </c>
      <c r="AW2" s="63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O2" s="174" t="s">
        <v>604</v>
      </c>
    </row>
    <row r="3" spans="1:68" s="179" customFormat="1" ht="18" customHeight="1" x14ac:dyDescent="0.25">
      <c r="A3" s="176"/>
      <c r="B3" s="156" t="s">
        <v>475</v>
      </c>
      <c r="C3" s="100" t="s">
        <v>7</v>
      </c>
      <c r="D3" s="157" t="s">
        <v>510</v>
      </c>
      <c r="E3" s="100" t="s">
        <v>555</v>
      </c>
      <c r="F3" s="157" t="s">
        <v>495</v>
      </c>
      <c r="G3" s="100" t="s">
        <v>560</v>
      </c>
      <c r="H3" s="157" t="s">
        <v>496</v>
      </c>
      <c r="I3" s="100" t="s">
        <v>561</v>
      </c>
      <c r="J3" s="157" t="s">
        <v>497</v>
      </c>
      <c r="K3" s="100" t="s">
        <v>9</v>
      </c>
      <c r="L3" s="158" t="s">
        <v>499</v>
      </c>
      <c r="M3" s="367" t="s">
        <v>498</v>
      </c>
      <c r="N3" s="312">
        <f>MAX(M:M)</f>
        <v>95</v>
      </c>
      <c r="O3" s="337"/>
      <c r="P3" s="338" t="s">
        <v>475</v>
      </c>
      <c r="Q3" s="335" t="s">
        <v>7</v>
      </c>
      <c r="R3" s="339" t="s">
        <v>510</v>
      </c>
      <c r="S3" s="335" t="s">
        <v>555</v>
      </c>
      <c r="T3" s="339" t="s">
        <v>495</v>
      </c>
      <c r="U3" s="335" t="s">
        <v>560</v>
      </c>
      <c r="V3" s="339" t="s">
        <v>496</v>
      </c>
      <c r="W3" s="335" t="s">
        <v>561</v>
      </c>
      <c r="X3" s="339" t="s">
        <v>497</v>
      </c>
      <c r="Y3" s="335" t="s">
        <v>9</v>
      </c>
      <c r="Z3" s="340" t="s">
        <v>499</v>
      </c>
      <c r="AA3" s="341" t="s">
        <v>498</v>
      </c>
      <c r="AB3" s="63"/>
      <c r="AC3" s="177" t="s">
        <v>475</v>
      </c>
      <c r="AD3" s="177" t="s">
        <v>7</v>
      </c>
      <c r="AE3" s="177" t="s">
        <v>510</v>
      </c>
      <c r="AF3" s="177" t="s">
        <v>555</v>
      </c>
      <c r="AG3" s="177" t="s">
        <v>495</v>
      </c>
      <c r="AH3" s="177" t="s">
        <v>560</v>
      </c>
      <c r="AI3" s="177" t="s">
        <v>496</v>
      </c>
      <c r="AJ3" s="177" t="s">
        <v>561</v>
      </c>
      <c r="AK3" s="177" t="s">
        <v>497</v>
      </c>
      <c r="AL3" s="177" t="s">
        <v>9</v>
      </c>
      <c r="AM3" s="180" t="s">
        <v>499</v>
      </c>
      <c r="AN3" s="178" t="s">
        <v>498</v>
      </c>
      <c r="AO3" s="78"/>
      <c r="AP3" s="260"/>
      <c r="AQ3" s="260"/>
      <c r="AR3" s="260" t="s">
        <v>498</v>
      </c>
      <c r="AS3" s="225" t="s">
        <v>505</v>
      </c>
      <c r="AT3" s="260" t="s">
        <v>498</v>
      </c>
      <c r="AU3" s="230" t="s">
        <v>504</v>
      </c>
      <c r="AV3" s="227" t="str">
        <f>AV1&amp;"\"&amp;AU4</f>
        <v>E:\Shared drives\02.Collabo\03.T&amp;T Staff\61. Khoa Van TRAN\BIM 5D\5D Workflow\5D Database\Test_3D\MEPF\Plumnbing\</v>
      </c>
      <c r="AW3" s="83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O3" s="179" t="s">
        <v>572</v>
      </c>
    </row>
    <row r="4" spans="1:68" ht="15.75" customHeight="1" x14ac:dyDescent="0.25">
      <c r="A4" s="181"/>
      <c r="B4" s="108" t="s">
        <v>185</v>
      </c>
      <c r="C4" s="1" t="s">
        <v>463</v>
      </c>
      <c r="D4" s="159" t="s">
        <v>5</v>
      </c>
      <c r="E4" s="1" t="s">
        <v>5</v>
      </c>
      <c r="F4" s="1" t="s">
        <v>5</v>
      </c>
      <c r="G4" s="1" t="s">
        <v>5</v>
      </c>
      <c r="H4" s="1" t="s">
        <v>5</v>
      </c>
      <c r="I4" s="1" t="s">
        <v>5</v>
      </c>
      <c r="J4" s="1" t="s">
        <v>5</v>
      </c>
      <c r="K4" s="204" t="s">
        <v>464</v>
      </c>
      <c r="L4" s="160" t="s">
        <v>253</v>
      </c>
      <c r="M4" s="382">
        <v>2</v>
      </c>
      <c r="O4" s="220" t="s">
        <v>1427</v>
      </c>
      <c r="P4" s="297" t="s">
        <v>185</v>
      </c>
      <c r="Q4" s="241" t="s">
        <v>463</v>
      </c>
      <c r="R4" s="317" t="s">
        <v>5</v>
      </c>
      <c r="S4" s="241" t="s">
        <v>5</v>
      </c>
      <c r="T4" s="241" t="s">
        <v>5</v>
      </c>
      <c r="U4" s="241" t="s">
        <v>5</v>
      </c>
      <c r="V4" s="241" t="s">
        <v>5</v>
      </c>
      <c r="W4" s="241" t="s">
        <v>5</v>
      </c>
      <c r="X4" s="241" t="s">
        <v>5</v>
      </c>
      <c r="Y4" s="257" t="s">
        <v>464</v>
      </c>
      <c r="Z4" s="318" t="s">
        <v>253</v>
      </c>
      <c r="AA4" s="383">
        <v>2</v>
      </c>
      <c r="AB4" s="63">
        <f>IF(Z4="","",Z4*1)</f>
        <v>1</v>
      </c>
      <c r="AC4" s="182" t="s">
        <v>185</v>
      </c>
      <c r="AD4" s="183" t="s">
        <v>463</v>
      </c>
      <c r="AE4" s="184" t="s">
        <v>5</v>
      </c>
      <c r="AF4" s="183" t="s">
        <v>5</v>
      </c>
      <c r="AG4" s="183" t="s">
        <v>5</v>
      </c>
      <c r="AH4" s="183" t="s">
        <v>5</v>
      </c>
      <c r="AI4" s="183" t="s">
        <v>5</v>
      </c>
      <c r="AJ4" s="183" t="s">
        <v>5</v>
      </c>
      <c r="AK4" s="183" t="s">
        <v>5</v>
      </c>
      <c r="AL4" s="185" t="s">
        <v>464</v>
      </c>
      <c r="AM4" s="188" t="s">
        <v>253</v>
      </c>
      <c r="AN4" s="186">
        <v>2</v>
      </c>
      <c r="AP4" s="210" t="str">
        <f>IF(AQ4="","",AP3+1)</f>
        <v/>
      </c>
      <c r="AQ4" s="266"/>
      <c r="AR4" s="210" t="str">
        <f>AP4</f>
        <v/>
      </c>
      <c r="AS4" s="267"/>
      <c r="AT4" s="210">
        <v>1</v>
      </c>
      <c r="AU4" s="266"/>
      <c r="AV4" s="227" t="str">
        <f>AV1&amp;"\"&amp;AS5</f>
        <v>E:\Shared drives\02.Collabo\03.T&amp;T Staff\61. Khoa Van TRAN\BIM 5D\5D Workflow\5D Database\Test_3D\MEPF\Plumnbing\A_DOO_DOU_INO_11.rfa</v>
      </c>
      <c r="AW4" s="83"/>
      <c r="BB4" s="253" t="str">
        <f t="array" ref="BB4">_xlfn.IFS(AQ4="","",LEN(AQ4)-LEN(SUBSTITUTE(AQ4,".",""))=3,LEFT(AQ4,vitri(".",AQ4,3)-1),LEN(AQ4)-LEN(SUBSTITUTE(AQ4,".",""))=2,LEFT(AQ4,vitri(".",AQ4,2)-1),TRUE,LEFT(AQ4,vitri(".",AQ4,1)-1))</f>
        <v/>
      </c>
      <c r="BO4" s="187" t="s">
        <v>607</v>
      </c>
    </row>
    <row r="5" spans="1:68" ht="15.75" customHeight="1" x14ac:dyDescent="0.25">
      <c r="A5" s="181"/>
      <c r="B5" s="108" t="s">
        <v>185</v>
      </c>
      <c r="C5" s="1" t="s">
        <v>3</v>
      </c>
      <c r="D5" s="159" t="s">
        <v>5</v>
      </c>
      <c r="E5" s="1" t="s">
        <v>5</v>
      </c>
      <c r="F5" s="1" t="s">
        <v>5</v>
      </c>
      <c r="G5" s="1" t="s">
        <v>5</v>
      </c>
      <c r="H5" s="1" t="s">
        <v>5</v>
      </c>
      <c r="I5" s="1" t="s">
        <v>5</v>
      </c>
      <c r="J5" s="1" t="s">
        <v>5</v>
      </c>
      <c r="K5" s="204" t="s">
        <v>128</v>
      </c>
      <c r="L5" s="160" t="s">
        <v>253</v>
      </c>
      <c r="M5" s="382">
        <v>1</v>
      </c>
      <c r="P5" s="297" t="s">
        <v>185</v>
      </c>
      <c r="Q5" s="241" t="s">
        <v>3</v>
      </c>
      <c r="R5" s="317" t="s">
        <v>5</v>
      </c>
      <c r="S5" s="241" t="s">
        <v>5</v>
      </c>
      <c r="T5" s="241" t="s">
        <v>5</v>
      </c>
      <c r="U5" s="241" t="s">
        <v>5</v>
      </c>
      <c r="V5" s="241" t="s">
        <v>5</v>
      </c>
      <c r="W5" s="241" t="s">
        <v>5</v>
      </c>
      <c r="X5" s="241" t="s">
        <v>5</v>
      </c>
      <c r="Y5" s="265" t="s">
        <v>128</v>
      </c>
      <c r="Z5" s="318" t="s">
        <v>253</v>
      </c>
      <c r="AA5" s="383">
        <v>1</v>
      </c>
      <c r="AB5" s="63">
        <f t="shared" ref="AB5:AB68" si="0">IF(Z5="","",Z5*1)</f>
        <v>1</v>
      </c>
      <c r="AC5" s="182" t="s">
        <v>185</v>
      </c>
      <c r="AD5" s="183" t="s">
        <v>3</v>
      </c>
      <c r="AE5" s="184" t="s">
        <v>5</v>
      </c>
      <c r="AF5" s="183" t="s">
        <v>5</v>
      </c>
      <c r="AG5" s="183" t="s">
        <v>5</v>
      </c>
      <c r="AH5" s="183" t="s">
        <v>5</v>
      </c>
      <c r="AI5" s="183" t="s">
        <v>5</v>
      </c>
      <c r="AJ5" s="183" t="s">
        <v>5</v>
      </c>
      <c r="AK5" s="183" t="s">
        <v>5</v>
      </c>
      <c r="AL5" s="185" t="s">
        <v>128</v>
      </c>
      <c r="AM5" s="188" t="s">
        <v>253</v>
      </c>
      <c r="AN5" s="189">
        <v>1</v>
      </c>
      <c r="AP5" s="210" t="str">
        <f>IF(AQ5="","",AP4+1)</f>
        <v/>
      </c>
      <c r="AQ5" s="217"/>
      <c r="AR5" s="210">
        <v>2</v>
      </c>
      <c r="AS5" s="217" t="s">
        <v>1498</v>
      </c>
      <c r="AT5" s="210">
        <v>2</v>
      </c>
      <c r="AU5" s="263" t="s">
        <v>1499</v>
      </c>
      <c r="AV5" s="227" t="str">
        <f>AV1&amp;"\"&amp;AU5</f>
        <v>E:\Shared drives\02.Collabo\03.T&amp;T Staff\61. Khoa Van TRAN\BIM 5D\5D Workflow\5D Database\Test_3D\MEPF\Plumnbing\S_DOO_DOU_INO_11.rfa</v>
      </c>
      <c r="BB5" s="253" t="str">
        <f t="array" ref="BB5">_xlfn.IFS(AQ5="","",LEN(AQ5)-LEN(SUBSTITUTE(AQ5,".",""))=3,LEFT(AQ5,vitri(".",AQ5,3)-1),LEN(AQ5)-LEN(SUBSTITUTE(AQ5,".",""))=2,LEFT(AQ5,vitri(".",AQ5,2)-1),TRUE,LEFT(AQ5,vitri(".",AQ5,1)-1))</f>
        <v/>
      </c>
      <c r="BO5" s="187" t="s">
        <v>573</v>
      </c>
    </row>
    <row r="6" spans="1:68" ht="15" customHeight="1" x14ac:dyDescent="0.25">
      <c r="A6" s="181"/>
      <c r="B6" s="108" t="s">
        <v>184</v>
      </c>
      <c r="C6" s="1" t="s">
        <v>62</v>
      </c>
      <c r="D6" s="159" t="s">
        <v>123</v>
      </c>
      <c r="E6" s="1" t="s">
        <v>990</v>
      </c>
      <c r="F6" s="1" t="s">
        <v>991</v>
      </c>
      <c r="G6" s="1" t="s">
        <v>1349</v>
      </c>
      <c r="H6" s="1" t="s">
        <v>705</v>
      </c>
      <c r="I6" s="1">
        <v>1</v>
      </c>
      <c r="J6" s="1">
        <v>1</v>
      </c>
      <c r="K6" s="204" t="str">
        <f t="shared" ref="K6:K69" si="1">IF(J6="-",IF(H6="-",CONCATENATE("P","_",D6,"_",F6,"_",TEXT(L6,"00")),CONCATENATE("P","_",D6,"_",F6,"_",H6,"_",TEXT(L6,"00"))),CONCATENATE("P","_",D6,"_",F6,"_",H6,"_",J6,"_",TEXT(L6,"00")))</f>
        <v>P_MEQ_PUM_CEN_1_01</v>
      </c>
      <c r="L6" s="160" t="s">
        <v>253</v>
      </c>
      <c r="M6" s="382">
        <v>85</v>
      </c>
      <c r="P6" s="297" t="s">
        <v>184</v>
      </c>
      <c r="Q6" s="241" t="s">
        <v>62</v>
      </c>
      <c r="R6" s="317" t="s">
        <v>123</v>
      </c>
      <c r="S6" s="241" t="s">
        <v>990</v>
      </c>
      <c r="T6" s="241" t="s">
        <v>991</v>
      </c>
      <c r="U6" s="241" t="s">
        <v>1349</v>
      </c>
      <c r="V6" s="241" t="s">
        <v>705</v>
      </c>
      <c r="W6" s="241">
        <v>1</v>
      </c>
      <c r="X6" s="241">
        <v>1</v>
      </c>
      <c r="Y6" s="257" t="s">
        <v>1410</v>
      </c>
      <c r="Z6" s="318" t="s">
        <v>253</v>
      </c>
      <c r="AA6" s="383">
        <v>85</v>
      </c>
      <c r="AB6" s="63">
        <f t="shared" si="0"/>
        <v>1</v>
      </c>
      <c r="AC6" s="182" t="s">
        <v>184</v>
      </c>
      <c r="AD6" s="183" t="s">
        <v>62</v>
      </c>
      <c r="AE6" s="184" t="s">
        <v>123</v>
      </c>
      <c r="AF6" s="183" t="s">
        <v>990</v>
      </c>
      <c r="AG6" s="183" t="s">
        <v>991</v>
      </c>
      <c r="AH6" s="183" t="s">
        <v>1349</v>
      </c>
      <c r="AI6" s="183" t="s">
        <v>705</v>
      </c>
      <c r="AJ6" s="183">
        <v>1</v>
      </c>
      <c r="AK6" s="183">
        <v>1</v>
      </c>
      <c r="AL6" s="190" t="s">
        <v>1410</v>
      </c>
      <c r="AM6" s="188" t="s">
        <v>253</v>
      </c>
      <c r="AN6" s="189">
        <v>85</v>
      </c>
      <c r="AP6" s="210" t="str">
        <f t="shared" ref="AP6:AP69" si="2">IF(AQ6="","",AP5+1)</f>
        <v/>
      </c>
      <c r="AQ6" s="217"/>
      <c r="AR6" s="210" t="str">
        <f t="shared" ref="AR6:AR69" si="3">IF(AP6="","",AP6)</f>
        <v/>
      </c>
      <c r="AS6" s="217"/>
      <c r="AU6" s="263"/>
      <c r="AV6" s="217"/>
      <c r="BB6" s="253" t="str">
        <f t="array" ref="BB6">_xlfn.IFS(AQ6="","",LEN(AQ6)-LEN(SUBSTITUTE(AQ6,".",""))=3,LEFT(AQ6,vitri(".",AQ6,3)-1),LEN(AQ6)-LEN(SUBSTITUTE(AQ6,".",""))=2,LEFT(AQ6,vitri(".",AQ6,2)-1),TRUE,LEFT(AQ6,vitri(".",AQ6,1)-1))</f>
        <v/>
      </c>
      <c r="BO6" s="187" t="s">
        <v>605</v>
      </c>
    </row>
    <row r="7" spans="1:68" ht="15" customHeight="1" x14ac:dyDescent="0.25">
      <c r="A7" s="181"/>
      <c r="B7" s="108" t="s">
        <v>184</v>
      </c>
      <c r="C7" s="1" t="s">
        <v>62</v>
      </c>
      <c r="D7" s="159" t="s">
        <v>123</v>
      </c>
      <c r="E7" s="1" t="s">
        <v>990</v>
      </c>
      <c r="F7" s="1" t="s">
        <v>991</v>
      </c>
      <c r="G7" s="1" t="s">
        <v>1349</v>
      </c>
      <c r="H7" s="1" t="s">
        <v>705</v>
      </c>
      <c r="I7" s="1">
        <v>2</v>
      </c>
      <c r="J7" s="1">
        <v>2</v>
      </c>
      <c r="K7" s="94" t="str">
        <f t="shared" si="1"/>
        <v>P_MEQ_PUM_CEN_2_02</v>
      </c>
      <c r="L7" s="160" t="s">
        <v>254</v>
      </c>
      <c r="M7" s="382">
        <v>86</v>
      </c>
      <c r="O7" s="230" t="str">
        <f>K3</f>
        <v>Falimy Name</v>
      </c>
      <c r="P7" s="297" t="s">
        <v>184</v>
      </c>
      <c r="Q7" s="241" t="s">
        <v>62</v>
      </c>
      <c r="R7" s="317" t="s">
        <v>123</v>
      </c>
      <c r="S7" s="241" t="s">
        <v>990</v>
      </c>
      <c r="T7" s="241" t="s">
        <v>991</v>
      </c>
      <c r="U7" s="241" t="s">
        <v>1349</v>
      </c>
      <c r="V7" s="241" t="s">
        <v>705</v>
      </c>
      <c r="W7" s="241">
        <v>2</v>
      </c>
      <c r="X7" s="241">
        <v>2</v>
      </c>
      <c r="Y7" s="230" t="s">
        <v>1411</v>
      </c>
      <c r="Z7" s="318" t="s">
        <v>254</v>
      </c>
      <c r="AA7" s="383">
        <v>86</v>
      </c>
      <c r="AB7" s="63">
        <f t="shared" si="0"/>
        <v>2</v>
      </c>
      <c r="AC7" s="182" t="s">
        <v>184</v>
      </c>
      <c r="AD7" s="183" t="s">
        <v>62</v>
      </c>
      <c r="AE7" s="184" t="s">
        <v>123</v>
      </c>
      <c r="AF7" s="183" t="s">
        <v>990</v>
      </c>
      <c r="AG7" s="183" t="s">
        <v>991</v>
      </c>
      <c r="AH7" s="183" t="s">
        <v>1349</v>
      </c>
      <c r="AI7" s="183" t="s">
        <v>705</v>
      </c>
      <c r="AJ7" s="183">
        <v>2</v>
      </c>
      <c r="AK7" s="183">
        <v>2</v>
      </c>
      <c r="AL7" s="190" t="s">
        <v>1411</v>
      </c>
      <c r="AM7" s="188" t="s">
        <v>254</v>
      </c>
      <c r="AN7" s="189">
        <v>86</v>
      </c>
      <c r="AP7" s="210" t="str">
        <f t="shared" si="2"/>
        <v/>
      </c>
      <c r="AQ7" s="263"/>
      <c r="AR7" s="210" t="str">
        <f t="shared" si="3"/>
        <v/>
      </c>
      <c r="AS7" s="217"/>
      <c r="AU7" s="263"/>
      <c r="AV7" s="217"/>
      <c r="BB7" s="253" t="str">
        <f t="array" ref="BB7">_xlfn.IFS(AQ7="","",LEN(AQ7)-LEN(SUBSTITUTE(AQ7,".",""))=3,LEFT(AQ7,vitri(".",AQ7,3)-1),LEN(AQ7)-LEN(SUBSTITUTE(AQ7,".",""))=2,LEFT(AQ7,vitri(".",AQ7,2)-1),TRUE,LEFT(AQ7,vitri(".",AQ7,1)-1))</f>
        <v/>
      </c>
      <c r="BO7" s="187" t="s">
        <v>574</v>
      </c>
    </row>
    <row r="8" spans="1:68" ht="15.75" customHeight="1" x14ac:dyDescent="0.25">
      <c r="A8" s="181"/>
      <c r="B8" s="108" t="s">
        <v>184</v>
      </c>
      <c r="C8" s="1" t="s">
        <v>62</v>
      </c>
      <c r="D8" s="159" t="s">
        <v>123</v>
      </c>
      <c r="E8" s="1" t="s">
        <v>990</v>
      </c>
      <c r="F8" s="1" t="s">
        <v>991</v>
      </c>
      <c r="G8" s="1" t="s">
        <v>994</v>
      </c>
      <c r="H8" s="1" t="s">
        <v>995</v>
      </c>
      <c r="I8" s="1" t="s">
        <v>5</v>
      </c>
      <c r="J8" s="1" t="s">
        <v>5</v>
      </c>
      <c r="K8" s="94" t="str">
        <f t="shared" si="1"/>
        <v>P_MEQ_PUM_EBA_04</v>
      </c>
      <c r="L8" s="160" t="s">
        <v>256</v>
      </c>
      <c r="M8" s="382">
        <v>88</v>
      </c>
      <c r="O8" s="230" t="str">
        <f>C3</f>
        <v>Categories</v>
      </c>
      <c r="P8" s="297" t="s">
        <v>184</v>
      </c>
      <c r="Q8" s="241" t="s">
        <v>62</v>
      </c>
      <c r="R8" s="317" t="s">
        <v>123</v>
      </c>
      <c r="S8" s="241" t="s">
        <v>990</v>
      </c>
      <c r="T8" s="241" t="s">
        <v>991</v>
      </c>
      <c r="U8" s="241" t="s">
        <v>994</v>
      </c>
      <c r="V8" s="241" t="s">
        <v>995</v>
      </c>
      <c r="W8" s="241" t="s">
        <v>5</v>
      </c>
      <c r="X8" s="241" t="s">
        <v>5</v>
      </c>
      <c r="Y8" s="215" t="s">
        <v>1412</v>
      </c>
      <c r="Z8" s="318" t="s">
        <v>256</v>
      </c>
      <c r="AA8" s="383">
        <v>88</v>
      </c>
      <c r="AB8" s="63">
        <f t="shared" si="0"/>
        <v>4</v>
      </c>
      <c r="AC8" s="182" t="s">
        <v>184</v>
      </c>
      <c r="AD8" s="183" t="s">
        <v>62</v>
      </c>
      <c r="AE8" s="184" t="s">
        <v>123</v>
      </c>
      <c r="AF8" s="183" t="s">
        <v>990</v>
      </c>
      <c r="AG8" s="183" t="s">
        <v>991</v>
      </c>
      <c r="AH8" s="183" t="s">
        <v>994</v>
      </c>
      <c r="AI8" s="183" t="s">
        <v>995</v>
      </c>
      <c r="AJ8" s="183" t="s">
        <v>5</v>
      </c>
      <c r="AK8" s="183" t="s">
        <v>5</v>
      </c>
      <c r="AL8" s="190" t="s">
        <v>1412</v>
      </c>
      <c r="AM8" s="188" t="s">
        <v>256</v>
      </c>
      <c r="AN8" s="189">
        <v>88</v>
      </c>
      <c r="AP8" s="210" t="str">
        <f t="shared" si="2"/>
        <v/>
      </c>
      <c r="AQ8" s="217"/>
      <c r="AR8" s="210" t="str">
        <f t="shared" si="3"/>
        <v/>
      </c>
      <c r="AS8" s="217"/>
      <c r="AU8" s="263"/>
      <c r="AV8" s="217"/>
      <c r="BB8" s="253" t="str">
        <f t="array" ref="BB8">_xlfn.IFS(AQ8="","",LEN(AQ8)-LEN(SUBSTITUTE(AQ8,".",""))=3,LEFT(AQ8,vitri(".",AQ8,3)-1),LEN(AQ8)-LEN(SUBSTITUTE(AQ8,".",""))=2,LEFT(AQ8,vitri(".",AQ8,2)-1),TRUE,LEFT(AQ8,vitri(".",AQ8,1)-1))</f>
        <v/>
      </c>
      <c r="BO8" s="187" t="s">
        <v>606</v>
      </c>
    </row>
    <row r="9" spans="1:68" ht="15.75" customHeight="1" x14ac:dyDescent="0.25">
      <c r="A9" s="181"/>
      <c r="B9" s="108" t="s">
        <v>184</v>
      </c>
      <c r="C9" s="1" t="s">
        <v>62</v>
      </c>
      <c r="D9" s="159" t="s">
        <v>123</v>
      </c>
      <c r="E9" s="1" t="s">
        <v>990</v>
      </c>
      <c r="F9" s="1" t="s">
        <v>991</v>
      </c>
      <c r="G9" s="1" t="s">
        <v>994</v>
      </c>
      <c r="H9" s="1" t="s">
        <v>995</v>
      </c>
      <c r="I9" s="1" t="s">
        <v>996</v>
      </c>
      <c r="J9" s="1" t="s">
        <v>997</v>
      </c>
      <c r="K9" s="94" t="str">
        <f t="shared" si="1"/>
        <v>P_MEQ_PUM_EBA_VER_03</v>
      </c>
      <c r="L9" s="160" t="s">
        <v>255</v>
      </c>
      <c r="M9" s="382">
        <v>87</v>
      </c>
      <c r="O9" s="233" t="str">
        <f>E3</f>
        <v>Types</v>
      </c>
      <c r="P9" s="297" t="s">
        <v>184</v>
      </c>
      <c r="Q9" s="241" t="s">
        <v>62</v>
      </c>
      <c r="R9" s="317" t="s">
        <v>123</v>
      </c>
      <c r="S9" s="241" t="s">
        <v>990</v>
      </c>
      <c r="T9" s="241" t="s">
        <v>991</v>
      </c>
      <c r="U9" s="241" t="s">
        <v>994</v>
      </c>
      <c r="V9" s="241" t="s">
        <v>995</v>
      </c>
      <c r="W9" s="241" t="s">
        <v>996</v>
      </c>
      <c r="X9" s="241" t="s">
        <v>997</v>
      </c>
      <c r="Y9" s="215" t="s">
        <v>1413</v>
      </c>
      <c r="Z9" s="318" t="s">
        <v>255</v>
      </c>
      <c r="AA9" s="383">
        <v>87</v>
      </c>
      <c r="AB9" s="63">
        <f t="shared" si="0"/>
        <v>3</v>
      </c>
      <c r="AC9" s="182" t="s">
        <v>184</v>
      </c>
      <c r="AD9" s="183" t="s">
        <v>62</v>
      </c>
      <c r="AE9" s="184" t="s">
        <v>123</v>
      </c>
      <c r="AF9" s="183" t="s">
        <v>990</v>
      </c>
      <c r="AG9" s="183" t="s">
        <v>991</v>
      </c>
      <c r="AH9" s="183" t="s">
        <v>994</v>
      </c>
      <c r="AI9" s="183" t="s">
        <v>995</v>
      </c>
      <c r="AJ9" s="183" t="s">
        <v>996</v>
      </c>
      <c r="AK9" s="183" t="s">
        <v>997</v>
      </c>
      <c r="AL9" s="190" t="s">
        <v>1413</v>
      </c>
      <c r="AM9" s="188" t="s">
        <v>255</v>
      </c>
      <c r="AN9" s="189">
        <v>87</v>
      </c>
      <c r="AP9" s="210" t="str">
        <f t="shared" si="2"/>
        <v/>
      </c>
      <c r="AQ9" s="263"/>
      <c r="AR9" s="210" t="str">
        <f t="shared" si="3"/>
        <v/>
      </c>
      <c r="AS9" s="217"/>
      <c r="AU9" s="263"/>
      <c r="AV9" s="217"/>
      <c r="BB9" s="253" t="str">
        <f t="array" ref="BB9">_xlfn.IFS(AQ9="","",LEN(AQ9)-LEN(SUBSTITUTE(AQ9,".",""))=3,LEFT(AQ9,vitri(".",AQ9,3)-1),LEN(AQ9)-LEN(SUBSTITUTE(AQ9,".",""))=2,LEFT(AQ9,vitri(".",AQ9,2)-1),TRUE,LEFT(AQ9,vitri(".",AQ9,1)-1))</f>
        <v/>
      </c>
      <c r="BO9" s="187" t="s">
        <v>575</v>
      </c>
    </row>
    <row r="10" spans="1:68" ht="15.75" customHeight="1" x14ac:dyDescent="0.25">
      <c r="A10" s="181"/>
      <c r="B10" s="108" t="s">
        <v>184</v>
      </c>
      <c r="C10" s="1" t="s">
        <v>62</v>
      </c>
      <c r="D10" s="159" t="s">
        <v>123</v>
      </c>
      <c r="E10" s="1" t="s">
        <v>990</v>
      </c>
      <c r="F10" s="1" t="s">
        <v>991</v>
      </c>
      <c r="G10" s="1" t="s">
        <v>996</v>
      </c>
      <c r="H10" s="1" t="s">
        <v>997</v>
      </c>
      <c r="I10" s="1" t="s">
        <v>5</v>
      </c>
      <c r="J10" s="1" t="s">
        <v>5</v>
      </c>
      <c r="K10" s="94" t="str">
        <f t="shared" si="1"/>
        <v>P_MEQ_PUM_VER_05</v>
      </c>
      <c r="L10" s="160" t="s">
        <v>257</v>
      </c>
      <c r="M10" s="382">
        <v>89</v>
      </c>
      <c r="O10" s="265" t="str">
        <f>G3</f>
        <v>Subtypes 1</v>
      </c>
      <c r="P10" s="297" t="s">
        <v>184</v>
      </c>
      <c r="Q10" s="241" t="s">
        <v>62</v>
      </c>
      <c r="R10" s="317" t="s">
        <v>123</v>
      </c>
      <c r="S10" s="241" t="s">
        <v>990</v>
      </c>
      <c r="T10" s="241" t="s">
        <v>991</v>
      </c>
      <c r="U10" s="241" t="s">
        <v>996</v>
      </c>
      <c r="V10" s="241" t="s">
        <v>997</v>
      </c>
      <c r="W10" s="241" t="s">
        <v>5</v>
      </c>
      <c r="X10" s="241" t="s">
        <v>5</v>
      </c>
      <c r="Y10" s="215" t="s">
        <v>1414</v>
      </c>
      <c r="Z10" s="318" t="s">
        <v>257</v>
      </c>
      <c r="AA10" s="383">
        <v>89</v>
      </c>
      <c r="AB10" s="63">
        <f t="shared" si="0"/>
        <v>5</v>
      </c>
      <c r="AC10" s="182" t="s">
        <v>184</v>
      </c>
      <c r="AD10" s="183" t="s">
        <v>62</v>
      </c>
      <c r="AE10" s="184" t="s">
        <v>123</v>
      </c>
      <c r="AF10" s="183" t="s">
        <v>990</v>
      </c>
      <c r="AG10" s="183" t="s">
        <v>991</v>
      </c>
      <c r="AH10" s="183" t="s">
        <v>996</v>
      </c>
      <c r="AI10" s="183" t="s">
        <v>997</v>
      </c>
      <c r="AJ10" s="183" t="s">
        <v>5</v>
      </c>
      <c r="AK10" s="183" t="s">
        <v>5</v>
      </c>
      <c r="AL10" s="190" t="s">
        <v>1414</v>
      </c>
      <c r="AM10" s="188" t="s">
        <v>257</v>
      </c>
      <c r="AN10" s="189">
        <v>89</v>
      </c>
      <c r="AP10" s="210" t="str">
        <f t="shared" si="2"/>
        <v/>
      </c>
      <c r="AQ10" s="263"/>
      <c r="AR10" s="210" t="str">
        <f t="shared" si="3"/>
        <v/>
      </c>
      <c r="AS10" s="217"/>
      <c r="AU10" s="263"/>
      <c r="AV10" s="217"/>
      <c r="BB10" s="253" t="str">
        <f t="array" ref="BB10">_xlfn.IFS(AQ10="","",LEN(AQ10)-LEN(SUBSTITUTE(AQ10,".",""))=3,LEFT(AQ10,vitri(".",AQ10,3)-1),LEN(AQ10)-LEN(SUBSTITUTE(AQ10,".",""))=2,LEFT(AQ10,vitri(".",AQ10,2)-1),TRUE,LEFT(AQ10,vitri(".",AQ10,1)-1))</f>
        <v/>
      </c>
      <c r="BO10" s="187" t="s">
        <v>608</v>
      </c>
    </row>
    <row r="11" spans="1:68" ht="15.75" customHeight="1" x14ac:dyDescent="0.25">
      <c r="A11" s="181"/>
      <c r="B11" s="108" t="s">
        <v>184</v>
      </c>
      <c r="C11" s="1" t="s">
        <v>129</v>
      </c>
      <c r="D11" s="159" t="s">
        <v>130</v>
      </c>
      <c r="E11" s="1" t="s">
        <v>135</v>
      </c>
      <c r="F11" s="1" t="s">
        <v>1008</v>
      </c>
      <c r="G11" s="1" t="s">
        <v>1009</v>
      </c>
      <c r="H11" s="1" t="s">
        <v>1010</v>
      </c>
      <c r="I11" s="1" t="s">
        <v>5</v>
      </c>
      <c r="J11" s="1" t="s">
        <v>5</v>
      </c>
      <c r="K11" s="94" t="str">
        <f t="shared" si="1"/>
        <v>P_PIA_BFV_WHT_01</v>
      </c>
      <c r="L11" s="160" t="s">
        <v>253</v>
      </c>
      <c r="M11" s="382">
        <v>8</v>
      </c>
      <c r="O11" s="315" t="str">
        <f>I3</f>
        <v>Subtypes 2</v>
      </c>
      <c r="P11" s="297" t="s">
        <v>184</v>
      </c>
      <c r="Q11" s="241" t="s">
        <v>129</v>
      </c>
      <c r="R11" s="317" t="s">
        <v>130</v>
      </c>
      <c r="S11" s="241" t="s">
        <v>135</v>
      </c>
      <c r="T11" s="241" t="s">
        <v>1008</v>
      </c>
      <c r="U11" s="241" t="s">
        <v>1009</v>
      </c>
      <c r="V11" s="241" t="s">
        <v>1010</v>
      </c>
      <c r="W11" s="241" t="s">
        <v>5</v>
      </c>
      <c r="X11" s="241" t="s">
        <v>5</v>
      </c>
      <c r="Y11" s="215" t="s">
        <v>1481</v>
      </c>
      <c r="Z11" s="318" t="s">
        <v>253</v>
      </c>
      <c r="AA11" s="383">
        <v>8</v>
      </c>
      <c r="AB11" s="63">
        <f t="shared" si="0"/>
        <v>1</v>
      </c>
      <c r="AC11" s="182" t="s">
        <v>184</v>
      </c>
      <c r="AD11" s="183" t="s">
        <v>129</v>
      </c>
      <c r="AE11" s="184" t="s">
        <v>130</v>
      </c>
      <c r="AF11" s="183" t="s">
        <v>135</v>
      </c>
      <c r="AG11" s="183" t="s">
        <v>1008</v>
      </c>
      <c r="AH11" s="183" t="s">
        <v>1009</v>
      </c>
      <c r="AI11" s="183" t="s">
        <v>1010</v>
      </c>
      <c r="AJ11" s="183" t="s">
        <v>5</v>
      </c>
      <c r="AK11" s="183" t="s">
        <v>5</v>
      </c>
      <c r="AL11" s="190" t="s">
        <v>1481</v>
      </c>
      <c r="AM11" s="188" t="s">
        <v>253</v>
      </c>
      <c r="AN11" s="189">
        <v>8</v>
      </c>
      <c r="AP11" s="210" t="str">
        <f t="shared" si="2"/>
        <v/>
      </c>
      <c r="AQ11" s="263"/>
      <c r="AR11" s="210" t="str">
        <f t="shared" si="3"/>
        <v/>
      </c>
      <c r="AS11" s="217"/>
      <c r="AU11" s="263"/>
      <c r="AV11" s="217"/>
      <c r="BB11" s="253" t="str">
        <f t="array" ref="BB11">_xlfn.IFS(AQ11="","",LEN(AQ11)-LEN(SUBSTITUTE(AQ11,".",""))=3,LEFT(AQ11,vitri(".",AQ11,3)-1),LEN(AQ11)-LEN(SUBSTITUTE(AQ11,".",""))=2,LEFT(AQ11,vitri(".",AQ11,2)-1),TRUE,LEFT(AQ11,vitri(".",AQ11,1)-1))</f>
        <v/>
      </c>
      <c r="BO11" s="187" t="s">
        <v>576</v>
      </c>
    </row>
    <row r="12" spans="1:68" ht="15.75" customHeight="1" x14ac:dyDescent="0.25">
      <c r="A12" s="250"/>
      <c r="B12" s="108" t="s">
        <v>184</v>
      </c>
      <c r="C12" s="1" t="s">
        <v>129</v>
      </c>
      <c r="D12" s="159" t="s">
        <v>130</v>
      </c>
      <c r="E12" s="1" t="s">
        <v>133</v>
      </c>
      <c r="F12" s="1" t="s">
        <v>134</v>
      </c>
      <c r="G12" s="1" t="s">
        <v>5</v>
      </c>
      <c r="H12" s="1" t="s">
        <v>5</v>
      </c>
      <c r="I12" s="1" t="s">
        <v>5</v>
      </c>
      <c r="J12" s="1" t="s">
        <v>5</v>
      </c>
      <c r="K12" s="94" t="str">
        <f t="shared" si="1"/>
        <v>P_PIA_BVA_02</v>
      </c>
      <c r="L12" s="160" t="s">
        <v>254</v>
      </c>
      <c r="M12" s="382">
        <v>7</v>
      </c>
      <c r="O12" s="315" t="str">
        <f>D3</f>
        <v>Abbr Categories</v>
      </c>
      <c r="P12" s="297" t="s">
        <v>184</v>
      </c>
      <c r="Q12" s="241" t="s">
        <v>129</v>
      </c>
      <c r="R12" s="317" t="s">
        <v>130</v>
      </c>
      <c r="S12" s="241" t="s">
        <v>133</v>
      </c>
      <c r="T12" s="241" t="s">
        <v>134</v>
      </c>
      <c r="U12" s="241" t="s">
        <v>5</v>
      </c>
      <c r="V12" s="241" t="s">
        <v>5</v>
      </c>
      <c r="W12" s="241" t="s">
        <v>5</v>
      </c>
      <c r="X12" s="241" t="s">
        <v>5</v>
      </c>
      <c r="Y12" s="215" t="s">
        <v>514</v>
      </c>
      <c r="Z12" s="318" t="s">
        <v>254</v>
      </c>
      <c r="AA12" s="383">
        <v>7</v>
      </c>
      <c r="AB12" s="63">
        <f t="shared" si="0"/>
        <v>2</v>
      </c>
      <c r="AC12" s="182" t="s">
        <v>184</v>
      </c>
      <c r="AD12" s="183" t="s">
        <v>129</v>
      </c>
      <c r="AE12" s="184" t="s">
        <v>130</v>
      </c>
      <c r="AF12" s="183" t="s">
        <v>133</v>
      </c>
      <c r="AG12" s="183" t="s">
        <v>134</v>
      </c>
      <c r="AH12" s="183" t="s">
        <v>5</v>
      </c>
      <c r="AI12" s="183" t="s">
        <v>5</v>
      </c>
      <c r="AJ12" s="183" t="s">
        <v>5</v>
      </c>
      <c r="AK12" s="183" t="s">
        <v>5</v>
      </c>
      <c r="AL12" s="190" t="s">
        <v>514</v>
      </c>
      <c r="AM12" s="188" t="s">
        <v>254</v>
      </c>
      <c r="AN12" s="189">
        <v>7</v>
      </c>
      <c r="AP12" s="210" t="str">
        <f t="shared" si="2"/>
        <v/>
      </c>
      <c r="AQ12" s="263"/>
      <c r="AR12" s="210" t="str">
        <f t="shared" si="3"/>
        <v/>
      </c>
      <c r="AS12" s="217"/>
      <c r="AU12" s="263"/>
      <c r="AV12" s="217"/>
      <c r="BB12" s="253" t="str">
        <f t="array" ref="BB12">_xlfn.IFS(AQ12="","",LEN(AQ12)-LEN(SUBSTITUTE(AQ12,".",""))=3,LEFT(AQ12,vitri(".",AQ12,3)-1),LEN(AQ12)-LEN(SUBSTITUTE(AQ12,".",""))=2,LEFT(AQ12,vitri(".",AQ12,2)-1),TRUE,LEFT(AQ12,vitri(".",AQ12,1)-1))</f>
        <v/>
      </c>
      <c r="BO12" s="187" t="s">
        <v>577</v>
      </c>
    </row>
    <row r="13" spans="1:68" ht="15.75" customHeight="1" x14ac:dyDescent="0.25">
      <c r="A13" s="181"/>
      <c r="B13" s="108" t="s">
        <v>184</v>
      </c>
      <c r="C13" s="1" t="s">
        <v>129</v>
      </c>
      <c r="D13" s="159" t="s">
        <v>130</v>
      </c>
      <c r="E13" s="1" t="s">
        <v>1011</v>
      </c>
      <c r="F13" s="1" t="s">
        <v>1012</v>
      </c>
      <c r="G13" s="1" t="s">
        <v>1013</v>
      </c>
      <c r="H13" s="1" t="s">
        <v>1014</v>
      </c>
      <c r="I13" s="1" t="s">
        <v>5</v>
      </c>
      <c r="J13" s="1" t="s">
        <v>5</v>
      </c>
      <c r="K13" s="94" t="str">
        <f t="shared" si="1"/>
        <v>P_PIA_FLC_B50_03</v>
      </c>
      <c r="L13" s="160" t="s">
        <v>255</v>
      </c>
      <c r="M13" s="382">
        <v>47</v>
      </c>
      <c r="O13" s="315" t="str">
        <f>F3</f>
        <v>Abbr Types</v>
      </c>
      <c r="P13" s="297" t="s">
        <v>184</v>
      </c>
      <c r="Q13" s="241" t="s">
        <v>129</v>
      </c>
      <c r="R13" s="317" t="s">
        <v>130</v>
      </c>
      <c r="S13" s="241" t="s">
        <v>1011</v>
      </c>
      <c r="T13" s="241" t="s">
        <v>1012</v>
      </c>
      <c r="U13" s="241" t="s">
        <v>1013</v>
      </c>
      <c r="V13" s="241" t="s">
        <v>1014</v>
      </c>
      <c r="W13" s="241" t="s">
        <v>5</v>
      </c>
      <c r="X13" s="241" t="s">
        <v>5</v>
      </c>
      <c r="Y13" s="215" t="s">
        <v>1415</v>
      </c>
      <c r="Z13" s="318" t="s">
        <v>255</v>
      </c>
      <c r="AA13" s="383">
        <v>47</v>
      </c>
      <c r="AB13" s="63">
        <f t="shared" si="0"/>
        <v>3</v>
      </c>
      <c r="AC13" s="182" t="s">
        <v>184</v>
      </c>
      <c r="AD13" s="183" t="s">
        <v>129</v>
      </c>
      <c r="AE13" s="184" t="s">
        <v>130</v>
      </c>
      <c r="AF13" s="183" t="s">
        <v>1011</v>
      </c>
      <c r="AG13" s="183" t="s">
        <v>1012</v>
      </c>
      <c r="AH13" s="183" t="s">
        <v>1013</v>
      </c>
      <c r="AI13" s="183" t="s">
        <v>1014</v>
      </c>
      <c r="AJ13" s="183" t="s">
        <v>5</v>
      </c>
      <c r="AK13" s="183" t="s">
        <v>5</v>
      </c>
      <c r="AL13" s="190" t="s">
        <v>1415</v>
      </c>
      <c r="AM13" s="188" t="s">
        <v>255</v>
      </c>
      <c r="AN13" s="189">
        <v>47</v>
      </c>
      <c r="AP13" s="210" t="str">
        <f t="shared" si="2"/>
        <v/>
      </c>
      <c r="AQ13" s="263"/>
      <c r="AR13" s="210" t="str">
        <f t="shared" si="3"/>
        <v/>
      </c>
      <c r="AS13" s="217"/>
      <c r="AU13" s="263"/>
      <c r="AV13" s="217"/>
      <c r="BB13" s="253" t="str">
        <f t="array" ref="BB13">_xlfn.IFS(AQ13="","",LEN(AQ13)-LEN(SUBSTITUTE(AQ13,".",""))=3,LEFT(AQ13,vitri(".",AQ13,3)-1),LEN(AQ13)-LEN(SUBSTITUTE(AQ13,".",""))=2,LEFT(AQ13,vitri(".",AQ13,2)-1),TRUE,LEFT(AQ13,vitri(".",AQ13,1)-1))</f>
        <v/>
      </c>
      <c r="BO13" s="187" t="s">
        <v>1495</v>
      </c>
    </row>
    <row r="14" spans="1:68" ht="15.75" customHeight="1" x14ac:dyDescent="0.25">
      <c r="A14" s="250"/>
      <c r="B14" s="108" t="s">
        <v>184</v>
      </c>
      <c r="C14" s="1" t="s">
        <v>129</v>
      </c>
      <c r="D14" s="159" t="s">
        <v>130</v>
      </c>
      <c r="E14" s="1" t="s">
        <v>1011</v>
      </c>
      <c r="F14" s="1" t="s">
        <v>1012</v>
      </c>
      <c r="G14" s="1" t="s">
        <v>1015</v>
      </c>
      <c r="H14" s="1" t="s">
        <v>1016</v>
      </c>
      <c r="I14" s="1" t="s">
        <v>5</v>
      </c>
      <c r="J14" s="1" t="s">
        <v>5</v>
      </c>
      <c r="K14" s="94" t="str">
        <f t="shared" si="1"/>
        <v>P_PIA_FLC_O50_04</v>
      </c>
      <c r="L14" s="160" t="s">
        <v>256</v>
      </c>
      <c r="M14" s="382">
        <v>10</v>
      </c>
      <c r="O14" s="315" t="str">
        <f>H3</f>
        <v>Abbr Sub 1</v>
      </c>
      <c r="P14" s="297" t="s">
        <v>184</v>
      </c>
      <c r="Q14" s="241" t="s">
        <v>129</v>
      </c>
      <c r="R14" s="317" t="s">
        <v>130</v>
      </c>
      <c r="S14" s="241" t="s">
        <v>1011</v>
      </c>
      <c r="T14" s="241" t="s">
        <v>1012</v>
      </c>
      <c r="U14" s="241" t="s">
        <v>1015</v>
      </c>
      <c r="V14" s="241" t="s">
        <v>1016</v>
      </c>
      <c r="W14" s="241" t="s">
        <v>5</v>
      </c>
      <c r="X14" s="241" t="s">
        <v>5</v>
      </c>
      <c r="Y14" s="215" t="s">
        <v>1416</v>
      </c>
      <c r="Z14" s="318" t="s">
        <v>256</v>
      </c>
      <c r="AA14" s="383">
        <v>10</v>
      </c>
      <c r="AB14" s="63">
        <f t="shared" si="0"/>
        <v>4</v>
      </c>
      <c r="AC14" s="182" t="s">
        <v>184</v>
      </c>
      <c r="AD14" s="183" t="s">
        <v>129</v>
      </c>
      <c r="AE14" s="184" t="s">
        <v>130</v>
      </c>
      <c r="AF14" s="183" t="s">
        <v>1011</v>
      </c>
      <c r="AG14" s="183" t="s">
        <v>1012</v>
      </c>
      <c r="AH14" s="183" t="s">
        <v>1015</v>
      </c>
      <c r="AI14" s="183" t="s">
        <v>1016</v>
      </c>
      <c r="AJ14" s="183" t="s">
        <v>5</v>
      </c>
      <c r="AK14" s="183" t="s">
        <v>5</v>
      </c>
      <c r="AL14" s="190" t="s">
        <v>1416</v>
      </c>
      <c r="AM14" s="188" t="s">
        <v>256</v>
      </c>
      <c r="AN14" s="189">
        <v>10</v>
      </c>
      <c r="AP14" s="210" t="str">
        <f t="shared" si="2"/>
        <v/>
      </c>
      <c r="AQ14" s="263"/>
      <c r="AR14" s="210" t="str">
        <f t="shared" si="3"/>
        <v/>
      </c>
      <c r="AS14" s="217"/>
      <c r="AU14" s="263"/>
      <c r="AV14" s="217"/>
      <c r="BB14" s="253" t="str">
        <f t="array" ref="BB14">_xlfn.IFS(AQ14="","",LEN(AQ14)-LEN(SUBSTITUTE(AQ14,".",""))=3,LEFT(AQ14,vitri(".",AQ14,3)-1),LEN(AQ14)-LEN(SUBSTITUTE(AQ14,".",""))=2,LEFT(AQ14,vitri(".",AQ14,2)-1),TRUE,LEFT(AQ14,vitri(".",AQ14,1)-1))</f>
        <v/>
      </c>
    </row>
    <row r="15" spans="1:68" ht="15.75" customHeight="1" x14ac:dyDescent="0.25">
      <c r="A15" s="250"/>
      <c r="B15" s="108" t="s">
        <v>184</v>
      </c>
      <c r="C15" s="1" t="s">
        <v>129</v>
      </c>
      <c r="D15" s="159" t="s">
        <v>130</v>
      </c>
      <c r="E15" s="1" t="s">
        <v>131</v>
      </c>
      <c r="F15" s="1" t="s">
        <v>132</v>
      </c>
      <c r="G15" s="1" t="s">
        <v>1013</v>
      </c>
      <c r="H15" s="1" t="s">
        <v>1014</v>
      </c>
      <c r="I15" s="1" t="s">
        <v>5</v>
      </c>
      <c r="J15" s="1" t="s">
        <v>5</v>
      </c>
      <c r="K15" s="94" t="str">
        <f t="shared" si="1"/>
        <v>P_PIA_GVA_B50_05</v>
      </c>
      <c r="L15" s="160" t="s">
        <v>257</v>
      </c>
      <c r="M15" s="382">
        <v>11</v>
      </c>
      <c r="O15" s="315" t="str">
        <f>J3</f>
        <v>Abbr Sub 2</v>
      </c>
      <c r="P15" s="297" t="s">
        <v>184</v>
      </c>
      <c r="Q15" s="241" t="s">
        <v>129</v>
      </c>
      <c r="R15" s="317" t="s">
        <v>130</v>
      </c>
      <c r="S15" s="241" t="s">
        <v>131</v>
      </c>
      <c r="T15" s="241" t="s">
        <v>132</v>
      </c>
      <c r="U15" s="241" t="s">
        <v>1013</v>
      </c>
      <c r="V15" s="241" t="s">
        <v>1014</v>
      </c>
      <c r="W15" s="241" t="s">
        <v>5</v>
      </c>
      <c r="X15" s="241" t="s">
        <v>5</v>
      </c>
      <c r="Y15" s="215" t="s">
        <v>1417</v>
      </c>
      <c r="Z15" s="318" t="s">
        <v>257</v>
      </c>
      <c r="AA15" s="383">
        <v>11</v>
      </c>
      <c r="AB15" s="63">
        <f t="shared" si="0"/>
        <v>5</v>
      </c>
      <c r="AC15" s="182" t="s">
        <v>184</v>
      </c>
      <c r="AD15" s="183" t="s">
        <v>129</v>
      </c>
      <c r="AE15" s="184" t="s">
        <v>130</v>
      </c>
      <c r="AF15" s="183" t="s">
        <v>131</v>
      </c>
      <c r="AG15" s="183" t="s">
        <v>132</v>
      </c>
      <c r="AH15" s="183" t="s">
        <v>1013</v>
      </c>
      <c r="AI15" s="183" t="s">
        <v>1014</v>
      </c>
      <c r="AJ15" s="183" t="s">
        <v>5</v>
      </c>
      <c r="AK15" s="183" t="s">
        <v>5</v>
      </c>
      <c r="AL15" s="190" t="s">
        <v>1417</v>
      </c>
      <c r="AM15" s="188" t="s">
        <v>257</v>
      </c>
      <c r="AN15" s="189">
        <v>11</v>
      </c>
      <c r="AP15" s="210" t="str">
        <f t="shared" si="2"/>
        <v/>
      </c>
      <c r="AQ15" s="263"/>
      <c r="AR15" s="210" t="str">
        <f t="shared" si="3"/>
        <v/>
      </c>
      <c r="AS15" s="217"/>
      <c r="AT15" s="210" t="s">
        <v>503</v>
      </c>
      <c r="AU15" s="263"/>
      <c r="AV15" s="217"/>
      <c r="BB15" s="253" t="str">
        <f t="array" ref="BB15">_xlfn.IFS(AQ15="","",LEN(AQ15)-LEN(SUBSTITUTE(AQ15,".",""))=3,LEFT(AQ15,vitri(".",AQ15,3)-1),LEN(AQ15)-LEN(SUBSTITUTE(AQ15,".",""))=2,LEFT(AQ15,vitri(".",AQ15,2)-1),TRUE,LEFT(AQ15,vitri(".",AQ15,1)-1))</f>
        <v/>
      </c>
    </row>
    <row r="16" spans="1:68" ht="15.75" customHeight="1" x14ac:dyDescent="0.25">
      <c r="A16" s="250"/>
      <c r="B16" s="108" t="s">
        <v>184</v>
      </c>
      <c r="C16" s="1" t="s">
        <v>129</v>
      </c>
      <c r="D16" s="159" t="s">
        <v>130</v>
      </c>
      <c r="E16" s="1" t="s">
        <v>131</v>
      </c>
      <c r="F16" s="1" t="s">
        <v>132</v>
      </c>
      <c r="G16" s="1" t="s">
        <v>1017</v>
      </c>
      <c r="H16" s="1" t="s">
        <v>1016</v>
      </c>
      <c r="I16" s="1" t="s">
        <v>5</v>
      </c>
      <c r="J16" s="1" t="s">
        <v>5</v>
      </c>
      <c r="K16" s="94" t="str">
        <f t="shared" si="1"/>
        <v>P_PIA_GVA_O50_06</v>
      </c>
      <c r="L16" s="160" t="s">
        <v>258</v>
      </c>
      <c r="M16" s="382">
        <v>48</v>
      </c>
      <c r="P16" s="297" t="s">
        <v>184</v>
      </c>
      <c r="Q16" s="241" t="s">
        <v>129</v>
      </c>
      <c r="R16" s="317" t="s">
        <v>130</v>
      </c>
      <c r="S16" s="241" t="s">
        <v>131</v>
      </c>
      <c r="T16" s="241" t="s">
        <v>132</v>
      </c>
      <c r="U16" s="241" t="s">
        <v>1017</v>
      </c>
      <c r="V16" s="241" t="s">
        <v>1016</v>
      </c>
      <c r="W16" s="241" t="s">
        <v>5</v>
      </c>
      <c r="X16" s="241" t="s">
        <v>5</v>
      </c>
      <c r="Y16" s="215" t="s">
        <v>1418</v>
      </c>
      <c r="Z16" s="318" t="s">
        <v>258</v>
      </c>
      <c r="AA16" s="383">
        <v>48</v>
      </c>
      <c r="AB16" s="63">
        <f t="shared" si="0"/>
        <v>6</v>
      </c>
      <c r="AC16" s="182" t="s">
        <v>184</v>
      </c>
      <c r="AD16" s="183" t="s">
        <v>129</v>
      </c>
      <c r="AE16" s="184" t="s">
        <v>130</v>
      </c>
      <c r="AF16" s="183" t="s">
        <v>131</v>
      </c>
      <c r="AG16" s="183" t="s">
        <v>132</v>
      </c>
      <c r="AH16" s="183" t="s">
        <v>1017</v>
      </c>
      <c r="AI16" s="183" t="s">
        <v>1016</v>
      </c>
      <c r="AJ16" s="183" t="s">
        <v>5</v>
      </c>
      <c r="AK16" s="183" t="s">
        <v>5</v>
      </c>
      <c r="AL16" s="190" t="s">
        <v>1418</v>
      </c>
      <c r="AM16" s="188" t="s">
        <v>258</v>
      </c>
      <c r="AN16" s="189">
        <v>48</v>
      </c>
      <c r="AP16" s="210" t="str">
        <f t="shared" si="2"/>
        <v/>
      </c>
      <c r="AQ16" s="217"/>
      <c r="AR16" s="210" t="str">
        <f t="shared" si="3"/>
        <v/>
      </c>
      <c r="AS16" s="217"/>
      <c r="AT16" s="210" t="s">
        <v>503</v>
      </c>
      <c r="AU16" s="263"/>
      <c r="AV16" s="217"/>
      <c r="BB16" s="253" t="str">
        <f t="array" ref="BB16">_xlfn.IFS(AQ16="","",LEN(AQ16)-LEN(SUBSTITUTE(AQ16,".",""))=3,LEFT(AQ16,vitri(".",AQ16,3)-1),LEN(AQ16)-LEN(SUBSTITUTE(AQ16,".",""))=2,LEFT(AQ16,vitri(".",AQ16,2)-1),TRUE,LEFT(AQ16,vitri(".",AQ16,1)-1))</f>
        <v/>
      </c>
    </row>
    <row r="17" spans="1:54" ht="15.75" customHeight="1" x14ac:dyDescent="0.25">
      <c r="A17" s="250"/>
      <c r="B17" s="108" t="s">
        <v>184</v>
      </c>
      <c r="C17" s="1" t="s">
        <v>129</v>
      </c>
      <c r="D17" s="159" t="s">
        <v>130</v>
      </c>
      <c r="E17" s="1" t="s">
        <v>1018</v>
      </c>
      <c r="F17" s="1" t="s">
        <v>1019</v>
      </c>
      <c r="G17" s="1" t="s">
        <v>5</v>
      </c>
      <c r="H17" s="1" t="s">
        <v>5</v>
      </c>
      <c r="I17" s="1" t="s">
        <v>5</v>
      </c>
      <c r="J17" s="1" t="s">
        <v>5</v>
      </c>
      <c r="K17" s="94" t="str">
        <f t="shared" si="1"/>
        <v>P_PIA_PRG_07</v>
      </c>
      <c r="L17" s="160" t="s">
        <v>259</v>
      </c>
      <c r="M17" s="382">
        <v>49</v>
      </c>
      <c r="P17" s="297" t="s">
        <v>184</v>
      </c>
      <c r="Q17" s="241" t="s">
        <v>129</v>
      </c>
      <c r="R17" s="317" t="s">
        <v>130</v>
      </c>
      <c r="S17" s="241" t="s">
        <v>1018</v>
      </c>
      <c r="T17" s="241" t="s">
        <v>1019</v>
      </c>
      <c r="U17" s="241" t="s">
        <v>5</v>
      </c>
      <c r="V17" s="241" t="s">
        <v>5</v>
      </c>
      <c r="W17" s="241" t="s">
        <v>5</v>
      </c>
      <c r="X17" s="241" t="s">
        <v>5</v>
      </c>
      <c r="Y17" s="215" t="s">
        <v>1419</v>
      </c>
      <c r="Z17" s="318" t="s">
        <v>259</v>
      </c>
      <c r="AA17" s="383">
        <v>49</v>
      </c>
      <c r="AB17" s="63">
        <f t="shared" si="0"/>
        <v>7</v>
      </c>
      <c r="AC17" s="182" t="s">
        <v>184</v>
      </c>
      <c r="AD17" s="183" t="s">
        <v>129</v>
      </c>
      <c r="AE17" s="184" t="s">
        <v>130</v>
      </c>
      <c r="AF17" s="183" t="s">
        <v>1018</v>
      </c>
      <c r="AG17" s="183" t="s">
        <v>1019</v>
      </c>
      <c r="AH17" s="183" t="s">
        <v>5</v>
      </c>
      <c r="AI17" s="183" t="s">
        <v>5</v>
      </c>
      <c r="AJ17" s="183" t="s">
        <v>5</v>
      </c>
      <c r="AK17" s="183" t="s">
        <v>5</v>
      </c>
      <c r="AL17" s="190" t="s">
        <v>1419</v>
      </c>
      <c r="AM17" s="188" t="s">
        <v>259</v>
      </c>
      <c r="AN17" s="189">
        <v>49</v>
      </c>
      <c r="AP17" s="210" t="str">
        <f t="shared" si="2"/>
        <v/>
      </c>
      <c r="AQ17" s="263"/>
      <c r="AR17" s="210" t="str">
        <f t="shared" si="3"/>
        <v/>
      </c>
      <c r="AS17" s="217"/>
      <c r="AT17" s="210" t="s">
        <v>503</v>
      </c>
      <c r="AU17" s="263"/>
      <c r="AV17" s="217"/>
      <c r="BB17" s="253" t="str">
        <f t="array" ref="BB17">_xlfn.IFS(AQ17="","",LEN(AQ17)-LEN(SUBSTITUTE(AQ17,".",""))=3,LEFT(AQ17,vitri(".",AQ17,3)-1),LEN(AQ17)-LEN(SUBSTITUTE(AQ17,".",""))=2,LEFT(AQ17,vitri(".",AQ17,2)-1),TRUE,LEFT(AQ17,vitri(".",AQ17,1)-1))</f>
        <v/>
      </c>
    </row>
    <row r="18" spans="1:54" ht="15.75" customHeight="1" x14ac:dyDescent="0.25">
      <c r="A18" s="250"/>
      <c r="B18" s="108" t="s">
        <v>184</v>
      </c>
      <c r="C18" s="1" t="s">
        <v>129</v>
      </c>
      <c r="D18" s="159" t="s">
        <v>130</v>
      </c>
      <c r="E18" s="1" t="s">
        <v>1020</v>
      </c>
      <c r="F18" s="1" t="s">
        <v>1021</v>
      </c>
      <c r="G18" s="1" t="s">
        <v>1013</v>
      </c>
      <c r="H18" s="1" t="s">
        <v>1014</v>
      </c>
      <c r="I18" s="1" t="s">
        <v>5</v>
      </c>
      <c r="J18" s="1" t="s">
        <v>5</v>
      </c>
      <c r="K18" s="94" t="str">
        <f t="shared" si="1"/>
        <v>P_PIA_PRV_B50_08</v>
      </c>
      <c r="L18" s="160" t="s">
        <v>260</v>
      </c>
      <c r="M18" s="382">
        <v>50</v>
      </c>
      <c r="P18" s="297" t="s">
        <v>184</v>
      </c>
      <c r="Q18" s="241" t="s">
        <v>129</v>
      </c>
      <c r="R18" s="317" t="s">
        <v>130</v>
      </c>
      <c r="S18" s="241" t="s">
        <v>1020</v>
      </c>
      <c r="T18" s="241" t="s">
        <v>1021</v>
      </c>
      <c r="U18" s="241" t="s">
        <v>1013</v>
      </c>
      <c r="V18" s="241" t="s">
        <v>1014</v>
      </c>
      <c r="W18" s="241" t="s">
        <v>5</v>
      </c>
      <c r="X18" s="241" t="s">
        <v>5</v>
      </c>
      <c r="Y18" s="215" t="s">
        <v>1420</v>
      </c>
      <c r="Z18" s="318" t="s">
        <v>260</v>
      </c>
      <c r="AA18" s="383">
        <v>50</v>
      </c>
      <c r="AB18" s="63">
        <f t="shared" si="0"/>
        <v>8</v>
      </c>
      <c r="AC18" s="182" t="s">
        <v>184</v>
      </c>
      <c r="AD18" s="183" t="s">
        <v>129</v>
      </c>
      <c r="AE18" s="184" t="s">
        <v>130</v>
      </c>
      <c r="AF18" s="183" t="s">
        <v>1020</v>
      </c>
      <c r="AG18" s="183" t="s">
        <v>1021</v>
      </c>
      <c r="AH18" s="183" t="s">
        <v>1013</v>
      </c>
      <c r="AI18" s="183" t="s">
        <v>1014</v>
      </c>
      <c r="AJ18" s="183" t="s">
        <v>5</v>
      </c>
      <c r="AK18" s="183" t="s">
        <v>5</v>
      </c>
      <c r="AL18" s="190" t="s">
        <v>1420</v>
      </c>
      <c r="AM18" s="188" t="s">
        <v>260</v>
      </c>
      <c r="AN18" s="189">
        <v>50</v>
      </c>
      <c r="AP18" s="210" t="str">
        <f t="shared" si="2"/>
        <v/>
      </c>
      <c r="AQ18" s="263"/>
      <c r="AR18" s="210" t="str">
        <f t="shared" si="3"/>
        <v/>
      </c>
      <c r="AS18" s="217"/>
      <c r="AT18" s="210" t="s">
        <v>503</v>
      </c>
      <c r="AU18" s="263"/>
      <c r="AV18" s="217"/>
      <c r="BB18" s="253" t="str">
        <f t="array" ref="BB18">_xlfn.IFS(AQ18="","",LEN(AQ18)-LEN(SUBSTITUTE(AQ18,".",""))=3,LEFT(AQ18,vitri(".",AQ18,3)-1),LEN(AQ18)-LEN(SUBSTITUTE(AQ18,".",""))=2,LEFT(AQ18,vitri(".",AQ18,2)-1),TRUE,LEFT(AQ18,vitri(".",AQ18,1)-1))</f>
        <v/>
      </c>
    </row>
    <row r="19" spans="1:54" ht="15.75" customHeight="1" x14ac:dyDescent="0.25">
      <c r="A19" s="181"/>
      <c r="B19" s="108" t="s">
        <v>184</v>
      </c>
      <c r="C19" s="1" t="s">
        <v>129</v>
      </c>
      <c r="D19" s="159" t="s">
        <v>130</v>
      </c>
      <c r="E19" s="1" t="s">
        <v>1020</v>
      </c>
      <c r="F19" s="1" t="s">
        <v>1021</v>
      </c>
      <c r="G19" s="1" t="s">
        <v>1017</v>
      </c>
      <c r="H19" s="1" t="s">
        <v>1016</v>
      </c>
      <c r="I19" s="1" t="s">
        <v>5</v>
      </c>
      <c r="J19" s="1" t="s">
        <v>5</v>
      </c>
      <c r="K19" s="94" t="str">
        <f t="shared" si="1"/>
        <v>P_PIA_PRV_O50_09</v>
      </c>
      <c r="L19" s="160" t="s">
        <v>261</v>
      </c>
      <c r="M19" s="382">
        <v>52</v>
      </c>
      <c r="P19" s="297" t="s">
        <v>184</v>
      </c>
      <c r="Q19" s="241" t="s">
        <v>129</v>
      </c>
      <c r="R19" s="317" t="s">
        <v>130</v>
      </c>
      <c r="S19" s="241" t="s">
        <v>1020</v>
      </c>
      <c r="T19" s="241" t="s">
        <v>1021</v>
      </c>
      <c r="U19" s="241" t="s">
        <v>1017</v>
      </c>
      <c r="V19" s="241" t="s">
        <v>1016</v>
      </c>
      <c r="W19" s="241" t="s">
        <v>5</v>
      </c>
      <c r="X19" s="241" t="s">
        <v>5</v>
      </c>
      <c r="Y19" s="215" t="s">
        <v>1421</v>
      </c>
      <c r="Z19" s="318" t="s">
        <v>261</v>
      </c>
      <c r="AA19" s="383">
        <v>52</v>
      </c>
      <c r="AB19" s="63">
        <f t="shared" si="0"/>
        <v>9</v>
      </c>
      <c r="AC19" s="182" t="s">
        <v>184</v>
      </c>
      <c r="AD19" s="183" t="s">
        <v>129</v>
      </c>
      <c r="AE19" s="184" t="s">
        <v>130</v>
      </c>
      <c r="AF19" s="183" t="s">
        <v>1020</v>
      </c>
      <c r="AG19" s="183" t="s">
        <v>1021</v>
      </c>
      <c r="AH19" s="183" t="s">
        <v>1017</v>
      </c>
      <c r="AI19" s="183" t="s">
        <v>1016</v>
      </c>
      <c r="AJ19" s="183" t="s">
        <v>5</v>
      </c>
      <c r="AK19" s="183" t="s">
        <v>5</v>
      </c>
      <c r="AL19" s="190" t="s">
        <v>1421</v>
      </c>
      <c r="AM19" s="188" t="s">
        <v>261</v>
      </c>
      <c r="AN19" s="189">
        <v>52</v>
      </c>
      <c r="AP19" s="210" t="str">
        <f t="shared" si="2"/>
        <v/>
      </c>
      <c r="AQ19" s="263"/>
      <c r="AR19" s="210" t="str">
        <f t="shared" si="3"/>
        <v/>
      </c>
      <c r="AS19" s="217"/>
      <c r="AT19" s="210" t="s">
        <v>503</v>
      </c>
      <c r="AU19" s="263"/>
      <c r="AV19" s="217"/>
      <c r="BB19" s="253" t="str">
        <f t="array" ref="BB19">_xlfn.IFS(AQ19="","",LEN(AQ19)-LEN(SUBSTITUTE(AQ19,".",""))=3,LEFT(AQ19,vitri(".",AQ19,3)-1),LEN(AQ19)-LEN(SUBSTITUTE(AQ19,".",""))=2,LEFT(AQ19,vitri(".",AQ19,2)-1),TRUE,LEFT(AQ19,vitri(".",AQ19,1)-1))</f>
        <v/>
      </c>
    </row>
    <row r="20" spans="1:54" ht="15.75" customHeight="1" x14ac:dyDescent="0.25">
      <c r="A20" s="181"/>
      <c r="B20" s="108" t="s">
        <v>184</v>
      </c>
      <c r="C20" s="1" t="s">
        <v>129</v>
      </c>
      <c r="D20" s="159" t="s">
        <v>130</v>
      </c>
      <c r="E20" s="1" t="s">
        <v>1022</v>
      </c>
      <c r="F20" s="1" t="s">
        <v>1023</v>
      </c>
      <c r="G20" s="1" t="s">
        <v>1013</v>
      </c>
      <c r="H20" s="1" t="s">
        <v>1014</v>
      </c>
      <c r="I20" s="1" t="s">
        <v>5</v>
      </c>
      <c r="J20" s="1" t="s">
        <v>5</v>
      </c>
      <c r="K20" s="94" t="str">
        <f t="shared" si="1"/>
        <v>P_PIA_SCV_B50_11</v>
      </c>
      <c r="L20" s="160" t="s">
        <v>263</v>
      </c>
      <c r="M20" s="382">
        <v>14</v>
      </c>
      <c r="P20" s="297" t="s">
        <v>184</v>
      </c>
      <c r="Q20" s="241" t="s">
        <v>129</v>
      </c>
      <c r="R20" s="317" t="s">
        <v>130</v>
      </c>
      <c r="S20" s="241" t="s">
        <v>1022</v>
      </c>
      <c r="T20" s="241" t="s">
        <v>1023</v>
      </c>
      <c r="U20" s="241" t="s">
        <v>1013</v>
      </c>
      <c r="V20" s="241" t="s">
        <v>1014</v>
      </c>
      <c r="W20" s="241" t="s">
        <v>5</v>
      </c>
      <c r="X20" s="241" t="s">
        <v>5</v>
      </c>
      <c r="Y20" s="215" t="s">
        <v>1422</v>
      </c>
      <c r="Z20" s="318" t="s">
        <v>263</v>
      </c>
      <c r="AA20" s="383">
        <v>14</v>
      </c>
      <c r="AB20" s="63">
        <f t="shared" si="0"/>
        <v>11</v>
      </c>
      <c r="AC20" s="182" t="s">
        <v>184</v>
      </c>
      <c r="AD20" s="183" t="s">
        <v>129</v>
      </c>
      <c r="AE20" s="184" t="s">
        <v>130</v>
      </c>
      <c r="AF20" s="183" t="s">
        <v>1022</v>
      </c>
      <c r="AG20" s="183" t="s">
        <v>1023</v>
      </c>
      <c r="AH20" s="183" t="s">
        <v>1013</v>
      </c>
      <c r="AI20" s="183" t="s">
        <v>1014</v>
      </c>
      <c r="AJ20" s="183" t="s">
        <v>5</v>
      </c>
      <c r="AK20" s="183" t="s">
        <v>5</v>
      </c>
      <c r="AL20" s="190" t="s">
        <v>1422</v>
      </c>
      <c r="AM20" s="188" t="s">
        <v>263</v>
      </c>
      <c r="AN20" s="189">
        <v>14</v>
      </c>
      <c r="AP20" s="210" t="str">
        <f t="shared" si="2"/>
        <v/>
      </c>
      <c r="AQ20" s="266"/>
      <c r="AR20" s="210" t="str">
        <f t="shared" si="3"/>
        <v/>
      </c>
      <c r="AS20" s="217"/>
      <c r="AT20" s="210" t="s">
        <v>503</v>
      </c>
      <c r="AU20" s="263"/>
      <c r="AV20" s="217"/>
      <c r="BB20" s="253" t="str">
        <f t="array" ref="BB20">_xlfn.IFS(AQ20="","",LEN(AQ20)-LEN(SUBSTITUTE(AQ20,".",""))=3,LEFT(AQ20,vitri(".",AQ20,3)-1),LEN(AQ20)-LEN(SUBSTITUTE(AQ20,".",""))=2,LEFT(AQ20,vitri(".",AQ20,2)-1),TRUE,LEFT(AQ20,vitri(".",AQ20,1)-1))</f>
        <v/>
      </c>
    </row>
    <row r="21" spans="1:54" ht="15" customHeight="1" x14ac:dyDescent="0.25">
      <c r="A21" s="250"/>
      <c r="B21" s="108" t="s">
        <v>184</v>
      </c>
      <c r="C21" s="1" t="s">
        <v>129</v>
      </c>
      <c r="D21" s="159" t="s">
        <v>130</v>
      </c>
      <c r="E21" s="1" t="s">
        <v>1022</v>
      </c>
      <c r="F21" s="1" t="s">
        <v>1023</v>
      </c>
      <c r="G21" s="1" t="s">
        <v>1017</v>
      </c>
      <c r="H21" s="1" t="s">
        <v>1016</v>
      </c>
      <c r="I21" s="1" t="s">
        <v>5</v>
      </c>
      <c r="J21" s="1" t="s">
        <v>5</v>
      </c>
      <c r="K21" s="204" t="str">
        <f t="shared" si="1"/>
        <v>P_PIA_SCV_O50_12</v>
      </c>
      <c r="L21" s="160" t="s">
        <v>264</v>
      </c>
      <c r="M21" s="382">
        <v>55</v>
      </c>
      <c r="P21" s="297" t="s">
        <v>184</v>
      </c>
      <c r="Q21" s="241" t="s">
        <v>129</v>
      </c>
      <c r="R21" s="317" t="s">
        <v>130</v>
      </c>
      <c r="S21" s="241" t="s">
        <v>1022</v>
      </c>
      <c r="T21" s="241" t="s">
        <v>1023</v>
      </c>
      <c r="U21" s="241" t="s">
        <v>1017</v>
      </c>
      <c r="V21" s="241" t="s">
        <v>1016</v>
      </c>
      <c r="W21" s="241" t="s">
        <v>5</v>
      </c>
      <c r="X21" s="241" t="s">
        <v>5</v>
      </c>
      <c r="Y21" s="257" t="s">
        <v>1423</v>
      </c>
      <c r="Z21" s="318" t="s">
        <v>264</v>
      </c>
      <c r="AA21" s="383">
        <v>55</v>
      </c>
      <c r="AB21" s="63">
        <f t="shared" si="0"/>
        <v>12</v>
      </c>
      <c r="AC21" s="182" t="s">
        <v>184</v>
      </c>
      <c r="AD21" s="183" t="s">
        <v>129</v>
      </c>
      <c r="AE21" s="184" t="s">
        <v>130</v>
      </c>
      <c r="AF21" s="183" t="s">
        <v>1022</v>
      </c>
      <c r="AG21" s="183" t="s">
        <v>1023</v>
      </c>
      <c r="AH21" s="183" t="s">
        <v>1017</v>
      </c>
      <c r="AI21" s="183" t="s">
        <v>1016</v>
      </c>
      <c r="AJ21" s="183" t="s">
        <v>5</v>
      </c>
      <c r="AK21" s="183" t="s">
        <v>5</v>
      </c>
      <c r="AL21" s="190" t="s">
        <v>1423</v>
      </c>
      <c r="AM21" s="188" t="s">
        <v>264</v>
      </c>
      <c r="AN21" s="189">
        <v>55</v>
      </c>
      <c r="AP21" s="210" t="str">
        <f t="shared" si="2"/>
        <v/>
      </c>
      <c r="AQ21" s="263"/>
      <c r="AR21" s="210" t="str">
        <f t="shared" si="3"/>
        <v/>
      </c>
      <c r="AS21" s="217"/>
      <c r="AT21" s="210" t="s">
        <v>503</v>
      </c>
      <c r="AU21" s="263"/>
      <c r="AV21" s="217"/>
      <c r="BB21" s="253" t="str">
        <f t="array" ref="BB21">_xlfn.IFS(AQ21="","",LEN(AQ21)-LEN(SUBSTITUTE(AQ21,".",""))=3,LEFT(AQ21,vitri(".",AQ21,3)-1),LEN(AQ21)-LEN(SUBSTITUTE(AQ21,".",""))=2,LEFT(AQ21,vitri(".",AQ21,2)-1),TRUE,LEFT(AQ21,vitri(".",AQ21,1)-1))</f>
        <v/>
      </c>
    </row>
    <row r="22" spans="1:54" ht="15" customHeight="1" x14ac:dyDescent="0.25">
      <c r="A22" s="181"/>
      <c r="B22" s="108" t="s">
        <v>184</v>
      </c>
      <c r="C22" s="1" t="s">
        <v>129</v>
      </c>
      <c r="D22" s="159" t="s">
        <v>130</v>
      </c>
      <c r="E22" s="1" t="s">
        <v>1024</v>
      </c>
      <c r="F22" s="1" t="s">
        <v>1025</v>
      </c>
      <c r="G22" s="1" t="s">
        <v>5</v>
      </c>
      <c r="H22" s="1" t="s">
        <v>5</v>
      </c>
      <c r="I22" s="1" t="s">
        <v>5</v>
      </c>
      <c r="J22" s="1" t="s">
        <v>5</v>
      </c>
      <c r="K22" s="204" t="str">
        <f t="shared" si="1"/>
        <v>P_PIA_SFV_10</v>
      </c>
      <c r="L22" s="160" t="s">
        <v>262</v>
      </c>
      <c r="M22" s="382">
        <v>54</v>
      </c>
      <c r="P22" s="297" t="s">
        <v>184</v>
      </c>
      <c r="Q22" s="241" t="s">
        <v>129</v>
      </c>
      <c r="R22" s="317" t="s">
        <v>130</v>
      </c>
      <c r="S22" s="241" t="s">
        <v>1024</v>
      </c>
      <c r="T22" s="241" t="s">
        <v>1025</v>
      </c>
      <c r="U22" s="241" t="s">
        <v>5</v>
      </c>
      <c r="V22" s="241" t="s">
        <v>5</v>
      </c>
      <c r="W22" s="241" t="s">
        <v>5</v>
      </c>
      <c r="X22" s="241" t="s">
        <v>5</v>
      </c>
      <c r="Y22" s="257" t="s">
        <v>1424</v>
      </c>
      <c r="Z22" s="318" t="s">
        <v>262</v>
      </c>
      <c r="AA22" s="383">
        <v>54</v>
      </c>
      <c r="AB22" s="63">
        <f t="shared" si="0"/>
        <v>10</v>
      </c>
      <c r="AC22" s="182" t="s">
        <v>184</v>
      </c>
      <c r="AD22" s="183" t="s">
        <v>129</v>
      </c>
      <c r="AE22" s="184" t="s">
        <v>130</v>
      </c>
      <c r="AF22" s="183" t="s">
        <v>1024</v>
      </c>
      <c r="AG22" s="183" t="s">
        <v>1025</v>
      </c>
      <c r="AH22" s="183" t="s">
        <v>5</v>
      </c>
      <c r="AI22" s="183" t="s">
        <v>5</v>
      </c>
      <c r="AJ22" s="183" t="s">
        <v>5</v>
      </c>
      <c r="AK22" s="183" t="s">
        <v>5</v>
      </c>
      <c r="AL22" s="190" t="s">
        <v>1424</v>
      </c>
      <c r="AM22" s="188" t="s">
        <v>262</v>
      </c>
      <c r="AN22" s="189">
        <v>54</v>
      </c>
      <c r="AP22" s="210" t="str">
        <f t="shared" si="2"/>
        <v/>
      </c>
      <c r="AQ22" s="263"/>
      <c r="AR22" s="210" t="str">
        <f t="shared" si="3"/>
        <v/>
      </c>
      <c r="AS22" s="217"/>
      <c r="AT22" s="210" t="s">
        <v>503</v>
      </c>
      <c r="AU22" s="263"/>
      <c r="AV22" s="217"/>
      <c r="BB22" s="253" t="str">
        <f t="array" ref="BB22">_xlfn.IFS(AQ22="","",LEN(AQ22)-LEN(SUBSTITUTE(AQ22,".",""))=3,LEFT(AQ22,vitri(".",AQ22,3)-1),LEN(AQ22)-LEN(SUBSTITUTE(AQ22,".",""))=2,LEFT(AQ22,vitri(".",AQ22,2)-1),TRUE,LEFT(AQ22,vitri(".",AQ22,1)-1))</f>
        <v/>
      </c>
    </row>
    <row r="23" spans="1:54" ht="15" customHeight="1" x14ac:dyDescent="0.25">
      <c r="A23" s="250"/>
      <c r="B23" s="108" t="s">
        <v>184</v>
      </c>
      <c r="C23" s="1" t="s">
        <v>129</v>
      </c>
      <c r="D23" s="159" t="s">
        <v>130</v>
      </c>
      <c r="E23" s="1" t="s">
        <v>465</v>
      </c>
      <c r="F23" s="1" t="s">
        <v>466</v>
      </c>
      <c r="G23" s="1" t="s">
        <v>1026</v>
      </c>
      <c r="H23" s="1" t="s">
        <v>1026</v>
      </c>
      <c r="I23" s="1" t="s">
        <v>5</v>
      </c>
      <c r="J23" s="1" t="s">
        <v>5</v>
      </c>
      <c r="K23" s="204" t="str">
        <f t="shared" si="1"/>
        <v>P_PIA_WMT_DN25_13</v>
      </c>
      <c r="L23" s="160" t="s">
        <v>265</v>
      </c>
      <c r="M23" s="382">
        <v>56</v>
      </c>
      <c r="P23" s="297" t="s">
        <v>184</v>
      </c>
      <c r="Q23" s="241" t="s">
        <v>129</v>
      </c>
      <c r="R23" s="317" t="s">
        <v>130</v>
      </c>
      <c r="S23" s="241" t="s">
        <v>465</v>
      </c>
      <c r="T23" s="241" t="s">
        <v>466</v>
      </c>
      <c r="U23" s="241" t="s">
        <v>1026</v>
      </c>
      <c r="V23" s="241" t="s">
        <v>1026</v>
      </c>
      <c r="W23" s="241" t="s">
        <v>5</v>
      </c>
      <c r="X23" s="241" t="s">
        <v>5</v>
      </c>
      <c r="Y23" s="257" t="s">
        <v>1425</v>
      </c>
      <c r="Z23" s="318" t="s">
        <v>265</v>
      </c>
      <c r="AA23" s="383">
        <v>56</v>
      </c>
      <c r="AB23" s="63">
        <f t="shared" si="0"/>
        <v>13</v>
      </c>
      <c r="AC23" s="182" t="s">
        <v>184</v>
      </c>
      <c r="AD23" s="183" t="s">
        <v>129</v>
      </c>
      <c r="AE23" s="184" t="s">
        <v>130</v>
      </c>
      <c r="AF23" s="183" t="s">
        <v>465</v>
      </c>
      <c r="AG23" s="183" t="s">
        <v>466</v>
      </c>
      <c r="AH23" s="183" t="s">
        <v>1026</v>
      </c>
      <c r="AI23" s="183" t="s">
        <v>1026</v>
      </c>
      <c r="AJ23" s="183" t="s">
        <v>5</v>
      </c>
      <c r="AK23" s="183" t="s">
        <v>5</v>
      </c>
      <c r="AL23" s="190" t="s">
        <v>1425</v>
      </c>
      <c r="AM23" s="188" t="s">
        <v>265</v>
      </c>
      <c r="AN23" s="189">
        <v>56</v>
      </c>
      <c r="AP23" s="210" t="str">
        <f t="shared" si="2"/>
        <v/>
      </c>
      <c r="AQ23" s="263"/>
      <c r="AR23" s="210" t="str">
        <f t="shared" si="3"/>
        <v/>
      </c>
      <c r="AS23" s="217"/>
      <c r="AT23" s="210" t="s">
        <v>503</v>
      </c>
      <c r="AU23" s="263"/>
      <c r="AV23" s="217"/>
      <c r="BB23" s="253" t="str">
        <f t="array" ref="BB23">_xlfn.IFS(AQ23="","",LEN(AQ23)-LEN(SUBSTITUTE(AQ23,".",""))=3,LEFT(AQ23,vitri(".",AQ23,3)-1),LEN(AQ23)-LEN(SUBSTITUTE(AQ23,".",""))=2,LEFT(AQ23,vitri(".",AQ23,2)-1),TRUE,LEFT(AQ23,vitri(".",AQ23,1)-1))</f>
        <v/>
      </c>
    </row>
    <row r="24" spans="1:54" ht="15" customHeight="1" x14ac:dyDescent="0.25">
      <c r="A24" s="181"/>
      <c r="B24" s="108" t="s">
        <v>184</v>
      </c>
      <c r="C24" s="1" t="s">
        <v>129</v>
      </c>
      <c r="D24" s="159" t="s">
        <v>130</v>
      </c>
      <c r="E24" s="1" t="s">
        <v>327</v>
      </c>
      <c r="F24" s="1" t="s">
        <v>328</v>
      </c>
      <c r="G24" s="1" t="s">
        <v>1013</v>
      </c>
      <c r="H24" s="1" t="s">
        <v>1014</v>
      </c>
      <c r="I24" s="1" t="s">
        <v>5</v>
      </c>
      <c r="J24" s="1" t="s">
        <v>5</v>
      </c>
      <c r="K24" s="204" t="str">
        <f t="shared" si="1"/>
        <v>P_PIA_YST_B50_14</v>
      </c>
      <c r="L24" s="160" t="s">
        <v>266</v>
      </c>
      <c r="M24" s="382">
        <v>53</v>
      </c>
      <c r="P24" s="297" t="s">
        <v>184</v>
      </c>
      <c r="Q24" s="241" t="s">
        <v>129</v>
      </c>
      <c r="R24" s="317" t="s">
        <v>130</v>
      </c>
      <c r="S24" s="241" t="s">
        <v>327</v>
      </c>
      <c r="T24" s="241" t="s">
        <v>328</v>
      </c>
      <c r="U24" s="241" t="s">
        <v>1013</v>
      </c>
      <c r="V24" s="241" t="s">
        <v>1014</v>
      </c>
      <c r="W24" s="241" t="s">
        <v>5</v>
      </c>
      <c r="X24" s="241" t="s">
        <v>5</v>
      </c>
      <c r="Y24" s="257" t="s">
        <v>1426</v>
      </c>
      <c r="Z24" s="318" t="s">
        <v>266</v>
      </c>
      <c r="AA24" s="383">
        <v>53</v>
      </c>
      <c r="AB24" s="63">
        <f t="shared" si="0"/>
        <v>14</v>
      </c>
      <c r="AC24" s="182" t="s">
        <v>184</v>
      </c>
      <c r="AD24" s="183" t="s">
        <v>129</v>
      </c>
      <c r="AE24" s="184" t="s">
        <v>130</v>
      </c>
      <c r="AF24" s="183" t="s">
        <v>327</v>
      </c>
      <c r="AG24" s="183" t="s">
        <v>328</v>
      </c>
      <c r="AH24" s="183" t="s">
        <v>1013</v>
      </c>
      <c r="AI24" s="183" t="s">
        <v>1014</v>
      </c>
      <c r="AJ24" s="183" t="s">
        <v>5</v>
      </c>
      <c r="AK24" s="183" t="s">
        <v>5</v>
      </c>
      <c r="AL24" s="190" t="s">
        <v>1426</v>
      </c>
      <c r="AM24" s="188" t="s">
        <v>266</v>
      </c>
      <c r="AN24" s="189">
        <v>53</v>
      </c>
      <c r="AP24" s="210" t="str">
        <f t="shared" si="2"/>
        <v/>
      </c>
      <c r="AQ24" s="263"/>
      <c r="AR24" s="210" t="str">
        <f t="shared" si="3"/>
        <v/>
      </c>
      <c r="AS24" s="217"/>
      <c r="AT24" s="210" t="s">
        <v>503</v>
      </c>
      <c r="AU24" s="263"/>
      <c r="AV24" s="217"/>
      <c r="BB24" s="253" t="str">
        <f t="array" ref="BB24">_xlfn.IFS(AQ24="","",LEN(AQ24)-LEN(SUBSTITUTE(AQ24,".",""))=3,LEFT(AQ24,vitri(".",AQ24,3)-1),LEN(AQ24)-LEN(SUBSTITUTE(AQ24,".",""))=2,LEFT(AQ24,vitri(".",AQ24,2)-1),TRUE,LEFT(AQ24,vitri(".",AQ24,1)-1))</f>
        <v/>
      </c>
    </row>
    <row r="25" spans="1:54" ht="15" customHeight="1" x14ac:dyDescent="0.25">
      <c r="A25" s="181"/>
      <c r="B25" s="108" t="s">
        <v>184</v>
      </c>
      <c r="C25" s="1" t="s">
        <v>129</v>
      </c>
      <c r="D25" s="159" t="s">
        <v>130</v>
      </c>
      <c r="E25" s="1" t="s">
        <v>327</v>
      </c>
      <c r="F25" s="1" t="s">
        <v>328</v>
      </c>
      <c r="G25" s="1" t="s">
        <v>1017</v>
      </c>
      <c r="H25" s="1" t="s">
        <v>1016</v>
      </c>
      <c r="I25" s="1" t="s">
        <v>5</v>
      </c>
      <c r="J25" s="1" t="s">
        <v>5</v>
      </c>
      <c r="K25" s="94" t="str">
        <f t="shared" si="1"/>
        <v>P_PIA_YST_O50_15</v>
      </c>
      <c r="L25" s="160" t="s">
        <v>267</v>
      </c>
      <c r="M25" s="382">
        <v>57</v>
      </c>
      <c r="P25" s="297" t="s">
        <v>184</v>
      </c>
      <c r="Q25" s="241" t="s">
        <v>129</v>
      </c>
      <c r="R25" s="317" t="s">
        <v>130</v>
      </c>
      <c r="S25" s="241" t="s">
        <v>327</v>
      </c>
      <c r="T25" s="241" t="s">
        <v>328</v>
      </c>
      <c r="U25" s="241" t="s">
        <v>1017</v>
      </c>
      <c r="V25" s="241" t="s">
        <v>1016</v>
      </c>
      <c r="W25" s="241" t="s">
        <v>5</v>
      </c>
      <c r="X25" s="241" t="s">
        <v>5</v>
      </c>
      <c r="Y25" s="215" t="s">
        <v>1427</v>
      </c>
      <c r="Z25" s="318" t="s">
        <v>267</v>
      </c>
      <c r="AA25" s="383">
        <v>57</v>
      </c>
      <c r="AB25" s="63">
        <f t="shared" si="0"/>
        <v>15</v>
      </c>
      <c r="AC25" s="182" t="s">
        <v>184</v>
      </c>
      <c r="AD25" s="183" t="s">
        <v>129</v>
      </c>
      <c r="AE25" s="184" t="s">
        <v>130</v>
      </c>
      <c r="AF25" s="183" t="s">
        <v>327</v>
      </c>
      <c r="AG25" s="183" t="s">
        <v>328</v>
      </c>
      <c r="AH25" s="183" t="s">
        <v>1017</v>
      </c>
      <c r="AI25" s="183" t="s">
        <v>1016</v>
      </c>
      <c r="AJ25" s="183" t="s">
        <v>5</v>
      </c>
      <c r="AK25" s="183" t="s">
        <v>5</v>
      </c>
      <c r="AL25" s="190" t="s">
        <v>1427</v>
      </c>
      <c r="AM25" s="188" t="s">
        <v>267</v>
      </c>
      <c r="AN25" s="189">
        <v>57</v>
      </c>
      <c r="AP25" s="210" t="str">
        <f t="shared" si="2"/>
        <v/>
      </c>
      <c r="AQ25" s="263"/>
      <c r="AR25" s="210" t="str">
        <f t="shared" si="3"/>
        <v/>
      </c>
      <c r="AS25" s="217"/>
      <c r="AT25" s="210" t="s">
        <v>503</v>
      </c>
      <c r="AU25" s="263"/>
      <c r="AV25" s="217"/>
      <c r="BB25" s="253" t="str">
        <f t="array" ref="BB25">_xlfn.IFS(AQ25="","",LEN(AQ25)-LEN(SUBSTITUTE(AQ25,".",""))=3,LEFT(AQ25,vitri(".",AQ25,3)-1),LEN(AQ25)-LEN(SUBSTITUTE(AQ25,".",""))=2,LEFT(AQ25,vitri(".",AQ25,2)-1),TRUE,LEFT(AQ25,vitri(".",AQ25,1)-1))</f>
        <v/>
      </c>
    </row>
    <row r="26" spans="1:54" ht="15" customHeight="1" x14ac:dyDescent="0.25">
      <c r="A26" s="181"/>
      <c r="B26" s="108" t="s">
        <v>184</v>
      </c>
      <c r="C26" s="1" t="s">
        <v>136</v>
      </c>
      <c r="D26" s="159" t="s">
        <v>137</v>
      </c>
      <c r="E26" s="1" t="s">
        <v>1350</v>
      </c>
      <c r="F26" s="1" t="s">
        <v>1351</v>
      </c>
      <c r="G26" s="1" t="s">
        <v>1246</v>
      </c>
      <c r="H26" s="1" t="s">
        <v>1246</v>
      </c>
      <c r="I26" s="1" t="s">
        <v>5</v>
      </c>
      <c r="J26" s="1" t="s">
        <v>5</v>
      </c>
      <c r="K26" s="94" t="str">
        <f t="shared" si="1"/>
        <v>P_PIF_BET_uPVC_01</v>
      </c>
      <c r="L26" s="160" t="s">
        <v>253</v>
      </c>
      <c r="M26" s="382">
        <v>45</v>
      </c>
      <c r="P26" s="297" t="s">
        <v>184</v>
      </c>
      <c r="Q26" s="241" t="s">
        <v>136</v>
      </c>
      <c r="R26" s="317" t="s">
        <v>137</v>
      </c>
      <c r="S26" s="241" t="s">
        <v>1350</v>
      </c>
      <c r="T26" s="241" t="s">
        <v>1351</v>
      </c>
      <c r="U26" s="241" t="s">
        <v>1246</v>
      </c>
      <c r="V26" s="241" t="s">
        <v>1246</v>
      </c>
      <c r="W26" s="241" t="s">
        <v>5</v>
      </c>
      <c r="X26" s="241" t="s">
        <v>5</v>
      </c>
      <c r="Y26" s="215" t="s">
        <v>1428</v>
      </c>
      <c r="Z26" s="318" t="s">
        <v>253</v>
      </c>
      <c r="AA26" s="383">
        <v>45</v>
      </c>
      <c r="AB26" s="63">
        <f t="shared" si="0"/>
        <v>1</v>
      </c>
      <c r="AC26" s="182" t="s">
        <v>184</v>
      </c>
      <c r="AD26" s="183" t="s">
        <v>136</v>
      </c>
      <c r="AE26" s="184" t="s">
        <v>137</v>
      </c>
      <c r="AF26" s="183" t="s">
        <v>1350</v>
      </c>
      <c r="AG26" s="183" t="s">
        <v>1351</v>
      </c>
      <c r="AH26" s="183" t="s">
        <v>1246</v>
      </c>
      <c r="AI26" s="183" t="s">
        <v>1246</v>
      </c>
      <c r="AJ26" s="183" t="s">
        <v>5</v>
      </c>
      <c r="AK26" s="183" t="s">
        <v>5</v>
      </c>
      <c r="AL26" s="190" t="s">
        <v>1428</v>
      </c>
      <c r="AM26" s="188" t="s">
        <v>253</v>
      </c>
      <c r="AN26" s="189">
        <v>45</v>
      </c>
      <c r="AP26" s="210" t="str">
        <f t="shared" si="2"/>
        <v/>
      </c>
      <c r="AQ26" s="263"/>
      <c r="AR26" s="210" t="str">
        <f t="shared" si="3"/>
        <v/>
      </c>
      <c r="AS26" s="217"/>
      <c r="AT26" s="210" t="s">
        <v>503</v>
      </c>
      <c r="AU26" s="263"/>
      <c r="AV26" s="217"/>
      <c r="BB26" s="253" t="str">
        <f t="array" ref="BB26">_xlfn.IFS(AQ26="","",LEN(AQ26)-LEN(SUBSTITUTE(AQ26,".",""))=3,LEFT(AQ26,vitri(".",AQ26,3)-1),LEN(AQ26)-LEN(SUBSTITUTE(AQ26,".",""))=2,LEFT(AQ26,vitri(".",AQ26,2)-1),TRUE,LEFT(AQ26,vitri(".",AQ26,1)-1))</f>
        <v/>
      </c>
    </row>
    <row r="27" spans="1:54" ht="15.75" customHeight="1" x14ac:dyDescent="0.25">
      <c r="A27" s="181"/>
      <c r="B27" s="108" t="s">
        <v>184</v>
      </c>
      <c r="C27" s="1" t="s">
        <v>136</v>
      </c>
      <c r="D27" s="159" t="s">
        <v>137</v>
      </c>
      <c r="E27" s="1" t="s">
        <v>1352</v>
      </c>
      <c r="F27" s="1" t="s">
        <v>640</v>
      </c>
      <c r="G27" s="1" t="s">
        <v>1353</v>
      </c>
      <c r="H27" s="1" t="s">
        <v>1353</v>
      </c>
      <c r="I27" s="1" t="s">
        <v>5</v>
      </c>
      <c r="J27" s="1" t="s">
        <v>5</v>
      </c>
      <c r="K27" s="94" t="str">
        <f t="shared" si="1"/>
        <v>P_PIF_BRA_PPR_18</v>
      </c>
      <c r="L27" s="160" t="s">
        <v>611</v>
      </c>
      <c r="M27" s="382">
        <v>58</v>
      </c>
      <c r="P27" s="297" t="s">
        <v>184</v>
      </c>
      <c r="Q27" s="241" t="s">
        <v>136</v>
      </c>
      <c r="R27" s="317" t="s">
        <v>137</v>
      </c>
      <c r="S27" s="241" t="s">
        <v>1352</v>
      </c>
      <c r="T27" s="241" t="s">
        <v>640</v>
      </c>
      <c r="U27" s="241" t="s">
        <v>1353</v>
      </c>
      <c r="V27" s="241" t="s">
        <v>1353</v>
      </c>
      <c r="W27" s="241" t="s">
        <v>5</v>
      </c>
      <c r="X27" s="241" t="s">
        <v>5</v>
      </c>
      <c r="Y27" s="215" t="s">
        <v>1429</v>
      </c>
      <c r="Z27" s="318" t="s">
        <v>611</v>
      </c>
      <c r="AA27" s="383">
        <v>58</v>
      </c>
      <c r="AB27" s="63">
        <f t="shared" si="0"/>
        <v>18</v>
      </c>
      <c r="AC27" s="182" t="s">
        <v>184</v>
      </c>
      <c r="AD27" s="183" t="s">
        <v>136</v>
      </c>
      <c r="AE27" s="184" t="s">
        <v>137</v>
      </c>
      <c r="AF27" s="183" t="s">
        <v>1352</v>
      </c>
      <c r="AG27" s="183" t="s">
        <v>640</v>
      </c>
      <c r="AH27" s="183" t="s">
        <v>1353</v>
      </c>
      <c r="AI27" s="183" t="s">
        <v>1353</v>
      </c>
      <c r="AJ27" s="183" t="s">
        <v>5</v>
      </c>
      <c r="AK27" s="183" t="s">
        <v>5</v>
      </c>
      <c r="AL27" s="190" t="s">
        <v>1429</v>
      </c>
      <c r="AM27" s="188" t="s">
        <v>611</v>
      </c>
      <c r="AN27" s="189">
        <v>58</v>
      </c>
      <c r="AP27" s="210" t="str">
        <f t="shared" si="2"/>
        <v/>
      </c>
      <c r="AQ27" s="263"/>
      <c r="AR27" s="210" t="str">
        <f t="shared" si="3"/>
        <v/>
      </c>
      <c r="AS27" s="217"/>
      <c r="AT27" s="210" t="s">
        <v>503</v>
      </c>
      <c r="AU27" s="263"/>
      <c r="AV27" s="217"/>
      <c r="BB27" s="253" t="str">
        <f t="array" ref="BB27">_xlfn.IFS(AQ27="","",LEN(AQ27)-LEN(SUBSTITUTE(AQ27,".",""))=3,LEFT(AQ27,vitri(".",AQ27,3)-1),LEN(AQ27)-LEN(SUBSTITUTE(AQ27,".",""))=2,LEFT(AQ27,vitri(".",AQ27,2)-1),TRUE,LEFT(AQ27,vitri(".",AQ27,1)-1))</f>
        <v/>
      </c>
    </row>
    <row r="28" spans="1:54" ht="15" customHeight="1" x14ac:dyDescent="0.25">
      <c r="A28" s="181"/>
      <c r="B28" s="108" t="s">
        <v>184</v>
      </c>
      <c r="C28" s="1" t="s">
        <v>136</v>
      </c>
      <c r="D28" s="159" t="s">
        <v>137</v>
      </c>
      <c r="E28" s="1" t="s">
        <v>1027</v>
      </c>
      <c r="F28" s="1" t="s">
        <v>1028</v>
      </c>
      <c r="G28" s="1" t="s">
        <v>1353</v>
      </c>
      <c r="H28" s="1" t="s">
        <v>1353</v>
      </c>
      <c r="I28" s="1" t="s">
        <v>5</v>
      </c>
      <c r="J28" s="1" t="s">
        <v>5</v>
      </c>
      <c r="K28" s="94" t="str">
        <f t="shared" si="1"/>
        <v>P_PIF_CAE_PPR_20</v>
      </c>
      <c r="L28" s="160" t="s">
        <v>613</v>
      </c>
      <c r="M28" s="382">
        <v>60</v>
      </c>
      <c r="P28" s="297" t="s">
        <v>184</v>
      </c>
      <c r="Q28" s="241" t="s">
        <v>136</v>
      </c>
      <c r="R28" s="317" t="s">
        <v>137</v>
      </c>
      <c r="S28" s="241" t="s">
        <v>1027</v>
      </c>
      <c r="T28" s="241" t="s">
        <v>1028</v>
      </c>
      <c r="U28" s="241" t="s">
        <v>1353</v>
      </c>
      <c r="V28" s="241" t="s">
        <v>1353</v>
      </c>
      <c r="W28" s="241" t="s">
        <v>5</v>
      </c>
      <c r="X28" s="241" t="s">
        <v>5</v>
      </c>
      <c r="Y28" s="215" t="s">
        <v>1430</v>
      </c>
      <c r="Z28" s="318" t="s">
        <v>613</v>
      </c>
      <c r="AA28" s="383">
        <v>60</v>
      </c>
      <c r="AB28" s="63">
        <f t="shared" si="0"/>
        <v>20</v>
      </c>
      <c r="AC28" s="182" t="s">
        <v>184</v>
      </c>
      <c r="AD28" s="183" t="s">
        <v>136</v>
      </c>
      <c r="AE28" s="184" t="s">
        <v>137</v>
      </c>
      <c r="AF28" s="183" t="s">
        <v>1027</v>
      </c>
      <c r="AG28" s="183" t="s">
        <v>1028</v>
      </c>
      <c r="AH28" s="183" t="s">
        <v>1353</v>
      </c>
      <c r="AI28" s="183" t="s">
        <v>1353</v>
      </c>
      <c r="AJ28" s="183" t="s">
        <v>5</v>
      </c>
      <c r="AK28" s="183" t="s">
        <v>5</v>
      </c>
      <c r="AL28" s="190" t="s">
        <v>1430</v>
      </c>
      <c r="AM28" s="188" t="s">
        <v>613</v>
      </c>
      <c r="AN28" s="189">
        <v>60</v>
      </c>
      <c r="AP28" s="210" t="str">
        <f t="shared" si="2"/>
        <v/>
      </c>
      <c r="AQ28" s="263"/>
      <c r="AR28" s="210" t="str">
        <f t="shared" si="3"/>
        <v/>
      </c>
      <c r="AS28" s="217"/>
      <c r="AT28" s="210" t="s">
        <v>503</v>
      </c>
      <c r="AU28" s="263"/>
      <c r="AV28" s="217"/>
      <c r="BB28" s="253" t="str">
        <f t="array" ref="BB28">_xlfn.IFS(AQ28="","",LEN(AQ28)-LEN(SUBSTITUTE(AQ28,".",""))=3,LEFT(AQ28,vitri(".",AQ28,3)-1),LEN(AQ28)-LEN(SUBSTITUTE(AQ28,".",""))=2,LEFT(AQ28,vitri(".",AQ28,2)-1),TRUE,LEFT(AQ28,vitri(".",AQ28,1)-1))</f>
        <v/>
      </c>
    </row>
    <row r="29" spans="1:54" ht="15" customHeight="1" x14ac:dyDescent="0.25">
      <c r="A29" s="250"/>
      <c r="B29" s="108" t="s">
        <v>184</v>
      </c>
      <c r="C29" s="1" t="s">
        <v>136</v>
      </c>
      <c r="D29" s="159" t="s">
        <v>137</v>
      </c>
      <c r="E29" s="1" t="s">
        <v>1027</v>
      </c>
      <c r="F29" s="1" t="s">
        <v>1028</v>
      </c>
      <c r="G29" s="1" t="s">
        <v>28</v>
      </c>
      <c r="H29" s="1" t="s">
        <v>29</v>
      </c>
      <c r="I29" s="1" t="s">
        <v>1354</v>
      </c>
      <c r="J29" s="1" t="s">
        <v>143</v>
      </c>
      <c r="K29" s="94" t="str">
        <f t="shared" si="1"/>
        <v>P_PIF_CAE_STE_FLG_25</v>
      </c>
      <c r="L29" s="160" t="s">
        <v>1200</v>
      </c>
      <c r="M29" s="382">
        <v>65</v>
      </c>
      <c r="P29" s="297" t="s">
        <v>184</v>
      </c>
      <c r="Q29" s="241" t="s">
        <v>136</v>
      </c>
      <c r="R29" s="317" t="s">
        <v>137</v>
      </c>
      <c r="S29" s="241" t="s">
        <v>1027</v>
      </c>
      <c r="T29" s="241" t="s">
        <v>1028</v>
      </c>
      <c r="U29" s="241" t="s">
        <v>28</v>
      </c>
      <c r="V29" s="241" t="s">
        <v>29</v>
      </c>
      <c r="W29" s="241" t="s">
        <v>1354</v>
      </c>
      <c r="X29" s="241" t="s">
        <v>143</v>
      </c>
      <c r="Y29" s="215" t="s">
        <v>1431</v>
      </c>
      <c r="Z29" s="318" t="s">
        <v>1200</v>
      </c>
      <c r="AA29" s="383">
        <v>65</v>
      </c>
      <c r="AB29" s="63">
        <f t="shared" si="0"/>
        <v>25</v>
      </c>
      <c r="AC29" s="182" t="s">
        <v>184</v>
      </c>
      <c r="AD29" s="183" t="s">
        <v>136</v>
      </c>
      <c r="AE29" s="184" t="s">
        <v>137</v>
      </c>
      <c r="AF29" s="183" t="s">
        <v>1027</v>
      </c>
      <c r="AG29" s="183" t="s">
        <v>1028</v>
      </c>
      <c r="AH29" s="183" t="s">
        <v>28</v>
      </c>
      <c r="AI29" s="183" t="s">
        <v>29</v>
      </c>
      <c r="AJ29" s="183" t="s">
        <v>1354</v>
      </c>
      <c r="AK29" s="183" t="s">
        <v>143</v>
      </c>
      <c r="AL29" s="190" t="s">
        <v>1431</v>
      </c>
      <c r="AM29" s="188" t="s">
        <v>1200</v>
      </c>
      <c r="AN29" s="189">
        <v>65</v>
      </c>
      <c r="AP29" s="210" t="str">
        <f t="shared" si="2"/>
        <v/>
      </c>
      <c r="AQ29" s="263"/>
      <c r="AR29" s="210" t="str">
        <f t="shared" si="3"/>
        <v/>
      </c>
      <c r="AS29" s="217"/>
      <c r="AT29" s="210" t="s">
        <v>503</v>
      </c>
      <c r="AU29" s="263"/>
      <c r="AV29" s="217"/>
      <c r="BB29" s="253" t="str">
        <f t="array" ref="BB29">_xlfn.IFS(AQ29="","",LEN(AQ29)-LEN(SUBSTITUTE(AQ29,".",""))=3,LEFT(AQ29,vitri(".",AQ29,3)-1),LEN(AQ29)-LEN(SUBSTITUTE(AQ29,".",""))=2,LEFT(AQ29,vitri(".",AQ29,2)-1),TRUE,LEFT(AQ29,vitri(".",AQ29,1)-1))</f>
        <v/>
      </c>
    </row>
    <row r="30" spans="1:54" ht="15" customHeight="1" x14ac:dyDescent="0.25">
      <c r="A30" s="250"/>
      <c r="B30" s="108" t="s">
        <v>184</v>
      </c>
      <c r="C30" s="1" t="s">
        <v>136</v>
      </c>
      <c r="D30" s="159" t="s">
        <v>137</v>
      </c>
      <c r="E30" s="1" t="s">
        <v>1027</v>
      </c>
      <c r="F30" s="1" t="s">
        <v>1028</v>
      </c>
      <c r="G30" s="1" t="s">
        <v>28</v>
      </c>
      <c r="H30" s="1" t="s">
        <v>29</v>
      </c>
      <c r="I30" s="1" t="s">
        <v>1029</v>
      </c>
      <c r="J30" s="1" t="s">
        <v>1030</v>
      </c>
      <c r="K30" s="94" t="str">
        <f t="shared" si="1"/>
        <v>P_PIF_CAE_STE_THR_28</v>
      </c>
      <c r="L30" s="160" t="s">
        <v>1174</v>
      </c>
      <c r="M30" s="382">
        <v>68</v>
      </c>
      <c r="P30" s="297" t="s">
        <v>184</v>
      </c>
      <c r="Q30" s="241" t="s">
        <v>136</v>
      </c>
      <c r="R30" s="317" t="s">
        <v>137</v>
      </c>
      <c r="S30" s="241" t="s">
        <v>1027</v>
      </c>
      <c r="T30" s="241" t="s">
        <v>1028</v>
      </c>
      <c r="U30" s="241" t="s">
        <v>28</v>
      </c>
      <c r="V30" s="241" t="s">
        <v>29</v>
      </c>
      <c r="W30" s="241" t="s">
        <v>1029</v>
      </c>
      <c r="X30" s="241" t="s">
        <v>1030</v>
      </c>
      <c r="Y30" s="215" t="s">
        <v>1432</v>
      </c>
      <c r="Z30" s="318" t="s">
        <v>1174</v>
      </c>
      <c r="AA30" s="383">
        <v>68</v>
      </c>
      <c r="AB30" s="63">
        <f t="shared" si="0"/>
        <v>28</v>
      </c>
      <c r="AC30" s="182" t="s">
        <v>184</v>
      </c>
      <c r="AD30" s="183" t="s">
        <v>136</v>
      </c>
      <c r="AE30" s="184" t="s">
        <v>137</v>
      </c>
      <c r="AF30" s="183" t="s">
        <v>1027</v>
      </c>
      <c r="AG30" s="183" t="s">
        <v>1028</v>
      </c>
      <c r="AH30" s="183" t="s">
        <v>28</v>
      </c>
      <c r="AI30" s="183" t="s">
        <v>29</v>
      </c>
      <c r="AJ30" s="183" t="s">
        <v>1029</v>
      </c>
      <c r="AK30" s="183" t="s">
        <v>1030</v>
      </c>
      <c r="AL30" s="190" t="s">
        <v>1432</v>
      </c>
      <c r="AM30" s="188" t="s">
        <v>1174</v>
      </c>
      <c r="AN30" s="189">
        <v>68</v>
      </c>
      <c r="AP30" s="210" t="str">
        <f t="shared" si="2"/>
        <v/>
      </c>
      <c r="AQ30" s="263"/>
      <c r="AR30" s="210" t="str">
        <f t="shared" si="3"/>
        <v/>
      </c>
      <c r="AS30" s="217"/>
      <c r="AT30" s="210" t="s">
        <v>503</v>
      </c>
      <c r="AU30" s="263"/>
      <c r="AV30" s="217"/>
      <c r="BB30" s="253" t="str">
        <f t="array" ref="BB30">_xlfn.IFS(AQ30="","",LEN(AQ30)-LEN(SUBSTITUTE(AQ30,".",""))=3,LEFT(AQ30,vitri(".",AQ30,3)-1),LEN(AQ30)-LEN(SUBSTITUTE(AQ30,".",""))=2,LEFT(AQ30,vitri(".",AQ30,2)-1),TRUE,LEFT(AQ30,vitri(".",AQ30,1)-1))</f>
        <v/>
      </c>
    </row>
    <row r="31" spans="1:54" ht="15" customHeight="1" x14ac:dyDescent="0.25">
      <c r="A31" s="181"/>
      <c r="B31" s="108" t="s">
        <v>184</v>
      </c>
      <c r="C31" s="1" t="s">
        <v>136</v>
      </c>
      <c r="D31" s="159" t="s">
        <v>137</v>
      </c>
      <c r="E31" s="1" t="s">
        <v>1027</v>
      </c>
      <c r="F31" s="1" t="s">
        <v>1028</v>
      </c>
      <c r="G31" s="1" t="s">
        <v>1246</v>
      </c>
      <c r="H31" s="1" t="s">
        <v>1246</v>
      </c>
      <c r="I31" s="1">
        <v>1</v>
      </c>
      <c r="J31" s="1">
        <v>1</v>
      </c>
      <c r="K31" s="94" t="str">
        <f t="shared" si="1"/>
        <v>P_PIF_CAE_uPVC_1_02</v>
      </c>
      <c r="L31" s="160" t="s">
        <v>254</v>
      </c>
      <c r="M31" s="382">
        <v>42</v>
      </c>
      <c r="P31" s="297" t="s">
        <v>184</v>
      </c>
      <c r="Q31" s="241" t="s">
        <v>136</v>
      </c>
      <c r="R31" s="317" t="s">
        <v>137</v>
      </c>
      <c r="S31" s="241" t="s">
        <v>1027</v>
      </c>
      <c r="T31" s="241" t="s">
        <v>1028</v>
      </c>
      <c r="U31" s="241" t="s">
        <v>1246</v>
      </c>
      <c r="V31" s="241" t="s">
        <v>1246</v>
      </c>
      <c r="W31" s="241">
        <v>1</v>
      </c>
      <c r="X31" s="241">
        <v>1</v>
      </c>
      <c r="Y31" s="215" t="s">
        <v>1433</v>
      </c>
      <c r="Z31" s="318" t="s">
        <v>254</v>
      </c>
      <c r="AA31" s="383">
        <v>42</v>
      </c>
      <c r="AB31" s="63">
        <f t="shared" si="0"/>
        <v>2</v>
      </c>
      <c r="AC31" s="182" t="s">
        <v>184</v>
      </c>
      <c r="AD31" s="183" t="s">
        <v>136</v>
      </c>
      <c r="AE31" s="184" t="s">
        <v>137</v>
      </c>
      <c r="AF31" s="183" t="s">
        <v>1027</v>
      </c>
      <c r="AG31" s="183" t="s">
        <v>1028</v>
      </c>
      <c r="AH31" s="183" t="s">
        <v>1246</v>
      </c>
      <c r="AI31" s="183" t="s">
        <v>1246</v>
      </c>
      <c r="AJ31" s="183">
        <v>1</v>
      </c>
      <c r="AK31" s="183">
        <v>1</v>
      </c>
      <c r="AL31" s="190" t="s">
        <v>1433</v>
      </c>
      <c r="AM31" s="188" t="s">
        <v>254</v>
      </c>
      <c r="AN31" s="189">
        <v>42</v>
      </c>
      <c r="AP31" s="210" t="str">
        <f t="shared" si="2"/>
        <v/>
      </c>
      <c r="AQ31" s="266"/>
      <c r="AR31" s="210" t="str">
        <f t="shared" si="3"/>
        <v/>
      </c>
      <c r="AS31" s="217"/>
      <c r="AT31" s="210" t="s">
        <v>503</v>
      </c>
      <c r="AU31" s="263"/>
      <c r="AV31" s="217"/>
      <c r="BB31" s="253" t="str">
        <f t="array" ref="BB31">_xlfn.IFS(AQ31="","",LEN(AQ31)-LEN(SUBSTITUTE(AQ31,".",""))=3,LEFT(AQ31,vitri(".",AQ31,3)-1),LEN(AQ31)-LEN(SUBSTITUTE(AQ31,".",""))=2,LEFT(AQ31,vitri(".",AQ31,2)-1),TRUE,LEFT(AQ31,vitri(".",AQ31,1)-1))</f>
        <v/>
      </c>
    </row>
    <row r="32" spans="1:54" ht="15" customHeight="1" x14ac:dyDescent="0.25">
      <c r="A32" s="181"/>
      <c r="B32" s="108" t="s">
        <v>184</v>
      </c>
      <c r="C32" s="1" t="s">
        <v>136</v>
      </c>
      <c r="D32" s="159" t="s">
        <v>137</v>
      </c>
      <c r="E32" s="1" t="s">
        <v>1027</v>
      </c>
      <c r="F32" s="1" t="s">
        <v>1028</v>
      </c>
      <c r="G32" s="1" t="s">
        <v>1246</v>
      </c>
      <c r="H32" s="1" t="s">
        <v>1246</v>
      </c>
      <c r="I32" s="1">
        <v>2</v>
      </c>
      <c r="J32" s="1">
        <v>2</v>
      </c>
      <c r="K32" s="94" t="str">
        <f t="shared" si="1"/>
        <v>P_PIF_CAE_uPVC_2_03</v>
      </c>
      <c r="L32" s="160" t="s">
        <v>255</v>
      </c>
      <c r="M32" s="382">
        <v>43</v>
      </c>
      <c r="P32" s="297" t="s">
        <v>184</v>
      </c>
      <c r="Q32" s="241" t="s">
        <v>136</v>
      </c>
      <c r="R32" s="317" t="s">
        <v>137</v>
      </c>
      <c r="S32" s="241" t="s">
        <v>1027</v>
      </c>
      <c r="T32" s="241" t="s">
        <v>1028</v>
      </c>
      <c r="U32" s="241" t="s">
        <v>1246</v>
      </c>
      <c r="V32" s="241" t="s">
        <v>1246</v>
      </c>
      <c r="W32" s="241">
        <v>2</v>
      </c>
      <c r="X32" s="241">
        <v>2</v>
      </c>
      <c r="Y32" s="215" t="s">
        <v>1434</v>
      </c>
      <c r="Z32" s="318" t="s">
        <v>255</v>
      </c>
      <c r="AA32" s="383">
        <v>43</v>
      </c>
      <c r="AB32" s="63">
        <f t="shared" si="0"/>
        <v>3</v>
      </c>
      <c r="AC32" s="182" t="s">
        <v>184</v>
      </c>
      <c r="AD32" s="183" t="s">
        <v>136</v>
      </c>
      <c r="AE32" s="184" t="s">
        <v>137</v>
      </c>
      <c r="AF32" s="183" t="s">
        <v>1027</v>
      </c>
      <c r="AG32" s="183" t="s">
        <v>1028</v>
      </c>
      <c r="AH32" s="183" t="s">
        <v>1246</v>
      </c>
      <c r="AI32" s="183" t="s">
        <v>1246</v>
      </c>
      <c r="AJ32" s="183">
        <v>2</v>
      </c>
      <c r="AK32" s="183">
        <v>2</v>
      </c>
      <c r="AL32" s="190" t="s">
        <v>1434</v>
      </c>
      <c r="AM32" s="188" t="s">
        <v>255</v>
      </c>
      <c r="AN32" s="189">
        <v>43</v>
      </c>
      <c r="AP32" s="210" t="str">
        <f t="shared" si="2"/>
        <v/>
      </c>
      <c r="AQ32" s="266"/>
      <c r="AR32" s="210" t="str">
        <f t="shared" si="3"/>
        <v/>
      </c>
      <c r="AS32" s="217"/>
      <c r="AT32" s="210" t="s">
        <v>503</v>
      </c>
      <c r="AU32" s="263"/>
      <c r="AV32" s="217"/>
      <c r="BB32" s="253" t="str">
        <f t="array" ref="BB32">_xlfn.IFS(AQ32="","",LEN(AQ32)-LEN(SUBSTITUTE(AQ32,".",""))=3,LEFT(AQ32,vitri(".",AQ32,3)-1),LEN(AQ32)-LEN(SUBSTITUTE(AQ32,".",""))=2,LEFT(AQ32,vitri(".",AQ32,2)-1),TRUE,LEFT(AQ32,vitri(".",AQ32,1)-1))</f>
        <v/>
      </c>
    </row>
    <row r="33" spans="1:54" ht="15" customHeight="1" x14ac:dyDescent="0.25">
      <c r="A33" s="181"/>
      <c r="B33" s="108" t="s">
        <v>184</v>
      </c>
      <c r="C33" s="1" t="s">
        <v>136</v>
      </c>
      <c r="D33" s="159" t="s">
        <v>137</v>
      </c>
      <c r="E33" s="1" t="s">
        <v>1027</v>
      </c>
      <c r="F33" s="1" t="s">
        <v>1028</v>
      </c>
      <c r="G33" s="1" t="s">
        <v>1246</v>
      </c>
      <c r="H33" s="1" t="s">
        <v>1246</v>
      </c>
      <c r="I33" s="1">
        <v>3</v>
      </c>
      <c r="J33" s="1">
        <v>3</v>
      </c>
      <c r="K33" s="94" t="str">
        <f t="shared" si="1"/>
        <v>P_PIF_CAE_uPVC_3_04</v>
      </c>
      <c r="L33" s="160" t="s">
        <v>256</v>
      </c>
      <c r="M33" s="382">
        <v>44</v>
      </c>
      <c r="P33" s="297" t="s">
        <v>184</v>
      </c>
      <c r="Q33" s="241" t="s">
        <v>136</v>
      </c>
      <c r="R33" s="317" t="s">
        <v>137</v>
      </c>
      <c r="S33" s="241" t="s">
        <v>1027</v>
      </c>
      <c r="T33" s="241" t="s">
        <v>1028</v>
      </c>
      <c r="U33" s="241" t="s">
        <v>1246</v>
      </c>
      <c r="V33" s="241" t="s">
        <v>1246</v>
      </c>
      <c r="W33" s="241">
        <v>3</v>
      </c>
      <c r="X33" s="241">
        <v>3</v>
      </c>
      <c r="Y33" s="215" t="s">
        <v>1435</v>
      </c>
      <c r="Z33" s="318" t="s">
        <v>256</v>
      </c>
      <c r="AA33" s="383">
        <v>44</v>
      </c>
      <c r="AB33" s="63">
        <f t="shared" si="0"/>
        <v>4</v>
      </c>
      <c r="AC33" s="182" t="s">
        <v>184</v>
      </c>
      <c r="AD33" s="183" t="s">
        <v>136</v>
      </c>
      <c r="AE33" s="184" t="s">
        <v>137</v>
      </c>
      <c r="AF33" s="183" t="s">
        <v>1027</v>
      </c>
      <c r="AG33" s="183" t="s">
        <v>1028</v>
      </c>
      <c r="AH33" s="183" t="s">
        <v>1246</v>
      </c>
      <c r="AI33" s="183" t="s">
        <v>1246</v>
      </c>
      <c r="AJ33" s="183">
        <v>3</v>
      </c>
      <c r="AK33" s="183">
        <v>3</v>
      </c>
      <c r="AL33" s="190" t="s">
        <v>1435</v>
      </c>
      <c r="AM33" s="188" t="s">
        <v>256</v>
      </c>
      <c r="AN33" s="189">
        <v>44</v>
      </c>
      <c r="AP33" s="210" t="str">
        <f t="shared" si="2"/>
        <v/>
      </c>
      <c r="AQ33" s="263"/>
      <c r="AR33" s="210" t="str">
        <f t="shared" si="3"/>
        <v/>
      </c>
      <c r="AS33" s="217"/>
      <c r="AT33" s="210" t="s">
        <v>503</v>
      </c>
      <c r="AU33" s="263"/>
      <c r="AV33" s="217"/>
      <c r="BB33" s="253" t="str">
        <f t="array" ref="BB33">_xlfn.IFS(AQ33="","",LEN(AQ33)-LEN(SUBSTITUTE(AQ33,".",""))=3,LEFT(AQ33,vitri(".",AQ33,3)-1),LEN(AQ33)-LEN(SUBSTITUTE(AQ33,".",""))=2,LEFT(AQ33,vitri(".",AQ33,2)-1),TRUE,LEFT(AQ33,vitri(".",AQ33,1)-1))</f>
        <v/>
      </c>
    </row>
    <row r="34" spans="1:54" ht="15.75" customHeight="1" x14ac:dyDescent="0.25">
      <c r="A34" s="181"/>
      <c r="B34" s="108" t="s">
        <v>184</v>
      </c>
      <c r="C34" s="1" t="s">
        <v>136</v>
      </c>
      <c r="D34" s="159" t="s">
        <v>137</v>
      </c>
      <c r="E34" s="1" t="s">
        <v>838</v>
      </c>
      <c r="F34" s="1" t="s">
        <v>1031</v>
      </c>
      <c r="G34" s="1" t="s">
        <v>28</v>
      </c>
      <c r="H34" s="1" t="s">
        <v>29</v>
      </c>
      <c r="I34" s="1" t="s">
        <v>1032</v>
      </c>
      <c r="J34" s="1" t="s">
        <v>1033</v>
      </c>
      <c r="K34" s="94" t="str">
        <f t="shared" si="1"/>
        <v>P_PIF_COP_STE_WEL_32</v>
      </c>
      <c r="L34" s="160" t="s">
        <v>1201</v>
      </c>
      <c r="M34" s="382">
        <v>72</v>
      </c>
      <c r="P34" s="297" t="s">
        <v>184</v>
      </c>
      <c r="Q34" s="241" t="s">
        <v>136</v>
      </c>
      <c r="R34" s="317" t="s">
        <v>137</v>
      </c>
      <c r="S34" s="241" t="s">
        <v>838</v>
      </c>
      <c r="T34" s="241" t="s">
        <v>1031</v>
      </c>
      <c r="U34" s="241" t="s">
        <v>28</v>
      </c>
      <c r="V34" s="241" t="s">
        <v>29</v>
      </c>
      <c r="W34" s="241" t="s">
        <v>1032</v>
      </c>
      <c r="X34" s="241" t="s">
        <v>1033</v>
      </c>
      <c r="Y34" s="215" t="s">
        <v>1436</v>
      </c>
      <c r="Z34" s="318" t="s">
        <v>1201</v>
      </c>
      <c r="AA34" s="383">
        <v>72</v>
      </c>
      <c r="AB34" s="63">
        <f t="shared" si="0"/>
        <v>32</v>
      </c>
      <c r="AC34" s="182" t="s">
        <v>184</v>
      </c>
      <c r="AD34" s="183" t="s">
        <v>136</v>
      </c>
      <c r="AE34" s="184" t="s">
        <v>137</v>
      </c>
      <c r="AF34" s="183" t="s">
        <v>838</v>
      </c>
      <c r="AG34" s="183" t="s">
        <v>1031</v>
      </c>
      <c r="AH34" s="183" t="s">
        <v>28</v>
      </c>
      <c r="AI34" s="183" t="s">
        <v>29</v>
      </c>
      <c r="AJ34" s="183" t="s">
        <v>1032</v>
      </c>
      <c r="AK34" s="183" t="s">
        <v>1033</v>
      </c>
      <c r="AL34" s="190" t="s">
        <v>1436</v>
      </c>
      <c r="AM34" s="188" t="s">
        <v>1201</v>
      </c>
      <c r="AN34" s="189">
        <v>72</v>
      </c>
      <c r="AP34" s="210" t="str">
        <f t="shared" si="2"/>
        <v/>
      </c>
      <c r="AQ34" s="263"/>
      <c r="AR34" s="210" t="str">
        <f t="shared" si="3"/>
        <v/>
      </c>
      <c r="AS34" s="217"/>
      <c r="AT34" s="210" t="s">
        <v>503</v>
      </c>
      <c r="AU34" s="263"/>
      <c r="AV34" s="217"/>
      <c r="BB34" s="253" t="str">
        <f t="array" ref="BB34">_xlfn.IFS(AQ34="","",LEN(AQ34)-LEN(SUBSTITUTE(AQ34,".",""))=3,LEFT(AQ34,vitri(".",AQ34,3)-1),LEN(AQ34)-LEN(SUBSTITUTE(AQ34,".",""))=2,LEFT(AQ34,vitri(".",AQ34,2)-1),TRUE,LEFT(AQ34,vitri(".",AQ34,1)-1))</f>
        <v/>
      </c>
    </row>
    <row r="35" spans="1:54" ht="15" customHeight="1" x14ac:dyDescent="0.25">
      <c r="A35" s="250"/>
      <c r="B35" s="108" t="s">
        <v>184</v>
      </c>
      <c r="C35" s="1" t="s">
        <v>136</v>
      </c>
      <c r="D35" s="159" t="s">
        <v>137</v>
      </c>
      <c r="E35" s="1" t="s">
        <v>138</v>
      </c>
      <c r="F35" s="1" t="s">
        <v>139</v>
      </c>
      <c r="G35" s="1" t="s">
        <v>1353</v>
      </c>
      <c r="H35" s="1" t="s">
        <v>1353</v>
      </c>
      <c r="I35" s="1" t="s">
        <v>5</v>
      </c>
      <c r="J35" s="1" t="s">
        <v>5</v>
      </c>
      <c r="K35" s="94" t="str">
        <f t="shared" si="1"/>
        <v>P_PIF_ELB_PPR_19</v>
      </c>
      <c r="L35" s="160" t="s">
        <v>612</v>
      </c>
      <c r="M35" s="382">
        <v>59</v>
      </c>
      <c r="P35" s="297" t="s">
        <v>184</v>
      </c>
      <c r="Q35" s="241" t="s">
        <v>136</v>
      </c>
      <c r="R35" s="317" t="s">
        <v>137</v>
      </c>
      <c r="S35" s="241" t="s">
        <v>138</v>
      </c>
      <c r="T35" s="241" t="s">
        <v>139</v>
      </c>
      <c r="U35" s="241" t="s">
        <v>1353</v>
      </c>
      <c r="V35" s="241" t="s">
        <v>1353</v>
      </c>
      <c r="W35" s="241" t="s">
        <v>5</v>
      </c>
      <c r="X35" s="241" t="s">
        <v>5</v>
      </c>
      <c r="Y35" s="215" t="s">
        <v>1437</v>
      </c>
      <c r="Z35" s="318" t="s">
        <v>612</v>
      </c>
      <c r="AA35" s="383">
        <v>59</v>
      </c>
      <c r="AB35" s="63">
        <f t="shared" si="0"/>
        <v>19</v>
      </c>
      <c r="AC35" s="182" t="s">
        <v>184</v>
      </c>
      <c r="AD35" s="183" t="s">
        <v>136</v>
      </c>
      <c r="AE35" s="184" t="s">
        <v>137</v>
      </c>
      <c r="AF35" s="183" t="s">
        <v>138</v>
      </c>
      <c r="AG35" s="183" t="s">
        <v>139</v>
      </c>
      <c r="AH35" s="183" t="s">
        <v>1353</v>
      </c>
      <c r="AI35" s="183" t="s">
        <v>1353</v>
      </c>
      <c r="AJ35" s="183" t="s">
        <v>5</v>
      </c>
      <c r="AK35" s="183" t="s">
        <v>5</v>
      </c>
      <c r="AL35" s="190" t="s">
        <v>1437</v>
      </c>
      <c r="AM35" s="188" t="s">
        <v>612</v>
      </c>
      <c r="AN35" s="189">
        <v>59</v>
      </c>
      <c r="AP35" s="210" t="str">
        <f t="shared" si="2"/>
        <v/>
      </c>
      <c r="AQ35" s="266"/>
      <c r="AR35" s="210" t="str">
        <f t="shared" si="3"/>
        <v/>
      </c>
      <c r="AS35" s="217"/>
      <c r="AT35" s="210" t="s">
        <v>503</v>
      </c>
      <c r="AU35" s="263"/>
      <c r="AV35" s="217"/>
      <c r="BB35" s="253" t="str">
        <f t="array" ref="BB35">_xlfn.IFS(AQ35="","",LEN(AQ35)-LEN(SUBSTITUTE(AQ35,".",""))=3,LEFT(AQ35,vitri(".",AQ35,3)-1),LEN(AQ35)-LEN(SUBSTITUTE(AQ35,".",""))=2,LEFT(AQ35,vitri(".",AQ35,2)-1),TRUE,LEFT(AQ35,vitri(".",AQ35,1)-1))</f>
        <v/>
      </c>
    </row>
    <row r="36" spans="1:54" ht="15" customHeight="1" x14ac:dyDescent="0.25">
      <c r="A36" s="181"/>
      <c r="B36" s="108" t="s">
        <v>184</v>
      </c>
      <c r="C36" s="1" t="s">
        <v>136</v>
      </c>
      <c r="D36" s="159" t="s">
        <v>137</v>
      </c>
      <c r="E36" s="1" t="s">
        <v>138</v>
      </c>
      <c r="F36" s="1" t="s">
        <v>139</v>
      </c>
      <c r="G36" s="1" t="s">
        <v>28</v>
      </c>
      <c r="H36" s="1" t="s">
        <v>29</v>
      </c>
      <c r="I36" s="1" t="s">
        <v>1029</v>
      </c>
      <c r="J36" s="1" t="s">
        <v>1030</v>
      </c>
      <c r="K36" s="94" t="str">
        <f t="shared" si="1"/>
        <v>P_PIF_ELB_STE_THR_29</v>
      </c>
      <c r="L36" s="160" t="s">
        <v>1188</v>
      </c>
      <c r="M36" s="382">
        <v>69</v>
      </c>
      <c r="P36" s="297" t="s">
        <v>184</v>
      </c>
      <c r="Q36" s="241" t="s">
        <v>136</v>
      </c>
      <c r="R36" s="317" t="s">
        <v>137</v>
      </c>
      <c r="S36" s="241" t="s">
        <v>138</v>
      </c>
      <c r="T36" s="241" t="s">
        <v>139</v>
      </c>
      <c r="U36" s="241" t="s">
        <v>28</v>
      </c>
      <c r="V36" s="241" t="s">
        <v>29</v>
      </c>
      <c r="W36" s="241" t="s">
        <v>1029</v>
      </c>
      <c r="X36" s="241" t="s">
        <v>1030</v>
      </c>
      <c r="Y36" s="215" t="s">
        <v>1438</v>
      </c>
      <c r="Z36" s="318" t="s">
        <v>1188</v>
      </c>
      <c r="AA36" s="383">
        <v>69</v>
      </c>
      <c r="AB36" s="63">
        <f t="shared" si="0"/>
        <v>29</v>
      </c>
      <c r="AC36" s="182" t="s">
        <v>184</v>
      </c>
      <c r="AD36" s="183" t="s">
        <v>136</v>
      </c>
      <c r="AE36" s="184" t="s">
        <v>137</v>
      </c>
      <c r="AF36" s="183" t="s">
        <v>138</v>
      </c>
      <c r="AG36" s="183" t="s">
        <v>139</v>
      </c>
      <c r="AH36" s="183" t="s">
        <v>28</v>
      </c>
      <c r="AI36" s="183" t="s">
        <v>29</v>
      </c>
      <c r="AJ36" s="183" t="s">
        <v>1029</v>
      </c>
      <c r="AK36" s="183" t="s">
        <v>1030</v>
      </c>
      <c r="AL36" s="190" t="s">
        <v>1438</v>
      </c>
      <c r="AM36" s="188" t="s">
        <v>1188</v>
      </c>
      <c r="AN36" s="189">
        <v>69</v>
      </c>
      <c r="AP36" s="210" t="str">
        <f t="shared" si="2"/>
        <v/>
      </c>
      <c r="AQ36" s="263"/>
      <c r="AR36" s="210" t="str">
        <f t="shared" si="3"/>
        <v/>
      </c>
      <c r="AS36" s="217"/>
      <c r="AT36" s="210" t="s">
        <v>503</v>
      </c>
      <c r="AU36" s="263"/>
      <c r="AV36" s="217"/>
      <c r="BB36" s="253" t="str">
        <f t="array" ref="BB36">_xlfn.IFS(AQ36="","",LEN(AQ36)-LEN(SUBSTITUTE(AQ36,".",""))=3,LEFT(AQ36,vitri(".",AQ36,3)-1),LEN(AQ36)-LEN(SUBSTITUTE(AQ36,".",""))=2,LEFT(AQ36,vitri(".",AQ36,2)-1),TRUE,LEFT(AQ36,vitri(".",AQ36,1)-1))</f>
        <v/>
      </c>
    </row>
    <row r="37" spans="1:54" ht="15.75" customHeight="1" x14ac:dyDescent="0.25">
      <c r="A37" s="181"/>
      <c r="B37" s="108" t="s">
        <v>184</v>
      </c>
      <c r="C37" s="1" t="s">
        <v>136</v>
      </c>
      <c r="D37" s="159" t="s">
        <v>137</v>
      </c>
      <c r="E37" s="1" t="s">
        <v>138</v>
      </c>
      <c r="F37" s="1" t="s">
        <v>139</v>
      </c>
      <c r="G37" s="1" t="s">
        <v>28</v>
      </c>
      <c r="H37" s="1" t="s">
        <v>29</v>
      </c>
      <c r="I37" s="1" t="s">
        <v>1032</v>
      </c>
      <c r="J37" s="1" t="s">
        <v>1033</v>
      </c>
      <c r="K37" s="94" t="str">
        <f t="shared" si="1"/>
        <v>P_PIF_ELB_STE_WEL_33</v>
      </c>
      <c r="L37" s="160" t="s">
        <v>1202</v>
      </c>
      <c r="M37" s="382">
        <v>73</v>
      </c>
      <c r="P37" s="297" t="s">
        <v>184</v>
      </c>
      <c r="Q37" s="241" t="s">
        <v>136</v>
      </c>
      <c r="R37" s="317" t="s">
        <v>137</v>
      </c>
      <c r="S37" s="241" t="s">
        <v>138</v>
      </c>
      <c r="T37" s="241" t="s">
        <v>139</v>
      </c>
      <c r="U37" s="241" t="s">
        <v>28</v>
      </c>
      <c r="V37" s="241" t="s">
        <v>29</v>
      </c>
      <c r="W37" s="241" t="s">
        <v>1032</v>
      </c>
      <c r="X37" s="241" t="s">
        <v>1033</v>
      </c>
      <c r="Y37" s="215" t="s">
        <v>1439</v>
      </c>
      <c r="Z37" s="318" t="s">
        <v>1202</v>
      </c>
      <c r="AA37" s="383">
        <v>73</v>
      </c>
      <c r="AB37" s="63">
        <f t="shared" si="0"/>
        <v>33</v>
      </c>
      <c r="AC37" s="182" t="s">
        <v>184</v>
      </c>
      <c r="AD37" s="183" t="s">
        <v>136</v>
      </c>
      <c r="AE37" s="184" t="s">
        <v>137</v>
      </c>
      <c r="AF37" s="183" t="s">
        <v>138</v>
      </c>
      <c r="AG37" s="183" t="s">
        <v>139</v>
      </c>
      <c r="AH37" s="183" t="s">
        <v>28</v>
      </c>
      <c r="AI37" s="183" t="s">
        <v>29</v>
      </c>
      <c r="AJ37" s="183" t="s">
        <v>1032</v>
      </c>
      <c r="AK37" s="183" t="s">
        <v>1033</v>
      </c>
      <c r="AL37" s="190" t="s">
        <v>1439</v>
      </c>
      <c r="AM37" s="188" t="s">
        <v>1202</v>
      </c>
      <c r="AN37" s="189">
        <v>73</v>
      </c>
      <c r="AP37" s="210" t="str">
        <f t="shared" si="2"/>
        <v/>
      </c>
      <c r="AQ37" s="263"/>
      <c r="AR37" s="210" t="str">
        <f t="shared" si="3"/>
        <v/>
      </c>
      <c r="AS37" s="217"/>
      <c r="AT37" s="210" t="s">
        <v>503</v>
      </c>
      <c r="AU37" s="263"/>
      <c r="AV37" s="217"/>
      <c r="BB37" s="253" t="str">
        <f t="array" ref="BB37">_xlfn.IFS(AQ37="","",LEN(AQ37)-LEN(SUBSTITUTE(AQ37,".",""))=3,LEFT(AQ37,vitri(".",AQ37,3)-1),LEN(AQ37)-LEN(SUBSTITUTE(AQ37,".",""))=2,LEFT(AQ37,vitri(".",AQ37,2)-1),TRUE,LEFT(AQ37,vitri(".",AQ37,1)-1))</f>
        <v/>
      </c>
    </row>
    <row r="38" spans="1:54" x14ac:dyDescent="0.25">
      <c r="A38" s="251"/>
      <c r="B38" s="108" t="s">
        <v>184</v>
      </c>
      <c r="C38" s="1" t="s">
        <v>136</v>
      </c>
      <c r="D38" s="159" t="s">
        <v>137</v>
      </c>
      <c r="E38" s="1" t="s">
        <v>138</v>
      </c>
      <c r="F38" s="1" t="s">
        <v>139</v>
      </c>
      <c r="G38" s="1" t="s">
        <v>1246</v>
      </c>
      <c r="H38" s="1" t="s">
        <v>1246</v>
      </c>
      <c r="I38" s="1" t="s">
        <v>5</v>
      </c>
      <c r="J38" s="1" t="s">
        <v>5</v>
      </c>
      <c r="K38" s="94" t="str">
        <f t="shared" si="1"/>
        <v>P_PIF_ELB_uPVC_05</v>
      </c>
      <c r="L38" s="160" t="s">
        <v>257</v>
      </c>
      <c r="M38" s="382">
        <v>19</v>
      </c>
      <c r="P38" s="297" t="s">
        <v>184</v>
      </c>
      <c r="Q38" s="241" t="s">
        <v>136</v>
      </c>
      <c r="R38" s="317" t="s">
        <v>137</v>
      </c>
      <c r="S38" s="241" t="s">
        <v>138</v>
      </c>
      <c r="T38" s="241" t="s">
        <v>139</v>
      </c>
      <c r="U38" s="241" t="s">
        <v>1246</v>
      </c>
      <c r="V38" s="241" t="s">
        <v>1246</v>
      </c>
      <c r="W38" s="241" t="s">
        <v>5</v>
      </c>
      <c r="X38" s="241" t="s">
        <v>5</v>
      </c>
      <c r="Y38" s="230" t="s">
        <v>1440</v>
      </c>
      <c r="Z38" s="318" t="s">
        <v>257</v>
      </c>
      <c r="AA38" s="383">
        <v>19</v>
      </c>
      <c r="AB38" s="63">
        <f t="shared" si="0"/>
        <v>5</v>
      </c>
      <c r="AC38" s="182" t="s">
        <v>184</v>
      </c>
      <c r="AD38" s="183" t="s">
        <v>136</v>
      </c>
      <c r="AE38" s="184" t="s">
        <v>137</v>
      </c>
      <c r="AF38" s="183" t="s">
        <v>138</v>
      </c>
      <c r="AG38" s="183" t="s">
        <v>139</v>
      </c>
      <c r="AH38" s="183" t="s">
        <v>1246</v>
      </c>
      <c r="AI38" s="183" t="s">
        <v>1246</v>
      </c>
      <c r="AJ38" s="183" t="s">
        <v>5</v>
      </c>
      <c r="AK38" s="183" t="s">
        <v>5</v>
      </c>
      <c r="AL38" s="185" t="s">
        <v>1440</v>
      </c>
      <c r="AM38" s="188" t="s">
        <v>257</v>
      </c>
      <c r="AN38" s="189">
        <v>19</v>
      </c>
      <c r="AP38" s="210" t="str">
        <f t="shared" si="2"/>
        <v/>
      </c>
      <c r="AQ38" s="263"/>
      <c r="AR38" s="210" t="str">
        <f t="shared" si="3"/>
        <v/>
      </c>
      <c r="AS38" s="217"/>
      <c r="AT38" s="210" t="s">
        <v>503</v>
      </c>
      <c r="AU38" s="263"/>
      <c r="AV38" s="217"/>
      <c r="BB38" s="253" t="str">
        <f t="array" ref="BB38">_xlfn.IFS(AQ38="","",LEN(AQ38)-LEN(SUBSTITUTE(AQ38,".",""))=3,LEFT(AQ38,vitri(".",AQ38,3)-1),LEN(AQ38)-LEN(SUBSTITUTE(AQ38,".",""))=2,LEFT(AQ38,vitri(".",AQ38,2)-1),TRUE,LEFT(AQ38,vitri(".",AQ38,1)-1))</f>
        <v/>
      </c>
    </row>
    <row r="39" spans="1:54" x14ac:dyDescent="0.25">
      <c r="A39" s="251"/>
      <c r="B39" s="108" t="s">
        <v>184</v>
      </c>
      <c r="C39" s="1" t="s">
        <v>136</v>
      </c>
      <c r="D39" s="159" t="s">
        <v>137</v>
      </c>
      <c r="E39" s="1" t="s">
        <v>1355</v>
      </c>
      <c r="F39" s="1" t="s">
        <v>1356</v>
      </c>
      <c r="G39" s="1" t="s">
        <v>1246</v>
      </c>
      <c r="H39" s="1" t="s">
        <v>1246</v>
      </c>
      <c r="I39" s="1" t="s">
        <v>5</v>
      </c>
      <c r="J39" s="1" t="s">
        <v>5</v>
      </c>
      <c r="K39" s="94" t="str">
        <f t="shared" si="1"/>
        <v>P_PIF_FBE_uPVC_07</v>
      </c>
      <c r="L39" s="160" t="s">
        <v>259</v>
      </c>
      <c r="M39" s="382">
        <v>40</v>
      </c>
      <c r="P39" s="297" t="s">
        <v>184</v>
      </c>
      <c r="Q39" s="241" t="s">
        <v>136</v>
      </c>
      <c r="R39" s="317" t="s">
        <v>137</v>
      </c>
      <c r="S39" s="241" t="s">
        <v>1355</v>
      </c>
      <c r="T39" s="241" t="s">
        <v>1356</v>
      </c>
      <c r="U39" s="241" t="s">
        <v>1246</v>
      </c>
      <c r="V39" s="241" t="s">
        <v>1246</v>
      </c>
      <c r="W39" s="241" t="s">
        <v>5</v>
      </c>
      <c r="X39" s="241" t="s">
        <v>5</v>
      </c>
      <c r="Y39" s="230" t="s">
        <v>1441</v>
      </c>
      <c r="Z39" s="318" t="s">
        <v>259</v>
      </c>
      <c r="AA39" s="383">
        <v>40</v>
      </c>
      <c r="AB39" s="63">
        <f t="shared" si="0"/>
        <v>7</v>
      </c>
      <c r="AC39" s="182" t="s">
        <v>184</v>
      </c>
      <c r="AD39" s="183" t="s">
        <v>136</v>
      </c>
      <c r="AE39" s="184" t="s">
        <v>137</v>
      </c>
      <c r="AF39" s="183" t="s">
        <v>1355</v>
      </c>
      <c r="AG39" s="183" t="s">
        <v>1356</v>
      </c>
      <c r="AH39" s="183" t="s">
        <v>1246</v>
      </c>
      <c r="AI39" s="183" t="s">
        <v>1246</v>
      </c>
      <c r="AJ39" s="183" t="s">
        <v>5</v>
      </c>
      <c r="AK39" s="183" t="s">
        <v>5</v>
      </c>
      <c r="AL39" s="185" t="s">
        <v>1441</v>
      </c>
      <c r="AM39" s="188" t="s">
        <v>259</v>
      </c>
      <c r="AN39" s="189">
        <v>40</v>
      </c>
      <c r="AP39" s="210" t="str">
        <f t="shared" si="2"/>
        <v/>
      </c>
      <c r="AQ39" s="266"/>
      <c r="AR39" s="210" t="str">
        <f t="shared" si="3"/>
        <v/>
      </c>
      <c r="AS39" s="217"/>
      <c r="AT39" s="210" t="s">
        <v>503</v>
      </c>
      <c r="AU39" s="263"/>
      <c r="AV39" s="217"/>
      <c r="BB39" s="253" t="str">
        <f t="array" ref="BB39">_xlfn.IFS(AQ39="","",LEN(AQ39)-LEN(SUBSTITUTE(AQ39,".",""))=3,LEFT(AQ39,vitri(".",AQ39,3)-1),LEN(AQ39)-LEN(SUBSTITUTE(AQ39,".",""))=2,LEFT(AQ39,vitri(".",AQ39,2)-1),TRUE,LEFT(AQ39,vitri(".",AQ39,1)-1))</f>
        <v/>
      </c>
    </row>
    <row r="40" spans="1:54" x14ac:dyDescent="0.25">
      <c r="A40" s="251"/>
      <c r="B40" s="108" t="s">
        <v>184</v>
      </c>
      <c r="C40" s="1" t="s">
        <v>136</v>
      </c>
      <c r="D40" s="159" t="s">
        <v>137</v>
      </c>
      <c r="E40" s="1" t="s">
        <v>1357</v>
      </c>
      <c r="F40" s="1" t="s">
        <v>1358</v>
      </c>
      <c r="G40" s="1" t="s">
        <v>1246</v>
      </c>
      <c r="H40" s="1" t="s">
        <v>1246</v>
      </c>
      <c r="I40" s="1" t="s">
        <v>5</v>
      </c>
      <c r="J40" s="1" t="s">
        <v>5</v>
      </c>
      <c r="K40" s="94" t="str">
        <f t="shared" si="1"/>
        <v>P_PIF_FBTS_uPVC_08</v>
      </c>
      <c r="L40" s="160" t="s">
        <v>260</v>
      </c>
      <c r="M40" s="382">
        <v>41</v>
      </c>
      <c r="P40" s="297" t="s">
        <v>184</v>
      </c>
      <c r="Q40" s="241" t="s">
        <v>136</v>
      </c>
      <c r="R40" s="317" t="s">
        <v>137</v>
      </c>
      <c r="S40" s="241" t="s">
        <v>1357</v>
      </c>
      <c r="T40" s="241" t="s">
        <v>1358</v>
      </c>
      <c r="U40" s="241" t="s">
        <v>1246</v>
      </c>
      <c r="V40" s="241" t="s">
        <v>1246</v>
      </c>
      <c r="W40" s="241" t="s">
        <v>5</v>
      </c>
      <c r="X40" s="241" t="s">
        <v>5</v>
      </c>
      <c r="Y40" s="230" t="s">
        <v>1442</v>
      </c>
      <c r="Z40" s="318" t="s">
        <v>260</v>
      </c>
      <c r="AA40" s="383">
        <v>41</v>
      </c>
      <c r="AB40" s="63">
        <f t="shared" si="0"/>
        <v>8</v>
      </c>
      <c r="AC40" s="182" t="s">
        <v>184</v>
      </c>
      <c r="AD40" s="183" t="s">
        <v>136</v>
      </c>
      <c r="AE40" s="184" t="s">
        <v>137</v>
      </c>
      <c r="AF40" s="183" t="s">
        <v>1357</v>
      </c>
      <c r="AG40" s="183" t="s">
        <v>1358</v>
      </c>
      <c r="AH40" s="183" t="s">
        <v>1246</v>
      </c>
      <c r="AI40" s="183" t="s">
        <v>1246</v>
      </c>
      <c r="AJ40" s="183" t="s">
        <v>5</v>
      </c>
      <c r="AK40" s="183" t="s">
        <v>5</v>
      </c>
      <c r="AL40" s="185" t="s">
        <v>1442</v>
      </c>
      <c r="AM40" s="188" t="s">
        <v>260</v>
      </c>
      <c r="AN40" s="189">
        <v>41</v>
      </c>
      <c r="AP40" s="210" t="str">
        <f t="shared" si="2"/>
        <v/>
      </c>
      <c r="AQ40" s="263"/>
      <c r="AR40" s="210" t="str">
        <f t="shared" si="3"/>
        <v/>
      </c>
      <c r="AS40" s="217"/>
      <c r="AT40" s="210" t="s">
        <v>503</v>
      </c>
      <c r="AU40" s="263"/>
      <c r="AV40" s="217"/>
      <c r="BB40" s="253" t="str">
        <f t="array" ref="BB40">_xlfn.IFS(AQ40="","",LEN(AQ40)-LEN(SUBSTITUTE(AQ40,".",""))=3,LEFT(AQ40,vitri(".",AQ40,3)-1),LEN(AQ40)-LEN(SUBSTITUTE(AQ40,".",""))=2,LEFT(AQ40,vitri(".",AQ40,2)-1),TRUE,LEFT(AQ40,vitri(".",AQ40,1)-1))</f>
        <v/>
      </c>
    </row>
    <row r="41" spans="1:54" x14ac:dyDescent="0.25">
      <c r="A41" s="251"/>
      <c r="B41" s="108" t="s">
        <v>184</v>
      </c>
      <c r="C41" s="1" t="s">
        <v>136</v>
      </c>
      <c r="D41" s="159" t="s">
        <v>137</v>
      </c>
      <c r="E41" s="1" t="s">
        <v>1359</v>
      </c>
      <c r="F41" s="1" t="s">
        <v>1360</v>
      </c>
      <c r="G41" s="1" t="s">
        <v>1246</v>
      </c>
      <c r="H41" s="1" t="s">
        <v>1246</v>
      </c>
      <c r="I41" s="1" t="s">
        <v>5</v>
      </c>
      <c r="J41" s="1" t="s">
        <v>5</v>
      </c>
      <c r="K41" s="94" t="str">
        <f t="shared" si="1"/>
        <v>P_PIF_FBW_uPVC_06</v>
      </c>
      <c r="L41" s="160" t="s">
        <v>258</v>
      </c>
      <c r="M41" s="382">
        <v>46</v>
      </c>
      <c r="P41" s="297" t="s">
        <v>184</v>
      </c>
      <c r="Q41" s="241" t="s">
        <v>136</v>
      </c>
      <c r="R41" s="317" t="s">
        <v>137</v>
      </c>
      <c r="S41" s="241" t="s">
        <v>1359</v>
      </c>
      <c r="T41" s="241" t="s">
        <v>1360</v>
      </c>
      <c r="U41" s="241" t="s">
        <v>1246</v>
      </c>
      <c r="V41" s="241" t="s">
        <v>1246</v>
      </c>
      <c r="W41" s="241" t="s">
        <v>5</v>
      </c>
      <c r="X41" s="241" t="s">
        <v>5</v>
      </c>
      <c r="Y41" s="230" t="s">
        <v>1443</v>
      </c>
      <c r="Z41" s="318" t="s">
        <v>258</v>
      </c>
      <c r="AA41" s="383">
        <v>46</v>
      </c>
      <c r="AB41" s="63">
        <f t="shared" si="0"/>
        <v>6</v>
      </c>
      <c r="AC41" s="182" t="s">
        <v>184</v>
      </c>
      <c r="AD41" s="183" t="s">
        <v>136</v>
      </c>
      <c r="AE41" s="184" t="s">
        <v>137</v>
      </c>
      <c r="AF41" s="183" t="s">
        <v>1359</v>
      </c>
      <c r="AG41" s="183" t="s">
        <v>1360</v>
      </c>
      <c r="AH41" s="183" t="s">
        <v>1246</v>
      </c>
      <c r="AI41" s="183" t="s">
        <v>1246</v>
      </c>
      <c r="AJ41" s="183" t="s">
        <v>5</v>
      </c>
      <c r="AK41" s="183" t="s">
        <v>5</v>
      </c>
      <c r="AL41" s="185" t="s">
        <v>1443</v>
      </c>
      <c r="AM41" s="188" t="s">
        <v>258</v>
      </c>
      <c r="AN41" s="189">
        <v>46</v>
      </c>
      <c r="AP41" s="210" t="str">
        <f t="shared" si="2"/>
        <v/>
      </c>
      <c r="AQ41" s="263"/>
      <c r="AR41" s="210" t="str">
        <f t="shared" si="3"/>
        <v/>
      </c>
      <c r="AS41" s="217"/>
      <c r="AT41" s="210" t="s">
        <v>503</v>
      </c>
      <c r="AU41" s="263"/>
      <c r="AV41" s="217"/>
      <c r="BB41" s="253" t="str">
        <f t="array" ref="BB41">_xlfn.IFS(AQ41="","",LEN(AQ41)-LEN(SUBSTITUTE(AQ41,".",""))=3,LEFT(AQ41,vitri(".",AQ41,3)-1),LEN(AQ41)-LEN(SUBSTITUTE(AQ41,".",""))=2,LEFT(AQ41,vitri(".",AQ41,2)-1),TRUE,LEFT(AQ41,vitri(".",AQ41,1)-1))</f>
        <v/>
      </c>
    </row>
    <row r="42" spans="1:54" x14ac:dyDescent="0.25">
      <c r="A42" s="251"/>
      <c r="B42" s="108" t="s">
        <v>184</v>
      </c>
      <c r="C42" s="1" t="s">
        <v>136</v>
      </c>
      <c r="D42" s="159" t="s">
        <v>137</v>
      </c>
      <c r="E42" s="1" t="s">
        <v>1361</v>
      </c>
      <c r="F42" s="1" t="s">
        <v>467</v>
      </c>
      <c r="G42" s="1" t="s">
        <v>1246</v>
      </c>
      <c r="H42" s="1" t="s">
        <v>1246</v>
      </c>
      <c r="I42" s="1" t="s">
        <v>5</v>
      </c>
      <c r="J42" s="1" t="s">
        <v>5</v>
      </c>
      <c r="K42" s="204" t="str">
        <f t="shared" si="1"/>
        <v>P_PIF_FEB_uPVC_09</v>
      </c>
      <c r="L42" s="160" t="s">
        <v>261</v>
      </c>
      <c r="M42" s="382">
        <v>20</v>
      </c>
      <c r="P42" s="297" t="s">
        <v>184</v>
      </c>
      <c r="Q42" s="241" t="s">
        <v>136</v>
      </c>
      <c r="R42" s="317" t="s">
        <v>137</v>
      </c>
      <c r="S42" s="241" t="s">
        <v>1361</v>
      </c>
      <c r="T42" s="241" t="s">
        <v>467</v>
      </c>
      <c r="U42" s="241" t="s">
        <v>1246</v>
      </c>
      <c r="V42" s="241" t="s">
        <v>1246</v>
      </c>
      <c r="W42" s="241" t="s">
        <v>5</v>
      </c>
      <c r="X42" s="241" t="s">
        <v>5</v>
      </c>
      <c r="Y42" s="265" t="s">
        <v>1444</v>
      </c>
      <c r="Z42" s="318" t="s">
        <v>261</v>
      </c>
      <c r="AA42" s="383">
        <v>20</v>
      </c>
      <c r="AB42" s="63">
        <f t="shared" si="0"/>
        <v>9</v>
      </c>
      <c r="AC42" s="182" t="s">
        <v>184</v>
      </c>
      <c r="AD42" s="183" t="s">
        <v>136</v>
      </c>
      <c r="AE42" s="184" t="s">
        <v>137</v>
      </c>
      <c r="AF42" s="183" t="s">
        <v>1361</v>
      </c>
      <c r="AG42" s="183" t="s">
        <v>467</v>
      </c>
      <c r="AH42" s="183" t="s">
        <v>1246</v>
      </c>
      <c r="AI42" s="183" t="s">
        <v>1246</v>
      </c>
      <c r="AJ42" s="183" t="s">
        <v>5</v>
      </c>
      <c r="AK42" s="183" t="s">
        <v>5</v>
      </c>
      <c r="AL42" s="185" t="s">
        <v>1444</v>
      </c>
      <c r="AM42" s="188" t="s">
        <v>261</v>
      </c>
      <c r="AN42" s="189">
        <v>20</v>
      </c>
      <c r="AP42" s="210" t="str">
        <f t="shared" si="2"/>
        <v/>
      </c>
      <c r="AQ42" s="263"/>
      <c r="AR42" s="210" t="str">
        <f t="shared" si="3"/>
        <v/>
      </c>
      <c r="AS42" s="217"/>
      <c r="AT42" s="210" t="s">
        <v>503</v>
      </c>
      <c r="AU42" s="263"/>
      <c r="AV42" s="217"/>
      <c r="BB42" s="253" t="str">
        <f t="array" ref="BB42">_xlfn.IFS(AQ42="","",LEN(AQ42)-LEN(SUBSTITUTE(AQ42,".",""))=3,LEFT(AQ42,vitri(".",AQ42,3)-1),LEN(AQ42)-LEN(SUBSTITUTE(AQ42,".",""))=2,LEFT(AQ42,vitri(".",AQ42,2)-1),TRUE,LEFT(AQ42,vitri(".",AQ42,1)-1))</f>
        <v/>
      </c>
    </row>
    <row r="43" spans="1:54" x14ac:dyDescent="0.25">
      <c r="A43" s="251"/>
      <c r="B43" s="108" t="s">
        <v>184</v>
      </c>
      <c r="C43" s="1" t="s">
        <v>136</v>
      </c>
      <c r="D43" s="159" t="s">
        <v>137</v>
      </c>
      <c r="E43" s="1" t="s">
        <v>1362</v>
      </c>
      <c r="F43" s="1" t="s">
        <v>1363</v>
      </c>
      <c r="G43" s="1" t="s">
        <v>1353</v>
      </c>
      <c r="H43" s="1" t="s">
        <v>1353</v>
      </c>
      <c r="I43" s="1" t="s">
        <v>5</v>
      </c>
      <c r="J43" s="1" t="s">
        <v>5</v>
      </c>
      <c r="K43" s="204" t="str">
        <f t="shared" si="1"/>
        <v>P_PIF_FEL_PPR_21</v>
      </c>
      <c r="L43" s="160" t="s">
        <v>614</v>
      </c>
      <c r="M43" s="382">
        <v>61</v>
      </c>
      <c r="P43" s="297" t="s">
        <v>184</v>
      </c>
      <c r="Q43" s="241" t="s">
        <v>136</v>
      </c>
      <c r="R43" s="317" t="s">
        <v>137</v>
      </c>
      <c r="S43" s="241" t="s">
        <v>1362</v>
      </c>
      <c r="T43" s="241" t="s">
        <v>1363</v>
      </c>
      <c r="U43" s="241" t="s">
        <v>1353</v>
      </c>
      <c r="V43" s="241" t="s">
        <v>1353</v>
      </c>
      <c r="W43" s="241" t="s">
        <v>5</v>
      </c>
      <c r="X43" s="241" t="s">
        <v>5</v>
      </c>
      <c r="Y43" s="265" t="s">
        <v>1445</v>
      </c>
      <c r="Z43" s="318" t="s">
        <v>614</v>
      </c>
      <c r="AA43" s="383">
        <v>61</v>
      </c>
      <c r="AB43" s="63">
        <f t="shared" si="0"/>
        <v>21</v>
      </c>
      <c r="AC43" s="182" t="s">
        <v>184</v>
      </c>
      <c r="AD43" s="183" t="s">
        <v>136</v>
      </c>
      <c r="AE43" s="184" t="s">
        <v>137</v>
      </c>
      <c r="AF43" s="183" t="s">
        <v>1362</v>
      </c>
      <c r="AG43" s="183" t="s">
        <v>1363</v>
      </c>
      <c r="AH43" s="183" t="s">
        <v>1353</v>
      </c>
      <c r="AI43" s="183" t="s">
        <v>1353</v>
      </c>
      <c r="AJ43" s="183" t="s">
        <v>5</v>
      </c>
      <c r="AK43" s="183" t="s">
        <v>5</v>
      </c>
      <c r="AL43" s="185" t="s">
        <v>1445</v>
      </c>
      <c r="AM43" s="188" t="s">
        <v>614</v>
      </c>
      <c r="AN43" s="189">
        <v>61</v>
      </c>
      <c r="AP43" s="210" t="str">
        <f t="shared" si="2"/>
        <v/>
      </c>
      <c r="AQ43" s="263"/>
      <c r="AR43" s="210" t="str">
        <f t="shared" si="3"/>
        <v/>
      </c>
      <c r="AS43" s="217"/>
      <c r="AT43" s="210" t="s">
        <v>503</v>
      </c>
      <c r="AU43" s="263"/>
      <c r="AV43" s="217"/>
      <c r="BB43" s="253" t="str">
        <f t="array" ref="BB43">_xlfn.IFS(AQ43="","",LEN(AQ43)-LEN(SUBSTITUTE(AQ43,".",""))=3,LEFT(AQ43,vitri(".",AQ43,3)-1),LEN(AQ43)-LEN(SUBSTITUTE(AQ43,".",""))=2,LEFT(AQ43,vitri(".",AQ43,2)-1),TRUE,LEFT(AQ43,vitri(".",AQ43,1)-1))</f>
        <v/>
      </c>
    </row>
    <row r="44" spans="1:54" x14ac:dyDescent="0.25">
      <c r="A44" s="251"/>
      <c r="B44" s="108" t="s">
        <v>184</v>
      </c>
      <c r="C44" s="1" t="s">
        <v>136</v>
      </c>
      <c r="D44" s="159" t="s">
        <v>137</v>
      </c>
      <c r="E44" s="1" t="s">
        <v>142</v>
      </c>
      <c r="F44" s="1" t="s">
        <v>143</v>
      </c>
      <c r="G44" s="1" t="s">
        <v>28</v>
      </c>
      <c r="H44" s="1" t="s">
        <v>29</v>
      </c>
      <c r="I44" s="1" t="s">
        <v>49</v>
      </c>
      <c r="J44" s="1" t="s">
        <v>1034</v>
      </c>
      <c r="K44" s="204" t="str">
        <f t="shared" si="1"/>
        <v>P_PIF_FLG_STE_DOB_27</v>
      </c>
      <c r="L44" s="160" t="s">
        <v>1180</v>
      </c>
      <c r="M44" s="382">
        <v>67</v>
      </c>
      <c r="P44" s="297" t="s">
        <v>184</v>
      </c>
      <c r="Q44" s="241" t="s">
        <v>136</v>
      </c>
      <c r="R44" s="317" t="s">
        <v>137</v>
      </c>
      <c r="S44" s="241" t="s">
        <v>142</v>
      </c>
      <c r="T44" s="241" t="s">
        <v>143</v>
      </c>
      <c r="U44" s="241" t="s">
        <v>28</v>
      </c>
      <c r="V44" s="241" t="s">
        <v>29</v>
      </c>
      <c r="W44" s="241" t="s">
        <v>49</v>
      </c>
      <c r="X44" s="241" t="s">
        <v>1034</v>
      </c>
      <c r="Y44" s="265" t="s">
        <v>1446</v>
      </c>
      <c r="Z44" s="318" t="s">
        <v>1180</v>
      </c>
      <c r="AA44" s="383">
        <v>67</v>
      </c>
      <c r="AB44" s="63">
        <f t="shared" si="0"/>
        <v>27</v>
      </c>
      <c r="AC44" s="182" t="s">
        <v>184</v>
      </c>
      <c r="AD44" s="183" t="s">
        <v>136</v>
      </c>
      <c r="AE44" s="184" t="s">
        <v>137</v>
      </c>
      <c r="AF44" s="183" t="s">
        <v>142</v>
      </c>
      <c r="AG44" s="183" t="s">
        <v>143</v>
      </c>
      <c r="AH44" s="183" t="s">
        <v>28</v>
      </c>
      <c r="AI44" s="183" t="s">
        <v>29</v>
      </c>
      <c r="AJ44" s="183" t="s">
        <v>49</v>
      </c>
      <c r="AK44" s="183" t="s">
        <v>1034</v>
      </c>
      <c r="AL44" s="185" t="s">
        <v>1446</v>
      </c>
      <c r="AM44" s="188" t="s">
        <v>1180</v>
      </c>
      <c r="AN44" s="189">
        <v>67</v>
      </c>
      <c r="AP44" s="210" t="str">
        <f t="shared" si="2"/>
        <v/>
      </c>
      <c r="AQ44" s="263"/>
      <c r="AR44" s="210" t="str">
        <f t="shared" si="3"/>
        <v/>
      </c>
      <c r="AS44" s="217"/>
      <c r="AT44" s="210" t="s">
        <v>503</v>
      </c>
      <c r="AU44" s="263"/>
      <c r="AV44" s="217"/>
      <c r="BB44" s="253" t="str">
        <f t="array" ref="BB44">_xlfn.IFS(AQ44="","",LEN(AQ44)-LEN(SUBSTITUTE(AQ44,".",""))=3,LEFT(AQ44,vitri(".",AQ44,3)-1),LEN(AQ44)-LEN(SUBSTITUTE(AQ44,".",""))=2,LEFT(AQ44,vitri(".",AQ44,2)-1),TRUE,LEFT(AQ44,vitri(".",AQ44,1)-1))</f>
        <v/>
      </c>
    </row>
    <row r="45" spans="1:54" x14ac:dyDescent="0.25">
      <c r="A45" s="251"/>
      <c r="B45" s="108" t="s">
        <v>184</v>
      </c>
      <c r="C45" s="1" t="s">
        <v>136</v>
      </c>
      <c r="D45" s="159" t="s">
        <v>137</v>
      </c>
      <c r="E45" s="1" t="s">
        <v>142</v>
      </c>
      <c r="F45" s="1" t="s">
        <v>143</v>
      </c>
      <c r="G45" s="1" t="s">
        <v>28</v>
      </c>
      <c r="H45" s="1" t="s">
        <v>29</v>
      </c>
      <c r="I45" s="1" t="s">
        <v>506</v>
      </c>
      <c r="J45" s="1" t="s">
        <v>852</v>
      </c>
      <c r="K45" s="204" t="str">
        <f t="shared" si="1"/>
        <v>P_PIF_FLG_STE_SIG_26</v>
      </c>
      <c r="L45" s="160" t="s">
        <v>1182</v>
      </c>
      <c r="M45" s="382">
        <v>66</v>
      </c>
      <c r="P45" s="297" t="s">
        <v>184</v>
      </c>
      <c r="Q45" s="241" t="s">
        <v>136</v>
      </c>
      <c r="R45" s="317" t="s">
        <v>137</v>
      </c>
      <c r="S45" s="241" t="s">
        <v>142</v>
      </c>
      <c r="T45" s="241" t="s">
        <v>143</v>
      </c>
      <c r="U45" s="241" t="s">
        <v>28</v>
      </c>
      <c r="V45" s="241" t="s">
        <v>29</v>
      </c>
      <c r="W45" s="241" t="s">
        <v>506</v>
      </c>
      <c r="X45" s="241" t="s">
        <v>852</v>
      </c>
      <c r="Y45" s="265" t="s">
        <v>1447</v>
      </c>
      <c r="Z45" s="318" t="s">
        <v>1182</v>
      </c>
      <c r="AA45" s="383">
        <v>66</v>
      </c>
      <c r="AB45" s="63">
        <f t="shared" si="0"/>
        <v>26</v>
      </c>
      <c r="AC45" s="182" t="s">
        <v>184</v>
      </c>
      <c r="AD45" s="183" t="s">
        <v>136</v>
      </c>
      <c r="AE45" s="184" t="s">
        <v>137</v>
      </c>
      <c r="AF45" s="183" t="s">
        <v>142</v>
      </c>
      <c r="AG45" s="183" t="s">
        <v>143</v>
      </c>
      <c r="AH45" s="183" t="s">
        <v>28</v>
      </c>
      <c r="AI45" s="183" t="s">
        <v>29</v>
      </c>
      <c r="AJ45" s="183" t="s">
        <v>506</v>
      </c>
      <c r="AK45" s="183" t="s">
        <v>852</v>
      </c>
      <c r="AL45" s="185" t="s">
        <v>1447</v>
      </c>
      <c r="AM45" s="188" t="s">
        <v>1182</v>
      </c>
      <c r="AN45" s="189">
        <v>66</v>
      </c>
      <c r="AP45" s="210" t="str">
        <f t="shared" si="2"/>
        <v/>
      </c>
      <c r="AQ45" s="263"/>
      <c r="AR45" s="210" t="str">
        <f t="shared" si="3"/>
        <v/>
      </c>
      <c r="AS45" s="217"/>
      <c r="AT45" s="210" t="s">
        <v>503</v>
      </c>
      <c r="AU45" s="263"/>
      <c r="AV45" s="217"/>
      <c r="BB45" s="253" t="str">
        <f t="array" ref="BB45">_xlfn.IFS(AQ45="","",LEN(AQ45)-LEN(SUBSTITUTE(AQ45,".",""))=3,LEFT(AQ45,vitri(".",AQ45,3)-1),LEN(AQ45)-LEN(SUBSTITUTE(AQ45,".",""))=2,LEFT(AQ45,vitri(".",AQ45,2)-1),TRUE,LEFT(AQ45,vitri(".",AQ45,1)-1))</f>
        <v/>
      </c>
    </row>
    <row r="46" spans="1:54" x14ac:dyDescent="0.25">
      <c r="A46" s="251"/>
      <c r="B46" s="108" t="s">
        <v>184</v>
      </c>
      <c r="C46" s="1" t="s">
        <v>136</v>
      </c>
      <c r="D46" s="159" t="s">
        <v>137</v>
      </c>
      <c r="E46" s="1" t="s">
        <v>1364</v>
      </c>
      <c r="F46" s="1" t="s">
        <v>1365</v>
      </c>
      <c r="G46" s="1" t="s">
        <v>1246</v>
      </c>
      <c r="H46" s="1" t="s">
        <v>1246</v>
      </c>
      <c r="I46" s="1" t="s">
        <v>5</v>
      </c>
      <c r="J46" s="1" t="s">
        <v>5</v>
      </c>
      <c r="K46" s="204" t="str">
        <f t="shared" si="1"/>
        <v>P_PIF_FTS_uPVC_10</v>
      </c>
      <c r="L46" s="160" t="s">
        <v>262</v>
      </c>
      <c r="M46" s="382">
        <v>39</v>
      </c>
      <c r="P46" s="297" t="s">
        <v>184</v>
      </c>
      <c r="Q46" s="241" t="s">
        <v>136</v>
      </c>
      <c r="R46" s="317" t="s">
        <v>137</v>
      </c>
      <c r="S46" s="241" t="s">
        <v>1364</v>
      </c>
      <c r="T46" s="241" t="s">
        <v>1365</v>
      </c>
      <c r="U46" s="241" t="s">
        <v>1246</v>
      </c>
      <c r="V46" s="241" t="s">
        <v>1246</v>
      </c>
      <c r="W46" s="241" t="s">
        <v>5</v>
      </c>
      <c r="X46" s="241" t="s">
        <v>5</v>
      </c>
      <c r="Y46" s="265" t="s">
        <v>1448</v>
      </c>
      <c r="Z46" s="318" t="s">
        <v>262</v>
      </c>
      <c r="AA46" s="383">
        <v>39</v>
      </c>
      <c r="AB46" s="63">
        <f t="shared" si="0"/>
        <v>10</v>
      </c>
      <c r="AC46" s="182" t="s">
        <v>184</v>
      </c>
      <c r="AD46" s="183" t="s">
        <v>136</v>
      </c>
      <c r="AE46" s="184" t="s">
        <v>137</v>
      </c>
      <c r="AF46" s="183" t="s">
        <v>1364</v>
      </c>
      <c r="AG46" s="183" t="s">
        <v>1365</v>
      </c>
      <c r="AH46" s="183" t="s">
        <v>1246</v>
      </c>
      <c r="AI46" s="183" t="s">
        <v>1246</v>
      </c>
      <c r="AJ46" s="183" t="s">
        <v>5</v>
      </c>
      <c r="AK46" s="183" t="s">
        <v>5</v>
      </c>
      <c r="AL46" s="185" t="s">
        <v>1448</v>
      </c>
      <c r="AM46" s="188" t="s">
        <v>262</v>
      </c>
      <c r="AN46" s="189">
        <v>39</v>
      </c>
      <c r="AP46" s="210" t="str">
        <f t="shared" si="2"/>
        <v/>
      </c>
      <c r="AQ46" s="263"/>
      <c r="AR46" s="210" t="str">
        <f t="shared" si="3"/>
        <v/>
      </c>
      <c r="AS46" s="217"/>
      <c r="AT46" s="210" t="s">
        <v>503</v>
      </c>
      <c r="AU46" s="263"/>
      <c r="AV46" s="217"/>
      <c r="BB46" s="253" t="str">
        <f t="array" ref="BB46">_xlfn.IFS(AQ46="","",LEN(AQ46)-LEN(SUBSTITUTE(AQ46,".",""))=3,LEFT(AQ46,vitri(".",AQ46,3)-1),LEN(AQ46)-LEN(SUBSTITUTE(AQ46,".",""))=2,LEFT(AQ46,vitri(".",AQ46,2)-1),TRUE,LEFT(AQ46,vitri(".",AQ46,1)-1))</f>
        <v/>
      </c>
    </row>
    <row r="47" spans="1:54" x14ac:dyDescent="0.25">
      <c r="A47" s="251"/>
      <c r="B47" s="108" t="s">
        <v>184</v>
      </c>
      <c r="C47" s="1" t="s">
        <v>136</v>
      </c>
      <c r="D47" s="159" t="s">
        <v>137</v>
      </c>
      <c r="E47" s="1" t="s">
        <v>1366</v>
      </c>
      <c r="F47" s="1" t="s">
        <v>1367</v>
      </c>
      <c r="G47" s="1" t="s">
        <v>1246</v>
      </c>
      <c r="H47" s="1" t="s">
        <v>1246</v>
      </c>
      <c r="I47" s="1" t="s">
        <v>5</v>
      </c>
      <c r="J47" s="1" t="s">
        <v>5</v>
      </c>
      <c r="K47" s="204" t="str">
        <f t="shared" si="1"/>
        <v>P_PIF_MEB_uPVC_11</v>
      </c>
      <c r="L47" s="160" t="s">
        <v>263</v>
      </c>
      <c r="M47" s="382">
        <v>38</v>
      </c>
      <c r="P47" s="297" t="s">
        <v>184</v>
      </c>
      <c r="Q47" s="241" t="s">
        <v>136</v>
      </c>
      <c r="R47" s="317" t="s">
        <v>137</v>
      </c>
      <c r="S47" s="241" t="s">
        <v>1366</v>
      </c>
      <c r="T47" s="241" t="s">
        <v>1367</v>
      </c>
      <c r="U47" s="241" t="s">
        <v>1246</v>
      </c>
      <c r="V47" s="241" t="s">
        <v>1246</v>
      </c>
      <c r="W47" s="241" t="s">
        <v>5</v>
      </c>
      <c r="X47" s="241" t="s">
        <v>5</v>
      </c>
      <c r="Y47" s="265" t="s">
        <v>1449</v>
      </c>
      <c r="Z47" s="318" t="s">
        <v>263</v>
      </c>
      <c r="AA47" s="383">
        <v>38</v>
      </c>
      <c r="AB47" s="63">
        <f t="shared" si="0"/>
        <v>11</v>
      </c>
      <c r="AC47" s="182" t="s">
        <v>184</v>
      </c>
      <c r="AD47" s="183" t="s">
        <v>136</v>
      </c>
      <c r="AE47" s="184" t="s">
        <v>137</v>
      </c>
      <c r="AF47" s="183" t="s">
        <v>1366</v>
      </c>
      <c r="AG47" s="183" t="s">
        <v>1367</v>
      </c>
      <c r="AH47" s="183" t="s">
        <v>1246</v>
      </c>
      <c r="AI47" s="183" t="s">
        <v>1246</v>
      </c>
      <c r="AJ47" s="183" t="s">
        <v>5</v>
      </c>
      <c r="AK47" s="183" t="s">
        <v>5</v>
      </c>
      <c r="AL47" s="185" t="s">
        <v>1449</v>
      </c>
      <c r="AM47" s="188" t="s">
        <v>263</v>
      </c>
      <c r="AN47" s="189">
        <v>38</v>
      </c>
      <c r="AP47" s="210" t="str">
        <f t="shared" si="2"/>
        <v/>
      </c>
      <c r="AQ47" s="263"/>
      <c r="AR47" s="210" t="str">
        <f t="shared" si="3"/>
        <v/>
      </c>
      <c r="AS47" s="217"/>
      <c r="AT47" s="210" t="s">
        <v>503</v>
      </c>
      <c r="AU47" s="263"/>
      <c r="AV47" s="217"/>
      <c r="BB47" s="253" t="str">
        <f t="array" ref="BB47">_xlfn.IFS(AQ47="","",LEN(AQ47)-LEN(SUBSTITUTE(AQ47,".",""))=3,LEFT(AQ47,vitri(".",AQ47,3)-1),LEN(AQ47)-LEN(SUBSTITUTE(AQ47,".",""))=2,LEFT(AQ47,vitri(".",AQ47,2)-1),TRUE,LEFT(AQ47,vitri(".",AQ47,1)-1))</f>
        <v/>
      </c>
    </row>
    <row r="48" spans="1:54" x14ac:dyDescent="0.25">
      <c r="A48" s="251"/>
      <c r="B48" s="108" t="s">
        <v>184</v>
      </c>
      <c r="C48" s="1" t="s">
        <v>136</v>
      </c>
      <c r="D48" s="159" t="s">
        <v>137</v>
      </c>
      <c r="E48" s="1" t="s">
        <v>1368</v>
      </c>
      <c r="F48" s="1" t="s">
        <v>1369</v>
      </c>
      <c r="G48" s="1" t="s">
        <v>1246</v>
      </c>
      <c r="H48" s="1" t="s">
        <v>1246</v>
      </c>
      <c r="I48" s="1" t="s">
        <v>5</v>
      </c>
      <c r="J48" s="1" t="s">
        <v>5</v>
      </c>
      <c r="K48" s="204" t="str">
        <f t="shared" si="1"/>
        <v>P_PIF_MTS_uPVC_13</v>
      </c>
      <c r="L48" s="160" t="s">
        <v>265</v>
      </c>
      <c r="M48" s="382">
        <v>37</v>
      </c>
      <c r="P48" s="297" t="s">
        <v>184</v>
      </c>
      <c r="Q48" s="241" t="s">
        <v>136</v>
      </c>
      <c r="R48" s="317" t="s">
        <v>137</v>
      </c>
      <c r="S48" s="241" t="s">
        <v>1368</v>
      </c>
      <c r="T48" s="241" t="s">
        <v>1369</v>
      </c>
      <c r="U48" s="241" t="s">
        <v>1246</v>
      </c>
      <c r="V48" s="241" t="s">
        <v>1246</v>
      </c>
      <c r="W48" s="241" t="s">
        <v>5</v>
      </c>
      <c r="X48" s="241" t="s">
        <v>5</v>
      </c>
      <c r="Y48" s="265" t="s">
        <v>1450</v>
      </c>
      <c r="Z48" s="318" t="s">
        <v>265</v>
      </c>
      <c r="AA48" s="383">
        <v>37</v>
      </c>
      <c r="AB48" s="63">
        <f t="shared" si="0"/>
        <v>13</v>
      </c>
      <c r="AC48" s="182" t="s">
        <v>184</v>
      </c>
      <c r="AD48" s="183" t="s">
        <v>136</v>
      </c>
      <c r="AE48" s="184" t="s">
        <v>137</v>
      </c>
      <c r="AF48" s="183" t="s">
        <v>1368</v>
      </c>
      <c r="AG48" s="183" t="s">
        <v>1369</v>
      </c>
      <c r="AH48" s="183" t="s">
        <v>1246</v>
      </c>
      <c r="AI48" s="183" t="s">
        <v>1246</v>
      </c>
      <c r="AJ48" s="183" t="s">
        <v>5</v>
      </c>
      <c r="AK48" s="183" t="s">
        <v>5</v>
      </c>
      <c r="AL48" s="185" t="s">
        <v>1450</v>
      </c>
      <c r="AM48" s="188" t="s">
        <v>265</v>
      </c>
      <c r="AN48" s="189">
        <v>37</v>
      </c>
      <c r="AP48" s="210" t="str">
        <f t="shared" si="2"/>
        <v/>
      </c>
      <c r="AQ48" s="263"/>
      <c r="AR48" s="210" t="str">
        <f t="shared" si="3"/>
        <v/>
      </c>
      <c r="AS48" s="217"/>
      <c r="AT48" s="210" t="s">
        <v>503</v>
      </c>
      <c r="AU48" s="263"/>
      <c r="AV48" s="217"/>
      <c r="BB48" s="253" t="str">
        <f t="array" ref="BB48">_xlfn.IFS(AQ48="","",LEN(AQ48)-LEN(SUBSTITUTE(AQ48,".",""))=3,LEFT(AQ48,vitri(".",AQ48,3)-1),LEN(AQ48)-LEN(SUBSTITUTE(AQ48,".",""))=2,LEFT(AQ48,vitri(".",AQ48,2)-1),TRUE,LEFT(AQ48,vitri(".",AQ48,1)-1))</f>
        <v/>
      </c>
    </row>
    <row r="49" spans="2:54" x14ac:dyDescent="0.25">
      <c r="B49" s="108" t="s">
        <v>184</v>
      </c>
      <c r="C49" s="1" t="s">
        <v>136</v>
      </c>
      <c r="D49" s="159" t="s">
        <v>137</v>
      </c>
      <c r="E49" s="1" t="s">
        <v>1370</v>
      </c>
      <c r="F49" s="1" t="s">
        <v>1371</v>
      </c>
      <c r="G49" s="1" t="s">
        <v>1246</v>
      </c>
      <c r="H49" s="1" t="s">
        <v>1246</v>
      </c>
      <c r="I49" s="1" t="s">
        <v>5</v>
      </c>
      <c r="J49" s="1" t="s">
        <v>5</v>
      </c>
      <c r="K49" s="204" t="str">
        <f t="shared" si="1"/>
        <v>P_PIF_REB_uPVC_12</v>
      </c>
      <c r="L49" s="160" t="s">
        <v>264</v>
      </c>
      <c r="M49" s="382">
        <v>36</v>
      </c>
      <c r="P49" s="297" t="s">
        <v>184</v>
      </c>
      <c r="Q49" s="241" t="s">
        <v>136</v>
      </c>
      <c r="R49" s="317" t="s">
        <v>137</v>
      </c>
      <c r="S49" s="241" t="s">
        <v>1370</v>
      </c>
      <c r="T49" s="241" t="s">
        <v>1371</v>
      </c>
      <c r="U49" s="241" t="s">
        <v>1246</v>
      </c>
      <c r="V49" s="241" t="s">
        <v>1246</v>
      </c>
      <c r="W49" s="241" t="s">
        <v>5</v>
      </c>
      <c r="X49" s="241" t="s">
        <v>5</v>
      </c>
      <c r="Y49" s="265" t="s">
        <v>1451</v>
      </c>
      <c r="Z49" s="318" t="s">
        <v>264</v>
      </c>
      <c r="AA49" s="383">
        <v>36</v>
      </c>
      <c r="AB49" s="63">
        <f t="shared" si="0"/>
        <v>12</v>
      </c>
      <c r="AC49" s="182" t="s">
        <v>184</v>
      </c>
      <c r="AD49" s="183" t="s">
        <v>136</v>
      </c>
      <c r="AE49" s="184" t="s">
        <v>137</v>
      </c>
      <c r="AF49" s="183" t="s">
        <v>1370</v>
      </c>
      <c r="AG49" s="183" t="s">
        <v>1371</v>
      </c>
      <c r="AH49" s="183" t="s">
        <v>1246</v>
      </c>
      <c r="AI49" s="183" t="s">
        <v>1246</v>
      </c>
      <c r="AJ49" s="183" t="s">
        <v>5</v>
      </c>
      <c r="AK49" s="183" t="s">
        <v>5</v>
      </c>
      <c r="AL49" s="185" t="s">
        <v>1451</v>
      </c>
      <c r="AM49" s="188" t="s">
        <v>264</v>
      </c>
      <c r="AN49" s="189">
        <v>36</v>
      </c>
      <c r="AP49" s="210" t="str">
        <f t="shared" si="2"/>
        <v/>
      </c>
      <c r="AQ49" s="263"/>
      <c r="AR49" s="210" t="str">
        <f t="shared" si="3"/>
        <v/>
      </c>
      <c r="AS49" s="217"/>
      <c r="AT49" s="210" t="s">
        <v>503</v>
      </c>
      <c r="AU49" s="263"/>
      <c r="AV49" s="217"/>
      <c r="BB49" s="253" t="str">
        <f t="array" ref="BB49">_xlfn.IFS(AQ49="","",LEN(AQ49)-LEN(SUBSTITUTE(AQ49,".",""))=3,LEFT(AQ49,vitri(".",AQ49,3)-1),LEN(AQ49)-LEN(SUBSTITUTE(AQ49,".",""))=2,LEFT(AQ49,vitri(".",AQ49,2)-1),TRUE,LEFT(AQ49,vitri(".",AQ49,1)-1))</f>
        <v/>
      </c>
    </row>
    <row r="50" spans="2:54" x14ac:dyDescent="0.25">
      <c r="B50" s="108" t="s">
        <v>184</v>
      </c>
      <c r="C50" s="1" t="s">
        <v>136</v>
      </c>
      <c r="D50" s="159" t="s">
        <v>137</v>
      </c>
      <c r="E50" s="1" t="s">
        <v>329</v>
      </c>
      <c r="F50" s="1" t="s">
        <v>330</v>
      </c>
      <c r="G50" s="1" t="s">
        <v>1353</v>
      </c>
      <c r="H50" s="1" t="s">
        <v>1353</v>
      </c>
      <c r="I50" s="1" t="s">
        <v>5</v>
      </c>
      <c r="J50" s="1" t="s">
        <v>5</v>
      </c>
      <c r="K50" s="204" t="str">
        <f t="shared" si="1"/>
        <v>P_PIF_RED_PPR_24</v>
      </c>
      <c r="L50" s="160" t="s">
        <v>1170</v>
      </c>
      <c r="M50" s="382">
        <v>64</v>
      </c>
      <c r="P50" s="297" t="s">
        <v>184</v>
      </c>
      <c r="Q50" s="241" t="s">
        <v>136</v>
      </c>
      <c r="R50" s="317" t="s">
        <v>137</v>
      </c>
      <c r="S50" s="241" t="s">
        <v>329</v>
      </c>
      <c r="T50" s="241" t="s">
        <v>330</v>
      </c>
      <c r="U50" s="241" t="s">
        <v>1353</v>
      </c>
      <c r="V50" s="241" t="s">
        <v>1353</v>
      </c>
      <c r="W50" s="241" t="s">
        <v>5</v>
      </c>
      <c r="X50" s="241" t="s">
        <v>5</v>
      </c>
      <c r="Y50" s="265" t="s">
        <v>1452</v>
      </c>
      <c r="Z50" s="318" t="s">
        <v>1170</v>
      </c>
      <c r="AA50" s="383">
        <v>64</v>
      </c>
      <c r="AB50" s="63">
        <f t="shared" si="0"/>
        <v>24</v>
      </c>
      <c r="AC50" s="182" t="s">
        <v>184</v>
      </c>
      <c r="AD50" s="183" t="s">
        <v>136</v>
      </c>
      <c r="AE50" s="184" t="s">
        <v>137</v>
      </c>
      <c r="AF50" s="183" t="s">
        <v>329</v>
      </c>
      <c r="AG50" s="183" t="s">
        <v>330</v>
      </c>
      <c r="AH50" s="183" t="s">
        <v>1353</v>
      </c>
      <c r="AI50" s="183" t="s">
        <v>1353</v>
      </c>
      <c r="AJ50" s="183" t="s">
        <v>5</v>
      </c>
      <c r="AK50" s="183" t="s">
        <v>5</v>
      </c>
      <c r="AL50" s="185" t="s">
        <v>1452</v>
      </c>
      <c r="AM50" s="188" t="s">
        <v>1170</v>
      </c>
      <c r="AN50" s="189">
        <v>64</v>
      </c>
      <c r="AP50" s="210" t="str">
        <f t="shared" si="2"/>
        <v/>
      </c>
      <c r="AQ50" s="263"/>
      <c r="AR50" s="210" t="str">
        <f t="shared" si="3"/>
        <v/>
      </c>
      <c r="AS50" s="217"/>
      <c r="AT50" s="210" t="s">
        <v>503</v>
      </c>
      <c r="AU50" s="263"/>
      <c r="AV50" s="217"/>
      <c r="BB50" s="253" t="str">
        <f t="array" ref="BB50">_xlfn.IFS(AQ50="","",LEN(AQ50)-LEN(SUBSTITUTE(AQ50,".",""))=3,LEFT(AQ50,vitri(".",AQ50,3)-1),LEN(AQ50)-LEN(SUBSTITUTE(AQ50,".",""))=2,LEFT(AQ50,vitri(".",AQ50,2)-1),TRUE,LEFT(AQ50,vitri(".",AQ50,1)-1))</f>
        <v/>
      </c>
    </row>
    <row r="51" spans="2:54" x14ac:dyDescent="0.25">
      <c r="B51" s="108" t="s">
        <v>184</v>
      </c>
      <c r="C51" s="1" t="s">
        <v>136</v>
      </c>
      <c r="D51" s="159" t="s">
        <v>137</v>
      </c>
      <c r="E51" s="1" t="s">
        <v>329</v>
      </c>
      <c r="F51" s="1" t="s">
        <v>330</v>
      </c>
      <c r="G51" s="1" t="s">
        <v>28</v>
      </c>
      <c r="H51" s="1" t="s">
        <v>29</v>
      </c>
      <c r="I51" s="1" t="s">
        <v>1029</v>
      </c>
      <c r="J51" s="1" t="s">
        <v>1030</v>
      </c>
      <c r="K51" s="204" t="str">
        <f t="shared" si="1"/>
        <v>P_PIF_RED_STE_THR_31</v>
      </c>
      <c r="L51" s="160" t="s">
        <v>1191</v>
      </c>
      <c r="M51" s="382">
        <v>71</v>
      </c>
      <c r="P51" s="297" t="s">
        <v>184</v>
      </c>
      <c r="Q51" s="241" t="s">
        <v>136</v>
      </c>
      <c r="R51" s="317" t="s">
        <v>137</v>
      </c>
      <c r="S51" s="241" t="s">
        <v>329</v>
      </c>
      <c r="T51" s="241" t="s">
        <v>330</v>
      </c>
      <c r="U51" s="241" t="s">
        <v>28</v>
      </c>
      <c r="V51" s="241" t="s">
        <v>29</v>
      </c>
      <c r="W51" s="241" t="s">
        <v>1029</v>
      </c>
      <c r="X51" s="241" t="s">
        <v>1030</v>
      </c>
      <c r="Y51" s="265" t="s">
        <v>1453</v>
      </c>
      <c r="Z51" s="318" t="s">
        <v>1191</v>
      </c>
      <c r="AA51" s="383">
        <v>71</v>
      </c>
      <c r="AB51" s="63">
        <f t="shared" si="0"/>
        <v>31</v>
      </c>
      <c r="AC51" s="182" t="s">
        <v>184</v>
      </c>
      <c r="AD51" s="183" t="s">
        <v>136</v>
      </c>
      <c r="AE51" s="184" t="s">
        <v>137</v>
      </c>
      <c r="AF51" s="183" t="s">
        <v>329</v>
      </c>
      <c r="AG51" s="183" t="s">
        <v>330</v>
      </c>
      <c r="AH51" s="183" t="s">
        <v>28</v>
      </c>
      <c r="AI51" s="183" t="s">
        <v>29</v>
      </c>
      <c r="AJ51" s="183" t="s">
        <v>1029</v>
      </c>
      <c r="AK51" s="183" t="s">
        <v>1030</v>
      </c>
      <c r="AL51" s="185" t="s">
        <v>1453</v>
      </c>
      <c r="AM51" s="188" t="s">
        <v>1191</v>
      </c>
      <c r="AN51" s="189">
        <v>71</v>
      </c>
      <c r="AP51" s="210" t="str">
        <f t="shared" si="2"/>
        <v/>
      </c>
      <c r="AQ51" s="263"/>
      <c r="AR51" s="210" t="str">
        <f t="shared" si="3"/>
        <v/>
      </c>
      <c r="AS51" s="217"/>
      <c r="AT51" s="210" t="s">
        <v>503</v>
      </c>
      <c r="AU51" s="263"/>
      <c r="AV51" s="217"/>
      <c r="BB51" s="253" t="str">
        <f t="array" ref="BB51">_xlfn.IFS(AQ51="","",LEN(AQ51)-LEN(SUBSTITUTE(AQ51,".",""))=3,LEFT(AQ51,vitri(".",AQ51,3)-1),LEN(AQ51)-LEN(SUBSTITUTE(AQ51,".",""))=2,LEFT(AQ51,vitri(".",AQ51,2)-1),TRUE,LEFT(AQ51,vitri(".",AQ51,1)-1))</f>
        <v/>
      </c>
    </row>
    <row r="52" spans="2:54" x14ac:dyDescent="0.25">
      <c r="B52" s="108" t="s">
        <v>184</v>
      </c>
      <c r="C52" s="1" t="s">
        <v>136</v>
      </c>
      <c r="D52" s="159" t="s">
        <v>137</v>
      </c>
      <c r="E52" s="1" t="s">
        <v>329</v>
      </c>
      <c r="F52" s="1" t="s">
        <v>330</v>
      </c>
      <c r="G52" s="1" t="s">
        <v>28</v>
      </c>
      <c r="H52" s="1" t="s">
        <v>29</v>
      </c>
      <c r="I52" s="1" t="s">
        <v>1032</v>
      </c>
      <c r="J52" s="1" t="s">
        <v>1033</v>
      </c>
      <c r="K52" s="204" t="str">
        <f t="shared" si="1"/>
        <v>P_PIF_RED_STE_WEL_36</v>
      </c>
      <c r="L52" s="160" t="s">
        <v>1372</v>
      </c>
      <c r="M52" s="382">
        <v>76</v>
      </c>
      <c r="P52" s="297" t="s">
        <v>184</v>
      </c>
      <c r="Q52" s="241" t="s">
        <v>136</v>
      </c>
      <c r="R52" s="317" t="s">
        <v>137</v>
      </c>
      <c r="S52" s="241" t="s">
        <v>329</v>
      </c>
      <c r="T52" s="241" t="s">
        <v>330</v>
      </c>
      <c r="U52" s="241" t="s">
        <v>28</v>
      </c>
      <c r="V52" s="241" t="s">
        <v>29</v>
      </c>
      <c r="W52" s="241" t="s">
        <v>1032</v>
      </c>
      <c r="X52" s="241" t="s">
        <v>1033</v>
      </c>
      <c r="Y52" s="265" t="s">
        <v>1454</v>
      </c>
      <c r="Z52" s="318" t="s">
        <v>1372</v>
      </c>
      <c r="AA52" s="383">
        <v>76</v>
      </c>
      <c r="AB52" s="63">
        <f t="shared" si="0"/>
        <v>36</v>
      </c>
      <c r="AC52" s="182" t="s">
        <v>184</v>
      </c>
      <c r="AD52" s="183" t="s">
        <v>136</v>
      </c>
      <c r="AE52" s="184" t="s">
        <v>137</v>
      </c>
      <c r="AF52" s="183" t="s">
        <v>329</v>
      </c>
      <c r="AG52" s="183" t="s">
        <v>330</v>
      </c>
      <c r="AH52" s="183" t="s">
        <v>28</v>
      </c>
      <c r="AI52" s="183" t="s">
        <v>29</v>
      </c>
      <c r="AJ52" s="183" t="s">
        <v>1032</v>
      </c>
      <c r="AK52" s="183" t="s">
        <v>1033</v>
      </c>
      <c r="AL52" s="185" t="s">
        <v>1454</v>
      </c>
      <c r="AM52" s="188" t="s">
        <v>1372</v>
      </c>
      <c r="AN52" s="189">
        <v>76</v>
      </c>
      <c r="AP52" s="210" t="str">
        <f t="shared" si="2"/>
        <v/>
      </c>
      <c r="AQ52" s="263"/>
      <c r="AR52" s="210" t="str">
        <f t="shared" si="3"/>
        <v/>
      </c>
      <c r="AS52" s="217"/>
      <c r="AT52" s="210" t="s">
        <v>503</v>
      </c>
      <c r="AU52" s="263"/>
      <c r="AV52" s="217"/>
      <c r="BB52" s="253" t="str">
        <f t="array" ref="BB52">_xlfn.IFS(AQ52="","",LEN(AQ52)-LEN(SUBSTITUTE(AQ52,".",""))=3,LEFT(AQ52,vitri(".",AQ52,3)-1),LEN(AQ52)-LEN(SUBSTITUTE(AQ52,".",""))=2,LEFT(AQ52,vitri(".",AQ52,2)-1),TRUE,LEFT(AQ52,vitri(".",AQ52,1)-1))</f>
        <v/>
      </c>
    </row>
    <row r="53" spans="2:54" x14ac:dyDescent="0.25">
      <c r="B53" s="108" t="s">
        <v>184</v>
      </c>
      <c r="C53" s="1" t="s">
        <v>136</v>
      </c>
      <c r="D53" s="159" t="s">
        <v>137</v>
      </c>
      <c r="E53" s="1" t="s">
        <v>329</v>
      </c>
      <c r="F53" s="1" t="s">
        <v>330</v>
      </c>
      <c r="G53" s="1" t="s">
        <v>1246</v>
      </c>
      <c r="H53" s="1" t="s">
        <v>1246</v>
      </c>
      <c r="I53" s="1" t="s">
        <v>5</v>
      </c>
      <c r="J53" s="1" t="s">
        <v>5</v>
      </c>
      <c r="K53" s="204" t="str">
        <f t="shared" si="1"/>
        <v>P_PIF_RED_uPVC_14</v>
      </c>
      <c r="L53" s="160" t="s">
        <v>266</v>
      </c>
      <c r="M53" s="382">
        <v>24</v>
      </c>
      <c r="P53" s="297" t="s">
        <v>184</v>
      </c>
      <c r="Q53" s="241" t="s">
        <v>136</v>
      </c>
      <c r="R53" s="317" t="s">
        <v>137</v>
      </c>
      <c r="S53" s="241" t="s">
        <v>329</v>
      </c>
      <c r="T53" s="241" t="s">
        <v>330</v>
      </c>
      <c r="U53" s="241" t="s">
        <v>1246</v>
      </c>
      <c r="V53" s="241" t="s">
        <v>1246</v>
      </c>
      <c r="W53" s="241" t="s">
        <v>5</v>
      </c>
      <c r="X53" s="241" t="s">
        <v>5</v>
      </c>
      <c r="Y53" s="265" t="s">
        <v>1455</v>
      </c>
      <c r="Z53" s="318" t="s">
        <v>266</v>
      </c>
      <c r="AA53" s="383">
        <v>24</v>
      </c>
      <c r="AB53" s="63">
        <f t="shared" si="0"/>
        <v>14</v>
      </c>
      <c r="AC53" s="182" t="s">
        <v>184</v>
      </c>
      <c r="AD53" s="183" t="s">
        <v>136</v>
      </c>
      <c r="AE53" s="184" t="s">
        <v>137</v>
      </c>
      <c r="AF53" s="183" t="s">
        <v>329</v>
      </c>
      <c r="AG53" s="183" t="s">
        <v>330</v>
      </c>
      <c r="AH53" s="183" t="s">
        <v>1246</v>
      </c>
      <c r="AI53" s="183" t="s">
        <v>1246</v>
      </c>
      <c r="AJ53" s="183" t="s">
        <v>5</v>
      </c>
      <c r="AK53" s="183" t="s">
        <v>5</v>
      </c>
      <c r="AL53" s="185" t="s">
        <v>1455</v>
      </c>
      <c r="AM53" s="188" t="s">
        <v>266</v>
      </c>
      <c r="AN53" s="189">
        <v>24</v>
      </c>
      <c r="AP53" s="210" t="str">
        <f t="shared" si="2"/>
        <v/>
      </c>
      <c r="AQ53" s="263"/>
      <c r="AR53" s="210" t="str">
        <f t="shared" si="3"/>
        <v/>
      </c>
      <c r="AS53" s="217"/>
      <c r="AT53" s="210" t="s">
        <v>503</v>
      </c>
      <c r="AU53" s="263"/>
      <c r="AV53" s="217"/>
      <c r="BB53" s="253" t="str">
        <f t="array" ref="BB53">_xlfn.IFS(AQ53="","",LEN(AQ53)-LEN(SUBSTITUTE(AQ53,".",""))=3,LEFT(AQ53,vitri(".",AQ53,3)-1),LEN(AQ53)-LEN(SUBSTITUTE(AQ53,".",""))=2,LEFT(AQ53,vitri(".",AQ53,2)-1),TRUE,LEFT(AQ53,vitri(".",AQ53,1)-1))</f>
        <v/>
      </c>
    </row>
    <row r="54" spans="2:54" x14ac:dyDescent="0.25">
      <c r="B54" s="108" t="s">
        <v>184</v>
      </c>
      <c r="C54" s="1" t="s">
        <v>136</v>
      </c>
      <c r="D54" s="159" t="s">
        <v>137</v>
      </c>
      <c r="E54" s="1" t="s">
        <v>1373</v>
      </c>
      <c r="F54" s="1" t="s">
        <v>1374</v>
      </c>
      <c r="G54" s="1" t="s">
        <v>1246</v>
      </c>
      <c r="H54" s="1" t="s">
        <v>1246</v>
      </c>
      <c r="I54" s="1" t="s">
        <v>5</v>
      </c>
      <c r="J54" s="1" t="s">
        <v>5</v>
      </c>
      <c r="K54" s="204" t="str">
        <f t="shared" si="1"/>
        <v>P_PIF_SIP_uPVC_15</v>
      </c>
      <c r="L54" s="160" t="s">
        <v>267</v>
      </c>
      <c r="M54" s="382">
        <v>26</v>
      </c>
      <c r="P54" s="297" t="s">
        <v>184</v>
      </c>
      <c r="Q54" s="241" t="s">
        <v>136</v>
      </c>
      <c r="R54" s="317" t="s">
        <v>137</v>
      </c>
      <c r="S54" s="241" t="s">
        <v>1373</v>
      </c>
      <c r="T54" s="241" t="s">
        <v>1374</v>
      </c>
      <c r="U54" s="241" t="s">
        <v>1246</v>
      </c>
      <c r="V54" s="241" t="s">
        <v>1246</v>
      </c>
      <c r="W54" s="241" t="s">
        <v>5</v>
      </c>
      <c r="X54" s="241" t="s">
        <v>5</v>
      </c>
      <c r="Y54" s="265" t="s">
        <v>1456</v>
      </c>
      <c r="Z54" s="318" t="s">
        <v>267</v>
      </c>
      <c r="AA54" s="383">
        <v>26</v>
      </c>
      <c r="AB54" s="63">
        <f t="shared" si="0"/>
        <v>15</v>
      </c>
      <c r="AC54" s="182" t="s">
        <v>184</v>
      </c>
      <c r="AD54" s="183" t="s">
        <v>136</v>
      </c>
      <c r="AE54" s="184" t="s">
        <v>137</v>
      </c>
      <c r="AF54" s="183" t="s">
        <v>1373</v>
      </c>
      <c r="AG54" s="183" t="s">
        <v>1374</v>
      </c>
      <c r="AH54" s="183" t="s">
        <v>1246</v>
      </c>
      <c r="AI54" s="183" t="s">
        <v>1246</v>
      </c>
      <c r="AJ54" s="183" t="s">
        <v>5</v>
      </c>
      <c r="AK54" s="183" t="s">
        <v>5</v>
      </c>
      <c r="AL54" s="185" t="s">
        <v>1456</v>
      </c>
      <c r="AM54" s="188" t="s">
        <v>267</v>
      </c>
      <c r="AN54" s="189">
        <v>26</v>
      </c>
      <c r="AP54" s="210" t="str">
        <f t="shared" si="2"/>
        <v/>
      </c>
      <c r="AQ54" s="263"/>
      <c r="AR54" s="210" t="str">
        <f t="shared" si="3"/>
        <v/>
      </c>
      <c r="AS54" s="217"/>
      <c r="AT54" s="210" t="s">
        <v>503</v>
      </c>
      <c r="AU54" s="263"/>
      <c r="AV54" s="217"/>
      <c r="BB54" s="253" t="str">
        <f t="array" ref="BB54">_xlfn.IFS(AQ54="","",LEN(AQ54)-LEN(SUBSTITUTE(AQ54,".",""))=3,LEFT(AQ54,vitri(".",AQ54,3)-1),LEN(AQ54)-LEN(SUBSTITUTE(AQ54,".",""))=2,LEFT(AQ54,vitri(".",AQ54,2)-1),TRUE,LEFT(AQ54,vitri(".",AQ54,1)-1))</f>
        <v/>
      </c>
    </row>
    <row r="55" spans="2:54" x14ac:dyDescent="0.25">
      <c r="B55" s="108" t="s">
        <v>184</v>
      </c>
      <c r="C55" s="1" t="s">
        <v>136</v>
      </c>
      <c r="D55" s="159" t="s">
        <v>137</v>
      </c>
      <c r="E55" s="1" t="s">
        <v>166</v>
      </c>
      <c r="F55" s="1" t="s">
        <v>1247</v>
      </c>
      <c r="G55" s="1" t="s">
        <v>1353</v>
      </c>
      <c r="H55" s="1" t="s">
        <v>1353</v>
      </c>
      <c r="I55" s="1" t="s">
        <v>5</v>
      </c>
      <c r="J55" s="1" t="s">
        <v>5</v>
      </c>
      <c r="K55" s="204" t="str">
        <f t="shared" si="1"/>
        <v>P_PIF_SOK_PPR_22</v>
      </c>
      <c r="L55" s="160" t="s">
        <v>615</v>
      </c>
      <c r="M55" s="382">
        <v>62</v>
      </c>
      <c r="P55" s="297" t="s">
        <v>184</v>
      </c>
      <c r="Q55" s="241" t="s">
        <v>136</v>
      </c>
      <c r="R55" s="317" t="s">
        <v>137</v>
      </c>
      <c r="S55" s="241" t="s">
        <v>166</v>
      </c>
      <c r="T55" s="241" t="s">
        <v>1247</v>
      </c>
      <c r="U55" s="241" t="s">
        <v>1353</v>
      </c>
      <c r="V55" s="241" t="s">
        <v>1353</v>
      </c>
      <c r="W55" s="241" t="s">
        <v>5</v>
      </c>
      <c r="X55" s="241" t="s">
        <v>5</v>
      </c>
      <c r="Y55" s="265" t="s">
        <v>1457</v>
      </c>
      <c r="Z55" s="318" t="s">
        <v>615</v>
      </c>
      <c r="AA55" s="383">
        <v>62</v>
      </c>
      <c r="AB55" s="63">
        <f t="shared" si="0"/>
        <v>22</v>
      </c>
      <c r="AC55" s="182" t="s">
        <v>184</v>
      </c>
      <c r="AD55" s="183" t="s">
        <v>136</v>
      </c>
      <c r="AE55" s="184" t="s">
        <v>137</v>
      </c>
      <c r="AF55" s="183" t="s">
        <v>166</v>
      </c>
      <c r="AG55" s="183" t="s">
        <v>1247</v>
      </c>
      <c r="AH55" s="183" t="s">
        <v>1353</v>
      </c>
      <c r="AI55" s="183" t="s">
        <v>1353</v>
      </c>
      <c r="AJ55" s="183" t="s">
        <v>5</v>
      </c>
      <c r="AK55" s="183" t="s">
        <v>5</v>
      </c>
      <c r="AL55" s="185" t="s">
        <v>1457</v>
      </c>
      <c r="AM55" s="188" t="s">
        <v>615</v>
      </c>
      <c r="AN55" s="189">
        <v>62</v>
      </c>
      <c r="AP55" s="210" t="str">
        <f t="shared" si="2"/>
        <v/>
      </c>
      <c r="AQ55" s="263"/>
      <c r="AR55" s="210" t="str">
        <f t="shared" si="3"/>
        <v/>
      </c>
      <c r="AS55" s="217"/>
      <c r="AT55" s="210" t="s">
        <v>503</v>
      </c>
      <c r="AU55" s="263"/>
      <c r="AV55" s="217"/>
      <c r="BB55" s="253" t="str">
        <f t="array" ref="BB55">_xlfn.IFS(AQ55="","",LEN(AQ55)-LEN(SUBSTITUTE(AQ55,".",""))=3,LEFT(AQ55,vitri(".",AQ55,3)-1),LEN(AQ55)-LEN(SUBSTITUTE(AQ55,".",""))=2,LEFT(AQ55,vitri(".",AQ55,2)-1),TRUE,LEFT(AQ55,vitri(".",AQ55,1)-1))</f>
        <v/>
      </c>
    </row>
    <row r="56" spans="2:54" x14ac:dyDescent="0.25">
      <c r="B56" s="108" t="s">
        <v>184</v>
      </c>
      <c r="C56" s="1" t="s">
        <v>136</v>
      </c>
      <c r="D56" s="159" t="s">
        <v>137</v>
      </c>
      <c r="E56" s="1" t="s">
        <v>166</v>
      </c>
      <c r="F56" s="1" t="s">
        <v>1247</v>
      </c>
      <c r="G56" s="1" t="s">
        <v>1246</v>
      </c>
      <c r="H56" s="1" t="s">
        <v>1246</v>
      </c>
      <c r="I56" s="1" t="s">
        <v>5</v>
      </c>
      <c r="J56" s="1" t="s">
        <v>5</v>
      </c>
      <c r="K56" s="204" t="str">
        <f t="shared" si="1"/>
        <v>P_PIF_SOK_uPVC_16</v>
      </c>
      <c r="L56" s="160" t="s">
        <v>609</v>
      </c>
      <c r="M56" s="382">
        <v>25</v>
      </c>
      <c r="P56" s="297" t="s">
        <v>184</v>
      </c>
      <c r="Q56" s="241" t="s">
        <v>136</v>
      </c>
      <c r="R56" s="317" t="s">
        <v>137</v>
      </c>
      <c r="S56" s="241" t="s">
        <v>166</v>
      </c>
      <c r="T56" s="241" t="s">
        <v>1247</v>
      </c>
      <c r="U56" s="241" t="s">
        <v>1246</v>
      </c>
      <c r="V56" s="241" t="s">
        <v>1246</v>
      </c>
      <c r="W56" s="241" t="s">
        <v>5</v>
      </c>
      <c r="X56" s="241" t="s">
        <v>5</v>
      </c>
      <c r="Y56" s="265" t="s">
        <v>1458</v>
      </c>
      <c r="Z56" s="318" t="s">
        <v>609</v>
      </c>
      <c r="AA56" s="383">
        <v>25</v>
      </c>
      <c r="AB56" s="63">
        <f t="shared" si="0"/>
        <v>16</v>
      </c>
      <c r="AC56" s="182" t="s">
        <v>184</v>
      </c>
      <c r="AD56" s="183" t="s">
        <v>136</v>
      </c>
      <c r="AE56" s="184" t="s">
        <v>137</v>
      </c>
      <c r="AF56" s="183" t="s">
        <v>166</v>
      </c>
      <c r="AG56" s="183" t="s">
        <v>1247</v>
      </c>
      <c r="AH56" s="183" t="s">
        <v>1246</v>
      </c>
      <c r="AI56" s="183" t="s">
        <v>1246</v>
      </c>
      <c r="AJ56" s="183" t="s">
        <v>5</v>
      </c>
      <c r="AK56" s="183" t="s">
        <v>5</v>
      </c>
      <c r="AL56" s="185" t="s">
        <v>1458</v>
      </c>
      <c r="AM56" s="188" t="s">
        <v>609</v>
      </c>
      <c r="AN56" s="189">
        <v>25</v>
      </c>
      <c r="AP56" s="210" t="str">
        <f t="shared" si="2"/>
        <v/>
      </c>
      <c r="AQ56" s="263"/>
      <c r="AR56" s="210" t="str">
        <f t="shared" si="3"/>
        <v/>
      </c>
      <c r="AS56" s="217"/>
      <c r="AT56" s="210" t="s">
        <v>503</v>
      </c>
      <c r="AU56" s="263"/>
      <c r="AV56" s="217"/>
      <c r="BB56" s="253" t="str">
        <f t="array" ref="BB56">_xlfn.IFS(AQ56="","",LEN(AQ56)-LEN(SUBSTITUTE(AQ56,".",""))=3,LEFT(AQ56,vitri(".",AQ56,3)-1),LEN(AQ56)-LEN(SUBSTITUTE(AQ56,".",""))=2,LEFT(AQ56,vitri(".",AQ56,2)-1),TRUE,LEFT(AQ56,vitri(".",AQ56,1)-1))</f>
        <v/>
      </c>
    </row>
    <row r="57" spans="2:54" x14ac:dyDescent="0.25">
      <c r="B57" s="108" t="s">
        <v>184</v>
      </c>
      <c r="C57" s="1" t="s">
        <v>136</v>
      </c>
      <c r="D57" s="159" t="s">
        <v>137</v>
      </c>
      <c r="E57" s="1" t="s">
        <v>1035</v>
      </c>
      <c r="F57" s="1" t="s">
        <v>1036</v>
      </c>
      <c r="G57" s="1" t="s">
        <v>28</v>
      </c>
      <c r="H57" s="1" t="s">
        <v>29</v>
      </c>
      <c r="I57" s="1" t="s">
        <v>1032</v>
      </c>
      <c r="J57" s="1" t="s">
        <v>1033</v>
      </c>
      <c r="K57" s="204" t="str">
        <f t="shared" si="1"/>
        <v>P_PIF_SPU_STE_WEL_34</v>
      </c>
      <c r="L57" s="160" t="s">
        <v>1375</v>
      </c>
      <c r="M57" s="382">
        <v>74</v>
      </c>
      <c r="P57" s="297" t="s">
        <v>184</v>
      </c>
      <c r="Q57" s="241" t="s">
        <v>136</v>
      </c>
      <c r="R57" s="317" t="s">
        <v>137</v>
      </c>
      <c r="S57" s="241" t="s">
        <v>1035</v>
      </c>
      <c r="T57" s="241" t="s">
        <v>1036</v>
      </c>
      <c r="U57" s="241" t="s">
        <v>28</v>
      </c>
      <c r="V57" s="241" t="s">
        <v>29</v>
      </c>
      <c r="W57" s="241" t="s">
        <v>1032</v>
      </c>
      <c r="X57" s="241" t="s">
        <v>1033</v>
      </c>
      <c r="Y57" s="265" t="s">
        <v>1459</v>
      </c>
      <c r="Z57" s="318" t="s">
        <v>1375</v>
      </c>
      <c r="AA57" s="383">
        <v>74</v>
      </c>
      <c r="AB57" s="63">
        <f t="shared" si="0"/>
        <v>34</v>
      </c>
      <c r="AC57" s="182" t="s">
        <v>184</v>
      </c>
      <c r="AD57" s="183" t="s">
        <v>136</v>
      </c>
      <c r="AE57" s="184" t="s">
        <v>137</v>
      </c>
      <c r="AF57" s="183" t="s">
        <v>1035</v>
      </c>
      <c r="AG57" s="183" t="s">
        <v>1036</v>
      </c>
      <c r="AH57" s="183" t="s">
        <v>28</v>
      </c>
      <c r="AI57" s="183" t="s">
        <v>29</v>
      </c>
      <c r="AJ57" s="183" t="s">
        <v>1032</v>
      </c>
      <c r="AK57" s="183" t="s">
        <v>1033</v>
      </c>
      <c r="AL57" s="185" t="s">
        <v>1459</v>
      </c>
      <c r="AM57" s="188" t="s">
        <v>1375</v>
      </c>
      <c r="AN57" s="189">
        <v>74</v>
      </c>
      <c r="AP57" s="210" t="str">
        <f t="shared" si="2"/>
        <v/>
      </c>
      <c r="AQ57" s="263"/>
      <c r="AR57" s="210" t="str">
        <f t="shared" si="3"/>
        <v/>
      </c>
      <c r="AS57" s="217"/>
      <c r="AT57" s="210" t="s">
        <v>503</v>
      </c>
      <c r="AU57" s="263"/>
      <c r="AV57" s="217"/>
      <c r="BB57" s="253" t="str">
        <f t="array" ref="BB57">_xlfn.IFS(AQ57="","",LEN(AQ57)-LEN(SUBSTITUTE(AQ57,".",""))=3,LEFT(AQ57,vitri(".",AQ57,3)-1),LEN(AQ57)-LEN(SUBSTITUTE(AQ57,".",""))=2,LEFT(AQ57,vitri(".",AQ57,2)-1),TRUE,LEFT(AQ57,vitri(".",AQ57,1)-1))</f>
        <v/>
      </c>
    </row>
    <row r="58" spans="2:54" x14ac:dyDescent="0.25">
      <c r="B58" s="108" t="s">
        <v>184</v>
      </c>
      <c r="C58" s="1" t="s">
        <v>136</v>
      </c>
      <c r="D58" s="159" t="s">
        <v>137</v>
      </c>
      <c r="E58" s="1" t="s">
        <v>84</v>
      </c>
      <c r="F58" s="1" t="s">
        <v>84</v>
      </c>
      <c r="G58" s="1" t="s">
        <v>1353</v>
      </c>
      <c r="H58" s="1" t="s">
        <v>1353</v>
      </c>
      <c r="I58" s="1" t="s">
        <v>5</v>
      </c>
      <c r="J58" s="1" t="s">
        <v>5</v>
      </c>
      <c r="K58" s="204" t="str">
        <f t="shared" si="1"/>
        <v>P_PIF_TEE_PPR_23</v>
      </c>
      <c r="L58" s="160" t="s">
        <v>1167</v>
      </c>
      <c r="M58" s="382">
        <v>35</v>
      </c>
      <c r="P58" s="297" t="s">
        <v>184</v>
      </c>
      <c r="Q58" s="241" t="s">
        <v>136</v>
      </c>
      <c r="R58" s="317" t="s">
        <v>137</v>
      </c>
      <c r="S58" s="241" t="s">
        <v>84</v>
      </c>
      <c r="T58" s="241" t="s">
        <v>84</v>
      </c>
      <c r="U58" s="241" t="s">
        <v>1353</v>
      </c>
      <c r="V58" s="241" t="s">
        <v>1353</v>
      </c>
      <c r="W58" s="241" t="s">
        <v>5</v>
      </c>
      <c r="X58" s="241" t="s">
        <v>5</v>
      </c>
      <c r="Y58" s="265" t="s">
        <v>1460</v>
      </c>
      <c r="Z58" s="318" t="s">
        <v>1167</v>
      </c>
      <c r="AA58" s="383">
        <v>35</v>
      </c>
      <c r="AB58" s="63">
        <f t="shared" si="0"/>
        <v>23</v>
      </c>
      <c r="AC58" s="182" t="s">
        <v>184</v>
      </c>
      <c r="AD58" s="183" t="s">
        <v>136</v>
      </c>
      <c r="AE58" s="184" t="s">
        <v>137</v>
      </c>
      <c r="AF58" s="183" t="s">
        <v>84</v>
      </c>
      <c r="AG58" s="183" t="s">
        <v>84</v>
      </c>
      <c r="AH58" s="183" t="s">
        <v>1353</v>
      </c>
      <c r="AI58" s="183" t="s">
        <v>1353</v>
      </c>
      <c r="AJ58" s="183" t="s">
        <v>5</v>
      </c>
      <c r="AK58" s="183" t="s">
        <v>5</v>
      </c>
      <c r="AL58" s="185" t="s">
        <v>1460</v>
      </c>
      <c r="AM58" s="188" t="s">
        <v>1167</v>
      </c>
      <c r="AN58" s="189">
        <v>35</v>
      </c>
      <c r="AP58" s="210" t="str">
        <f t="shared" si="2"/>
        <v/>
      </c>
      <c r="AQ58" s="263"/>
      <c r="AR58" s="210" t="str">
        <f t="shared" si="3"/>
        <v/>
      </c>
      <c r="AS58" s="217"/>
      <c r="AT58" s="210" t="s">
        <v>503</v>
      </c>
      <c r="AU58" s="263"/>
      <c r="AV58" s="217"/>
      <c r="BB58" s="253" t="str">
        <f t="array" ref="BB58">_xlfn.IFS(AQ58="","",LEN(AQ58)-LEN(SUBSTITUTE(AQ58,".",""))=3,LEFT(AQ58,vitri(".",AQ58,3)-1),LEN(AQ58)-LEN(SUBSTITUTE(AQ58,".",""))=2,LEFT(AQ58,vitri(".",AQ58,2)-1),TRUE,LEFT(AQ58,vitri(".",AQ58,1)-1))</f>
        <v/>
      </c>
    </row>
    <row r="59" spans="2:54" x14ac:dyDescent="0.25">
      <c r="B59" s="108" t="s">
        <v>184</v>
      </c>
      <c r="C59" s="1" t="s">
        <v>136</v>
      </c>
      <c r="D59" s="159" t="s">
        <v>137</v>
      </c>
      <c r="E59" s="1" t="s">
        <v>84</v>
      </c>
      <c r="F59" s="1" t="s">
        <v>84</v>
      </c>
      <c r="G59" s="1" t="s">
        <v>28</v>
      </c>
      <c r="H59" s="1" t="s">
        <v>29</v>
      </c>
      <c r="I59" s="1" t="s">
        <v>1029</v>
      </c>
      <c r="J59" s="1" t="s">
        <v>1030</v>
      </c>
      <c r="K59" s="204" t="str">
        <f t="shared" si="1"/>
        <v>P_PIF_TEE_STE_THR_30</v>
      </c>
      <c r="L59" s="160" t="s">
        <v>1195</v>
      </c>
      <c r="M59" s="382">
        <v>70</v>
      </c>
      <c r="P59" s="297" t="s">
        <v>184</v>
      </c>
      <c r="Q59" s="241" t="s">
        <v>136</v>
      </c>
      <c r="R59" s="317" t="s">
        <v>137</v>
      </c>
      <c r="S59" s="241" t="s">
        <v>84</v>
      </c>
      <c r="T59" s="241" t="s">
        <v>84</v>
      </c>
      <c r="U59" s="241" t="s">
        <v>28</v>
      </c>
      <c r="V59" s="241" t="s">
        <v>29</v>
      </c>
      <c r="W59" s="241" t="s">
        <v>1029</v>
      </c>
      <c r="X59" s="241" t="s">
        <v>1030</v>
      </c>
      <c r="Y59" s="265" t="s">
        <v>1461</v>
      </c>
      <c r="Z59" s="318" t="s">
        <v>1195</v>
      </c>
      <c r="AA59" s="383">
        <v>70</v>
      </c>
      <c r="AB59" s="63">
        <f t="shared" si="0"/>
        <v>30</v>
      </c>
      <c r="AC59" s="182" t="s">
        <v>184</v>
      </c>
      <c r="AD59" s="183" t="s">
        <v>136</v>
      </c>
      <c r="AE59" s="184" t="s">
        <v>137</v>
      </c>
      <c r="AF59" s="183" t="s">
        <v>84</v>
      </c>
      <c r="AG59" s="183" t="s">
        <v>84</v>
      </c>
      <c r="AH59" s="183" t="s">
        <v>28</v>
      </c>
      <c r="AI59" s="183" t="s">
        <v>29</v>
      </c>
      <c r="AJ59" s="183" t="s">
        <v>1029</v>
      </c>
      <c r="AK59" s="183" t="s">
        <v>1030</v>
      </c>
      <c r="AL59" s="185" t="s">
        <v>1461</v>
      </c>
      <c r="AM59" s="188" t="s">
        <v>1195</v>
      </c>
      <c r="AN59" s="189">
        <v>70</v>
      </c>
      <c r="AP59" s="210" t="str">
        <f t="shared" si="2"/>
        <v/>
      </c>
      <c r="AQ59" s="263"/>
      <c r="AR59" s="210" t="str">
        <f t="shared" si="3"/>
        <v/>
      </c>
      <c r="AS59" s="217"/>
      <c r="AT59" s="210" t="s">
        <v>503</v>
      </c>
      <c r="AU59" s="263"/>
      <c r="AV59" s="217"/>
      <c r="BB59" s="253" t="str">
        <f t="array" ref="BB59">_xlfn.IFS(AQ59="","",LEN(AQ59)-LEN(SUBSTITUTE(AQ59,".",""))=3,LEFT(AQ59,vitri(".",AQ59,3)-1),LEN(AQ59)-LEN(SUBSTITUTE(AQ59,".",""))=2,LEFT(AQ59,vitri(".",AQ59,2)-1),TRUE,LEFT(AQ59,vitri(".",AQ59,1)-1))</f>
        <v/>
      </c>
    </row>
    <row r="60" spans="2:54" x14ac:dyDescent="0.25">
      <c r="B60" s="108" t="s">
        <v>184</v>
      </c>
      <c r="C60" s="1" t="s">
        <v>136</v>
      </c>
      <c r="D60" s="159" t="s">
        <v>137</v>
      </c>
      <c r="E60" s="1" t="s">
        <v>84</v>
      </c>
      <c r="F60" s="1" t="s">
        <v>84</v>
      </c>
      <c r="G60" s="1" t="s">
        <v>28</v>
      </c>
      <c r="H60" s="1" t="s">
        <v>29</v>
      </c>
      <c r="I60" s="1" t="s">
        <v>1032</v>
      </c>
      <c r="J60" s="1" t="s">
        <v>1033</v>
      </c>
      <c r="K60" s="204" t="str">
        <f t="shared" si="1"/>
        <v>P_PIF_TEE_STE_WEL_35</v>
      </c>
      <c r="L60" s="160" t="s">
        <v>1376</v>
      </c>
      <c r="M60" s="382">
        <v>75</v>
      </c>
      <c r="P60" s="297" t="s">
        <v>184</v>
      </c>
      <c r="Q60" s="241" t="s">
        <v>136</v>
      </c>
      <c r="R60" s="317" t="s">
        <v>137</v>
      </c>
      <c r="S60" s="241" t="s">
        <v>84</v>
      </c>
      <c r="T60" s="241" t="s">
        <v>84</v>
      </c>
      <c r="U60" s="241" t="s">
        <v>28</v>
      </c>
      <c r="V60" s="241" t="s">
        <v>29</v>
      </c>
      <c r="W60" s="241" t="s">
        <v>1032</v>
      </c>
      <c r="X60" s="241" t="s">
        <v>1033</v>
      </c>
      <c r="Y60" s="265" t="s">
        <v>1462</v>
      </c>
      <c r="Z60" s="318" t="s">
        <v>1376</v>
      </c>
      <c r="AA60" s="383">
        <v>75</v>
      </c>
      <c r="AB60" s="63">
        <f t="shared" si="0"/>
        <v>35</v>
      </c>
      <c r="AC60" s="182" t="s">
        <v>184</v>
      </c>
      <c r="AD60" s="183" t="s">
        <v>136</v>
      </c>
      <c r="AE60" s="184" t="s">
        <v>137</v>
      </c>
      <c r="AF60" s="183" t="s">
        <v>84</v>
      </c>
      <c r="AG60" s="183" t="s">
        <v>84</v>
      </c>
      <c r="AH60" s="183" t="s">
        <v>28</v>
      </c>
      <c r="AI60" s="183" t="s">
        <v>29</v>
      </c>
      <c r="AJ60" s="183" t="s">
        <v>1032</v>
      </c>
      <c r="AK60" s="183" t="s">
        <v>1033</v>
      </c>
      <c r="AL60" s="185" t="s">
        <v>1462</v>
      </c>
      <c r="AM60" s="188" t="s">
        <v>1376</v>
      </c>
      <c r="AN60" s="189">
        <v>75</v>
      </c>
      <c r="AP60" s="210" t="str">
        <f t="shared" si="2"/>
        <v/>
      </c>
      <c r="AQ60" s="263"/>
      <c r="AR60" s="210" t="str">
        <f t="shared" si="3"/>
        <v/>
      </c>
      <c r="AS60" s="217"/>
      <c r="AT60" s="210" t="s">
        <v>503</v>
      </c>
      <c r="AU60" s="263"/>
      <c r="AV60" s="217"/>
      <c r="BB60" s="253" t="str">
        <f t="array" ref="BB60">_xlfn.IFS(AQ60="","",LEN(AQ60)-LEN(SUBSTITUTE(AQ60,".",""))=3,LEFT(AQ60,vitri(".",AQ60,3)-1),LEN(AQ60)-LEN(SUBSTITUTE(AQ60,".",""))=2,LEFT(AQ60,vitri(".",AQ60,2)-1),TRUE,LEFT(AQ60,vitri(".",AQ60,1)-1))</f>
        <v/>
      </c>
    </row>
    <row r="61" spans="2:54" x14ac:dyDescent="0.25">
      <c r="B61" s="108" t="s">
        <v>184</v>
      </c>
      <c r="C61" s="1" t="s">
        <v>136</v>
      </c>
      <c r="D61" s="159" t="s">
        <v>137</v>
      </c>
      <c r="E61" s="1" t="s">
        <v>84</v>
      </c>
      <c r="F61" s="1" t="s">
        <v>84</v>
      </c>
      <c r="G61" s="1" t="s">
        <v>1246</v>
      </c>
      <c r="H61" s="1" t="s">
        <v>1246</v>
      </c>
      <c r="I61" s="1" t="s">
        <v>5</v>
      </c>
      <c r="J61" s="1" t="s">
        <v>5</v>
      </c>
      <c r="K61" s="204" t="str">
        <f t="shared" si="1"/>
        <v>P_PIF_TEE_uPVC_17</v>
      </c>
      <c r="L61" s="160" t="s">
        <v>610</v>
      </c>
      <c r="M61" s="382">
        <v>63</v>
      </c>
      <c r="P61" s="297" t="s">
        <v>184</v>
      </c>
      <c r="Q61" s="241" t="s">
        <v>136</v>
      </c>
      <c r="R61" s="317" t="s">
        <v>137</v>
      </c>
      <c r="S61" s="241" t="s">
        <v>84</v>
      </c>
      <c r="T61" s="241" t="s">
        <v>84</v>
      </c>
      <c r="U61" s="241" t="s">
        <v>1246</v>
      </c>
      <c r="V61" s="241" t="s">
        <v>1246</v>
      </c>
      <c r="W61" s="241" t="s">
        <v>5</v>
      </c>
      <c r="X61" s="241" t="s">
        <v>5</v>
      </c>
      <c r="Y61" s="265" t="s">
        <v>1463</v>
      </c>
      <c r="Z61" s="318" t="s">
        <v>610</v>
      </c>
      <c r="AA61" s="383">
        <v>63</v>
      </c>
      <c r="AB61" s="63">
        <f t="shared" si="0"/>
        <v>17</v>
      </c>
      <c r="AC61" s="182" t="s">
        <v>184</v>
      </c>
      <c r="AD61" s="183" t="s">
        <v>136</v>
      </c>
      <c r="AE61" s="184" t="s">
        <v>137</v>
      </c>
      <c r="AF61" s="183" t="s">
        <v>84</v>
      </c>
      <c r="AG61" s="183" t="s">
        <v>84</v>
      </c>
      <c r="AH61" s="183" t="s">
        <v>1246</v>
      </c>
      <c r="AI61" s="183" t="s">
        <v>1246</v>
      </c>
      <c r="AJ61" s="183" t="s">
        <v>5</v>
      </c>
      <c r="AK61" s="183" t="s">
        <v>5</v>
      </c>
      <c r="AL61" s="185" t="s">
        <v>1463</v>
      </c>
      <c r="AM61" s="188" t="s">
        <v>610</v>
      </c>
      <c r="AN61" s="189">
        <v>63</v>
      </c>
      <c r="AP61" s="210" t="str">
        <f t="shared" si="2"/>
        <v/>
      </c>
      <c r="AQ61" s="263"/>
      <c r="AR61" s="210" t="str">
        <f t="shared" si="3"/>
        <v/>
      </c>
      <c r="AS61" s="217"/>
      <c r="AT61" s="210" t="s">
        <v>503</v>
      </c>
      <c r="AU61" s="263"/>
      <c r="AV61" s="217"/>
      <c r="BB61" s="253" t="str">
        <f t="array" ref="BB61">_xlfn.IFS(AQ61="","",LEN(AQ61)-LEN(SUBSTITUTE(AQ61,".",""))=3,LEFT(AQ61,vitri(".",AQ61,3)-1),LEN(AQ61)-LEN(SUBSTITUTE(AQ61,".",""))=2,LEFT(AQ61,vitri(".",AQ61,2)-1),TRUE,LEFT(AQ61,vitri(".",AQ61,1)-1))</f>
        <v/>
      </c>
    </row>
    <row r="62" spans="2:54" x14ac:dyDescent="0.25">
      <c r="B62" s="108" t="s">
        <v>184</v>
      </c>
      <c r="C62" s="1" t="s">
        <v>171</v>
      </c>
      <c r="D62" s="159" t="s">
        <v>1377</v>
      </c>
      <c r="E62" s="1" t="s">
        <v>1378</v>
      </c>
      <c r="F62" s="1" t="s">
        <v>468</v>
      </c>
      <c r="G62" s="1" t="s">
        <v>1379</v>
      </c>
      <c r="H62" s="1" t="s">
        <v>1379</v>
      </c>
      <c r="I62" s="1" t="s">
        <v>5</v>
      </c>
      <c r="J62" s="1" t="s">
        <v>5</v>
      </c>
      <c r="K62" s="204" t="str">
        <f t="shared" si="1"/>
        <v>P_PLX_BAT_0.3m3_08</v>
      </c>
      <c r="L62" s="160" t="s">
        <v>260</v>
      </c>
      <c r="M62" s="382">
        <v>81</v>
      </c>
      <c r="P62" s="297" t="s">
        <v>184</v>
      </c>
      <c r="Q62" s="241" t="s">
        <v>171</v>
      </c>
      <c r="R62" s="317" t="s">
        <v>1377</v>
      </c>
      <c r="S62" s="241" t="s">
        <v>1378</v>
      </c>
      <c r="T62" s="241" t="s">
        <v>468</v>
      </c>
      <c r="U62" s="241" t="s">
        <v>1379</v>
      </c>
      <c r="V62" s="241" t="s">
        <v>1379</v>
      </c>
      <c r="W62" s="241" t="s">
        <v>5</v>
      </c>
      <c r="X62" s="241" t="s">
        <v>5</v>
      </c>
      <c r="Y62" s="265" t="s">
        <v>1464</v>
      </c>
      <c r="Z62" s="318" t="s">
        <v>260</v>
      </c>
      <c r="AA62" s="383">
        <v>81</v>
      </c>
      <c r="AB62" s="63">
        <f t="shared" si="0"/>
        <v>8</v>
      </c>
      <c r="AC62" s="182" t="s">
        <v>184</v>
      </c>
      <c r="AD62" s="183" t="s">
        <v>171</v>
      </c>
      <c r="AE62" s="184" t="s">
        <v>1377</v>
      </c>
      <c r="AF62" s="183" t="s">
        <v>1378</v>
      </c>
      <c r="AG62" s="183" t="s">
        <v>468</v>
      </c>
      <c r="AH62" s="183" t="s">
        <v>1379</v>
      </c>
      <c r="AI62" s="183" t="s">
        <v>1379</v>
      </c>
      <c r="AJ62" s="183" t="s">
        <v>5</v>
      </c>
      <c r="AK62" s="183" t="s">
        <v>5</v>
      </c>
      <c r="AL62" s="185" t="s">
        <v>1464</v>
      </c>
      <c r="AM62" s="188" t="s">
        <v>260</v>
      </c>
      <c r="AN62" s="189">
        <v>81</v>
      </c>
      <c r="AP62" s="210" t="str">
        <f t="shared" si="2"/>
        <v/>
      </c>
      <c r="AQ62" s="263"/>
      <c r="AR62" s="210" t="str">
        <f t="shared" si="3"/>
        <v/>
      </c>
      <c r="AS62" s="217"/>
      <c r="AT62" s="210" t="s">
        <v>503</v>
      </c>
      <c r="AU62" s="263"/>
      <c r="AV62" s="217"/>
      <c r="BB62" s="253" t="str">
        <f t="array" ref="BB62">_xlfn.IFS(AQ62="","",LEN(AQ62)-LEN(SUBSTITUTE(AQ62,".",""))=3,LEFT(AQ62,vitri(".",AQ62,3)-1),LEN(AQ62)-LEN(SUBSTITUTE(AQ62,".",""))=2,LEFT(AQ62,vitri(".",AQ62,2)-1),TRUE,LEFT(AQ62,vitri(".",AQ62,1)-1))</f>
        <v/>
      </c>
    </row>
    <row r="63" spans="2:54" x14ac:dyDescent="0.25">
      <c r="B63" s="108" t="s">
        <v>184</v>
      </c>
      <c r="C63" s="1" t="s">
        <v>171</v>
      </c>
      <c r="D63" s="159" t="s">
        <v>1377</v>
      </c>
      <c r="E63" s="1" t="s">
        <v>1378</v>
      </c>
      <c r="F63" s="1" t="s">
        <v>468</v>
      </c>
      <c r="G63" s="1" t="s">
        <v>1380</v>
      </c>
      <c r="H63" s="1" t="s">
        <v>1380</v>
      </c>
      <c r="I63" s="1" t="s">
        <v>5</v>
      </c>
      <c r="J63" s="1" t="s">
        <v>5</v>
      </c>
      <c r="K63" s="204" t="str">
        <f t="shared" si="1"/>
        <v>P_PLX_BAT_0.5m3_09</v>
      </c>
      <c r="L63" s="160" t="s">
        <v>261</v>
      </c>
      <c r="M63" s="382">
        <v>82</v>
      </c>
      <c r="P63" s="297" t="s">
        <v>184</v>
      </c>
      <c r="Q63" s="241" t="s">
        <v>171</v>
      </c>
      <c r="R63" s="317" t="s">
        <v>1377</v>
      </c>
      <c r="S63" s="241" t="s">
        <v>1378</v>
      </c>
      <c r="T63" s="241" t="s">
        <v>468</v>
      </c>
      <c r="U63" s="241" t="s">
        <v>1380</v>
      </c>
      <c r="V63" s="241" t="s">
        <v>1380</v>
      </c>
      <c r="W63" s="241" t="s">
        <v>5</v>
      </c>
      <c r="X63" s="241" t="s">
        <v>5</v>
      </c>
      <c r="Y63" s="265" t="s">
        <v>1465</v>
      </c>
      <c r="Z63" s="318" t="s">
        <v>261</v>
      </c>
      <c r="AA63" s="384">
        <v>82</v>
      </c>
      <c r="AB63" s="63">
        <f t="shared" si="0"/>
        <v>9</v>
      </c>
      <c r="AC63" s="182" t="s">
        <v>184</v>
      </c>
      <c r="AD63" s="183" t="s">
        <v>171</v>
      </c>
      <c r="AE63" s="184" t="s">
        <v>1377</v>
      </c>
      <c r="AF63" s="183" t="s">
        <v>1378</v>
      </c>
      <c r="AG63" s="183" t="s">
        <v>468</v>
      </c>
      <c r="AH63" s="183" t="s">
        <v>1380</v>
      </c>
      <c r="AI63" s="183" t="s">
        <v>1380</v>
      </c>
      <c r="AJ63" s="183" t="s">
        <v>5</v>
      </c>
      <c r="AK63" s="183" t="s">
        <v>5</v>
      </c>
      <c r="AL63" s="185" t="s">
        <v>1465</v>
      </c>
      <c r="AM63" s="188" t="s">
        <v>261</v>
      </c>
      <c r="AN63" s="192">
        <v>82</v>
      </c>
      <c r="AP63" s="210" t="str">
        <f t="shared" si="2"/>
        <v/>
      </c>
      <c r="AQ63" s="263"/>
      <c r="AR63" s="210" t="str">
        <f t="shared" si="3"/>
        <v/>
      </c>
      <c r="AS63" s="217"/>
      <c r="AT63" s="210" t="s">
        <v>503</v>
      </c>
      <c r="AU63" s="263"/>
      <c r="AV63" s="217"/>
      <c r="BB63" s="253" t="str">
        <f t="array" ref="BB63">_xlfn.IFS(AQ63="","",LEN(AQ63)-LEN(SUBSTITUTE(AQ63,".",""))=3,LEFT(AQ63,vitri(".",AQ63,3)-1),LEN(AQ63)-LEN(SUBSTITUTE(AQ63,".",""))=2,LEFT(AQ63,vitri(".",AQ63,2)-1),TRUE,LEFT(AQ63,vitri(".",AQ63,1)-1))</f>
        <v/>
      </c>
    </row>
    <row r="64" spans="2:54" x14ac:dyDescent="0.25">
      <c r="B64" s="108" t="s">
        <v>184</v>
      </c>
      <c r="C64" s="1" t="s">
        <v>171</v>
      </c>
      <c r="D64" s="159" t="s">
        <v>1377</v>
      </c>
      <c r="E64" s="1" t="s">
        <v>1381</v>
      </c>
      <c r="F64" s="1" t="s">
        <v>1382</v>
      </c>
      <c r="G64" s="1" t="s">
        <v>1383</v>
      </c>
      <c r="H64" s="1" t="s">
        <v>20</v>
      </c>
      <c r="I64" s="1" t="s">
        <v>5</v>
      </c>
      <c r="J64" s="1" t="s">
        <v>5</v>
      </c>
      <c r="K64" s="204" t="str">
        <f t="shared" si="1"/>
        <v>P_PLX_FLD_REC_01</v>
      </c>
      <c r="L64" s="160" t="s">
        <v>253</v>
      </c>
      <c r="M64" s="382">
        <v>28</v>
      </c>
      <c r="P64" s="297" t="s">
        <v>184</v>
      </c>
      <c r="Q64" s="241" t="s">
        <v>171</v>
      </c>
      <c r="R64" s="317" t="s">
        <v>1377</v>
      </c>
      <c r="S64" s="241" t="s">
        <v>1381</v>
      </c>
      <c r="T64" s="241" t="s">
        <v>1382</v>
      </c>
      <c r="U64" s="241" t="s">
        <v>1383</v>
      </c>
      <c r="V64" s="241" t="s">
        <v>20</v>
      </c>
      <c r="W64" s="241" t="s">
        <v>5</v>
      </c>
      <c r="X64" s="241" t="s">
        <v>5</v>
      </c>
      <c r="Y64" s="265" t="s">
        <v>1466</v>
      </c>
      <c r="Z64" s="318" t="s">
        <v>253</v>
      </c>
      <c r="AA64" s="384">
        <v>28</v>
      </c>
      <c r="AB64" s="63">
        <f t="shared" si="0"/>
        <v>1</v>
      </c>
      <c r="AC64" s="182" t="s">
        <v>184</v>
      </c>
      <c r="AD64" s="183" t="s">
        <v>171</v>
      </c>
      <c r="AE64" s="184" t="s">
        <v>1377</v>
      </c>
      <c r="AF64" s="183" t="s">
        <v>1381</v>
      </c>
      <c r="AG64" s="183" t="s">
        <v>1382</v>
      </c>
      <c r="AH64" s="183" t="s">
        <v>1383</v>
      </c>
      <c r="AI64" s="183" t="s">
        <v>20</v>
      </c>
      <c r="AJ64" s="183" t="s">
        <v>5</v>
      </c>
      <c r="AK64" s="183" t="s">
        <v>5</v>
      </c>
      <c r="AL64" s="185" t="s">
        <v>1466</v>
      </c>
      <c r="AM64" s="188" t="s">
        <v>253</v>
      </c>
      <c r="AN64" s="193">
        <v>28</v>
      </c>
      <c r="AP64" s="210" t="str">
        <f t="shared" si="2"/>
        <v/>
      </c>
      <c r="AQ64" s="263"/>
      <c r="AR64" s="210" t="str">
        <f t="shared" si="3"/>
        <v/>
      </c>
      <c r="AS64" s="217"/>
      <c r="AT64" s="210" t="s">
        <v>503</v>
      </c>
      <c r="AU64" s="263"/>
      <c r="AV64" s="217"/>
      <c r="BB64" s="253" t="str">
        <f t="array" ref="BB64">_xlfn.IFS(AQ64="","",LEN(AQ64)-LEN(SUBSTITUTE(AQ64,".",""))=3,LEFT(AQ64,vitri(".",AQ64,3)-1),LEN(AQ64)-LEN(SUBSTITUTE(AQ64,".",""))=2,LEFT(AQ64,vitri(".",AQ64,2)-1),TRUE,LEFT(AQ64,vitri(".",AQ64,1)-1))</f>
        <v/>
      </c>
    </row>
    <row r="65" spans="2:54" x14ac:dyDescent="0.25">
      <c r="B65" s="108" t="s">
        <v>184</v>
      </c>
      <c r="C65" s="1" t="s">
        <v>171</v>
      </c>
      <c r="D65" s="159" t="s">
        <v>1377</v>
      </c>
      <c r="E65" s="1" t="s">
        <v>469</v>
      </c>
      <c r="F65" s="1" t="s">
        <v>470</v>
      </c>
      <c r="G65" s="1" t="s">
        <v>1384</v>
      </c>
      <c r="H65" s="1" t="s">
        <v>1384</v>
      </c>
      <c r="I65" s="1" t="s">
        <v>5</v>
      </c>
      <c r="J65" s="1" t="s">
        <v>5</v>
      </c>
      <c r="K65" s="204" t="str">
        <f t="shared" si="1"/>
        <v>P_PLX_HWA_50l_10</v>
      </c>
      <c r="L65" s="160" t="s">
        <v>262</v>
      </c>
      <c r="M65" s="382">
        <v>83</v>
      </c>
      <c r="P65" s="297" t="s">
        <v>184</v>
      </c>
      <c r="Q65" s="241" t="s">
        <v>171</v>
      </c>
      <c r="R65" s="317" t="s">
        <v>1377</v>
      </c>
      <c r="S65" s="241" t="s">
        <v>469</v>
      </c>
      <c r="T65" s="241" t="s">
        <v>470</v>
      </c>
      <c r="U65" s="241" t="s">
        <v>1384</v>
      </c>
      <c r="V65" s="241" t="s">
        <v>1384</v>
      </c>
      <c r="W65" s="241" t="s">
        <v>5</v>
      </c>
      <c r="X65" s="241" t="s">
        <v>5</v>
      </c>
      <c r="Y65" s="265" t="s">
        <v>1467</v>
      </c>
      <c r="Z65" s="318" t="s">
        <v>262</v>
      </c>
      <c r="AA65" s="384">
        <v>83</v>
      </c>
      <c r="AB65" s="63">
        <f t="shared" si="0"/>
        <v>10</v>
      </c>
      <c r="AC65" s="182" t="s">
        <v>184</v>
      </c>
      <c r="AD65" s="183" t="s">
        <v>171</v>
      </c>
      <c r="AE65" s="184" t="s">
        <v>1377</v>
      </c>
      <c r="AF65" s="183" t="s">
        <v>469</v>
      </c>
      <c r="AG65" s="183" t="s">
        <v>470</v>
      </c>
      <c r="AH65" s="183" t="s">
        <v>1384</v>
      </c>
      <c r="AI65" s="183" t="s">
        <v>1384</v>
      </c>
      <c r="AJ65" s="183" t="s">
        <v>5</v>
      </c>
      <c r="AK65" s="183" t="s">
        <v>5</v>
      </c>
      <c r="AL65" s="185" t="s">
        <v>1467</v>
      </c>
      <c r="AM65" s="188" t="s">
        <v>262</v>
      </c>
      <c r="AN65" s="193">
        <v>83</v>
      </c>
      <c r="AP65" s="210" t="str">
        <f t="shared" si="2"/>
        <v/>
      </c>
      <c r="AQ65" s="263"/>
      <c r="AR65" s="210" t="str">
        <f t="shared" si="3"/>
        <v/>
      </c>
      <c r="AS65" s="217"/>
      <c r="AT65" s="210" t="s">
        <v>503</v>
      </c>
      <c r="AU65" s="263"/>
      <c r="AV65" s="217"/>
      <c r="BB65" s="253" t="str">
        <f t="array" ref="BB65">_xlfn.IFS(AQ65="","",LEN(AQ65)-LEN(SUBSTITUTE(AQ65,".",""))=3,LEFT(AQ65,vitri(".",AQ65,3)-1),LEN(AQ65)-LEN(SUBSTITUTE(AQ65,".",""))=2,LEFT(AQ65,vitri(".",AQ65,2)-1),TRUE,LEFT(AQ65,vitri(".",AQ65,1)-1))</f>
        <v/>
      </c>
    </row>
    <row r="66" spans="2:54" x14ac:dyDescent="0.25">
      <c r="B66" s="108" t="s">
        <v>184</v>
      </c>
      <c r="C66" s="1" t="s">
        <v>171</v>
      </c>
      <c r="D66" s="159" t="s">
        <v>1377</v>
      </c>
      <c r="E66" s="1" t="s">
        <v>471</v>
      </c>
      <c r="F66" s="1" t="s">
        <v>299</v>
      </c>
      <c r="G66" s="1" t="s">
        <v>5</v>
      </c>
      <c r="H66" s="1" t="s">
        <v>5</v>
      </c>
      <c r="I66" s="1" t="s">
        <v>5</v>
      </c>
      <c r="J66" s="1" t="s">
        <v>5</v>
      </c>
      <c r="K66" s="204" t="str">
        <f t="shared" si="1"/>
        <v>P_PLX_LAV_02</v>
      </c>
      <c r="L66" s="160" t="s">
        <v>254</v>
      </c>
      <c r="M66" s="382">
        <v>31</v>
      </c>
      <c r="P66" s="297" t="s">
        <v>184</v>
      </c>
      <c r="Q66" s="241" t="s">
        <v>171</v>
      </c>
      <c r="R66" s="317" t="s">
        <v>1377</v>
      </c>
      <c r="S66" s="241" t="s">
        <v>471</v>
      </c>
      <c r="T66" s="241" t="s">
        <v>299</v>
      </c>
      <c r="U66" s="241" t="s">
        <v>5</v>
      </c>
      <c r="V66" s="241" t="s">
        <v>5</v>
      </c>
      <c r="W66" s="241" t="s">
        <v>5</v>
      </c>
      <c r="X66" s="241" t="s">
        <v>5</v>
      </c>
      <c r="Y66" s="265" t="s">
        <v>1468</v>
      </c>
      <c r="Z66" s="318" t="s">
        <v>254</v>
      </c>
      <c r="AA66" s="384">
        <v>31</v>
      </c>
      <c r="AB66" s="63">
        <f t="shared" si="0"/>
        <v>2</v>
      </c>
      <c r="AC66" s="182" t="s">
        <v>184</v>
      </c>
      <c r="AD66" s="183" t="s">
        <v>171</v>
      </c>
      <c r="AE66" s="184" t="s">
        <v>1377</v>
      </c>
      <c r="AF66" s="183" t="s">
        <v>471</v>
      </c>
      <c r="AG66" s="183" t="s">
        <v>299</v>
      </c>
      <c r="AH66" s="183" t="s">
        <v>5</v>
      </c>
      <c r="AI66" s="183" t="s">
        <v>5</v>
      </c>
      <c r="AJ66" s="183" t="s">
        <v>5</v>
      </c>
      <c r="AK66" s="183" t="s">
        <v>5</v>
      </c>
      <c r="AL66" s="185" t="s">
        <v>1468</v>
      </c>
      <c r="AM66" s="188" t="s">
        <v>254</v>
      </c>
      <c r="AN66" s="193">
        <v>31</v>
      </c>
      <c r="AP66" s="210" t="str">
        <f t="shared" si="2"/>
        <v/>
      </c>
      <c r="AQ66" s="263"/>
      <c r="AR66" s="210" t="str">
        <f t="shared" si="3"/>
        <v/>
      </c>
      <c r="AS66" s="217"/>
      <c r="AT66" s="210" t="s">
        <v>503</v>
      </c>
      <c r="AU66" s="263"/>
      <c r="AV66" s="217"/>
      <c r="BB66" s="253" t="str">
        <f t="array" ref="BB66">_xlfn.IFS(AQ66="","",LEN(AQ66)-LEN(SUBSTITUTE(AQ66,".",""))=3,LEFT(AQ66,vitri(".",AQ66,3)-1),LEN(AQ66)-LEN(SUBSTITUTE(AQ66,".",""))=2,LEFT(AQ66,vitri(".",AQ66,2)-1),TRUE,LEFT(AQ66,vitri(".",AQ66,1)-1))</f>
        <v/>
      </c>
    </row>
    <row r="67" spans="2:54" x14ac:dyDescent="0.25">
      <c r="B67" s="108" t="s">
        <v>184</v>
      </c>
      <c r="C67" s="1" t="s">
        <v>171</v>
      </c>
      <c r="D67" s="159" t="s">
        <v>1377</v>
      </c>
      <c r="E67" s="1" t="s">
        <v>1385</v>
      </c>
      <c r="F67" s="1" t="s">
        <v>472</v>
      </c>
      <c r="G67" s="1" t="s">
        <v>5</v>
      </c>
      <c r="H67" s="1" t="s">
        <v>5</v>
      </c>
      <c r="I67" s="1" t="s">
        <v>5</v>
      </c>
      <c r="J67" s="1" t="s">
        <v>5</v>
      </c>
      <c r="K67" s="204" t="str">
        <f t="shared" si="1"/>
        <v>P_PLX_SHO_03</v>
      </c>
      <c r="L67" s="160" t="s">
        <v>255</v>
      </c>
      <c r="M67" s="382">
        <v>33</v>
      </c>
      <c r="P67" s="297" t="s">
        <v>184</v>
      </c>
      <c r="Q67" s="241" t="s">
        <v>171</v>
      </c>
      <c r="R67" s="317" t="s">
        <v>1377</v>
      </c>
      <c r="S67" s="241" t="s">
        <v>1385</v>
      </c>
      <c r="T67" s="241" t="s">
        <v>472</v>
      </c>
      <c r="U67" s="241" t="s">
        <v>5</v>
      </c>
      <c r="V67" s="241" t="s">
        <v>5</v>
      </c>
      <c r="W67" s="241" t="s">
        <v>5</v>
      </c>
      <c r="X67" s="241" t="s">
        <v>5</v>
      </c>
      <c r="Y67" s="265" t="s">
        <v>1469</v>
      </c>
      <c r="Z67" s="318" t="s">
        <v>255</v>
      </c>
      <c r="AA67" s="384">
        <v>33</v>
      </c>
      <c r="AB67" s="63">
        <f t="shared" si="0"/>
        <v>3</v>
      </c>
      <c r="AC67" s="182" t="s">
        <v>184</v>
      </c>
      <c r="AD67" s="183" t="s">
        <v>171</v>
      </c>
      <c r="AE67" s="184" t="s">
        <v>1377</v>
      </c>
      <c r="AF67" s="183" t="s">
        <v>1385</v>
      </c>
      <c r="AG67" s="183" t="s">
        <v>472</v>
      </c>
      <c r="AH67" s="183" t="s">
        <v>5</v>
      </c>
      <c r="AI67" s="183" t="s">
        <v>5</v>
      </c>
      <c r="AJ67" s="183" t="s">
        <v>5</v>
      </c>
      <c r="AK67" s="183" t="s">
        <v>5</v>
      </c>
      <c r="AL67" s="185" t="s">
        <v>1469</v>
      </c>
      <c r="AM67" s="188" t="s">
        <v>255</v>
      </c>
      <c r="AN67" s="193">
        <v>33</v>
      </c>
      <c r="AP67" s="210" t="str">
        <f t="shared" si="2"/>
        <v/>
      </c>
      <c r="AQ67" s="263"/>
      <c r="AR67" s="210" t="str">
        <f t="shared" si="3"/>
        <v/>
      </c>
      <c r="AS67" s="217"/>
      <c r="AT67" s="210" t="s">
        <v>503</v>
      </c>
      <c r="AU67" s="263"/>
      <c r="AV67" s="217"/>
      <c r="BB67" s="253" t="str">
        <f t="array" ref="BB67">_xlfn.IFS(AQ67="","",LEN(AQ67)-LEN(SUBSTITUTE(AQ67,".",""))=3,LEFT(AQ67,vitri(".",AQ67,3)-1),LEN(AQ67)-LEN(SUBSTITUTE(AQ67,".",""))=2,LEFT(AQ67,vitri(".",AQ67,2)-1),TRUE,LEFT(AQ67,vitri(".",AQ67,1)-1))</f>
        <v/>
      </c>
    </row>
    <row r="68" spans="2:54" x14ac:dyDescent="0.25">
      <c r="B68" s="108" t="s">
        <v>184</v>
      </c>
      <c r="C68" s="1" t="s">
        <v>171</v>
      </c>
      <c r="D68" s="159" t="s">
        <v>1377</v>
      </c>
      <c r="E68" s="1" t="s">
        <v>1386</v>
      </c>
      <c r="F68" s="1" t="s">
        <v>1387</v>
      </c>
      <c r="G68" s="1" t="s">
        <v>5</v>
      </c>
      <c r="H68" s="1" t="s">
        <v>5</v>
      </c>
      <c r="I68" s="1" t="s">
        <v>5</v>
      </c>
      <c r="J68" s="1" t="s">
        <v>5</v>
      </c>
      <c r="K68" s="204" t="str">
        <f t="shared" si="1"/>
        <v>P_PLX_TIP_06</v>
      </c>
      <c r="L68" s="160" t="s">
        <v>258</v>
      </c>
      <c r="M68" s="382">
        <v>79</v>
      </c>
      <c r="P68" s="297" t="s">
        <v>184</v>
      </c>
      <c r="Q68" s="241" t="s">
        <v>171</v>
      </c>
      <c r="R68" s="317" t="s">
        <v>1377</v>
      </c>
      <c r="S68" s="241" t="s">
        <v>1386</v>
      </c>
      <c r="T68" s="241" t="s">
        <v>1387</v>
      </c>
      <c r="U68" s="241" t="s">
        <v>5</v>
      </c>
      <c r="V68" s="241" t="s">
        <v>5</v>
      </c>
      <c r="W68" s="241" t="s">
        <v>5</v>
      </c>
      <c r="X68" s="241" t="s">
        <v>5</v>
      </c>
      <c r="Y68" s="265" t="s">
        <v>1470</v>
      </c>
      <c r="Z68" s="318" t="s">
        <v>258</v>
      </c>
      <c r="AA68" s="384">
        <v>79</v>
      </c>
      <c r="AB68" s="63">
        <f t="shared" si="0"/>
        <v>6</v>
      </c>
      <c r="AC68" s="182" t="s">
        <v>184</v>
      </c>
      <c r="AD68" s="183" t="s">
        <v>171</v>
      </c>
      <c r="AE68" s="184" t="s">
        <v>1377</v>
      </c>
      <c r="AF68" s="183" t="s">
        <v>1386</v>
      </c>
      <c r="AG68" s="183" t="s">
        <v>1387</v>
      </c>
      <c r="AH68" s="183" t="s">
        <v>5</v>
      </c>
      <c r="AI68" s="183" t="s">
        <v>5</v>
      </c>
      <c r="AJ68" s="183" t="s">
        <v>5</v>
      </c>
      <c r="AK68" s="183" t="s">
        <v>5</v>
      </c>
      <c r="AL68" s="185" t="s">
        <v>1470</v>
      </c>
      <c r="AM68" s="188" t="s">
        <v>258</v>
      </c>
      <c r="AN68" s="193">
        <v>79</v>
      </c>
      <c r="AP68" s="210" t="str">
        <f t="shared" si="2"/>
        <v/>
      </c>
      <c r="AQ68" s="263"/>
      <c r="AR68" s="210" t="str">
        <f t="shared" si="3"/>
        <v/>
      </c>
      <c r="AS68" s="217"/>
      <c r="AT68" s="210" t="s">
        <v>503</v>
      </c>
      <c r="AU68" s="263"/>
      <c r="AV68" s="217"/>
      <c r="BB68" s="253" t="str">
        <f t="array" ref="BB68">_xlfn.IFS(AQ68="","",LEN(AQ68)-LEN(SUBSTITUTE(AQ68,".",""))=3,LEFT(AQ68,vitri(".",AQ68,3)-1),LEN(AQ68)-LEN(SUBSTITUTE(AQ68,".",""))=2,LEFT(AQ68,vitri(".",AQ68,2)-1),TRUE,LEFT(AQ68,vitri(".",AQ68,1)-1))</f>
        <v/>
      </c>
    </row>
    <row r="69" spans="2:54" x14ac:dyDescent="0.25">
      <c r="B69" s="108" t="s">
        <v>184</v>
      </c>
      <c r="C69" s="1" t="s">
        <v>171</v>
      </c>
      <c r="D69" s="159" t="s">
        <v>1377</v>
      </c>
      <c r="E69" s="1" t="s">
        <v>1388</v>
      </c>
      <c r="F69" s="1" t="s">
        <v>709</v>
      </c>
      <c r="G69" s="1" t="s">
        <v>5</v>
      </c>
      <c r="H69" s="1" t="s">
        <v>5</v>
      </c>
      <c r="I69" s="1" t="s">
        <v>5</v>
      </c>
      <c r="J69" s="1" t="s">
        <v>5</v>
      </c>
      <c r="K69" s="204" t="str">
        <f t="shared" si="1"/>
        <v>P_PLX_TOR_07</v>
      </c>
      <c r="L69" s="160" t="s">
        <v>259</v>
      </c>
      <c r="M69" s="382">
        <v>80</v>
      </c>
      <c r="P69" s="297" t="s">
        <v>184</v>
      </c>
      <c r="Q69" s="241" t="s">
        <v>171</v>
      </c>
      <c r="R69" s="317" t="s">
        <v>1377</v>
      </c>
      <c r="S69" s="241" t="s">
        <v>1388</v>
      </c>
      <c r="T69" s="241" t="s">
        <v>709</v>
      </c>
      <c r="U69" s="241" t="s">
        <v>5</v>
      </c>
      <c r="V69" s="241" t="s">
        <v>5</v>
      </c>
      <c r="W69" s="241" t="s">
        <v>5</v>
      </c>
      <c r="X69" s="241" t="s">
        <v>5</v>
      </c>
      <c r="Y69" s="265" t="s">
        <v>1471</v>
      </c>
      <c r="Z69" s="318" t="s">
        <v>259</v>
      </c>
      <c r="AA69" s="384">
        <v>80</v>
      </c>
      <c r="AB69" s="63">
        <f t="shared" ref="AB69:AB132" si="4">IF(Z69="","",Z69*1)</f>
        <v>7</v>
      </c>
      <c r="AC69" s="182" t="s">
        <v>184</v>
      </c>
      <c r="AD69" s="183" t="s">
        <v>171</v>
      </c>
      <c r="AE69" s="184" t="s">
        <v>1377</v>
      </c>
      <c r="AF69" s="183" t="s">
        <v>1388</v>
      </c>
      <c r="AG69" s="183" t="s">
        <v>709</v>
      </c>
      <c r="AH69" s="183" t="s">
        <v>5</v>
      </c>
      <c r="AI69" s="183" t="s">
        <v>5</v>
      </c>
      <c r="AJ69" s="183" t="s">
        <v>5</v>
      </c>
      <c r="AK69" s="183" t="s">
        <v>5</v>
      </c>
      <c r="AL69" s="185" t="s">
        <v>1471</v>
      </c>
      <c r="AM69" s="188" t="s">
        <v>259</v>
      </c>
      <c r="AN69" s="193">
        <v>80</v>
      </c>
      <c r="AP69" s="210" t="str">
        <f t="shared" si="2"/>
        <v/>
      </c>
      <c r="AQ69" s="263"/>
      <c r="AR69" s="210" t="str">
        <f t="shared" si="3"/>
        <v/>
      </c>
      <c r="AS69" s="217"/>
      <c r="AT69" s="210" t="s">
        <v>503</v>
      </c>
      <c r="AU69" s="263"/>
      <c r="AV69" s="217"/>
      <c r="BB69" s="253" t="str">
        <f t="array" ref="BB69">_xlfn.IFS(AQ69="","",LEN(AQ69)-LEN(SUBSTITUTE(AQ69,".",""))=3,LEFT(AQ69,vitri(".",AQ69,3)-1),LEN(AQ69)-LEN(SUBSTITUTE(AQ69,".",""))=2,LEFT(AQ69,vitri(".",AQ69,2)-1),TRUE,LEFT(AQ69,vitri(".",AQ69,1)-1))</f>
        <v/>
      </c>
    </row>
    <row r="70" spans="2:54" x14ac:dyDescent="0.25">
      <c r="B70" s="108" t="s">
        <v>184</v>
      </c>
      <c r="C70" s="1" t="s">
        <v>171</v>
      </c>
      <c r="D70" s="159" t="s">
        <v>1377</v>
      </c>
      <c r="E70" s="1" t="s">
        <v>1389</v>
      </c>
      <c r="F70" s="1" t="s">
        <v>1390</v>
      </c>
      <c r="G70" s="1" t="s">
        <v>5</v>
      </c>
      <c r="H70" s="1" t="s">
        <v>5</v>
      </c>
      <c r="I70" s="1" t="s">
        <v>5</v>
      </c>
      <c r="J70" s="1" t="s">
        <v>5</v>
      </c>
      <c r="K70" s="204" t="str">
        <f t="shared" ref="K70:K78" si="5">IF(J70="-",IF(H70="-",CONCATENATE("P","_",D70,"_",F70,"_",TEXT(L70,"00")),CONCATENATE("P","_",D70,"_",F70,"_",H70,"_",TEXT(L70,"00"))),CONCATENATE("P","_",D70,"_",F70,"_",H70,"_",J70,"_",TEXT(L70,"00")))</f>
        <v>P_PLX_URI_05</v>
      </c>
      <c r="L70" s="160" t="s">
        <v>257</v>
      </c>
      <c r="M70" s="382">
        <v>77</v>
      </c>
      <c r="P70" s="297" t="s">
        <v>184</v>
      </c>
      <c r="Q70" s="241" t="s">
        <v>171</v>
      </c>
      <c r="R70" s="317" t="s">
        <v>1377</v>
      </c>
      <c r="S70" s="241" t="s">
        <v>1389</v>
      </c>
      <c r="T70" s="241" t="s">
        <v>1390</v>
      </c>
      <c r="U70" s="241" t="s">
        <v>5</v>
      </c>
      <c r="V70" s="241" t="s">
        <v>5</v>
      </c>
      <c r="W70" s="241" t="s">
        <v>5</v>
      </c>
      <c r="X70" s="241" t="s">
        <v>5</v>
      </c>
      <c r="Y70" s="265" t="s">
        <v>1472</v>
      </c>
      <c r="Z70" s="318" t="s">
        <v>257</v>
      </c>
      <c r="AA70" s="384">
        <v>77</v>
      </c>
      <c r="AB70" s="63">
        <f t="shared" si="4"/>
        <v>5</v>
      </c>
      <c r="AC70" s="182" t="s">
        <v>184</v>
      </c>
      <c r="AD70" s="183" t="s">
        <v>171</v>
      </c>
      <c r="AE70" s="184" t="s">
        <v>1377</v>
      </c>
      <c r="AF70" s="183" t="s">
        <v>1389</v>
      </c>
      <c r="AG70" s="183" t="s">
        <v>1390</v>
      </c>
      <c r="AH70" s="183" t="s">
        <v>5</v>
      </c>
      <c r="AI70" s="183" t="s">
        <v>5</v>
      </c>
      <c r="AJ70" s="183" t="s">
        <v>5</v>
      </c>
      <c r="AK70" s="183" t="s">
        <v>5</v>
      </c>
      <c r="AL70" s="185" t="s">
        <v>1472</v>
      </c>
      <c r="AM70" s="188" t="s">
        <v>257</v>
      </c>
      <c r="AN70" s="193">
        <v>77</v>
      </c>
      <c r="AP70" s="210" t="str">
        <f t="shared" ref="AP70:AP133" si="6">IF(AQ70="","",AP69+1)</f>
        <v/>
      </c>
      <c r="AQ70" s="263"/>
      <c r="AR70" s="210" t="str">
        <f t="shared" ref="AR70:AR133" si="7">IF(AP70="","",AP70)</f>
        <v/>
      </c>
      <c r="AS70" s="217"/>
      <c r="AT70" s="210" t="s">
        <v>503</v>
      </c>
      <c r="AU70" s="263"/>
      <c r="AV70" s="217"/>
      <c r="BB70" s="253" t="str">
        <f t="array" ref="BB70">_xlfn.IFS(AQ70="","",LEN(AQ70)-LEN(SUBSTITUTE(AQ70,".",""))=3,LEFT(AQ70,vitri(".",AQ70,3)-1),LEN(AQ70)-LEN(SUBSTITUTE(AQ70,".",""))=2,LEFT(AQ70,vitri(".",AQ70,2)-1),TRUE,LEFT(AQ70,vitri(".",AQ70,1)-1))</f>
        <v/>
      </c>
    </row>
    <row r="71" spans="2:54" x14ac:dyDescent="0.25">
      <c r="B71" s="108" t="s">
        <v>184</v>
      </c>
      <c r="C71" s="1" t="s">
        <v>171</v>
      </c>
      <c r="D71" s="159" t="s">
        <v>1377</v>
      </c>
      <c r="E71" s="1" t="s">
        <v>1391</v>
      </c>
      <c r="F71" s="1" t="s">
        <v>1392</v>
      </c>
      <c r="G71" s="1" t="s">
        <v>5</v>
      </c>
      <c r="H71" s="1" t="s">
        <v>5</v>
      </c>
      <c r="I71" s="1" t="s">
        <v>5</v>
      </c>
      <c r="J71" s="1" t="s">
        <v>5</v>
      </c>
      <c r="K71" s="204" t="str">
        <f t="shared" si="5"/>
        <v>P_PLX_WAM_11</v>
      </c>
      <c r="L71" s="160" t="s">
        <v>263</v>
      </c>
      <c r="M71" s="382">
        <v>84</v>
      </c>
      <c r="P71" s="297" t="s">
        <v>184</v>
      </c>
      <c r="Q71" s="241" t="s">
        <v>171</v>
      </c>
      <c r="R71" s="317" t="s">
        <v>1377</v>
      </c>
      <c r="S71" s="241" t="s">
        <v>1391</v>
      </c>
      <c r="T71" s="241" t="s">
        <v>1392</v>
      </c>
      <c r="U71" s="241" t="s">
        <v>5</v>
      </c>
      <c r="V71" s="241" t="s">
        <v>5</v>
      </c>
      <c r="W71" s="241" t="s">
        <v>5</v>
      </c>
      <c r="X71" s="241" t="s">
        <v>5</v>
      </c>
      <c r="Y71" s="265" t="s">
        <v>1473</v>
      </c>
      <c r="Z71" s="318" t="s">
        <v>263</v>
      </c>
      <c r="AA71" s="384">
        <v>84</v>
      </c>
      <c r="AB71" s="63">
        <f t="shared" si="4"/>
        <v>11</v>
      </c>
      <c r="AC71" s="182" t="s">
        <v>184</v>
      </c>
      <c r="AD71" s="183" t="s">
        <v>171</v>
      </c>
      <c r="AE71" s="184" t="s">
        <v>1377</v>
      </c>
      <c r="AF71" s="183" t="s">
        <v>1391</v>
      </c>
      <c r="AG71" s="183" t="s">
        <v>1392</v>
      </c>
      <c r="AH71" s="183" t="s">
        <v>5</v>
      </c>
      <c r="AI71" s="183" t="s">
        <v>5</v>
      </c>
      <c r="AJ71" s="183" t="s">
        <v>5</v>
      </c>
      <c r="AK71" s="183" t="s">
        <v>5</v>
      </c>
      <c r="AL71" s="185" t="s">
        <v>1473</v>
      </c>
      <c r="AM71" s="188" t="s">
        <v>263</v>
      </c>
      <c r="AN71" s="193">
        <v>84</v>
      </c>
      <c r="AP71" s="210" t="str">
        <f t="shared" si="6"/>
        <v/>
      </c>
      <c r="AQ71" s="263"/>
      <c r="AR71" s="210" t="str">
        <f t="shared" si="7"/>
        <v/>
      </c>
      <c r="AS71" s="217"/>
      <c r="AT71" s="210" t="s">
        <v>503</v>
      </c>
      <c r="AU71" s="263"/>
      <c r="AV71" s="217"/>
      <c r="BB71" s="253" t="str">
        <f t="array" ref="BB71">_xlfn.IFS(AQ71="","",LEN(AQ71)-LEN(SUBSTITUTE(AQ71,".",""))=3,LEFT(AQ71,vitri(".",AQ71,3)-1),LEN(AQ71)-LEN(SUBSTITUTE(AQ71,".",""))=2,LEFT(AQ71,vitri(".",AQ71,2)-1),TRUE,LEFT(AQ71,vitri(".",AQ71,1)-1))</f>
        <v/>
      </c>
    </row>
    <row r="72" spans="2:54" x14ac:dyDescent="0.25">
      <c r="B72" s="108" t="s">
        <v>184</v>
      </c>
      <c r="C72" s="1" t="s">
        <v>171</v>
      </c>
      <c r="D72" s="159" t="s">
        <v>1377</v>
      </c>
      <c r="E72" s="1" t="s">
        <v>473</v>
      </c>
      <c r="F72" s="1" t="s">
        <v>474</v>
      </c>
      <c r="G72" s="1" t="s">
        <v>1393</v>
      </c>
      <c r="H72" s="1" t="s">
        <v>1394</v>
      </c>
      <c r="I72" s="1" t="s">
        <v>5</v>
      </c>
      <c r="J72" s="1" t="s">
        <v>5</v>
      </c>
      <c r="K72" s="204" t="str">
        <f t="shared" si="5"/>
        <v>P_PLX_WC_WSP_04</v>
      </c>
      <c r="L72" s="160" t="s">
        <v>256</v>
      </c>
      <c r="M72" s="382">
        <v>34</v>
      </c>
      <c r="P72" s="297" t="s">
        <v>184</v>
      </c>
      <c r="Q72" s="241" t="s">
        <v>171</v>
      </c>
      <c r="R72" s="317" t="s">
        <v>1377</v>
      </c>
      <c r="S72" s="241" t="s">
        <v>473</v>
      </c>
      <c r="T72" s="241" t="s">
        <v>474</v>
      </c>
      <c r="U72" s="241" t="s">
        <v>1393</v>
      </c>
      <c r="V72" s="241" t="s">
        <v>1394</v>
      </c>
      <c r="W72" s="241" t="s">
        <v>5</v>
      </c>
      <c r="X72" s="241" t="s">
        <v>5</v>
      </c>
      <c r="Y72" s="265" t="s">
        <v>1474</v>
      </c>
      <c r="Z72" s="318" t="s">
        <v>256</v>
      </c>
      <c r="AA72" s="384">
        <v>34</v>
      </c>
      <c r="AB72" s="63">
        <f t="shared" si="4"/>
        <v>4</v>
      </c>
      <c r="AC72" s="182" t="s">
        <v>184</v>
      </c>
      <c r="AD72" s="183" t="s">
        <v>171</v>
      </c>
      <c r="AE72" s="184" t="s">
        <v>1377</v>
      </c>
      <c r="AF72" s="183" t="s">
        <v>473</v>
      </c>
      <c r="AG72" s="183" t="s">
        <v>474</v>
      </c>
      <c r="AH72" s="183" t="s">
        <v>1393</v>
      </c>
      <c r="AI72" s="183" t="s">
        <v>1394</v>
      </c>
      <c r="AJ72" s="183" t="s">
        <v>5</v>
      </c>
      <c r="AK72" s="183" t="s">
        <v>5</v>
      </c>
      <c r="AL72" s="185" t="s">
        <v>1474</v>
      </c>
      <c r="AM72" s="188" t="s">
        <v>256</v>
      </c>
      <c r="AN72" s="193">
        <v>34</v>
      </c>
      <c r="AP72" s="210" t="str">
        <f t="shared" si="6"/>
        <v/>
      </c>
      <c r="AQ72" s="263"/>
      <c r="AR72" s="210" t="str">
        <f t="shared" si="7"/>
        <v/>
      </c>
      <c r="AS72" s="217"/>
      <c r="AT72" s="210" t="s">
        <v>503</v>
      </c>
      <c r="AU72" s="263"/>
      <c r="AV72" s="217"/>
      <c r="BB72" s="253" t="str">
        <f t="array" ref="BB72">_xlfn.IFS(AQ72="","",LEN(AQ72)-LEN(SUBSTITUTE(AQ72,".",""))=3,LEFT(AQ72,vitri(".",AQ72,3)-1),LEN(AQ72)-LEN(SUBSTITUTE(AQ72,".",""))=2,LEFT(AQ72,vitri(".",AQ72,2)-1),TRUE,LEFT(AQ72,vitri(".",AQ72,1)-1))</f>
        <v/>
      </c>
    </row>
    <row r="73" spans="2:54" x14ac:dyDescent="0.25">
      <c r="B73" s="108" t="s">
        <v>184</v>
      </c>
      <c r="C73" s="1" t="s">
        <v>1395</v>
      </c>
      <c r="D73" s="159" t="s">
        <v>721</v>
      </c>
      <c r="E73" s="1" t="s">
        <v>1396</v>
      </c>
      <c r="F73" s="1" t="s">
        <v>1397</v>
      </c>
      <c r="G73" s="1" t="s">
        <v>5</v>
      </c>
      <c r="H73" s="1" t="s">
        <v>5</v>
      </c>
      <c r="I73" s="1" t="s">
        <v>5</v>
      </c>
      <c r="J73" s="1" t="s">
        <v>5</v>
      </c>
      <c r="K73" s="204" t="str">
        <f t="shared" si="5"/>
        <v>P_SUP_PIH_37</v>
      </c>
      <c r="L73" s="160" t="s">
        <v>1398</v>
      </c>
      <c r="M73" s="382">
        <v>90</v>
      </c>
      <c r="P73" s="297" t="s">
        <v>184</v>
      </c>
      <c r="Q73" s="241" t="s">
        <v>1395</v>
      </c>
      <c r="R73" s="317" t="s">
        <v>721</v>
      </c>
      <c r="S73" s="241" t="s">
        <v>1396</v>
      </c>
      <c r="T73" s="241" t="s">
        <v>1397</v>
      </c>
      <c r="U73" s="241" t="s">
        <v>5</v>
      </c>
      <c r="V73" s="241" t="s">
        <v>5</v>
      </c>
      <c r="W73" s="241" t="s">
        <v>5</v>
      </c>
      <c r="X73" s="241" t="s">
        <v>5</v>
      </c>
      <c r="Y73" s="265" t="s">
        <v>1475</v>
      </c>
      <c r="Z73" s="318" t="s">
        <v>1398</v>
      </c>
      <c r="AA73" s="384">
        <v>90</v>
      </c>
      <c r="AB73" s="63">
        <f t="shared" si="4"/>
        <v>37</v>
      </c>
      <c r="AC73" s="182" t="s">
        <v>184</v>
      </c>
      <c r="AD73" s="183" t="s">
        <v>1395</v>
      </c>
      <c r="AE73" s="184" t="s">
        <v>721</v>
      </c>
      <c r="AF73" s="183" t="s">
        <v>1396</v>
      </c>
      <c r="AG73" s="183" t="s">
        <v>1397</v>
      </c>
      <c r="AH73" s="183" t="s">
        <v>5</v>
      </c>
      <c r="AI73" s="183" t="s">
        <v>5</v>
      </c>
      <c r="AJ73" s="183" t="s">
        <v>5</v>
      </c>
      <c r="AK73" s="183" t="s">
        <v>5</v>
      </c>
      <c r="AL73" s="185" t="s">
        <v>1475</v>
      </c>
      <c r="AM73" s="188" t="s">
        <v>1398</v>
      </c>
      <c r="AN73" s="193">
        <v>90</v>
      </c>
      <c r="AP73" s="210" t="str">
        <f t="shared" si="6"/>
        <v/>
      </c>
      <c r="AQ73" s="263"/>
      <c r="AR73" s="210" t="str">
        <f t="shared" si="7"/>
        <v/>
      </c>
      <c r="AS73" s="217"/>
      <c r="AT73" s="210" t="s">
        <v>503</v>
      </c>
      <c r="AU73" s="263"/>
      <c r="AV73" s="217"/>
      <c r="BB73" s="253" t="str">
        <f t="array" ref="BB73">_xlfn.IFS(AQ73="","",LEN(AQ73)-LEN(SUBSTITUTE(AQ73,".",""))=3,LEFT(AQ73,vitri(".",AQ73,3)-1),LEN(AQ73)-LEN(SUBSTITUTE(AQ73,".",""))=2,LEFT(AQ73,vitri(".",AQ73,2)-1),TRUE,LEFT(AQ73,vitri(".",AQ73,1)-1))</f>
        <v/>
      </c>
    </row>
    <row r="74" spans="2:54" x14ac:dyDescent="0.25">
      <c r="B74" s="108" t="s">
        <v>184</v>
      </c>
      <c r="C74" s="1" t="s">
        <v>1395</v>
      </c>
      <c r="D74" s="159" t="s">
        <v>721</v>
      </c>
      <c r="E74" s="1" t="s">
        <v>1399</v>
      </c>
      <c r="F74" s="1" t="s">
        <v>1400</v>
      </c>
      <c r="G74" s="1" t="s">
        <v>5</v>
      </c>
      <c r="H74" s="1" t="s">
        <v>5</v>
      </c>
      <c r="I74" s="1" t="s">
        <v>5</v>
      </c>
      <c r="J74" s="1" t="s">
        <v>5</v>
      </c>
      <c r="K74" s="204" t="str">
        <f t="shared" si="5"/>
        <v>P_SUP_UBO_38</v>
      </c>
      <c r="L74" s="160" t="s">
        <v>1401</v>
      </c>
      <c r="M74" s="382">
        <v>91</v>
      </c>
      <c r="P74" s="297" t="s">
        <v>184</v>
      </c>
      <c r="Q74" s="241" t="s">
        <v>1395</v>
      </c>
      <c r="R74" s="317" t="s">
        <v>721</v>
      </c>
      <c r="S74" s="241" t="s">
        <v>1399</v>
      </c>
      <c r="T74" s="241" t="s">
        <v>1400</v>
      </c>
      <c r="U74" s="241" t="s">
        <v>5</v>
      </c>
      <c r="V74" s="241" t="s">
        <v>5</v>
      </c>
      <c r="W74" s="241" t="s">
        <v>5</v>
      </c>
      <c r="X74" s="241" t="s">
        <v>5</v>
      </c>
      <c r="Y74" s="265" t="s">
        <v>1476</v>
      </c>
      <c r="Z74" s="318" t="s">
        <v>1401</v>
      </c>
      <c r="AA74" s="384">
        <v>91</v>
      </c>
      <c r="AB74" s="63">
        <f t="shared" si="4"/>
        <v>38</v>
      </c>
      <c r="AC74" s="182" t="s">
        <v>184</v>
      </c>
      <c r="AD74" s="183" t="s">
        <v>1395</v>
      </c>
      <c r="AE74" s="184" t="s">
        <v>721</v>
      </c>
      <c r="AF74" s="183" t="s">
        <v>1399</v>
      </c>
      <c r="AG74" s="183" t="s">
        <v>1400</v>
      </c>
      <c r="AH74" s="183" t="s">
        <v>5</v>
      </c>
      <c r="AI74" s="183" t="s">
        <v>5</v>
      </c>
      <c r="AJ74" s="183" t="s">
        <v>5</v>
      </c>
      <c r="AK74" s="183" t="s">
        <v>5</v>
      </c>
      <c r="AL74" s="185" t="s">
        <v>1476</v>
      </c>
      <c r="AM74" s="188" t="s">
        <v>1401</v>
      </c>
      <c r="AN74" s="193">
        <v>91</v>
      </c>
      <c r="AP74" s="210" t="str">
        <f t="shared" si="6"/>
        <v/>
      </c>
      <c r="AQ74" s="263"/>
      <c r="AR74" s="210" t="str">
        <f t="shared" si="7"/>
        <v/>
      </c>
      <c r="AS74" s="217"/>
      <c r="AT74" s="210" t="s">
        <v>503</v>
      </c>
      <c r="AU74" s="263"/>
      <c r="AV74" s="217"/>
      <c r="BB74" s="253" t="str">
        <f t="array" ref="BB74">_xlfn.IFS(AQ74="","",LEN(AQ74)-LEN(SUBSTITUTE(AQ74,".",""))=3,LEFT(AQ74,vitri(".",AQ74,3)-1),LEN(AQ74)-LEN(SUBSTITUTE(AQ74,".",""))=2,LEFT(AQ74,vitri(".",AQ74,2)-1),TRUE,LEFT(AQ74,vitri(".",AQ74,1)-1))</f>
        <v/>
      </c>
    </row>
    <row r="75" spans="2:54" x14ac:dyDescent="0.25">
      <c r="B75" s="108" t="s">
        <v>184</v>
      </c>
      <c r="C75" s="1" t="s">
        <v>1395</v>
      </c>
      <c r="D75" s="159" t="s">
        <v>721</v>
      </c>
      <c r="E75" s="1" t="s">
        <v>1402</v>
      </c>
      <c r="F75" s="1" t="s">
        <v>1403</v>
      </c>
      <c r="G75" s="1" t="s">
        <v>992</v>
      </c>
      <c r="H75" s="1">
        <v>1</v>
      </c>
      <c r="I75" s="1" t="s">
        <v>5</v>
      </c>
      <c r="J75" s="1" t="s">
        <v>5</v>
      </c>
      <c r="K75" s="204" t="str">
        <f t="shared" si="5"/>
        <v>P_SUP_UHA_1_40</v>
      </c>
      <c r="L75" s="160" t="s">
        <v>1404</v>
      </c>
      <c r="M75" s="382">
        <v>93</v>
      </c>
      <c r="P75" s="297" t="s">
        <v>184</v>
      </c>
      <c r="Q75" s="241" t="s">
        <v>1395</v>
      </c>
      <c r="R75" s="317" t="s">
        <v>721</v>
      </c>
      <c r="S75" s="241" t="s">
        <v>1402</v>
      </c>
      <c r="T75" s="241" t="s">
        <v>1403</v>
      </c>
      <c r="U75" s="241" t="s">
        <v>992</v>
      </c>
      <c r="V75" s="241">
        <v>1</v>
      </c>
      <c r="W75" s="241" t="s">
        <v>5</v>
      </c>
      <c r="X75" s="241" t="s">
        <v>5</v>
      </c>
      <c r="Y75" s="265" t="s">
        <v>1477</v>
      </c>
      <c r="Z75" s="318" t="s">
        <v>1404</v>
      </c>
      <c r="AA75" s="384">
        <v>93</v>
      </c>
      <c r="AB75" s="63">
        <f t="shared" si="4"/>
        <v>40</v>
      </c>
      <c r="AC75" s="182" t="s">
        <v>184</v>
      </c>
      <c r="AD75" s="183" t="s">
        <v>1395</v>
      </c>
      <c r="AE75" s="184" t="s">
        <v>721</v>
      </c>
      <c r="AF75" s="183" t="s">
        <v>1402</v>
      </c>
      <c r="AG75" s="183" t="s">
        <v>1403</v>
      </c>
      <c r="AH75" s="183" t="s">
        <v>992</v>
      </c>
      <c r="AI75" s="183">
        <v>1</v>
      </c>
      <c r="AJ75" s="183" t="s">
        <v>5</v>
      </c>
      <c r="AK75" s="183" t="s">
        <v>5</v>
      </c>
      <c r="AL75" s="185" t="s">
        <v>1477</v>
      </c>
      <c r="AM75" s="188" t="s">
        <v>1404</v>
      </c>
      <c r="AN75" s="193">
        <v>93</v>
      </c>
      <c r="AP75" s="210" t="str">
        <f t="shared" si="6"/>
        <v/>
      </c>
      <c r="AQ75" s="263"/>
      <c r="AR75" s="210" t="str">
        <f t="shared" si="7"/>
        <v/>
      </c>
      <c r="AS75" s="217"/>
      <c r="AT75" s="210" t="s">
        <v>503</v>
      </c>
      <c r="AU75" s="263"/>
      <c r="AV75" s="217"/>
      <c r="BB75" s="253" t="str">
        <f t="array" ref="BB75">_xlfn.IFS(AQ75="","",LEN(AQ75)-LEN(SUBSTITUTE(AQ75,".",""))=3,LEFT(AQ75,vitri(".",AQ75,3)-1),LEN(AQ75)-LEN(SUBSTITUTE(AQ75,".",""))=2,LEFT(AQ75,vitri(".",AQ75,2)-1),TRUE,LEFT(AQ75,vitri(".",AQ75,1)-1))</f>
        <v/>
      </c>
    </row>
    <row r="76" spans="2:54" x14ac:dyDescent="0.25">
      <c r="B76" s="108" t="s">
        <v>184</v>
      </c>
      <c r="C76" s="1" t="s">
        <v>1395</v>
      </c>
      <c r="D76" s="159" t="s">
        <v>721</v>
      </c>
      <c r="E76" s="1" t="s">
        <v>1402</v>
      </c>
      <c r="F76" s="1" t="s">
        <v>1403</v>
      </c>
      <c r="G76" s="1" t="s">
        <v>993</v>
      </c>
      <c r="H76" s="1">
        <v>2</v>
      </c>
      <c r="I76" s="1" t="s">
        <v>5</v>
      </c>
      <c r="J76" s="1" t="s">
        <v>5</v>
      </c>
      <c r="K76" s="204" t="str">
        <f t="shared" si="5"/>
        <v>P_SUP_UHA_2_41</v>
      </c>
      <c r="L76" s="160" t="s">
        <v>1405</v>
      </c>
      <c r="M76" s="382">
        <v>94</v>
      </c>
      <c r="P76" s="297" t="s">
        <v>184</v>
      </c>
      <c r="Q76" s="241" t="s">
        <v>1395</v>
      </c>
      <c r="R76" s="317" t="s">
        <v>721</v>
      </c>
      <c r="S76" s="241" t="s">
        <v>1402</v>
      </c>
      <c r="T76" s="241" t="s">
        <v>1403</v>
      </c>
      <c r="U76" s="241" t="s">
        <v>993</v>
      </c>
      <c r="V76" s="241">
        <v>2</v>
      </c>
      <c r="W76" s="241" t="s">
        <v>5</v>
      </c>
      <c r="X76" s="241" t="s">
        <v>5</v>
      </c>
      <c r="Y76" s="265" t="s">
        <v>1478</v>
      </c>
      <c r="Z76" s="318" t="s">
        <v>1405</v>
      </c>
      <c r="AA76" s="384">
        <v>94</v>
      </c>
      <c r="AB76" s="63">
        <f t="shared" si="4"/>
        <v>41</v>
      </c>
      <c r="AC76" s="182" t="s">
        <v>184</v>
      </c>
      <c r="AD76" s="183" t="s">
        <v>1395</v>
      </c>
      <c r="AE76" s="184" t="s">
        <v>721</v>
      </c>
      <c r="AF76" s="183" t="s">
        <v>1402</v>
      </c>
      <c r="AG76" s="183" t="s">
        <v>1403</v>
      </c>
      <c r="AH76" s="183" t="s">
        <v>993</v>
      </c>
      <c r="AI76" s="183">
        <v>2</v>
      </c>
      <c r="AJ76" s="183" t="s">
        <v>5</v>
      </c>
      <c r="AK76" s="183" t="s">
        <v>5</v>
      </c>
      <c r="AL76" s="185" t="s">
        <v>1478</v>
      </c>
      <c r="AM76" s="188" t="s">
        <v>1405</v>
      </c>
      <c r="AN76" s="193">
        <v>94</v>
      </c>
      <c r="AP76" s="210" t="str">
        <f t="shared" si="6"/>
        <v/>
      </c>
      <c r="AQ76" s="263"/>
      <c r="AR76" s="210" t="str">
        <f t="shared" si="7"/>
        <v/>
      </c>
      <c r="AS76" s="217"/>
      <c r="AT76" s="210" t="s">
        <v>503</v>
      </c>
      <c r="AU76" s="263"/>
      <c r="AV76" s="217"/>
      <c r="BB76" s="253" t="str">
        <f t="array" ref="BB76">_xlfn.IFS(AQ76="","",LEN(AQ76)-LEN(SUBSTITUTE(AQ76,".",""))=3,LEFT(AQ76,vitri(".",AQ76,3)-1),LEN(AQ76)-LEN(SUBSTITUTE(AQ76,".",""))=2,LEFT(AQ76,vitri(".",AQ76,2)-1),TRUE,LEFT(AQ76,vitri(".",AQ76,1)-1))</f>
        <v/>
      </c>
    </row>
    <row r="77" spans="2:54" x14ac:dyDescent="0.25">
      <c r="B77" s="108" t="s">
        <v>184</v>
      </c>
      <c r="C77" s="1" t="s">
        <v>1395</v>
      </c>
      <c r="D77" s="159" t="s">
        <v>721</v>
      </c>
      <c r="E77" s="1" t="s">
        <v>1402</v>
      </c>
      <c r="F77" s="1" t="s">
        <v>1403</v>
      </c>
      <c r="G77" s="1" t="s">
        <v>1218</v>
      </c>
      <c r="H77" s="1">
        <v>3</v>
      </c>
      <c r="I77" s="1" t="s">
        <v>5</v>
      </c>
      <c r="J77" s="1" t="s">
        <v>5</v>
      </c>
      <c r="K77" s="204" t="str">
        <f t="shared" si="5"/>
        <v>P_SUP_UHA_3_42</v>
      </c>
      <c r="L77" s="160" t="s">
        <v>1406</v>
      </c>
      <c r="M77" s="382">
        <v>95</v>
      </c>
      <c r="P77" s="297" t="s">
        <v>184</v>
      </c>
      <c r="Q77" s="241" t="s">
        <v>1395</v>
      </c>
      <c r="R77" s="317" t="s">
        <v>721</v>
      </c>
      <c r="S77" s="241" t="s">
        <v>1402</v>
      </c>
      <c r="T77" s="241" t="s">
        <v>1403</v>
      </c>
      <c r="U77" s="241" t="s">
        <v>1218</v>
      </c>
      <c r="V77" s="241">
        <v>3</v>
      </c>
      <c r="W77" s="241" t="s">
        <v>5</v>
      </c>
      <c r="X77" s="241" t="s">
        <v>5</v>
      </c>
      <c r="Y77" s="265" t="s">
        <v>1479</v>
      </c>
      <c r="Z77" s="318" t="s">
        <v>1406</v>
      </c>
      <c r="AA77" s="384">
        <v>95</v>
      </c>
      <c r="AB77" s="63">
        <f t="shared" si="4"/>
        <v>42</v>
      </c>
      <c r="AC77" s="182" t="s">
        <v>184</v>
      </c>
      <c r="AD77" s="183" t="s">
        <v>1395</v>
      </c>
      <c r="AE77" s="184" t="s">
        <v>721</v>
      </c>
      <c r="AF77" s="183" t="s">
        <v>1402</v>
      </c>
      <c r="AG77" s="183" t="s">
        <v>1403</v>
      </c>
      <c r="AH77" s="183" t="s">
        <v>1218</v>
      </c>
      <c r="AI77" s="183">
        <v>3</v>
      </c>
      <c r="AJ77" s="183" t="s">
        <v>5</v>
      </c>
      <c r="AK77" s="183" t="s">
        <v>5</v>
      </c>
      <c r="AL77" s="185" t="s">
        <v>1479</v>
      </c>
      <c r="AM77" s="188" t="s">
        <v>1406</v>
      </c>
      <c r="AN77" s="193">
        <v>95</v>
      </c>
      <c r="AP77" s="210" t="str">
        <f t="shared" si="6"/>
        <v/>
      </c>
      <c r="AQ77" s="263"/>
      <c r="AR77" s="210" t="str">
        <f t="shared" si="7"/>
        <v/>
      </c>
      <c r="AS77" s="217"/>
      <c r="AT77" s="210" t="s">
        <v>503</v>
      </c>
      <c r="AU77" s="263"/>
      <c r="AV77" s="217"/>
      <c r="BB77" s="253" t="str">
        <f t="array" ref="BB77">_xlfn.IFS(AQ77="","",LEN(AQ77)-LEN(SUBSTITUTE(AQ77,".",""))=3,LEFT(AQ77,vitri(".",AQ77,3)-1),LEN(AQ77)-LEN(SUBSTITUTE(AQ77,".",""))=2,LEFT(AQ77,vitri(".",AQ77,2)-1),TRUE,LEFT(AQ77,vitri(".",AQ77,1)-1))</f>
        <v/>
      </c>
    </row>
    <row r="78" spans="2:54" x14ac:dyDescent="0.25">
      <c r="B78" s="108" t="s">
        <v>184</v>
      </c>
      <c r="C78" s="1" t="s">
        <v>1395</v>
      </c>
      <c r="D78" s="159" t="s">
        <v>721</v>
      </c>
      <c r="E78" s="1" t="s">
        <v>1407</v>
      </c>
      <c r="F78" s="1" t="s">
        <v>1408</v>
      </c>
      <c r="G78" s="1" t="s">
        <v>5</v>
      </c>
      <c r="H78" s="1" t="s">
        <v>5</v>
      </c>
      <c r="I78" s="1" t="s">
        <v>5</v>
      </c>
      <c r="J78" s="1" t="s">
        <v>5</v>
      </c>
      <c r="K78" s="204" t="str">
        <f t="shared" si="5"/>
        <v>P_SUP_USM_39</v>
      </c>
      <c r="L78" s="160" t="s">
        <v>1409</v>
      </c>
      <c r="M78" s="382">
        <v>92</v>
      </c>
      <c r="P78" s="297" t="s">
        <v>184</v>
      </c>
      <c r="Q78" s="241" t="s">
        <v>1395</v>
      </c>
      <c r="R78" s="317" t="s">
        <v>721</v>
      </c>
      <c r="S78" s="241" t="s">
        <v>1407</v>
      </c>
      <c r="T78" s="241" t="s">
        <v>1408</v>
      </c>
      <c r="U78" s="241" t="s">
        <v>5</v>
      </c>
      <c r="V78" s="241" t="s">
        <v>5</v>
      </c>
      <c r="W78" s="241" t="s">
        <v>5</v>
      </c>
      <c r="X78" s="241" t="s">
        <v>5</v>
      </c>
      <c r="Y78" s="265" t="s">
        <v>1480</v>
      </c>
      <c r="Z78" s="318" t="s">
        <v>1409</v>
      </c>
      <c r="AA78" s="384">
        <v>92</v>
      </c>
      <c r="AB78" s="63">
        <f t="shared" si="4"/>
        <v>39</v>
      </c>
      <c r="AC78" s="182" t="s">
        <v>184</v>
      </c>
      <c r="AD78" s="183" t="s">
        <v>1395</v>
      </c>
      <c r="AE78" s="184" t="s">
        <v>721</v>
      </c>
      <c r="AF78" s="183" t="s">
        <v>1407</v>
      </c>
      <c r="AG78" s="183" t="s">
        <v>1408</v>
      </c>
      <c r="AH78" s="183" t="s">
        <v>5</v>
      </c>
      <c r="AI78" s="183" t="s">
        <v>5</v>
      </c>
      <c r="AJ78" s="183" t="s">
        <v>5</v>
      </c>
      <c r="AK78" s="183" t="s">
        <v>5</v>
      </c>
      <c r="AL78" s="185" t="s">
        <v>1480</v>
      </c>
      <c r="AM78" s="188" t="s">
        <v>1409</v>
      </c>
      <c r="AN78" s="193">
        <v>92</v>
      </c>
      <c r="AP78" s="210" t="str">
        <f t="shared" si="6"/>
        <v/>
      </c>
      <c r="AQ78" s="263"/>
      <c r="AR78" s="210" t="str">
        <f t="shared" si="7"/>
        <v/>
      </c>
      <c r="AS78" s="217"/>
      <c r="AT78" s="210" t="s">
        <v>503</v>
      </c>
      <c r="AU78" s="263"/>
      <c r="AV78" s="217"/>
      <c r="BB78" s="253" t="str">
        <f t="array" ref="BB78">_xlfn.IFS(AQ78="","",LEN(AQ78)-LEN(SUBSTITUTE(AQ78,".",""))=3,LEFT(AQ78,vitri(".",AQ78,3)-1),LEN(AQ78)-LEN(SUBSTITUTE(AQ78,".",""))=2,LEFT(AQ78,vitri(".",AQ78,2)-1),TRUE,LEFT(AQ78,vitri(".",AQ78,1)-1))</f>
        <v/>
      </c>
    </row>
    <row r="79" spans="2:54" x14ac:dyDescent="0.25">
      <c r="M79" s="382"/>
      <c r="AB79" s="63" t="str">
        <f t="shared" si="4"/>
        <v/>
      </c>
      <c r="AP79" s="210" t="str">
        <f t="shared" si="6"/>
        <v/>
      </c>
      <c r="AQ79" s="263"/>
      <c r="AR79" s="210" t="str">
        <f t="shared" si="7"/>
        <v/>
      </c>
      <c r="AS79" s="217"/>
      <c r="AT79" s="210" t="s">
        <v>503</v>
      </c>
      <c r="AU79" s="263"/>
      <c r="AV79" s="217"/>
      <c r="BB79" s="253" t="str">
        <f t="array" ref="BB79">_xlfn.IFS(AQ79="","",LEN(AQ79)-LEN(SUBSTITUTE(AQ79,".",""))=3,LEFT(AQ79,vitri(".",AQ79,3)-1),LEN(AQ79)-LEN(SUBSTITUTE(AQ79,".",""))=2,LEFT(AQ79,vitri(".",AQ79,2)-1),TRUE,LEFT(AQ79,vitri(".",AQ79,1)-1))</f>
        <v/>
      </c>
    </row>
    <row r="80" spans="2:54" x14ac:dyDescent="0.25">
      <c r="M80" s="382"/>
      <c r="AB80" s="63" t="str">
        <f t="shared" si="4"/>
        <v/>
      </c>
      <c r="AP80" s="210" t="str">
        <f t="shared" si="6"/>
        <v/>
      </c>
      <c r="AQ80" s="263"/>
      <c r="AR80" s="210" t="str">
        <f t="shared" si="7"/>
        <v/>
      </c>
      <c r="AS80" s="217"/>
      <c r="AT80" s="210" t="s">
        <v>503</v>
      </c>
      <c r="AU80" s="263"/>
      <c r="AV80" s="217"/>
      <c r="BB80" s="253" t="str">
        <f t="array" ref="BB80">_xlfn.IFS(AQ80="","",LEN(AQ80)-LEN(SUBSTITUTE(AQ80,".",""))=3,LEFT(AQ80,vitri(".",AQ80,3)-1),LEN(AQ80)-LEN(SUBSTITUTE(AQ80,".",""))=2,LEFT(AQ80,vitri(".",AQ80,2)-1),TRUE,LEFT(AQ80,vitri(".",AQ80,1)-1))</f>
        <v/>
      </c>
    </row>
    <row r="81" spans="13:54" x14ac:dyDescent="0.25">
      <c r="M81" s="382"/>
      <c r="AB81" s="63" t="str">
        <f t="shared" si="4"/>
        <v/>
      </c>
      <c r="AP81" s="210" t="str">
        <f t="shared" si="6"/>
        <v/>
      </c>
      <c r="AQ81" s="263"/>
      <c r="AR81" s="210" t="str">
        <f t="shared" si="7"/>
        <v/>
      </c>
      <c r="AS81" s="217"/>
      <c r="AT81" s="210" t="s">
        <v>503</v>
      </c>
      <c r="AU81" s="263"/>
      <c r="AV81" s="217"/>
      <c r="BB81" s="253" t="str">
        <f t="array" ref="BB81">_xlfn.IFS(AQ81="","",LEN(AQ81)-LEN(SUBSTITUTE(AQ81,".",""))=3,LEFT(AQ81,vitri(".",AQ81,3)-1),LEN(AQ81)-LEN(SUBSTITUTE(AQ81,".",""))=2,LEFT(AQ81,vitri(".",AQ81,2)-1),TRUE,LEFT(AQ81,vitri(".",AQ81,1)-1))</f>
        <v/>
      </c>
    </row>
    <row r="82" spans="13:54" x14ac:dyDescent="0.25">
      <c r="M82" s="382"/>
      <c r="AB82" s="63" t="str">
        <f t="shared" si="4"/>
        <v/>
      </c>
      <c r="AP82" s="210" t="str">
        <f t="shared" si="6"/>
        <v/>
      </c>
      <c r="AQ82" s="263"/>
      <c r="AR82" s="210" t="str">
        <f t="shared" si="7"/>
        <v/>
      </c>
      <c r="AS82" s="217"/>
      <c r="AT82" s="210" t="s">
        <v>503</v>
      </c>
      <c r="AU82" s="263"/>
      <c r="AV82" s="217"/>
      <c r="BB82" s="253" t="str">
        <f t="array" ref="BB82">_xlfn.IFS(AQ82="","",LEN(AQ82)-LEN(SUBSTITUTE(AQ82,".",""))=3,LEFT(AQ82,vitri(".",AQ82,3)-1),LEN(AQ82)-LEN(SUBSTITUTE(AQ82,".",""))=2,LEFT(AQ82,vitri(".",AQ82,2)-1),TRUE,LEFT(AQ82,vitri(".",AQ82,1)-1))</f>
        <v/>
      </c>
    </row>
    <row r="83" spans="13:54" x14ac:dyDescent="0.25">
      <c r="M83" s="382"/>
      <c r="AB83" s="63" t="str">
        <f t="shared" si="4"/>
        <v/>
      </c>
      <c r="AP83" s="210" t="str">
        <f t="shared" si="6"/>
        <v/>
      </c>
      <c r="AQ83" s="263"/>
      <c r="AR83" s="210" t="str">
        <f t="shared" si="7"/>
        <v/>
      </c>
      <c r="AS83" s="217"/>
      <c r="AT83" s="210" t="s">
        <v>503</v>
      </c>
      <c r="AU83" s="263"/>
      <c r="AV83" s="217"/>
      <c r="BB83" s="253" t="str">
        <f t="array" ref="BB83">_xlfn.IFS(AQ83="","",LEN(AQ83)-LEN(SUBSTITUTE(AQ83,".",""))=3,LEFT(AQ83,vitri(".",AQ83,3)-1),LEN(AQ83)-LEN(SUBSTITUTE(AQ83,".",""))=2,LEFT(AQ83,vitri(".",AQ83,2)-1),TRUE,LEFT(AQ83,vitri(".",AQ83,1)-1))</f>
        <v/>
      </c>
    </row>
    <row r="84" spans="13:54" x14ac:dyDescent="0.25">
      <c r="M84" s="382"/>
      <c r="AB84" s="63" t="str">
        <f t="shared" si="4"/>
        <v/>
      </c>
      <c r="AP84" s="210" t="str">
        <f t="shared" si="6"/>
        <v/>
      </c>
      <c r="AQ84" s="263"/>
      <c r="AR84" s="210" t="str">
        <f t="shared" si="7"/>
        <v/>
      </c>
      <c r="AS84" s="217"/>
      <c r="AT84" s="210" t="s">
        <v>503</v>
      </c>
      <c r="AU84" s="263"/>
      <c r="AV84" s="217"/>
      <c r="BB84" s="253" t="str">
        <f t="array" ref="BB84">_xlfn.IFS(AQ84="","",LEN(AQ84)-LEN(SUBSTITUTE(AQ84,".",""))=3,LEFT(AQ84,vitri(".",AQ84,3)-1),LEN(AQ84)-LEN(SUBSTITUTE(AQ84,".",""))=2,LEFT(AQ84,vitri(".",AQ84,2)-1),TRUE,LEFT(AQ84,vitri(".",AQ84,1)-1))</f>
        <v/>
      </c>
    </row>
    <row r="85" spans="13:54" x14ac:dyDescent="0.25">
      <c r="M85" s="382"/>
      <c r="AB85" s="63" t="str">
        <f t="shared" si="4"/>
        <v/>
      </c>
      <c r="AP85" s="210" t="str">
        <f t="shared" si="6"/>
        <v/>
      </c>
      <c r="AQ85" s="263"/>
      <c r="AR85" s="210" t="str">
        <f t="shared" si="7"/>
        <v/>
      </c>
      <c r="AS85" s="217"/>
      <c r="AT85" s="210" t="s">
        <v>503</v>
      </c>
      <c r="AU85" s="263"/>
      <c r="AV85" s="217"/>
      <c r="BB85" s="253" t="str">
        <f t="array" ref="BB85">_xlfn.IFS(AQ85="","",LEN(AQ85)-LEN(SUBSTITUTE(AQ85,".",""))=3,LEFT(AQ85,vitri(".",AQ85,3)-1),LEN(AQ85)-LEN(SUBSTITUTE(AQ85,".",""))=2,LEFT(AQ85,vitri(".",AQ85,2)-1),TRUE,LEFT(AQ85,vitri(".",AQ85,1)-1))</f>
        <v/>
      </c>
    </row>
    <row r="86" spans="13:54" x14ac:dyDescent="0.25">
      <c r="M86" s="382"/>
      <c r="AB86" s="63" t="str">
        <f t="shared" si="4"/>
        <v/>
      </c>
      <c r="AP86" s="210" t="str">
        <f t="shared" si="6"/>
        <v/>
      </c>
      <c r="AQ86" s="263"/>
      <c r="AR86" s="210" t="str">
        <f t="shared" si="7"/>
        <v/>
      </c>
      <c r="AS86" s="217"/>
      <c r="AT86" s="210" t="s">
        <v>503</v>
      </c>
      <c r="AU86" s="263"/>
      <c r="AV86" s="217"/>
      <c r="BB86" s="253" t="str">
        <f t="array" ref="BB86">_xlfn.IFS(AQ86="","",LEN(AQ86)-LEN(SUBSTITUTE(AQ86,".",""))=3,LEFT(AQ86,vitri(".",AQ86,3)-1),LEN(AQ86)-LEN(SUBSTITUTE(AQ86,".",""))=2,LEFT(AQ86,vitri(".",AQ86,2)-1),TRUE,LEFT(AQ86,vitri(".",AQ86,1)-1))</f>
        <v/>
      </c>
    </row>
    <row r="87" spans="13:54" x14ac:dyDescent="0.25">
      <c r="M87" s="382"/>
      <c r="AB87" s="63" t="str">
        <f t="shared" si="4"/>
        <v/>
      </c>
      <c r="AP87" s="210" t="str">
        <f t="shared" si="6"/>
        <v/>
      </c>
      <c r="AQ87" s="263"/>
      <c r="AR87" s="210" t="str">
        <f t="shared" si="7"/>
        <v/>
      </c>
      <c r="AS87" s="217"/>
      <c r="AT87" s="210" t="s">
        <v>503</v>
      </c>
      <c r="AU87" s="263"/>
      <c r="AV87" s="217"/>
      <c r="BB87" s="253" t="str">
        <f t="array" ref="BB87">_xlfn.IFS(AQ87="","",LEN(AQ87)-LEN(SUBSTITUTE(AQ87,".",""))=3,LEFT(AQ87,vitri(".",AQ87,3)-1),LEN(AQ87)-LEN(SUBSTITUTE(AQ87,".",""))=2,LEFT(AQ87,vitri(".",AQ87,2)-1),TRUE,LEFT(AQ87,vitri(".",AQ87,1)-1))</f>
        <v/>
      </c>
    </row>
    <row r="88" spans="13:54" x14ac:dyDescent="0.25">
      <c r="M88" s="382"/>
      <c r="AB88" s="63" t="str">
        <f t="shared" si="4"/>
        <v/>
      </c>
      <c r="AP88" s="210" t="str">
        <f t="shared" si="6"/>
        <v/>
      </c>
      <c r="AQ88" s="263"/>
      <c r="AR88" s="210" t="str">
        <f t="shared" si="7"/>
        <v/>
      </c>
      <c r="AS88" s="217"/>
      <c r="AT88" s="210" t="s">
        <v>503</v>
      </c>
      <c r="AU88" s="263"/>
      <c r="AV88" s="217"/>
      <c r="BB88" s="253" t="str">
        <f t="array" ref="BB88">_xlfn.IFS(AQ88="","",LEN(AQ88)-LEN(SUBSTITUTE(AQ88,".",""))=3,LEFT(AQ88,vitri(".",AQ88,3)-1),LEN(AQ88)-LEN(SUBSTITUTE(AQ88,".",""))=2,LEFT(AQ88,vitri(".",AQ88,2)-1),TRUE,LEFT(AQ88,vitri(".",AQ88,1)-1))</f>
        <v/>
      </c>
    </row>
    <row r="89" spans="13:54" x14ac:dyDescent="0.25">
      <c r="M89" s="382"/>
      <c r="AB89" s="63" t="str">
        <f t="shared" si="4"/>
        <v/>
      </c>
      <c r="AP89" s="210" t="str">
        <f t="shared" si="6"/>
        <v/>
      </c>
      <c r="AQ89" s="263"/>
      <c r="AR89" s="210" t="str">
        <f t="shared" si="7"/>
        <v/>
      </c>
      <c r="AS89" s="217"/>
      <c r="AT89" s="210" t="s">
        <v>503</v>
      </c>
      <c r="AU89" s="263"/>
      <c r="AV89" s="217"/>
      <c r="BB89" s="253" t="str">
        <f t="array" ref="BB89">_xlfn.IFS(AQ89="","",LEN(AQ89)-LEN(SUBSTITUTE(AQ89,".",""))=3,LEFT(AQ89,vitri(".",AQ89,3)-1),LEN(AQ89)-LEN(SUBSTITUTE(AQ89,".",""))=2,LEFT(AQ89,vitri(".",AQ89,2)-1),TRUE,LEFT(AQ89,vitri(".",AQ89,1)-1))</f>
        <v/>
      </c>
    </row>
    <row r="90" spans="13:54" x14ac:dyDescent="0.25">
      <c r="M90" s="382"/>
      <c r="AB90" s="63" t="str">
        <f t="shared" si="4"/>
        <v/>
      </c>
      <c r="AP90" s="210" t="str">
        <f t="shared" si="6"/>
        <v/>
      </c>
      <c r="AQ90" s="263"/>
      <c r="AR90" s="210" t="str">
        <f t="shared" si="7"/>
        <v/>
      </c>
      <c r="AS90" s="217"/>
      <c r="AT90" s="210" t="s">
        <v>503</v>
      </c>
      <c r="AU90" s="263"/>
      <c r="AV90" s="217"/>
      <c r="BB90" s="253" t="str">
        <f t="array" ref="BB90">_xlfn.IFS(AQ90="","",LEN(AQ90)-LEN(SUBSTITUTE(AQ90,".",""))=3,LEFT(AQ90,vitri(".",AQ90,3)-1),LEN(AQ90)-LEN(SUBSTITUTE(AQ90,".",""))=2,LEFT(AQ90,vitri(".",AQ90,2)-1),TRUE,LEFT(AQ90,vitri(".",AQ90,1)-1))</f>
        <v/>
      </c>
    </row>
    <row r="91" spans="13:54" x14ac:dyDescent="0.25">
      <c r="M91" s="382"/>
      <c r="AB91" s="63" t="str">
        <f t="shared" si="4"/>
        <v/>
      </c>
      <c r="AP91" s="210" t="str">
        <f t="shared" si="6"/>
        <v/>
      </c>
      <c r="AQ91" s="263"/>
      <c r="AR91" s="210" t="str">
        <f t="shared" si="7"/>
        <v/>
      </c>
      <c r="AS91" s="217"/>
      <c r="AT91" s="210" t="s">
        <v>503</v>
      </c>
      <c r="AU91" s="263"/>
      <c r="AV91" s="217"/>
      <c r="BB91" s="253" t="str">
        <f t="array" ref="BB91">_xlfn.IFS(AQ91="","",LEN(AQ91)-LEN(SUBSTITUTE(AQ91,".",""))=3,LEFT(AQ91,vitri(".",AQ91,3)-1),LEN(AQ91)-LEN(SUBSTITUTE(AQ91,".",""))=2,LEFT(AQ91,vitri(".",AQ91,2)-1),TRUE,LEFT(AQ91,vitri(".",AQ91,1)-1))</f>
        <v/>
      </c>
    </row>
    <row r="92" spans="13:54" x14ac:dyDescent="0.25">
      <c r="M92" s="382"/>
      <c r="AB92" s="63" t="str">
        <f t="shared" si="4"/>
        <v/>
      </c>
      <c r="AP92" s="210" t="str">
        <f t="shared" si="6"/>
        <v/>
      </c>
      <c r="AQ92" s="263"/>
      <c r="AR92" s="210" t="str">
        <f t="shared" si="7"/>
        <v/>
      </c>
      <c r="AS92" s="217"/>
      <c r="AT92" s="210" t="s">
        <v>503</v>
      </c>
      <c r="AU92" s="263"/>
      <c r="AV92" s="217"/>
      <c r="BB92" s="253" t="str">
        <f t="array" ref="BB92">_xlfn.IFS(AQ92="","",LEN(AQ92)-LEN(SUBSTITUTE(AQ92,".",""))=3,LEFT(AQ92,vitri(".",AQ92,3)-1),LEN(AQ92)-LEN(SUBSTITUTE(AQ92,".",""))=2,LEFT(AQ92,vitri(".",AQ92,2)-1),TRUE,LEFT(AQ92,vitri(".",AQ92,1)-1))</f>
        <v/>
      </c>
    </row>
    <row r="93" spans="13:54" x14ac:dyDescent="0.25">
      <c r="M93" s="382"/>
      <c r="AB93" s="63" t="str">
        <f t="shared" si="4"/>
        <v/>
      </c>
      <c r="AP93" s="210" t="str">
        <f t="shared" si="6"/>
        <v/>
      </c>
      <c r="AQ93" s="263"/>
      <c r="AR93" s="210" t="str">
        <f t="shared" si="7"/>
        <v/>
      </c>
      <c r="AS93" s="217"/>
      <c r="AT93" s="210" t="s">
        <v>503</v>
      </c>
      <c r="AU93" s="263"/>
      <c r="AV93" s="217"/>
      <c r="BB93" s="253" t="str">
        <f t="array" ref="BB93">_xlfn.IFS(AQ93="","",LEN(AQ93)-LEN(SUBSTITUTE(AQ93,".",""))=3,LEFT(AQ93,vitri(".",AQ93,3)-1),LEN(AQ93)-LEN(SUBSTITUTE(AQ93,".",""))=2,LEFT(AQ93,vitri(".",AQ93,2)-1),TRUE,LEFT(AQ93,vitri(".",AQ93,1)-1))</f>
        <v/>
      </c>
    </row>
    <row r="94" spans="13:54" x14ac:dyDescent="0.25">
      <c r="M94" s="382"/>
      <c r="AB94" s="63" t="str">
        <f t="shared" si="4"/>
        <v/>
      </c>
      <c r="AP94" s="210" t="str">
        <f t="shared" si="6"/>
        <v/>
      </c>
      <c r="AQ94" s="263"/>
      <c r="AR94" s="210" t="str">
        <f t="shared" si="7"/>
        <v/>
      </c>
      <c r="AS94" s="217"/>
      <c r="AT94" s="210" t="s">
        <v>503</v>
      </c>
      <c r="AU94" s="263"/>
      <c r="AV94" s="217"/>
      <c r="BB94" s="253" t="str">
        <f t="array" ref="BB94">_xlfn.IFS(AQ94="","",LEN(AQ94)-LEN(SUBSTITUTE(AQ94,".",""))=3,LEFT(AQ94,vitri(".",AQ94,3)-1),LEN(AQ94)-LEN(SUBSTITUTE(AQ94,".",""))=2,LEFT(AQ94,vitri(".",AQ94,2)-1),TRUE,LEFT(AQ94,vitri(".",AQ94,1)-1))</f>
        <v/>
      </c>
    </row>
    <row r="95" spans="13:54" x14ac:dyDescent="0.25">
      <c r="M95" s="382"/>
      <c r="AB95" s="63" t="str">
        <f t="shared" si="4"/>
        <v/>
      </c>
      <c r="AP95" s="210" t="str">
        <f t="shared" si="6"/>
        <v/>
      </c>
      <c r="AQ95" s="263"/>
      <c r="AR95" s="210" t="str">
        <f t="shared" si="7"/>
        <v/>
      </c>
      <c r="AS95" s="217"/>
      <c r="AT95" s="210" t="s">
        <v>503</v>
      </c>
      <c r="AU95" s="263"/>
      <c r="AV95" s="217"/>
      <c r="BB95" s="253" t="str">
        <f t="array" ref="BB95">_xlfn.IFS(AQ95="","",LEN(AQ95)-LEN(SUBSTITUTE(AQ95,".",""))=3,LEFT(AQ95,vitri(".",AQ95,3)-1),LEN(AQ95)-LEN(SUBSTITUTE(AQ95,".",""))=2,LEFT(AQ95,vitri(".",AQ95,2)-1),TRUE,LEFT(AQ95,vitri(".",AQ95,1)-1))</f>
        <v/>
      </c>
    </row>
    <row r="96" spans="13:54" x14ac:dyDescent="0.25">
      <c r="M96" s="382"/>
      <c r="AB96" s="63" t="str">
        <f t="shared" si="4"/>
        <v/>
      </c>
      <c r="AP96" s="210" t="str">
        <f t="shared" si="6"/>
        <v/>
      </c>
      <c r="AQ96" s="263"/>
      <c r="AR96" s="210" t="str">
        <f t="shared" si="7"/>
        <v/>
      </c>
      <c r="AS96" s="217"/>
      <c r="AT96" s="210" t="s">
        <v>503</v>
      </c>
      <c r="AU96" s="263"/>
      <c r="AV96" s="217"/>
      <c r="BB96" s="253" t="str">
        <f t="array" ref="BB96">_xlfn.IFS(AQ96="","",LEN(AQ96)-LEN(SUBSTITUTE(AQ96,".",""))=3,LEFT(AQ96,vitri(".",AQ96,3)-1),LEN(AQ96)-LEN(SUBSTITUTE(AQ96,".",""))=2,LEFT(AQ96,vitri(".",AQ96,2)-1),TRUE,LEFT(AQ96,vitri(".",AQ96,1)-1))</f>
        <v/>
      </c>
    </row>
    <row r="97" spans="13:54" x14ac:dyDescent="0.25">
      <c r="M97" s="382"/>
      <c r="AB97" s="63" t="str">
        <f t="shared" si="4"/>
        <v/>
      </c>
      <c r="AP97" s="210" t="str">
        <f t="shared" si="6"/>
        <v/>
      </c>
      <c r="AQ97" s="263"/>
      <c r="AR97" s="210" t="str">
        <f t="shared" si="7"/>
        <v/>
      </c>
      <c r="AS97" s="217"/>
      <c r="AT97" s="210" t="s">
        <v>503</v>
      </c>
      <c r="AU97" s="263"/>
      <c r="AV97" s="217"/>
      <c r="BB97" s="253" t="str">
        <f t="array" ref="BB97">_xlfn.IFS(AQ97="","",LEN(AQ97)-LEN(SUBSTITUTE(AQ97,".",""))=3,LEFT(AQ97,vitri(".",AQ97,3)-1),LEN(AQ97)-LEN(SUBSTITUTE(AQ97,".",""))=2,LEFT(AQ97,vitri(".",AQ97,2)-1),TRUE,LEFT(AQ97,vitri(".",AQ97,1)-1))</f>
        <v/>
      </c>
    </row>
    <row r="98" spans="13:54" x14ac:dyDescent="0.25">
      <c r="M98" s="382"/>
      <c r="AB98" s="63" t="str">
        <f t="shared" si="4"/>
        <v/>
      </c>
      <c r="AP98" s="210" t="str">
        <f t="shared" si="6"/>
        <v/>
      </c>
      <c r="AQ98" s="263"/>
      <c r="AR98" s="210" t="str">
        <f t="shared" si="7"/>
        <v/>
      </c>
      <c r="AS98" s="217"/>
      <c r="AT98" s="210" t="s">
        <v>503</v>
      </c>
      <c r="AU98" s="263"/>
      <c r="AV98" s="217"/>
      <c r="BB98" s="253" t="str">
        <f t="array" ref="BB98">_xlfn.IFS(AQ98="","",LEN(AQ98)-LEN(SUBSTITUTE(AQ98,".",""))=3,LEFT(AQ98,vitri(".",AQ98,3)-1),LEN(AQ98)-LEN(SUBSTITUTE(AQ98,".",""))=2,LEFT(AQ98,vitri(".",AQ98,2)-1),TRUE,LEFT(AQ98,vitri(".",AQ98,1)-1))</f>
        <v/>
      </c>
    </row>
    <row r="99" spans="13:54" x14ac:dyDescent="0.25">
      <c r="M99" s="382"/>
      <c r="AB99" s="63" t="str">
        <f t="shared" si="4"/>
        <v/>
      </c>
      <c r="AP99" s="210" t="str">
        <f t="shared" si="6"/>
        <v/>
      </c>
      <c r="AQ99" s="263"/>
      <c r="AR99" s="210" t="str">
        <f t="shared" si="7"/>
        <v/>
      </c>
      <c r="AS99" s="217"/>
      <c r="AT99" s="210" t="s">
        <v>503</v>
      </c>
      <c r="AU99" s="263"/>
      <c r="AV99" s="217"/>
      <c r="BB99" s="253" t="str">
        <f t="array" ref="BB99">_xlfn.IFS(AQ99="","",LEN(AQ99)-LEN(SUBSTITUTE(AQ99,".",""))=3,LEFT(AQ99,vitri(".",AQ99,3)-1),LEN(AQ99)-LEN(SUBSTITUTE(AQ99,".",""))=2,LEFT(AQ99,vitri(".",AQ99,2)-1),TRUE,LEFT(AQ99,vitri(".",AQ99,1)-1))</f>
        <v/>
      </c>
    </row>
    <row r="100" spans="13:54" x14ac:dyDescent="0.25">
      <c r="M100" s="382"/>
      <c r="AB100" s="63" t="str">
        <f t="shared" si="4"/>
        <v/>
      </c>
      <c r="AP100" s="210" t="str">
        <f t="shared" si="6"/>
        <v/>
      </c>
      <c r="AQ100" s="263"/>
      <c r="AR100" s="210" t="str">
        <f t="shared" si="7"/>
        <v/>
      </c>
      <c r="AS100" s="217"/>
      <c r="AT100" s="210" t="s">
        <v>503</v>
      </c>
      <c r="AU100" s="263"/>
      <c r="AV100" s="217"/>
      <c r="BB100" s="253" t="str">
        <f t="array" ref="BB100">_xlfn.IFS(AQ100="","",LEN(AQ100)-LEN(SUBSTITUTE(AQ100,".",""))=3,LEFT(AQ100,vitri(".",AQ100,3)-1),LEN(AQ100)-LEN(SUBSTITUTE(AQ100,".",""))=2,LEFT(AQ100,vitri(".",AQ100,2)-1),TRUE,LEFT(AQ100,vitri(".",AQ100,1)-1))</f>
        <v/>
      </c>
    </row>
    <row r="101" spans="13:54" x14ac:dyDescent="0.25">
      <c r="M101" s="382"/>
      <c r="AB101" s="63" t="str">
        <f t="shared" si="4"/>
        <v/>
      </c>
      <c r="AP101" s="210" t="str">
        <f t="shared" si="6"/>
        <v/>
      </c>
      <c r="AQ101" s="263"/>
      <c r="AR101" s="210" t="str">
        <f t="shared" si="7"/>
        <v/>
      </c>
      <c r="AS101" s="217"/>
      <c r="AT101" s="210" t="s">
        <v>503</v>
      </c>
      <c r="AU101" s="263"/>
      <c r="AV101" s="217"/>
      <c r="BB101" s="253" t="str">
        <f t="array" ref="BB101">_xlfn.IFS(AQ101="","",LEN(AQ101)-LEN(SUBSTITUTE(AQ101,".",""))=3,LEFT(AQ101,vitri(".",AQ101,3)-1),LEN(AQ101)-LEN(SUBSTITUTE(AQ101,".",""))=2,LEFT(AQ101,vitri(".",AQ101,2)-1),TRUE,LEFT(AQ101,vitri(".",AQ101,1)-1))</f>
        <v/>
      </c>
    </row>
    <row r="102" spans="13:54" x14ac:dyDescent="0.25">
      <c r="M102" s="382"/>
      <c r="AB102" s="63" t="str">
        <f t="shared" si="4"/>
        <v/>
      </c>
      <c r="AP102" s="210" t="str">
        <f t="shared" si="6"/>
        <v/>
      </c>
      <c r="AQ102" s="263"/>
      <c r="AR102" s="210" t="str">
        <f t="shared" si="7"/>
        <v/>
      </c>
      <c r="AS102" s="217"/>
      <c r="AT102" s="210" t="s">
        <v>503</v>
      </c>
      <c r="AU102" s="263"/>
      <c r="AV102" s="217"/>
      <c r="BB102" s="253" t="str">
        <f t="array" ref="BB102">_xlfn.IFS(AQ102="","",LEN(AQ102)-LEN(SUBSTITUTE(AQ102,".",""))=3,LEFT(AQ102,vitri(".",AQ102,3)-1),LEN(AQ102)-LEN(SUBSTITUTE(AQ102,".",""))=2,LEFT(AQ102,vitri(".",AQ102,2)-1),TRUE,LEFT(AQ102,vitri(".",AQ102,1)-1))</f>
        <v/>
      </c>
    </row>
    <row r="103" spans="13:54" x14ac:dyDescent="0.25">
      <c r="M103" s="382"/>
      <c r="AB103" s="63" t="str">
        <f t="shared" si="4"/>
        <v/>
      </c>
      <c r="AP103" s="210" t="str">
        <f t="shared" si="6"/>
        <v/>
      </c>
      <c r="AQ103" s="263"/>
      <c r="AR103" s="210" t="str">
        <f t="shared" si="7"/>
        <v/>
      </c>
      <c r="AS103" s="217"/>
      <c r="AT103" s="210" t="s">
        <v>503</v>
      </c>
      <c r="AU103" s="263"/>
      <c r="AV103" s="217"/>
      <c r="BB103" s="253" t="str">
        <f t="array" ref="BB103">_xlfn.IFS(AQ103="","",LEN(AQ103)-LEN(SUBSTITUTE(AQ103,".",""))=3,LEFT(AQ103,vitri(".",AQ103,3)-1),LEN(AQ103)-LEN(SUBSTITUTE(AQ103,".",""))=2,LEFT(AQ103,vitri(".",AQ103,2)-1),TRUE,LEFT(AQ103,vitri(".",AQ103,1)-1))</f>
        <v/>
      </c>
    </row>
    <row r="104" spans="13:54" x14ac:dyDescent="0.25">
      <c r="M104" s="382"/>
      <c r="AB104" s="63" t="str">
        <f t="shared" si="4"/>
        <v/>
      </c>
      <c r="AP104" s="210" t="str">
        <f t="shared" si="6"/>
        <v/>
      </c>
      <c r="AQ104" s="263"/>
      <c r="AR104" s="210" t="str">
        <f t="shared" si="7"/>
        <v/>
      </c>
      <c r="AS104" s="217"/>
      <c r="AT104" s="210" t="s">
        <v>503</v>
      </c>
      <c r="AU104" s="263"/>
      <c r="AV104" s="217"/>
      <c r="BB104" s="253" t="str">
        <f t="array" ref="BB104">_xlfn.IFS(AQ104="","",LEN(AQ104)-LEN(SUBSTITUTE(AQ104,".",""))=3,LEFT(AQ104,vitri(".",AQ104,3)-1),LEN(AQ104)-LEN(SUBSTITUTE(AQ104,".",""))=2,LEFT(AQ104,vitri(".",AQ104,2)-1),TRUE,LEFT(AQ104,vitri(".",AQ104,1)-1))</f>
        <v/>
      </c>
    </row>
    <row r="105" spans="13:54" x14ac:dyDescent="0.25">
      <c r="M105" s="382"/>
      <c r="AB105" s="63" t="str">
        <f t="shared" si="4"/>
        <v/>
      </c>
      <c r="AP105" s="210" t="str">
        <f t="shared" si="6"/>
        <v/>
      </c>
      <c r="AQ105" s="263"/>
      <c r="AR105" s="210" t="str">
        <f t="shared" si="7"/>
        <v/>
      </c>
      <c r="AS105" s="217"/>
      <c r="AT105" s="210" t="s">
        <v>503</v>
      </c>
      <c r="AU105" s="263"/>
      <c r="AV105" s="217"/>
      <c r="BB105" s="253" t="str">
        <f t="array" ref="BB105">_xlfn.IFS(AQ105="","",LEN(AQ105)-LEN(SUBSTITUTE(AQ105,".",""))=3,LEFT(AQ105,vitri(".",AQ105,3)-1),LEN(AQ105)-LEN(SUBSTITUTE(AQ105,".",""))=2,LEFT(AQ105,vitri(".",AQ105,2)-1),TRUE,LEFT(AQ105,vitri(".",AQ105,1)-1))</f>
        <v/>
      </c>
    </row>
    <row r="106" spans="13:54" x14ac:dyDescent="0.25">
      <c r="M106" s="382"/>
      <c r="AB106" s="63" t="str">
        <f t="shared" si="4"/>
        <v/>
      </c>
      <c r="AP106" s="210" t="str">
        <f t="shared" si="6"/>
        <v/>
      </c>
      <c r="AQ106" s="263"/>
      <c r="AR106" s="210" t="str">
        <f t="shared" si="7"/>
        <v/>
      </c>
      <c r="AS106" s="217"/>
      <c r="AT106" s="210" t="s">
        <v>503</v>
      </c>
      <c r="AU106" s="263"/>
      <c r="AV106" s="217"/>
      <c r="BB106" s="253" t="str">
        <f t="array" ref="BB106">_xlfn.IFS(AQ106="","",LEN(AQ106)-LEN(SUBSTITUTE(AQ106,".",""))=3,LEFT(AQ106,vitri(".",AQ106,3)-1),LEN(AQ106)-LEN(SUBSTITUTE(AQ106,".",""))=2,LEFT(AQ106,vitri(".",AQ106,2)-1),TRUE,LEFT(AQ106,vitri(".",AQ106,1)-1))</f>
        <v/>
      </c>
    </row>
    <row r="107" spans="13:54" x14ac:dyDescent="0.25">
      <c r="M107" s="382"/>
      <c r="AB107" s="63" t="str">
        <f t="shared" si="4"/>
        <v/>
      </c>
      <c r="AP107" s="210" t="str">
        <f t="shared" si="6"/>
        <v/>
      </c>
      <c r="AQ107" s="263"/>
      <c r="AR107" s="210" t="str">
        <f t="shared" si="7"/>
        <v/>
      </c>
      <c r="AS107" s="217"/>
      <c r="AT107" s="210" t="s">
        <v>503</v>
      </c>
      <c r="AU107" s="263"/>
      <c r="AV107" s="217"/>
      <c r="BB107" s="253" t="str">
        <f t="array" ref="BB107">_xlfn.IFS(AQ107="","",LEN(AQ107)-LEN(SUBSTITUTE(AQ107,".",""))=3,LEFT(AQ107,vitri(".",AQ107,3)-1),LEN(AQ107)-LEN(SUBSTITUTE(AQ107,".",""))=2,LEFT(AQ107,vitri(".",AQ107,2)-1),TRUE,LEFT(AQ107,vitri(".",AQ107,1)-1))</f>
        <v/>
      </c>
    </row>
    <row r="108" spans="13:54" x14ac:dyDescent="0.25">
      <c r="M108" s="382"/>
      <c r="AB108" s="63" t="str">
        <f t="shared" si="4"/>
        <v/>
      </c>
      <c r="AP108" s="210" t="str">
        <f t="shared" si="6"/>
        <v/>
      </c>
      <c r="AQ108" s="263"/>
      <c r="AR108" s="210" t="str">
        <f t="shared" si="7"/>
        <v/>
      </c>
      <c r="AS108" s="217"/>
      <c r="AT108" s="210" t="s">
        <v>503</v>
      </c>
      <c r="AU108" s="263"/>
      <c r="AV108" s="217"/>
      <c r="BB108" s="253" t="str">
        <f t="array" ref="BB108">_xlfn.IFS(AQ108="","",LEN(AQ108)-LEN(SUBSTITUTE(AQ108,".",""))=3,LEFT(AQ108,vitri(".",AQ108,3)-1),LEN(AQ108)-LEN(SUBSTITUTE(AQ108,".",""))=2,LEFT(AQ108,vitri(".",AQ108,2)-1),TRUE,LEFT(AQ108,vitri(".",AQ108,1)-1))</f>
        <v/>
      </c>
    </row>
    <row r="109" spans="13:54" x14ac:dyDescent="0.25">
      <c r="M109" s="382"/>
      <c r="AB109" s="63" t="str">
        <f t="shared" si="4"/>
        <v/>
      </c>
      <c r="AP109" s="210" t="str">
        <f t="shared" si="6"/>
        <v/>
      </c>
      <c r="AQ109" s="263"/>
      <c r="AR109" s="210" t="str">
        <f t="shared" si="7"/>
        <v/>
      </c>
      <c r="AS109" s="217"/>
      <c r="AT109" s="210" t="s">
        <v>503</v>
      </c>
      <c r="AU109" s="263"/>
      <c r="AV109" s="217"/>
      <c r="BB109" s="253" t="str">
        <f t="array" ref="BB109">_xlfn.IFS(AQ109="","",LEN(AQ109)-LEN(SUBSTITUTE(AQ109,".",""))=3,LEFT(AQ109,vitri(".",AQ109,3)-1),LEN(AQ109)-LEN(SUBSTITUTE(AQ109,".",""))=2,LEFT(AQ109,vitri(".",AQ109,2)-1),TRUE,LEFT(AQ109,vitri(".",AQ109,1)-1))</f>
        <v/>
      </c>
    </row>
    <row r="110" spans="13:54" x14ac:dyDescent="0.25">
      <c r="M110" s="382"/>
      <c r="AB110" s="63" t="str">
        <f t="shared" si="4"/>
        <v/>
      </c>
      <c r="AP110" s="210" t="str">
        <f t="shared" si="6"/>
        <v/>
      </c>
      <c r="AQ110" s="263"/>
      <c r="AR110" s="210" t="str">
        <f t="shared" si="7"/>
        <v/>
      </c>
      <c r="AS110" s="217"/>
      <c r="AT110" s="210" t="s">
        <v>503</v>
      </c>
      <c r="AU110" s="263"/>
      <c r="AV110" s="217"/>
      <c r="BB110" s="253" t="str">
        <f t="array" ref="BB110">_xlfn.IFS(AQ110="","",LEN(AQ110)-LEN(SUBSTITUTE(AQ110,".",""))=3,LEFT(AQ110,vitri(".",AQ110,3)-1),LEN(AQ110)-LEN(SUBSTITUTE(AQ110,".",""))=2,LEFT(AQ110,vitri(".",AQ110,2)-1),TRUE,LEFT(AQ110,vitri(".",AQ110,1)-1))</f>
        <v/>
      </c>
    </row>
    <row r="111" spans="13:54" x14ac:dyDescent="0.25">
      <c r="M111" s="382"/>
      <c r="AB111" s="63" t="str">
        <f t="shared" si="4"/>
        <v/>
      </c>
      <c r="AP111" s="210" t="str">
        <f t="shared" si="6"/>
        <v/>
      </c>
      <c r="AQ111" s="263"/>
      <c r="AR111" s="210" t="str">
        <f t="shared" si="7"/>
        <v/>
      </c>
      <c r="AS111" s="217"/>
      <c r="AT111" s="210" t="s">
        <v>503</v>
      </c>
      <c r="AU111" s="263"/>
      <c r="AV111" s="217"/>
      <c r="BB111" s="253" t="str">
        <f t="array" ref="BB111">_xlfn.IFS(AQ111="","",LEN(AQ111)-LEN(SUBSTITUTE(AQ111,".",""))=3,LEFT(AQ111,vitri(".",AQ111,3)-1),LEN(AQ111)-LEN(SUBSTITUTE(AQ111,".",""))=2,LEFT(AQ111,vitri(".",AQ111,2)-1),TRUE,LEFT(AQ111,vitri(".",AQ111,1)-1))</f>
        <v/>
      </c>
    </row>
    <row r="112" spans="13:54" x14ac:dyDescent="0.25">
      <c r="M112" s="382"/>
      <c r="AB112" s="63" t="str">
        <f t="shared" si="4"/>
        <v/>
      </c>
      <c r="AP112" s="210" t="str">
        <f t="shared" si="6"/>
        <v/>
      </c>
      <c r="AQ112" s="263"/>
      <c r="AR112" s="210" t="str">
        <f t="shared" si="7"/>
        <v/>
      </c>
      <c r="AS112" s="217"/>
      <c r="AT112" s="210" t="s">
        <v>503</v>
      </c>
      <c r="AU112" s="263"/>
      <c r="AV112" s="217"/>
      <c r="BB112" s="253" t="str">
        <f t="array" ref="BB112">_xlfn.IFS(AQ112="","",LEN(AQ112)-LEN(SUBSTITUTE(AQ112,".",""))=3,LEFT(AQ112,vitri(".",AQ112,3)-1),LEN(AQ112)-LEN(SUBSTITUTE(AQ112,".",""))=2,LEFT(AQ112,vitri(".",AQ112,2)-1),TRUE,LEFT(AQ112,vitri(".",AQ112,1)-1))</f>
        <v/>
      </c>
    </row>
    <row r="113" spans="13:54" x14ac:dyDescent="0.25">
      <c r="M113" s="382"/>
      <c r="AB113" s="63" t="str">
        <f t="shared" si="4"/>
        <v/>
      </c>
      <c r="AP113" s="210" t="str">
        <f t="shared" si="6"/>
        <v/>
      </c>
      <c r="AQ113" s="263"/>
      <c r="AR113" s="210" t="str">
        <f t="shared" si="7"/>
        <v/>
      </c>
      <c r="AS113" s="217"/>
      <c r="AT113" s="210" t="s">
        <v>503</v>
      </c>
      <c r="AU113" s="263"/>
      <c r="AV113" s="217"/>
      <c r="BB113" s="253" t="str">
        <f t="array" ref="BB113">_xlfn.IFS(AQ113="","",LEN(AQ113)-LEN(SUBSTITUTE(AQ113,".",""))=3,LEFT(AQ113,vitri(".",AQ113,3)-1),LEN(AQ113)-LEN(SUBSTITUTE(AQ113,".",""))=2,LEFT(AQ113,vitri(".",AQ113,2)-1),TRUE,LEFT(AQ113,vitri(".",AQ113,1)-1))</f>
        <v/>
      </c>
    </row>
    <row r="114" spans="13:54" x14ac:dyDescent="0.25">
      <c r="M114" s="382"/>
      <c r="AB114" s="63" t="str">
        <f t="shared" si="4"/>
        <v/>
      </c>
      <c r="AP114" s="210" t="str">
        <f t="shared" si="6"/>
        <v/>
      </c>
      <c r="AQ114" s="263"/>
      <c r="AR114" s="210" t="str">
        <f t="shared" si="7"/>
        <v/>
      </c>
      <c r="AS114" s="217"/>
      <c r="AT114" s="210" t="s">
        <v>503</v>
      </c>
      <c r="AU114" s="263"/>
      <c r="AV114" s="217"/>
      <c r="BB114" s="253" t="str">
        <f t="array" ref="BB114">_xlfn.IFS(AQ114="","",LEN(AQ114)-LEN(SUBSTITUTE(AQ114,".",""))=3,LEFT(AQ114,vitri(".",AQ114,3)-1),LEN(AQ114)-LEN(SUBSTITUTE(AQ114,".",""))=2,LEFT(AQ114,vitri(".",AQ114,2)-1),TRUE,LEFT(AQ114,vitri(".",AQ114,1)-1))</f>
        <v/>
      </c>
    </row>
    <row r="115" spans="13:54" x14ac:dyDescent="0.25">
      <c r="M115" s="382"/>
      <c r="AB115" s="63" t="str">
        <f t="shared" si="4"/>
        <v/>
      </c>
      <c r="AP115" s="210" t="str">
        <f t="shared" si="6"/>
        <v/>
      </c>
      <c r="AQ115" s="263"/>
      <c r="AR115" s="210" t="str">
        <f t="shared" si="7"/>
        <v/>
      </c>
      <c r="AS115" s="217"/>
      <c r="AT115" s="210" t="s">
        <v>503</v>
      </c>
      <c r="AU115" s="263"/>
      <c r="AV115" s="217"/>
      <c r="BB115" s="253" t="str">
        <f t="array" ref="BB115">_xlfn.IFS(AQ115="","",LEN(AQ115)-LEN(SUBSTITUTE(AQ115,".",""))=3,LEFT(AQ115,vitri(".",AQ115,3)-1),LEN(AQ115)-LEN(SUBSTITUTE(AQ115,".",""))=2,LEFT(AQ115,vitri(".",AQ115,2)-1),TRUE,LEFT(AQ115,vitri(".",AQ115,1)-1))</f>
        <v/>
      </c>
    </row>
    <row r="116" spans="13:54" x14ac:dyDescent="0.25">
      <c r="M116" s="382"/>
      <c r="AB116" s="63" t="str">
        <f t="shared" si="4"/>
        <v/>
      </c>
      <c r="AP116" s="210" t="str">
        <f t="shared" si="6"/>
        <v/>
      </c>
      <c r="AQ116" s="263"/>
      <c r="AR116" s="210" t="str">
        <f t="shared" si="7"/>
        <v/>
      </c>
      <c r="AS116" s="217"/>
      <c r="AT116" s="210" t="s">
        <v>503</v>
      </c>
      <c r="AU116" s="263"/>
      <c r="AV116" s="217"/>
      <c r="BB116" s="253" t="str">
        <f t="array" ref="BB116">_xlfn.IFS(AQ116="","",LEN(AQ116)-LEN(SUBSTITUTE(AQ116,".",""))=3,LEFT(AQ116,vitri(".",AQ116,3)-1),LEN(AQ116)-LEN(SUBSTITUTE(AQ116,".",""))=2,LEFT(AQ116,vitri(".",AQ116,2)-1),TRUE,LEFT(AQ116,vitri(".",AQ116,1)-1))</f>
        <v/>
      </c>
    </row>
    <row r="117" spans="13:54" x14ac:dyDescent="0.25">
      <c r="M117" s="382"/>
      <c r="AB117" s="63" t="str">
        <f t="shared" si="4"/>
        <v/>
      </c>
      <c r="AP117" s="210" t="str">
        <f t="shared" si="6"/>
        <v/>
      </c>
      <c r="AQ117" s="263"/>
      <c r="AR117" s="210" t="str">
        <f t="shared" si="7"/>
        <v/>
      </c>
      <c r="AS117" s="217"/>
      <c r="AT117" s="210" t="s">
        <v>503</v>
      </c>
      <c r="AU117" s="263"/>
      <c r="AV117" s="217"/>
      <c r="BB117" s="253" t="str">
        <f t="array" ref="BB117">_xlfn.IFS(AQ117="","",LEN(AQ117)-LEN(SUBSTITUTE(AQ117,".",""))=3,LEFT(AQ117,vitri(".",AQ117,3)-1),LEN(AQ117)-LEN(SUBSTITUTE(AQ117,".",""))=2,LEFT(AQ117,vitri(".",AQ117,2)-1),TRUE,LEFT(AQ117,vitri(".",AQ117,1)-1))</f>
        <v/>
      </c>
    </row>
    <row r="118" spans="13:54" x14ac:dyDescent="0.25">
      <c r="M118" s="382"/>
      <c r="AB118" s="63" t="str">
        <f t="shared" si="4"/>
        <v/>
      </c>
      <c r="AP118" s="210" t="str">
        <f t="shared" si="6"/>
        <v/>
      </c>
      <c r="AQ118" s="263"/>
      <c r="AR118" s="210" t="str">
        <f t="shared" si="7"/>
        <v/>
      </c>
      <c r="AS118" s="217"/>
      <c r="AT118" s="210" t="s">
        <v>503</v>
      </c>
      <c r="AU118" s="263"/>
      <c r="AV118" s="217"/>
      <c r="BB118" s="253" t="str">
        <f t="array" ref="BB118">_xlfn.IFS(AQ118="","",LEN(AQ118)-LEN(SUBSTITUTE(AQ118,".",""))=3,LEFT(AQ118,vitri(".",AQ118,3)-1),LEN(AQ118)-LEN(SUBSTITUTE(AQ118,".",""))=2,LEFT(AQ118,vitri(".",AQ118,2)-1),TRUE,LEFT(AQ118,vitri(".",AQ118,1)-1))</f>
        <v/>
      </c>
    </row>
    <row r="119" spans="13:54" x14ac:dyDescent="0.25">
      <c r="M119" s="382"/>
      <c r="AB119" s="63" t="str">
        <f t="shared" si="4"/>
        <v/>
      </c>
      <c r="AP119" s="210" t="str">
        <f t="shared" si="6"/>
        <v/>
      </c>
      <c r="AQ119" s="263"/>
      <c r="AR119" s="210" t="str">
        <f t="shared" si="7"/>
        <v/>
      </c>
      <c r="AS119" s="217"/>
      <c r="AT119" s="210" t="s">
        <v>503</v>
      </c>
      <c r="AU119" s="263"/>
      <c r="AV119" s="217"/>
      <c r="BB119" s="253" t="str">
        <f t="array" ref="BB119">_xlfn.IFS(AQ119="","",LEN(AQ119)-LEN(SUBSTITUTE(AQ119,".",""))=3,LEFT(AQ119,vitri(".",AQ119,3)-1),LEN(AQ119)-LEN(SUBSTITUTE(AQ119,".",""))=2,LEFT(AQ119,vitri(".",AQ119,2)-1),TRUE,LEFT(AQ119,vitri(".",AQ119,1)-1))</f>
        <v/>
      </c>
    </row>
    <row r="120" spans="13:54" x14ac:dyDescent="0.25">
      <c r="M120" s="382"/>
      <c r="AB120" s="63" t="str">
        <f t="shared" si="4"/>
        <v/>
      </c>
      <c r="AP120" s="210" t="str">
        <f t="shared" si="6"/>
        <v/>
      </c>
      <c r="AQ120" s="263"/>
      <c r="AR120" s="210" t="str">
        <f t="shared" si="7"/>
        <v/>
      </c>
      <c r="AS120" s="217"/>
      <c r="AT120" s="210" t="s">
        <v>503</v>
      </c>
      <c r="AU120" s="263"/>
      <c r="AV120" s="217"/>
      <c r="BB120" s="253" t="str">
        <f t="array" ref="BB120">_xlfn.IFS(AQ120="","",LEN(AQ120)-LEN(SUBSTITUTE(AQ120,".",""))=3,LEFT(AQ120,vitri(".",AQ120,3)-1),LEN(AQ120)-LEN(SUBSTITUTE(AQ120,".",""))=2,LEFT(AQ120,vitri(".",AQ120,2)-1),TRUE,LEFT(AQ120,vitri(".",AQ120,1)-1))</f>
        <v/>
      </c>
    </row>
    <row r="121" spans="13:54" x14ac:dyDescent="0.25">
      <c r="M121" s="382"/>
      <c r="AB121" s="63" t="str">
        <f t="shared" si="4"/>
        <v/>
      </c>
      <c r="AP121" s="210" t="str">
        <f t="shared" si="6"/>
        <v/>
      </c>
      <c r="AQ121" s="263"/>
      <c r="AR121" s="210" t="str">
        <f t="shared" si="7"/>
        <v/>
      </c>
      <c r="AS121" s="217"/>
      <c r="AT121" s="210" t="s">
        <v>503</v>
      </c>
      <c r="AU121" s="263"/>
      <c r="AV121" s="217"/>
      <c r="BB121" s="253" t="str">
        <f t="array" ref="BB121">_xlfn.IFS(AQ121="","",LEN(AQ121)-LEN(SUBSTITUTE(AQ121,".",""))=3,LEFT(AQ121,vitri(".",AQ121,3)-1),LEN(AQ121)-LEN(SUBSTITUTE(AQ121,".",""))=2,LEFT(AQ121,vitri(".",AQ121,2)-1),TRUE,LEFT(AQ121,vitri(".",AQ121,1)-1))</f>
        <v/>
      </c>
    </row>
    <row r="122" spans="13:54" x14ac:dyDescent="0.25">
      <c r="M122" s="382"/>
      <c r="AB122" s="63" t="str">
        <f t="shared" si="4"/>
        <v/>
      </c>
      <c r="AP122" s="210" t="str">
        <f t="shared" si="6"/>
        <v/>
      </c>
      <c r="AQ122" s="263"/>
      <c r="AR122" s="210" t="str">
        <f t="shared" si="7"/>
        <v/>
      </c>
      <c r="AS122" s="217"/>
      <c r="AT122" s="210" t="s">
        <v>503</v>
      </c>
      <c r="AU122" s="263"/>
      <c r="AV122" s="217"/>
      <c r="BB122" s="253" t="str">
        <f t="array" ref="BB122">_xlfn.IFS(AQ122="","",LEN(AQ122)-LEN(SUBSTITUTE(AQ122,".",""))=3,LEFT(AQ122,vitri(".",AQ122,3)-1),LEN(AQ122)-LEN(SUBSTITUTE(AQ122,".",""))=2,LEFT(AQ122,vitri(".",AQ122,2)-1),TRUE,LEFT(AQ122,vitri(".",AQ122,1)-1))</f>
        <v/>
      </c>
    </row>
    <row r="123" spans="13:54" x14ac:dyDescent="0.25">
      <c r="M123" s="382"/>
      <c r="AB123" s="63" t="str">
        <f t="shared" si="4"/>
        <v/>
      </c>
      <c r="AP123" s="210" t="str">
        <f t="shared" si="6"/>
        <v/>
      </c>
      <c r="AQ123" s="263"/>
      <c r="AR123" s="210" t="str">
        <f t="shared" si="7"/>
        <v/>
      </c>
      <c r="AS123" s="217"/>
      <c r="AT123" s="210" t="s">
        <v>503</v>
      </c>
      <c r="AU123" s="263"/>
      <c r="AV123" s="217"/>
      <c r="BB123" s="253" t="str">
        <f t="array" ref="BB123">_xlfn.IFS(AQ123="","",LEN(AQ123)-LEN(SUBSTITUTE(AQ123,".",""))=3,LEFT(AQ123,vitri(".",AQ123,3)-1),LEN(AQ123)-LEN(SUBSTITUTE(AQ123,".",""))=2,LEFT(AQ123,vitri(".",AQ123,2)-1),TRUE,LEFT(AQ123,vitri(".",AQ123,1)-1))</f>
        <v/>
      </c>
    </row>
    <row r="124" spans="13:54" x14ac:dyDescent="0.25">
      <c r="M124" s="382"/>
      <c r="AB124" s="63" t="str">
        <f t="shared" si="4"/>
        <v/>
      </c>
      <c r="AP124" s="210" t="str">
        <f t="shared" si="6"/>
        <v/>
      </c>
      <c r="AQ124" s="263"/>
      <c r="AR124" s="210" t="str">
        <f t="shared" si="7"/>
        <v/>
      </c>
      <c r="AS124" s="217"/>
      <c r="AT124" s="210" t="s">
        <v>503</v>
      </c>
      <c r="AU124" s="263"/>
      <c r="AV124" s="217"/>
      <c r="BB124" s="253" t="str">
        <f t="array" ref="BB124">_xlfn.IFS(AQ124="","",LEN(AQ124)-LEN(SUBSTITUTE(AQ124,".",""))=3,LEFT(AQ124,vitri(".",AQ124,3)-1),LEN(AQ124)-LEN(SUBSTITUTE(AQ124,".",""))=2,LEFT(AQ124,vitri(".",AQ124,2)-1),TRUE,LEFT(AQ124,vitri(".",AQ124,1)-1))</f>
        <v/>
      </c>
    </row>
    <row r="125" spans="13:54" x14ac:dyDescent="0.25">
      <c r="M125" s="382"/>
      <c r="AB125" s="63" t="str">
        <f t="shared" si="4"/>
        <v/>
      </c>
      <c r="AP125" s="210" t="str">
        <f t="shared" si="6"/>
        <v/>
      </c>
      <c r="AQ125" s="263"/>
      <c r="AR125" s="210" t="str">
        <f t="shared" si="7"/>
        <v/>
      </c>
      <c r="AS125" s="217"/>
      <c r="AT125" s="210" t="s">
        <v>503</v>
      </c>
      <c r="AU125" s="263"/>
      <c r="AV125" s="217"/>
      <c r="BB125" s="253" t="str">
        <f t="array" ref="BB125">_xlfn.IFS(AQ125="","",LEN(AQ125)-LEN(SUBSTITUTE(AQ125,".",""))=3,LEFT(AQ125,vitri(".",AQ125,3)-1),LEN(AQ125)-LEN(SUBSTITUTE(AQ125,".",""))=2,LEFT(AQ125,vitri(".",AQ125,2)-1),TRUE,LEFT(AQ125,vitri(".",AQ125,1)-1))</f>
        <v/>
      </c>
    </row>
    <row r="126" spans="13:54" x14ac:dyDescent="0.25">
      <c r="M126" s="382"/>
      <c r="AB126" s="63" t="str">
        <f t="shared" si="4"/>
        <v/>
      </c>
      <c r="AP126" s="210" t="str">
        <f t="shared" si="6"/>
        <v/>
      </c>
      <c r="AQ126" s="263"/>
      <c r="AR126" s="210" t="str">
        <f t="shared" si="7"/>
        <v/>
      </c>
      <c r="AS126" s="217"/>
      <c r="AT126" s="210" t="s">
        <v>503</v>
      </c>
      <c r="AU126" s="263"/>
      <c r="AV126" s="217"/>
      <c r="BB126" s="253" t="str">
        <f t="array" ref="BB126">_xlfn.IFS(AQ126="","",LEN(AQ126)-LEN(SUBSTITUTE(AQ126,".",""))=3,LEFT(AQ126,vitri(".",AQ126,3)-1),LEN(AQ126)-LEN(SUBSTITUTE(AQ126,".",""))=2,LEFT(AQ126,vitri(".",AQ126,2)-1),TRUE,LEFT(AQ126,vitri(".",AQ126,1)-1))</f>
        <v/>
      </c>
    </row>
    <row r="127" spans="13:54" x14ac:dyDescent="0.25">
      <c r="M127" s="382"/>
      <c r="AB127" s="63" t="str">
        <f t="shared" si="4"/>
        <v/>
      </c>
      <c r="AP127" s="210" t="str">
        <f t="shared" si="6"/>
        <v/>
      </c>
      <c r="AQ127" s="263"/>
      <c r="AR127" s="210" t="str">
        <f t="shared" si="7"/>
        <v/>
      </c>
      <c r="AS127" s="217"/>
      <c r="AT127" s="210" t="s">
        <v>503</v>
      </c>
      <c r="AU127" s="263"/>
      <c r="AV127" s="217"/>
      <c r="BB127" s="253" t="str">
        <f t="array" ref="BB127">_xlfn.IFS(AQ127="","",LEN(AQ127)-LEN(SUBSTITUTE(AQ127,".",""))=3,LEFT(AQ127,vitri(".",AQ127,3)-1),LEN(AQ127)-LEN(SUBSTITUTE(AQ127,".",""))=2,LEFT(AQ127,vitri(".",AQ127,2)-1),TRUE,LEFT(AQ127,vitri(".",AQ127,1)-1))</f>
        <v/>
      </c>
    </row>
    <row r="128" spans="13:54" x14ac:dyDescent="0.25">
      <c r="M128" s="382"/>
      <c r="AB128" s="63" t="str">
        <f t="shared" si="4"/>
        <v/>
      </c>
      <c r="AP128" s="210" t="str">
        <f t="shared" si="6"/>
        <v/>
      </c>
      <c r="AQ128" s="263"/>
      <c r="AR128" s="210" t="str">
        <f t="shared" si="7"/>
        <v/>
      </c>
      <c r="AS128" s="217"/>
      <c r="AT128" s="210" t="s">
        <v>503</v>
      </c>
      <c r="AU128" s="263"/>
      <c r="AV128" s="217"/>
      <c r="BB128" s="253" t="str">
        <f t="array" ref="BB128">_xlfn.IFS(AQ128="","",LEN(AQ128)-LEN(SUBSTITUTE(AQ128,".",""))=3,LEFT(AQ128,vitri(".",AQ128,3)-1),LEN(AQ128)-LEN(SUBSTITUTE(AQ128,".",""))=2,LEFT(AQ128,vitri(".",AQ128,2)-1),TRUE,LEFT(AQ128,vitri(".",AQ128,1)-1))</f>
        <v/>
      </c>
    </row>
    <row r="129" spans="13:54" x14ac:dyDescent="0.25">
      <c r="M129" s="382"/>
      <c r="AB129" s="63" t="str">
        <f t="shared" si="4"/>
        <v/>
      </c>
      <c r="AP129" s="210" t="str">
        <f t="shared" si="6"/>
        <v/>
      </c>
      <c r="AQ129" s="263"/>
      <c r="AR129" s="210" t="str">
        <f t="shared" si="7"/>
        <v/>
      </c>
      <c r="AS129" s="217"/>
      <c r="AT129" s="210" t="s">
        <v>503</v>
      </c>
      <c r="AU129" s="263"/>
      <c r="AV129" s="217"/>
      <c r="BB129" s="253" t="str">
        <f t="array" ref="BB129">_xlfn.IFS(AQ129="","",LEN(AQ129)-LEN(SUBSTITUTE(AQ129,".",""))=3,LEFT(AQ129,vitri(".",AQ129,3)-1),LEN(AQ129)-LEN(SUBSTITUTE(AQ129,".",""))=2,LEFT(AQ129,vitri(".",AQ129,2)-1),TRUE,LEFT(AQ129,vitri(".",AQ129,1)-1))</f>
        <v/>
      </c>
    </row>
    <row r="130" spans="13:54" x14ac:dyDescent="0.25">
      <c r="M130" s="382"/>
      <c r="AB130" s="63" t="str">
        <f t="shared" si="4"/>
        <v/>
      </c>
      <c r="AP130" s="210" t="str">
        <f t="shared" si="6"/>
        <v/>
      </c>
      <c r="AQ130" s="263"/>
      <c r="AR130" s="210" t="str">
        <f t="shared" si="7"/>
        <v/>
      </c>
      <c r="AS130" s="217"/>
      <c r="AT130" s="210" t="s">
        <v>503</v>
      </c>
      <c r="AU130" s="263"/>
      <c r="AV130" s="217"/>
      <c r="BB130" s="253" t="str">
        <f t="array" ref="BB130">_xlfn.IFS(AQ130="","",LEN(AQ130)-LEN(SUBSTITUTE(AQ130,".",""))=3,LEFT(AQ130,vitri(".",AQ130,3)-1),LEN(AQ130)-LEN(SUBSTITUTE(AQ130,".",""))=2,LEFT(AQ130,vitri(".",AQ130,2)-1),TRUE,LEFT(AQ130,vitri(".",AQ130,1)-1))</f>
        <v/>
      </c>
    </row>
    <row r="131" spans="13:54" x14ac:dyDescent="0.25">
      <c r="M131" s="382"/>
      <c r="AB131" s="63" t="str">
        <f t="shared" si="4"/>
        <v/>
      </c>
      <c r="AP131" s="210" t="str">
        <f t="shared" si="6"/>
        <v/>
      </c>
      <c r="AQ131" s="263"/>
      <c r="AR131" s="210" t="str">
        <f t="shared" si="7"/>
        <v/>
      </c>
      <c r="AS131" s="217"/>
      <c r="AT131" s="210" t="s">
        <v>503</v>
      </c>
      <c r="AU131" s="263"/>
      <c r="AV131" s="217"/>
      <c r="BB131" s="253" t="str">
        <f t="array" ref="BB131">_xlfn.IFS(AQ131="","",LEN(AQ131)-LEN(SUBSTITUTE(AQ131,".",""))=3,LEFT(AQ131,vitri(".",AQ131,3)-1),LEN(AQ131)-LEN(SUBSTITUTE(AQ131,".",""))=2,LEFT(AQ131,vitri(".",AQ131,2)-1),TRUE,LEFT(AQ131,vitri(".",AQ131,1)-1))</f>
        <v/>
      </c>
    </row>
    <row r="132" spans="13:54" x14ac:dyDescent="0.25">
      <c r="M132" s="382"/>
      <c r="AB132" s="63" t="str">
        <f t="shared" si="4"/>
        <v/>
      </c>
      <c r="AP132" s="210" t="str">
        <f t="shared" si="6"/>
        <v/>
      </c>
      <c r="AQ132" s="263"/>
      <c r="AR132" s="210" t="str">
        <f t="shared" si="7"/>
        <v/>
      </c>
      <c r="AS132" s="217"/>
      <c r="AT132" s="210" t="s">
        <v>503</v>
      </c>
      <c r="AU132" s="263"/>
      <c r="AV132" s="217"/>
      <c r="BB132" s="253" t="str">
        <f t="array" ref="BB132">_xlfn.IFS(AQ132="","",LEN(AQ132)-LEN(SUBSTITUTE(AQ132,".",""))=3,LEFT(AQ132,vitri(".",AQ132,3)-1),LEN(AQ132)-LEN(SUBSTITUTE(AQ132,".",""))=2,LEFT(AQ132,vitri(".",AQ132,2)-1),TRUE,LEFT(AQ132,vitri(".",AQ132,1)-1))</f>
        <v/>
      </c>
    </row>
    <row r="133" spans="13:54" x14ac:dyDescent="0.25">
      <c r="M133" s="382"/>
      <c r="AB133" s="63" t="str">
        <f t="shared" ref="AB133:AB196" si="8">IF(Z133="","",Z133*1)</f>
        <v/>
      </c>
      <c r="AP133" s="210" t="str">
        <f t="shared" si="6"/>
        <v/>
      </c>
      <c r="AQ133" s="263"/>
      <c r="AR133" s="210" t="str">
        <f t="shared" si="7"/>
        <v/>
      </c>
      <c r="AS133" s="217"/>
      <c r="AT133" s="210" t="s">
        <v>503</v>
      </c>
      <c r="AU133" s="263"/>
      <c r="AV133" s="217"/>
      <c r="BB133" s="253" t="str">
        <f t="array" ref="BB133">_xlfn.IFS(AQ133="","",LEN(AQ133)-LEN(SUBSTITUTE(AQ133,".",""))=3,LEFT(AQ133,vitri(".",AQ133,3)-1),LEN(AQ133)-LEN(SUBSTITUTE(AQ133,".",""))=2,LEFT(AQ133,vitri(".",AQ133,2)-1),TRUE,LEFT(AQ133,vitri(".",AQ133,1)-1))</f>
        <v/>
      </c>
    </row>
    <row r="134" spans="13:54" x14ac:dyDescent="0.25">
      <c r="M134" s="382"/>
      <c r="AB134" s="63" t="str">
        <f t="shared" si="8"/>
        <v/>
      </c>
      <c r="AP134" s="210" t="str">
        <f t="shared" ref="AP134:AP197" si="9">IF(AQ134="","",AP133+1)</f>
        <v/>
      </c>
      <c r="AQ134" s="263"/>
      <c r="AR134" s="210" t="str">
        <f t="shared" ref="AR134:AR197" si="10">IF(AP134="","",AP134)</f>
        <v/>
      </c>
      <c r="AS134" s="217"/>
      <c r="AT134" s="210" t="s">
        <v>503</v>
      </c>
      <c r="AU134" s="263"/>
      <c r="AV134" s="217"/>
      <c r="BB134" s="253" t="str">
        <f t="array" ref="BB134">_xlfn.IFS(AQ134="","",LEN(AQ134)-LEN(SUBSTITUTE(AQ134,".",""))=3,LEFT(AQ134,vitri(".",AQ134,3)-1),LEN(AQ134)-LEN(SUBSTITUTE(AQ134,".",""))=2,LEFT(AQ134,vitri(".",AQ134,2)-1),TRUE,LEFT(AQ134,vitri(".",AQ134,1)-1))</f>
        <v/>
      </c>
    </row>
    <row r="135" spans="13:54" x14ac:dyDescent="0.25">
      <c r="M135" s="382"/>
      <c r="AB135" s="63" t="str">
        <f t="shared" si="8"/>
        <v/>
      </c>
      <c r="AP135" s="210" t="str">
        <f t="shared" si="9"/>
        <v/>
      </c>
      <c r="AQ135" s="263"/>
      <c r="AR135" s="210" t="str">
        <f t="shared" si="10"/>
        <v/>
      </c>
      <c r="AS135" s="217"/>
      <c r="AT135" s="210" t="s">
        <v>503</v>
      </c>
      <c r="AU135" s="263"/>
      <c r="AV135" s="217"/>
      <c r="BB135" s="253" t="str">
        <f t="array" ref="BB135">_xlfn.IFS(AQ135="","",LEN(AQ135)-LEN(SUBSTITUTE(AQ135,".",""))=3,LEFT(AQ135,vitri(".",AQ135,3)-1),LEN(AQ135)-LEN(SUBSTITUTE(AQ135,".",""))=2,LEFT(AQ135,vitri(".",AQ135,2)-1),TRUE,LEFT(AQ135,vitri(".",AQ135,1)-1))</f>
        <v/>
      </c>
    </row>
    <row r="136" spans="13:54" x14ac:dyDescent="0.25">
      <c r="M136" s="382"/>
      <c r="AB136" s="63" t="str">
        <f t="shared" si="8"/>
        <v/>
      </c>
      <c r="AP136" s="210" t="str">
        <f t="shared" si="9"/>
        <v/>
      </c>
      <c r="AQ136" s="263"/>
      <c r="AR136" s="210" t="str">
        <f t="shared" si="10"/>
        <v/>
      </c>
      <c r="AS136" s="217"/>
      <c r="AT136" s="210" t="s">
        <v>503</v>
      </c>
      <c r="AU136" s="263"/>
      <c r="AV136" s="217"/>
      <c r="BB136" s="253" t="str">
        <f t="array" ref="BB136">_xlfn.IFS(AQ136="","",LEN(AQ136)-LEN(SUBSTITUTE(AQ136,".",""))=3,LEFT(AQ136,vitri(".",AQ136,3)-1),LEN(AQ136)-LEN(SUBSTITUTE(AQ136,".",""))=2,LEFT(AQ136,vitri(".",AQ136,2)-1),TRUE,LEFT(AQ136,vitri(".",AQ136,1)-1))</f>
        <v/>
      </c>
    </row>
    <row r="137" spans="13:54" x14ac:dyDescent="0.25">
      <c r="M137" s="382"/>
      <c r="AB137" s="63" t="str">
        <f t="shared" si="8"/>
        <v/>
      </c>
      <c r="AP137" s="210" t="str">
        <f t="shared" si="9"/>
        <v/>
      </c>
      <c r="AQ137" s="263"/>
      <c r="AR137" s="210" t="str">
        <f t="shared" si="10"/>
        <v/>
      </c>
      <c r="AS137" s="217"/>
      <c r="AT137" s="210" t="s">
        <v>503</v>
      </c>
      <c r="AU137" s="263"/>
      <c r="AV137" s="217"/>
      <c r="BB137" s="253" t="str">
        <f t="array" ref="BB137">_xlfn.IFS(AQ137="","",LEN(AQ137)-LEN(SUBSTITUTE(AQ137,".",""))=3,LEFT(AQ137,vitri(".",AQ137,3)-1),LEN(AQ137)-LEN(SUBSTITUTE(AQ137,".",""))=2,LEFT(AQ137,vitri(".",AQ137,2)-1),TRUE,LEFT(AQ137,vitri(".",AQ137,1)-1))</f>
        <v/>
      </c>
    </row>
    <row r="138" spans="13:54" x14ac:dyDescent="0.25">
      <c r="M138" s="382"/>
      <c r="AB138" s="63" t="str">
        <f t="shared" si="8"/>
        <v/>
      </c>
      <c r="AP138" s="210" t="str">
        <f t="shared" si="9"/>
        <v/>
      </c>
      <c r="AQ138" s="263"/>
      <c r="AR138" s="210" t="str">
        <f t="shared" si="10"/>
        <v/>
      </c>
      <c r="AS138" s="217"/>
      <c r="AT138" s="210" t="s">
        <v>503</v>
      </c>
      <c r="AU138" s="263"/>
      <c r="AV138" s="217"/>
      <c r="BB138" s="253" t="str">
        <f t="array" ref="BB138">_xlfn.IFS(AQ138="","",LEN(AQ138)-LEN(SUBSTITUTE(AQ138,".",""))=3,LEFT(AQ138,vitri(".",AQ138,3)-1),LEN(AQ138)-LEN(SUBSTITUTE(AQ138,".",""))=2,LEFT(AQ138,vitri(".",AQ138,2)-1),TRUE,LEFT(AQ138,vitri(".",AQ138,1)-1))</f>
        <v/>
      </c>
    </row>
    <row r="139" spans="13:54" x14ac:dyDescent="0.25">
      <c r="M139" s="382"/>
      <c r="AB139" s="63" t="str">
        <f t="shared" si="8"/>
        <v/>
      </c>
      <c r="AP139" s="210" t="str">
        <f t="shared" si="9"/>
        <v/>
      </c>
      <c r="AQ139" s="263"/>
      <c r="AR139" s="210" t="str">
        <f t="shared" si="10"/>
        <v/>
      </c>
      <c r="AS139" s="217"/>
      <c r="AT139" s="210" t="s">
        <v>503</v>
      </c>
      <c r="AU139" s="263"/>
      <c r="AV139" s="217"/>
      <c r="BB139" s="253" t="str">
        <f t="array" ref="BB139">_xlfn.IFS(AQ139="","",LEN(AQ139)-LEN(SUBSTITUTE(AQ139,".",""))=3,LEFT(AQ139,vitri(".",AQ139,3)-1),LEN(AQ139)-LEN(SUBSTITUTE(AQ139,".",""))=2,LEFT(AQ139,vitri(".",AQ139,2)-1),TRUE,LEFT(AQ139,vitri(".",AQ139,1)-1))</f>
        <v/>
      </c>
    </row>
    <row r="140" spans="13:54" x14ac:dyDescent="0.25">
      <c r="M140" s="382"/>
      <c r="AB140" s="63" t="str">
        <f t="shared" si="8"/>
        <v/>
      </c>
      <c r="AP140" s="210" t="str">
        <f t="shared" si="9"/>
        <v/>
      </c>
      <c r="AQ140" s="263"/>
      <c r="AR140" s="210" t="str">
        <f t="shared" si="10"/>
        <v/>
      </c>
      <c r="AS140" s="217"/>
      <c r="AT140" s="210" t="s">
        <v>503</v>
      </c>
      <c r="AU140" s="263"/>
      <c r="AV140" s="217"/>
      <c r="BB140" s="253" t="str">
        <f t="array" ref="BB140">_xlfn.IFS(AQ140="","",LEN(AQ140)-LEN(SUBSTITUTE(AQ140,".",""))=3,LEFT(AQ140,vitri(".",AQ140,3)-1),LEN(AQ140)-LEN(SUBSTITUTE(AQ140,".",""))=2,LEFT(AQ140,vitri(".",AQ140,2)-1),TRUE,LEFT(AQ140,vitri(".",AQ140,1)-1))</f>
        <v/>
      </c>
    </row>
    <row r="141" spans="13:54" x14ac:dyDescent="0.25">
      <c r="M141" s="382"/>
      <c r="AB141" s="63" t="str">
        <f t="shared" si="8"/>
        <v/>
      </c>
      <c r="AP141" s="210" t="str">
        <f t="shared" si="9"/>
        <v/>
      </c>
      <c r="AQ141" s="263"/>
      <c r="AR141" s="210" t="str">
        <f t="shared" si="10"/>
        <v/>
      </c>
      <c r="AS141" s="217"/>
      <c r="AT141" s="210" t="s">
        <v>503</v>
      </c>
      <c r="AU141" s="263"/>
      <c r="AV141" s="217"/>
      <c r="BB141" s="253" t="str">
        <f t="array" ref="BB141">_xlfn.IFS(AQ141="","",LEN(AQ141)-LEN(SUBSTITUTE(AQ141,".",""))=3,LEFT(AQ141,vitri(".",AQ141,3)-1),LEN(AQ141)-LEN(SUBSTITUTE(AQ141,".",""))=2,LEFT(AQ141,vitri(".",AQ141,2)-1),TRUE,LEFT(AQ141,vitri(".",AQ141,1)-1))</f>
        <v/>
      </c>
    </row>
    <row r="142" spans="13:54" x14ac:dyDescent="0.25">
      <c r="M142" s="382"/>
      <c r="AB142" s="63" t="str">
        <f t="shared" si="8"/>
        <v/>
      </c>
      <c r="AP142" s="210" t="str">
        <f t="shared" si="9"/>
        <v/>
      </c>
      <c r="AQ142" s="263"/>
      <c r="AR142" s="210" t="str">
        <f t="shared" si="10"/>
        <v/>
      </c>
      <c r="AS142" s="217"/>
      <c r="AT142" s="210" t="s">
        <v>503</v>
      </c>
      <c r="AU142" s="263"/>
      <c r="AV142" s="217"/>
      <c r="BB142" s="253" t="str">
        <f t="array" ref="BB142">_xlfn.IFS(AQ142="","",LEN(AQ142)-LEN(SUBSTITUTE(AQ142,".",""))=3,LEFT(AQ142,vitri(".",AQ142,3)-1),LEN(AQ142)-LEN(SUBSTITUTE(AQ142,".",""))=2,LEFT(AQ142,vitri(".",AQ142,2)-1),TRUE,LEFT(AQ142,vitri(".",AQ142,1)-1))</f>
        <v/>
      </c>
    </row>
    <row r="143" spans="13:54" x14ac:dyDescent="0.25">
      <c r="M143" s="382"/>
      <c r="AB143" s="63" t="str">
        <f t="shared" si="8"/>
        <v/>
      </c>
      <c r="AP143" s="210" t="str">
        <f t="shared" si="9"/>
        <v/>
      </c>
      <c r="AQ143" s="263"/>
      <c r="AR143" s="210" t="str">
        <f t="shared" si="10"/>
        <v/>
      </c>
      <c r="AS143" s="217"/>
      <c r="AT143" s="210" t="s">
        <v>503</v>
      </c>
      <c r="AU143" s="263"/>
      <c r="AV143" s="217"/>
      <c r="BB143" s="253" t="str">
        <f t="array" ref="BB143">_xlfn.IFS(AQ143="","",LEN(AQ143)-LEN(SUBSTITUTE(AQ143,".",""))=3,LEFT(AQ143,vitri(".",AQ143,3)-1),LEN(AQ143)-LEN(SUBSTITUTE(AQ143,".",""))=2,LEFT(AQ143,vitri(".",AQ143,2)-1),TRUE,LEFT(AQ143,vitri(".",AQ143,1)-1))</f>
        <v/>
      </c>
    </row>
    <row r="144" spans="13:54" x14ac:dyDescent="0.25">
      <c r="M144" s="382"/>
      <c r="AB144" s="63" t="str">
        <f t="shared" si="8"/>
        <v/>
      </c>
      <c r="AP144" s="210" t="str">
        <f t="shared" si="9"/>
        <v/>
      </c>
      <c r="AQ144" s="263"/>
      <c r="AR144" s="210" t="str">
        <f t="shared" si="10"/>
        <v/>
      </c>
      <c r="AS144" s="217"/>
      <c r="AT144" s="210" t="s">
        <v>503</v>
      </c>
      <c r="AU144" s="263"/>
      <c r="AV144" s="217"/>
      <c r="BB144" s="253" t="str">
        <f t="array" ref="BB144">_xlfn.IFS(AQ144="","",LEN(AQ144)-LEN(SUBSTITUTE(AQ144,".",""))=3,LEFT(AQ144,vitri(".",AQ144,3)-1),LEN(AQ144)-LEN(SUBSTITUTE(AQ144,".",""))=2,LEFT(AQ144,vitri(".",AQ144,2)-1),TRUE,LEFT(AQ144,vitri(".",AQ144,1)-1))</f>
        <v/>
      </c>
    </row>
    <row r="145" spans="13:54" x14ac:dyDescent="0.25">
      <c r="M145" s="382"/>
      <c r="AB145" s="63" t="str">
        <f t="shared" si="8"/>
        <v/>
      </c>
      <c r="AP145" s="210" t="str">
        <f t="shared" si="9"/>
        <v/>
      </c>
      <c r="AQ145" s="263"/>
      <c r="AR145" s="210" t="str">
        <f t="shared" si="10"/>
        <v/>
      </c>
      <c r="AS145" s="217"/>
      <c r="AT145" s="210" t="s">
        <v>503</v>
      </c>
      <c r="AU145" s="263"/>
      <c r="AV145" s="217"/>
      <c r="BB145" s="253" t="str">
        <f t="array" ref="BB145">_xlfn.IFS(AQ145="","",LEN(AQ145)-LEN(SUBSTITUTE(AQ145,".",""))=3,LEFT(AQ145,vitri(".",AQ145,3)-1),LEN(AQ145)-LEN(SUBSTITUTE(AQ145,".",""))=2,LEFT(AQ145,vitri(".",AQ145,2)-1),TRUE,LEFT(AQ145,vitri(".",AQ145,1)-1))</f>
        <v/>
      </c>
    </row>
    <row r="146" spans="13:54" x14ac:dyDescent="0.25">
      <c r="M146" s="382"/>
      <c r="AB146" s="63" t="str">
        <f t="shared" si="8"/>
        <v/>
      </c>
      <c r="AP146" s="210" t="str">
        <f t="shared" si="9"/>
        <v/>
      </c>
      <c r="AQ146" s="263"/>
      <c r="AR146" s="210" t="str">
        <f t="shared" si="10"/>
        <v/>
      </c>
      <c r="AS146" s="217"/>
      <c r="AT146" s="210" t="s">
        <v>503</v>
      </c>
      <c r="AU146" s="263"/>
      <c r="AV146" s="217"/>
      <c r="BB146" s="253" t="str">
        <f t="array" ref="BB146">_xlfn.IFS(AQ146="","",LEN(AQ146)-LEN(SUBSTITUTE(AQ146,".",""))=3,LEFT(AQ146,vitri(".",AQ146,3)-1),LEN(AQ146)-LEN(SUBSTITUTE(AQ146,".",""))=2,LEFT(AQ146,vitri(".",AQ146,2)-1),TRUE,LEFT(AQ146,vitri(".",AQ146,1)-1))</f>
        <v/>
      </c>
    </row>
    <row r="147" spans="13:54" x14ac:dyDescent="0.25">
      <c r="M147" s="382"/>
      <c r="AB147" s="63" t="str">
        <f t="shared" si="8"/>
        <v/>
      </c>
      <c r="AP147" s="210" t="str">
        <f t="shared" si="9"/>
        <v/>
      </c>
      <c r="AQ147" s="263"/>
      <c r="AR147" s="210" t="str">
        <f t="shared" si="10"/>
        <v/>
      </c>
      <c r="AS147" s="217"/>
      <c r="AT147" s="210" t="s">
        <v>503</v>
      </c>
      <c r="AU147" s="263"/>
      <c r="AV147" s="217"/>
      <c r="BB147" s="253" t="str">
        <f t="array" ref="BB147">_xlfn.IFS(AQ147="","",LEN(AQ147)-LEN(SUBSTITUTE(AQ147,".",""))=3,LEFT(AQ147,vitri(".",AQ147,3)-1),LEN(AQ147)-LEN(SUBSTITUTE(AQ147,".",""))=2,LEFT(AQ147,vitri(".",AQ147,2)-1),TRUE,LEFT(AQ147,vitri(".",AQ147,1)-1))</f>
        <v/>
      </c>
    </row>
    <row r="148" spans="13:54" x14ac:dyDescent="0.25">
      <c r="M148" s="382"/>
      <c r="AB148" s="63" t="str">
        <f t="shared" si="8"/>
        <v/>
      </c>
      <c r="AP148" s="210" t="str">
        <f t="shared" si="9"/>
        <v/>
      </c>
      <c r="AQ148" s="263"/>
      <c r="AR148" s="210" t="str">
        <f t="shared" si="10"/>
        <v/>
      </c>
      <c r="AS148" s="217"/>
      <c r="AT148" s="210" t="s">
        <v>503</v>
      </c>
      <c r="AU148" s="263"/>
      <c r="AV148" s="217"/>
      <c r="BB148" s="253" t="str">
        <f t="array" ref="BB148">_xlfn.IFS(AQ148="","",LEN(AQ148)-LEN(SUBSTITUTE(AQ148,".",""))=3,LEFT(AQ148,vitri(".",AQ148,3)-1),LEN(AQ148)-LEN(SUBSTITUTE(AQ148,".",""))=2,LEFT(AQ148,vitri(".",AQ148,2)-1),TRUE,LEFT(AQ148,vitri(".",AQ148,1)-1))</f>
        <v/>
      </c>
    </row>
    <row r="149" spans="13:54" x14ac:dyDescent="0.25">
      <c r="M149" s="382"/>
      <c r="AB149" s="63" t="str">
        <f t="shared" si="8"/>
        <v/>
      </c>
      <c r="AP149" s="210" t="str">
        <f t="shared" si="9"/>
        <v/>
      </c>
      <c r="AQ149" s="263"/>
      <c r="AR149" s="210" t="str">
        <f t="shared" si="10"/>
        <v/>
      </c>
      <c r="AS149" s="217"/>
      <c r="AT149" s="210" t="s">
        <v>503</v>
      </c>
      <c r="AU149" s="263"/>
      <c r="AV149" s="217"/>
      <c r="BB149" s="253" t="str">
        <f t="array" ref="BB149">_xlfn.IFS(AQ149="","",LEN(AQ149)-LEN(SUBSTITUTE(AQ149,".",""))=3,LEFT(AQ149,vitri(".",AQ149,3)-1),LEN(AQ149)-LEN(SUBSTITUTE(AQ149,".",""))=2,LEFT(AQ149,vitri(".",AQ149,2)-1),TRUE,LEFT(AQ149,vitri(".",AQ149,1)-1))</f>
        <v/>
      </c>
    </row>
    <row r="150" spans="13:54" x14ac:dyDescent="0.25">
      <c r="M150" s="382"/>
      <c r="AB150" s="63" t="str">
        <f t="shared" si="8"/>
        <v/>
      </c>
      <c r="AP150" s="210" t="str">
        <f t="shared" si="9"/>
        <v/>
      </c>
      <c r="AQ150" s="263"/>
      <c r="AR150" s="210" t="str">
        <f t="shared" si="10"/>
        <v/>
      </c>
      <c r="AS150" s="217"/>
      <c r="AT150" s="210" t="s">
        <v>503</v>
      </c>
      <c r="AU150" s="263"/>
      <c r="AV150" s="217"/>
      <c r="BB150" s="253" t="str">
        <f t="array" ref="BB150">_xlfn.IFS(AQ150="","",LEN(AQ150)-LEN(SUBSTITUTE(AQ150,".",""))=3,LEFT(AQ150,vitri(".",AQ150,3)-1),LEN(AQ150)-LEN(SUBSTITUTE(AQ150,".",""))=2,LEFT(AQ150,vitri(".",AQ150,2)-1),TRUE,LEFT(AQ150,vitri(".",AQ150,1)-1))</f>
        <v/>
      </c>
    </row>
    <row r="151" spans="13:54" x14ac:dyDescent="0.25">
      <c r="M151" s="382"/>
      <c r="AB151" s="63" t="str">
        <f t="shared" si="8"/>
        <v/>
      </c>
      <c r="AP151" s="210" t="str">
        <f t="shared" si="9"/>
        <v/>
      </c>
      <c r="AQ151" s="263"/>
      <c r="AR151" s="210" t="str">
        <f t="shared" si="10"/>
        <v/>
      </c>
      <c r="AS151" s="217"/>
      <c r="AT151" s="210" t="s">
        <v>503</v>
      </c>
      <c r="AU151" s="263"/>
      <c r="AV151" s="217"/>
      <c r="BB151" s="253" t="str">
        <f t="array" ref="BB151">_xlfn.IFS(AQ151="","",LEN(AQ151)-LEN(SUBSTITUTE(AQ151,".",""))=3,LEFT(AQ151,vitri(".",AQ151,3)-1),LEN(AQ151)-LEN(SUBSTITUTE(AQ151,".",""))=2,LEFT(AQ151,vitri(".",AQ151,2)-1),TRUE,LEFT(AQ151,vitri(".",AQ151,1)-1))</f>
        <v/>
      </c>
    </row>
    <row r="152" spans="13:54" x14ac:dyDescent="0.25">
      <c r="M152" s="382"/>
      <c r="AB152" s="63" t="str">
        <f t="shared" si="8"/>
        <v/>
      </c>
      <c r="AP152" s="210" t="str">
        <f t="shared" si="9"/>
        <v/>
      </c>
      <c r="AQ152" s="263"/>
      <c r="AR152" s="210" t="str">
        <f t="shared" si="10"/>
        <v/>
      </c>
      <c r="AS152" s="217"/>
      <c r="AT152" s="210" t="s">
        <v>503</v>
      </c>
      <c r="AU152" s="263"/>
      <c r="AV152" s="217"/>
      <c r="BB152" s="253" t="str">
        <f t="array" ref="BB152">_xlfn.IFS(AQ152="","",LEN(AQ152)-LEN(SUBSTITUTE(AQ152,".",""))=3,LEFT(AQ152,vitri(".",AQ152,3)-1),LEN(AQ152)-LEN(SUBSTITUTE(AQ152,".",""))=2,LEFT(AQ152,vitri(".",AQ152,2)-1),TRUE,LEFT(AQ152,vitri(".",AQ152,1)-1))</f>
        <v/>
      </c>
    </row>
    <row r="153" spans="13:54" x14ac:dyDescent="0.25">
      <c r="M153" s="382"/>
      <c r="AB153" s="63" t="str">
        <f t="shared" si="8"/>
        <v/>
      </c>
      <c r="AP153" s="210" t="str">
        <f t="shared" si="9"/>
        <v/>
      </c>
      <c r="AQ153" s="263"/>
      <c r="AR153" s="210" t="str">
        <f t="shared" si="10"/>
        <v/>
      </c>
      <c r="AS153" s="217"/>
      <c r="AT153" s="210" t="s">
        <v>503</v>
      </c>
      <c r="AU153" s="263"/>
      <c r="AV153" s="217"/>
      <c r="BB153" s="253" t="str">
        <f t="array" ref="BB153">_xlfn.IFS(AQ153="","",LEN(AQ153)-LEN(SUBSTITUTE(AQ153,".",""))=3,LEFT(AQ153,vitri(".",AQ153,3)-1),LEN(AQ153)-LEN(SUBSTITUTE(AQ153,".",""))=2,LEFT(AQ153,vitri(".",AQ153,2)-1),TRUE,LEFT(AQ153,vitri(".",AQ153,1)-1))</f>
        <v/>
      </c>
    </row>
    <row r="154" spans="13:54" x14ac:dyDescent="0.25">
      <c r="M154" s="382"/>
      <c r="AB154" s="63" t="str">
        <f t="shared" si="8"/>
        <v/>
      </c>
      <c r="AP154" s="210" t="str">
        <f t="shared" si="9"/>
        <v/>
      </c>
      <c r="AQ154" s="263"/>
      <c r="AR154" s="210" t="str">
        <f t="shared" si="10"/>
        <v/>
      </c>
      <c r="AS154" s="217"/>
      <c r="AT154" s="210" t="s">
        <v>503</v>
      </c>
      <c r="AU154" s="263"/>
      <c r="AV154" s="217"/>
      <c r="BB154" s="253" t="str">
        <f t="array" ref="BB154">_xlfn.IFS(AQ154="","",LEN(AQ154)-LEN(SUBSTITUTE(AQ154,".",""))=3,LEFT(AQ154,vitri(".",AQ154,3)-1),LEN(AQ154)-LEN(SUBSTITUTE(AQ154,".",""))=2,LEFT(AQ154,vitri(".",AQ154,2)-1),TRUE,LEFT(AQ154,vitri(".",AQ154,1)-1))</f>
        <v/>
      </c>
    </row>
    <row r="155" spans="13:54" x14ac:dyDescent="0.25">
      <c r="M155" s="382"/>
      <c r="AB155" s="63" t="str">
        <f t="shared" si="8"/>
        <v/>
      </c>
      <c r="AP155" s="210" t="str">
        <f t="shared" si="9"/>
        <v/>
      </c>
      <c r="AQ155" s="263"/>
      <c r="AR155" s="210" t="str">
        <f t="shared" si="10"/>
        <v/>
      </c>
      <c r="AS155" s="217"/>
      <c r="AT155" s="210" t="s">
        <v>503</v>
      </c>
      <c r="AU155" s="263"/>
      <c r="AV155" s="217"/>
      <c r="BB155" s="253" t="str">
        <f t="array" ref="BB155">_xlfn.IFS(AQ155="","",LEN(AQ155)-LEN(SUBSTITUTE(AQ155,".",""))=3,LEFT(AQ155,vitri(".",AQ155,3)-1),LEN(AQ155)-LEN(SUBSTITUTE(AQ155,".",""))=2,LEFT(AQ155,vitri(".",AQ155,2)-1),TRUE,LEFT(AQ155,vitri(".",AQ155,1)-1))</f>
        <v/>
      </c>
    </row>
    <row r="156" spans="13:54" x14ac:dyDescent="0.25">
      <c r="M156" s="382"/>
      <c r="AB156" s="63" t="str">
        <f t="shared" si="8"/>
        <v/>
      </c>
      <c r="AP156" s="210" t="str">
        <f t="shared" si="9"/>
        <v/>
      </c>
      <c r="AQ156" s="263"/>
      <c r="AR156" s="210" t="str">
        <f t="shared" si="10"/>
        <v/>
      </c>
      <c r="AS156" s="217"/>
      <c r="AT156" s="210" t="s">
        <v>503</v>
      </c>
      <c r="AU156" s="263"/>
      <c r="AV156" s="217"/>
      <c r="BB156" s="253" t="str">
        <f t="array" ref="BB156">_xlfn.IFS(AQ156="","",LEN(AQ156)-LEN(SUBSTITUTE(AQ156,".",""))=3,LEFT(AQ156,vitri(".",AQ156,3)-1),LEN(AQ156)-LEN(SUBSTITUTE(AQ156,".",""))=2,LEFT(AQ156,vitri(".",AQ156,2)-1),TRUE,LEFT(AQ156,vitri(".",AQ156,1)-1))</f>
        <v/>
      </c>
    </row>
    <row r="157" spans="13:54" x14ac:dyDescent="0.25">
      <c r="M157" s="382"/>
      <c r="AB157" s="63" t="str">
        <f t="shared" si="8"/>
        <v/>
      </c>
      <c r="AP157" s="210" t="str">
        <f t="shared" si="9"/>
        <v/>
      </c>
      <c r="AQ157" s="263"/>
      <c r="AR157" s="210" t="str">
        <f t="shared" si="10"/>
        <v/>
      </c>
      <c r="AS157" s="217"/>
      <c r="AT157" s="210" t="s">
        <v>503</v>
      </c>
      <c r="AU157" s="263"/>
      <c r="AV157" s="217"/>
      <c r="BB157" s="253" t="str">
        <f t="array" ref="BB157">_xlfn.IFS(AQ157="","",LEN(AQ157)-LEN(SUBSTITUTE(AQ157,".",""))=3,LEFT(AQ157,vitri(".",AQ157,3)-1),LEN(AQ157)-LEN(SUBSTITUTE(AQ157,".",""))=2,LEFT(AQ157,vitri(".",AQ157,2)-1),TRUE,LEFT(AQ157,vitri(".",AQ157,1)-1))</f>
        <v/>
      </c>
    </row>
    <row r="158" spans="13:54" x14ac:dyDescent="0.25">
      <c r="M158" s="382"/>
      <c r="AB158" s="63" t="str">
        <f t="shared" si="8"/>
        <v/>
      </c>
      <c r="AP158" s="210" t="str">
        <f t="shared" si="9"/>
        <v/>
      </c>
      <c r="AQ158" s="263"/>
      <c r="AR158" s="210" t="str">
        <f t="shared" si="10"/>
        <v/>
      </c>
      <c r="AS158" s="217"/>
      <c r="AT158" s="210" t="s">
        <v>503</v>
      </c>
      <c r="AU158" s="263"/>
      <c r="AV158" s="217"/>
      <c r="BB158" s="253" t="str">
        <f t="array" ref="BB158">_xlfn.IFS(AQ158="","",LEN(AQ158)-LEN(SUBSTITUTE(AQ158,".",""))=3,LEFT(AQ158,vitri(".",AQ158,3)-1),LEN(AQ158)-LEN(SUBSTITUTE(AQ158,".",""))=2,LEFT(AQ158,vitri(".",AQ158,2)-1),TRUE,LEFT(AQ158,vitri(".",AQ158,1)-1))</f>
        <v/>
      </c>
    </row>
    <row r="159" spans="13:54" x14ac:dyDescent="0.25">
      <c r="M159" s="382"/>
      <c r="AB159" s="63" t="str">
        <f t="shared" si="8"/>
        <v/>
      </c>
      <c r="AP159" s="210" t="str">
        <f t="shared" si="9"/>
        <v/>
      </c>
      <c r="AQ159" s="263"/>
      <c r="AR159" s="210" t="str">
        <f t="shared" si="10"/>
        <v/>
      </c>
      <c r="AS159" s="217"/>
      <c r="AT159" s="210" t="s">
        <v>503</v>
      </c>
      <c r="AU159" s="263"/>
      <c r="AV159" s="217"/>
      <c r="BB159" s="253" t="str">
        <f t="array" ref="BB159">_xlfn.IFS(AQ159="","",LEN(AQ159)-LEN(SUBSTITUTE(AQ159,".",""))=3,LEFT(AQ159,vitri(".",AQ159,3)-1),LEN(AQ159)-LEN(SUBSTITUTE(AQ159,".",""))=2,LEFT(AQ159,vitri(".",AQ159,2)-1),TRUE,LEFT(AQ159,vitri(".",AQ159,1)-1))</f>
        <v/>
      </c>
    </row>
    <row r="160" spans="13:54" x14ac:dyDescent="0.25">
      <c r="M160" s="382"/>
      <c r="AB160" s="63" t="str">
        <f t="shared" si="8"/>
        <v/>
      </c>
      <c r="AP160" s="210" t="str">
        <f t="shared" si="9"/>
        <v/>
      </c>
      <c r="AQ160" s="263"/>
      <c r="AR160" s="210" t="str">
        <f t="shared" si="10"/>
        <v/>
      </c>
      <c r="AS160" s="217"/>
      <c r="AT160" s="210" t="s">
        <v>503</v>
      </c>
      <c r="AU160" s="263"/>
      <c r="AV160" s="217"/>
      <c r="BB160" s="253" t="str">
        <f t="array" ref="BB160">_xlfn.IFS(AQ160="","",LEN(AQ160)-LEN(SUBSTITUTE(AQ160,".",""))=3,LEFT(AQ160,vitri(".",AQ160,3)-1),LEN(AQ160)-LEN(SUBSTITUTE(AQ160,".",""))=2,LEFT(AQ160,vitri(".",AQ160,2)-1),TRUE,LEFT(AQ160,vitri(".",AQ160,1)-1))</f>
        <v/>
      </c>
    </row>
    <row r="161" spans="13:54" x14ac:dyDescent="0.25">
      <c r="M161" s="382"/>
      <c r="AB161" s="63" t="str">
        <f t="shared" si="8"/>
        <v/>
      </c>
      <c r="AP161" s="210" t="str">
        <f t="shared" si="9"/>
        <v/>
      </c>
      <c r="AQ161" s="263"/>
      <c r="AR161" s="210" t="str">
        <f t="shared" si="10"/>
        <v/>
      </c>
      <c r="AS161" s="217"/>
      <c r="AT161" s="210" t="s">
        <v>503</v>
      </c>
      <c r="AU161" s="263"/>
      <c r="AV161" s="217"/>
      <c r="BB161" s="253" t="str">
        <f t="array" ref="BB161">_xlfn.IFS(AQ161="","",LEN(AQ161)-LEN(SUBSTITUTE(AQ161,".",""))=3,LEFT(AQ161,vitri(".",AQ161,3)-1),LEN(AQ161)-LEN(SUBSTITUTE(AQ161,".",""))=2,LEFT(AQ161,vitri(".",AQ161,2)-1),TRUE,LEFT(AQ161,vitri(".",AQ161,1)-1))</f>
        <v/>
      </c>
    </row>
    <row r="162" spans="13:54" x14ac:dyDescent="0.25">
      <c r="M162" s="382"/>
      <c r="AB162" s="63" t="str">
        <f t="shared" si="8"/>
        <v/>
      </c>
      <c r="AP162" s="210" t="str">
        <f t="shared" si="9"/>
        <v/>
      </c>
      <c r="AQ162" s="263"/>
      <c r="AR162" s="210" t="str">
        <f t="shared" si="10"/>
        <v/>
      </c>
      <c r="AS162" s="217"/>
      <c r="AT162" s="210" t="s">
        <v>503</v>
      </c>
      <c r="AU162" s="263"/>
      <c r="AV162" s="217"/>
      <c r="BB162" s="253" t="str">
        <f t="array" ref="BB162">_xlfn.IFS(AQ162="","",LEN(AQ162)-LEN(SUBSTITUTE(AQ162,".",""))=3,LEFT(AQ162,vitri(".",AQ162,3)-1),LEN(AQ162)-LEN(SUBSTITUTE(AQ162,".",""))=2,LEFT(AQ162,vitri(".",AQ162,2)-1),TRUE,LEFT(AQ162,vitri(".",AQ162,1)-1))</f>
        <v/>
      </c>
    </row>
    <row r="163" spans="13:54" x14ac:dyDescent="0.25">
      <c r="M163" s="382"/>
      <c r="AB163" s="63" t="str">
        <f t="shared" si="8"/>
        <v/>
      </c>
      <c r="AP163" s="210" t="str">
        <f t="shared" si="9"/>
        <v/>
      </c>
      <c r="AQ163" s="263"/>
      <c r="AR163" s="210" t="str">
        <f t="shared" si="10"/>
        <v/>
      </c>
      <c r="AS163" s="217"/>
      <c r="AT163" s="210" t="s">
        <v>503</v>
      </c>
      <c r="AU163" s="263"/>
      <c r="AV163" s="217"/>
      <c r="BB163" s="253" t="str">
        <f t="array" ref="BB163">_xlfn.IFS(AQ163="","",LEN(AQ163)-LEN(SUBSTITUTE(AQ163,".",""))=3,LEFT(AQ163,vitri(".",AQ163,3)-1),LEN(AQ163)-LEN(SUBSTITUTE(AQ163,".",""))=2,LEFT(AQ163,vitri(".",AQ163,2)-1),TRUE,LEFT(AQ163,vitri(".",AQ163,1)-1))</f>
        <v/>
      </c>
    </row>
    <row r="164" spans="13:54" x14ac:dyDescent="0.25">
      <c r="M164" s="382"/>
      <c r="AB164" s="63" t="str">
        <f t="shared" si="8"/>
        <v/>
      </c>
      <c r="AP164" s="210" t="str">
        <f t="shared" si="9"/>
        <v/>
      </c>
      <c r="AQ164" s="263"/>
      <c r="AR164" s="210" t="str">
        <f t="shared" si="10"/>
        <v/>
      </c>
      <c r="AS164" s="217"/>
      <c r="AT164" s="210" t="s">
        <v>503</v>
      </c>
      <c r="AU164" s="263"/>
      <c r="AV164" s="217"/>
      <c r="BB164" s="253" t="str">
        <f t="array" ref="BB164">_xlfn.IFS(AQ164="","",LEN(AQ164)-LEN(SUBSTITUTE(AQ164,".",""))=3,LEFT(AQ164,vitri(".",AQ164,3)-1),LEN(AQ164)-LEN(SUBSTITUTE(AQ164,".",""))=2,LEFT(AQ164,vitri(".",AQ164,2)-1),TRUE,LEFT(AQ164,vitri(".",AQ164,1)-1))</f>
        <v/>
      </c>
    </row>
    <row r="165" spans="13:54" x14ac:dyDescent="0.25">
      <c r="M165" s="382"/>
      <c r="AB165" s="63" t="str">
        <f t="shared" si="8"/>
        <v/>
      </c>
      <c r="AP165" s="210" t="str">
        <f t="shared" si="9"/>
        <v/>
      </c>
      <c r="AQ165" s="263"/>
      <c r="AR165" s="210" t="str">
        <f t="shared" si="10"/>
        <v/>
      </c>
      <c r="AS165" s="217"/>
      <c r="AT165" s="210" t="s">
        <v>503</v>
      </c>
      <c r="AU165" s="263"/>
      <c r="AV165" s="217"/>
      <c r="BB165" s="253" t="str">
        <f t="array" ref="BB165">_xlfn.IFS(AQ165="","",LEN(AQ165)-LEN(SUBSTITUTE(AQ165,".",""))=3,LEFT(AQ165,vitri(".",AQ165,3)-1),LEN(AQ165)-LEN(SUBSTITUTE(AQ165,".",""))=2,LEFT(AQ165,vitri(".",AQ165,2)-1),TRUE,LEFT(AQ165,vitri(".",AQ165,1)-1))</f>
        <v/>
      </c>
    </row>
    <row r="166" spans="13:54" x14ac:dyDescent="0.25">
      <c r="M166" s="382"/>
      <c r="AB166" s="63" t="str">
        <f t="shared" si="8"/>
        <v/>
      </c>
      <c r="AP166" s="210" t="str">
        <f t="shared" si="9"/>
        <v/>
      </c>
      <c r="AQ166" s="263"/>
      <c r="AR166" s="210" t="str">
        <f t="shared" si="10"/>
        <v/>
      </c>
      <c r="AS166" s="217"/>
      <c r="AT166" s="210" t="s">
        <v>503</v>
      </c>
      <c r="AU166" s="263"/>
      <c r="AV166" s="217"/>
      <c r="BB166" s="253" t="str">
        <f t="array" ref="BB166">_xlfn.IFS(AQ166="","",LEN(AQ166)-LEN(SUBSTITUTE(AQ166,".",""))=3,LEFT(AQ166,vitri(".",AQ166,3)-1),LEN(AQ166)-LEN(SUBSTITUTE(AQ166,".",""))=2,LEFT(AQ166,vitri(".",AQ166,2)-1),TRUE,LEFT(AQ166,vitri(".",AQ166,1)-1))</f>
        <v/>
      </c>
    </row>
    <row r="167" spans="13:54" x14ac:dyDescent="0.25">
      <c r="M167" s="382"/>
      <c r="AB167" s="63" t="str">
        <f t="shared" si="8"/>
        <v/>
      </c>
      <c r="AP167" s="210" t="str">
        <f t="shared" si="9"/>
        <v/>
      </c>
      <c r="AQ167" s="263"/>
      <c r="AR167" s="210" t="str">
        <f t="shared" si="10"/>
        <v/>
      </c>
      <c r="AS167" s="217"/>
      <c r="AT167" s="210" t="s">
        <v>503</v>
      </c>
      <c r="AU167" s="263"/>
      <c r="AV167" s="217"/>
      <c r="BB167" s="253" t="str">
        <f t="array" ref="BB167">_xlfn.IFS(AQ167="","",LEN(AQ167)-LEN(SUBSTITUTE(AQ167,".",""))=3,LEFT(AQ167,vitri(".",AQ167,3)-1),LEN(AQ167)-LEN(SUBSTITUTE(AQ167,".",""))=2,LEFT(AQ167,vitri(".",AQ167,2)-1),TRUE,LEFT(AQ167,vitri(".",AQ167,1)-1))</f>
        <v/>
      </c>
    </row>
    <row r="168" spans="13:54" x14ac:dyDescent="0.25">
      <c r="M168" s="382"/>
      <c r="AB168" s="63" t="str">
        <f t="shared" si="8"/>
        <v/>
      </c>
      <c r="AP168" s="210" t="str">
        <f t="shared" si="9"/>
        <v/>
      </c>
      <c r="AQ168" s="263"/>
      <c r="AR168" s="210" t="str">
        <f t="shared" si="10"/>
        <v/>
      </c>
      <c r="AS168" s="217"/>
      <c r="AT168" s="210" t="s">
        <v>503</v>
      </c>
      <c r="AU168" s="263"/>
      <c r="AV168" s="217"/>
      <c r="BB168" s="253" t="str">
        <f t="array" ref="BB168">_xlfn.IFS(AQ168="","",LEN(AQ168)-LEN(SUBSTITUTE(AQ168,".",""))=3,LEFT(AQ168,vitri(".",AQ168,3)-1),LEN(AQ168)-LEN(SUBSTITUTE(AQ168,".",""))=2,LEFT(AQ168,vitri(".",AQ168,2)-1),TRUE,LEFT(AQ168,vitri(".",AQ168,1)-1))</f>
        <v/>
      </c>
    </row>
    <row r="169" spans="13:54" x14ac:dyDescent="0.25">
      <c r="M169" s="382"/>
      <c r="AB169" s="63" t="str">
        <f t="shared" si="8"/>
        <v/>
      </c>
      <c r="AP169" s="210" t="str">
        <f t="shared" si="9"/>
        <v/>
      </c>
      <c r="AQ169" s="263"/>
      <c r="AR169" s="210" t="str">
        <f t="shared" si="10"/>
        <v/>
      </c>
      <c r="AS169" s="217"/>
      <c r="AT169" s="210" t="s">
        <v>503</v>
      </c>
      <c r="AU169" s="263"/>
      <c r="AV169" s="217"/>
      <c r="BB169" s="253" t="str">
        <f t="array" ref="BB169">_xlfn.IFS(AQ169="","",LEN(AQ169)-LEN(SUBSTITUTE(AQ169,".",""))=3,LEFT(AQ169,vitri(".",AQ169,3)-1),LEN(AQ169)-LEN(SUBSTITUTE(AQ169,".",""))=2,LEFT(AQ169,vitri(".",AQ169,2)-1),TRUE,LEFT(AQ169,vitri(".",AQ169,1)-1))</f>
        <v/>
      </c>
    </row>
    <row r="170" spans="13:54" x14ac:dyDescent="0.25">
      <c r="M170" s="382"/>
      <c r="AB170" s="63" t="str">
        <f t="shared" si="8"/>
        <v/>
      </c>
      <c r="AP170" s="210" t="str">
        <f t="shared" si="9"/>
        <v/>
      </c>
      <c r="AQ170" s="263"/>
      <c r="AR170" s="210" t="str">
        <f t="shared" si="10"/>
        <v/>
      </c>
      <c r="AS170" s="217"/>
      <c r="AT170" s="210" t="s">
        <v>503</v>
      </c>
      <c r="AU170" s="263"/>
      <c r="AV170" s="217"/>
      <c r="BB170" s="253" t="str">
        <f t="array" ref="BB170">_xlfn.IFS(AQ170="","",LEN(AQ170)-LEN(SUBSTITUTE(AQ170,".",""))=3,LEFT(AQ170,vitri(".",AQ170,3)-1),LEN(AQ170)-LEN(SUBSTITUTE(AQ170,".",""))=2,LEFT(AQ170,vitri(".",AQ170,2)-1),TRUE,LEFT(AQ170,vitri(".",AQ170,1)-1))</f>
        <v/>
      </c>
    </row>
    <row r="171" spans="13:54" x14ac:dyDescent="0.25">
      <c r="M171" s="382"/>
      <c r="AB171" s="63" t="str">
        <f t="shared" si="8"/>
        <v/>
      </c>
      <c r="AP171" s="210" t="str">
        <f t="shared" si="9"/>
        <v/>
      </c>
      <c r="AQ171" s="263"/>
      <c r="AR171" s="210" t="str">
        <f t="shared" si="10"/>
        <v/>
      </c>
      <c r="AS171" s="217"/>
      <c r="AT171" s="210" t="s">
        <v>503</v>
      </c>
      <c r="AU171" s="263"/>
      <c r="AV171" s="217"/>
      <c r="BB171" s="253" t="str">
        <f t="array" ref="BB171">_xlfn.IFS(AQ171="","",LEN(AQ171)-LEN(SUBSTITUTE(AQ171,".",""))=3,LEFT(AQ171,vitri(".",AQ171,3)-1),LEN(AQ171)-LEN(SUBSTITUTE(AQ171,".",""))=2,LEFT(AQ171,vitri(".",AQ171,2)-1),TRUE,LEFT(AQ171,vitri(".",AQ171,1)-1))</f>
        <v/>
      </c>
    </row>
    <row r="172" spans="13:54" x14ac:dyDescent="0.25">
      <c r="M172" s="382"/>
      <c r="AB172" s="63" t="str">
        <f t="shared" si="8"/>
        <v/>
      </c>
      <c r="AP172" s="210" t="str">
        <f t="shared" si="9"/>
        <v/>
      </c>
      <c r="AQ172" s="263"/>
      <c r="AR172" s="210" t="str">
        <f t="shared" si="10"/>
        <v/>
      </c>
      <c r="AS172" s="217"/>
      <c r="AT172" s="210" t="s">
        <v>503</v>
      </c>
      <c r="AU172" s="263"/>
      <c r="AV172" s="217"/>
      <c r="BB172" s="253" t="str">
        <f t="array" ref="BB172">_xlfn.IFS(AQ172="","",LEN(AQ172)-LEN(SUBSTITUTE(AQ172,".",""))=3,LEFT(AQ172,vitri(".",AQ172,3)-1),LEN(AQ172)-LEN(SUBSTITUTE(AQ172,".",""))=2,LEFT(AQ172,vitri(".",AQ172,2)-1),TRUE,LEFT(AQ172,vitri(".",AQ172,1)-1))</f>
        <v/>
      </c>
    </row>
    <row r="173" spans="13:54" x14ac:dyDescent="0.25">
      <c r="M173" s="382"/>
      <c r="AB173" s="63" t="str">
        <f t="shared" si="8"/>
        <v/>
      </c>
      <c r="AP173" s="210" t="str">
        <f t="shared" si="9"/>
        <v/>
      </c>
      <c r="AQ173" s="263"/>
      <c r="AR173" s="210" t="str">
        <f t="shared" si="10"/>
        <v/>
      </c>
      <c r="AS173" s="217"/>
      <c r="AT173" s="210" t="s">
        <v>503</v>
      </c>
      <c r="AU173" s="263"/>
      <c r="AV173" s="217"/>
      <c r="BB173" s="253" t="str">
        <f t="array" ref="BB173">_xlfn.IFS(AQ173="","",LEN(AQ173)-LEN(SUBSTITUTE(AQ173,".",""))=3,LEFT(AQ173,vitri(".",AQ173,3)-1),LEN(AQ173)-LEN(SUBSTITUTE(AQ173,".",""))=2,LEFT(AQ173,vitri(".",AQ173,2)-1),TRUE,LEFT(AQ173,vitri(".",AQ173,1)-1))</f>
        <v/>
      </c>
    </row>
    <row r="174" spans="13:54" x14ac:dyDescent="0.25">
      <c r="M174" s="382"/>
      <c r="AB174" s="63" t="str">
        <f t="shared" si="8"/>
        <v/>
      </c>
      <c r="AP174" s="210" t="str">
        <f t="shared" si="9"/>
        <v/>
      </c>
      <c r="AQ174" s="263"/>
      <c r="AR174" s="210" t="str">
        <f t="shared" si="10"/>
        <v/>
      </c>
      <c r="AS174" s="217"/>
      <c r="AT174" s="210" t="s">
        <v>503</v>
      </c>
      <c r="AU174" s="263"/>
      <c r="AV174" s="217"/>
      <c r="BB174" s="253" t="str">
        <f t="array" ref="BB174">_xlfn.IFS(AQ174="","",LEN(AQ174)-LEN(SUBSTITUTE(AQ174,".",""))=3,LEFT(AQ174,vitri(".",AQ174,3)-1),LEN(AQ174)-LEN(SUBSTITUTE(AQ174,".",""))=2,LEFT(AQ174,vitri(".",AQ174,2)-1),TRUE,LEFT(AQ174,vitri(".",AQ174,1)-1))</f>
        <v/>
      </c>
    </row>
    <row r="175" spans="13:54" x14ac:dyDescent="0.25">
      <c r="M175" s="382"/>
      <c r="AB175" s="63" t="str">
        <f t="shared" si="8"/>
        <v/>
      </c>
      <c r="AP175" s="210" t="str">
        <f t="shared" si="9"/>
        <v/>
      </c>
      <c r="AQ175" s="263"/>
      <c r="AR175" s="210" t="str">
        <f t="shared" si="10"/>
        <v/>
      </c>
      <c r="AS175" s="217"/>
      <c r="AT175" s="210" t="s">
        <v>503</v>
      </c>
      <c r="AU175" s="263"/>
      <c r="AV175" s="217"/>
      <c r="BB175" s="253" t="str">
        <f t="array" ref="BB175">_xlfn.IFS(AQ175="","",LEN(AQ175)-LEN(SUBSTITUTE(AQ175,".",""))=3,LEFT(AQ175,vitri(".",AQ175,3)-1),LEN(AQ175)-LEN(SUBSTITUTE(AQ175,".",""))=2,LEFT(AQ175,vitri(".",AQ175,2)-1),TRUE,LEFT(AQ175,vitri(".",AQ175,1)-1))</f>
        <v/>
      </c>
    </row>
    <row r="176" spans="13:54" x14ac:dyDescent="0.25">
      <c r="M176" s="382"/>
      <c r="AB176" s="63" t="str">
        <f t="shared" si="8"/>
        <v/>
      </c>
      <c r="AP176" s="210" t="str">
        <f t="shared" si="9"/>
        <v/>
      </c>
      <c r="AQ176" s="263"/>
      <c r="AR176" s="210" t="str">
        <f t="shared" si="10"/>
        <v/>
      </c>
      <c r="AS176" s="217"/>
      <c r="AT176" s="210" t="s">
        <v>503</v>
      </c>
      <c r="AU176" s="263"/>
      <c r="AV176" s="217"/>
      <c r="BB176" s="253" t="str">
        <f t="array" ref="BB176">_xlfn.IFS(AQ176="","",LEN(AQ176)-LEN(SUBSTITUTE(AQ176,".",""))=3,LEFT(AQ176,vitri(".",AQ176,3)-1),LEN(AQ176)-LEN(SUBSTITUTE(AQ176,".",""))=2,LEFT(AQ176,vitri(".",AQ176,2)-1),TRUE,LEFT(AQ176,vitri(".",AQ176,1)-1))</f>
        <v/>
      </c>
    </row>
    <row r="177" spans="13:54" x14ac:dyDescent="0.25">
      <c r="M177" s="382"/>
      <c r="AB177" s="63" t="str">
        <f t="shared" si="8"/>
        <v/>
      </c>
      <c r="AP177" s="210" t="str">
        <f t="shared" si="9"/>
        <v/>
      </c>
      <c r="AQ177" s="263"/>
      <c r="AR177" s="210" t="str">
        <f t="shared" si="10"/>
        <v/>
      </c>
      <c r="AS177" s="217"/>
      <c r="AT177" s="210" t="s">
        <v>503</v>
      </c>
      <c r="AU177" s="263"/>
      <c r="AV177" s="217"/>
      <c r="BB177" s="253" t="str">
        <f t="array" ref="BB177">_xlfn.IFS(AQ177="","",LEN(AQ177)-LEN(SUBSTITUTE(AQ177,".",""))=3,LEFT(AQ177,vitri(".",AQ177,3)-1),LEN(AQ177)-LEN(SUBSTITUTE(AQ177,".",""))=2,LEFT(AQ177,vitri(".",AQ177,2)-1),TRUE,LEFT(AQ177,vitri(".",AQ177,1)-1))</f>
        <v/>
      </c>
    </row>
    <row r="178" spans="13:54" x14ac:dyDescent="0.25">
      <c r="M178" s="382"/>
      <c r="AB178" s="63" t="str">
        <f t="shared" si="8"/>
        <v/>
      </c>
      <c r="AP178" s="210" t="str">
        <f t="shared" si="9"/>
        <v/>
      </c>
      <c r="AQ178" s="263"/>
      <c r="AR178" s="210" t="str">
        <f t="shared" si="10"/>
        <v/>
      </c>
      <c r="AS178" s="217"/>
      <c r="AT178" s="210" t="s">
        <v>503</v>
      </c>
      <c r="AU178" s="263"/>
      <c r="AV178" s="217"/>
      <c r="BB178" s="253" t="str">
        <f t="array" ref="BB178">_xlfn.IFS(AQ178="","",LEN(AQ178)-LEN(SUBSTITUTE(AQ178,".",""))=3,LEFT(AQ178,vitri(".",AQ178,3)-1),LEN(AQ178)-LEN(SUBSTITUTE(AQ178,".",""))=2,LEFT(AQ178,vitri(".",AQ178,2)-1),TRUE,LEFT(AQ178,vitri(".",AQ178,1)-1))</f>
        <v/>
      </c>
    </row>
    <row r="179" spans="13:54" x14ac:dyDescent="0.25">
      <c r="M179" s="382"/>
      <c r="AB179" s="63" t="str">
        <f t="shared" si="8"/>
        <v/>
      </c>
      <c r="AP179" s="210" t="str">
        <f t="shared" si="9"/>
        <v/>
      </c>
      <c r="AQ179" s="263"/>
      <c r="AR179" s="210" t="str">
        <f t="shared" si="10"/>
        <v/>
      </c>
      <c r="AS179" s="217"/>
      <c r="AT179" s="210" t="s">
        <v>503</v>
      </c>
      <c r="AU179" s="263"/>
      <c r="AV179" s="217"/>
      <c r="BB179" s="253" t="str">
        <f t="array" ref="BB179">_xlfn.IFS(AQ179="","",LEN(AQ179)-LEN(SUBSTITUTE(AQ179,".",""))=3,LEFT(AQ179,vitri(".",AQ179,3)-1),LEN(AQ179)-LEN(SUBSTITUTE(AQ179,".",""))=2,LEFT(AQ179,vitri(".",AQ179,2)-1),TRUE,LEFT(AQ179,vitri(".",AQ179,1)-1))</f>
        <v/>
      </c>
    </row>
    <row r="180" spans="13:54" x14ac:dyDescent="0.25">
      <c r="M180" s="382"/>
      <c r="AB180" s="63" t="str">
        <f t="shared" si="8"/>
        <v/>
      </c>
      <c r="AP180" s="210" t="str">
        <f t="shared" si="9"/>
        <v/>
      </c>
      <c r="AQ180" s="263"/>
      <c r="AR180" s="210" t="str">
        <f t="shared" si="10"/>
        <v/>
      </c>
      <c r="AS180" s="217"/>
      <c r="AT180" s="210" t="s">
        <v>503</v>
      </c>
      <c r="AU180" s="263"/>
      <c r="AV180" s="217"/>
      <c r="BB180" s="253" t="str">
        <f t="array" ref="BB180">_xlfn.IFS(AQ180="","",LEN(AQ180)-LEN(SUBSTITUTE(AQ180,".",""))=3,LEFT(AQ180,vitri(".",AQ180,3)-1),LEN(AQ180)-LEN(SUBSTITUTE(AQ180,".",""))=2,LEFT(AQ180,vitri(".",AQ180,2)-1),TRUE,LEFT(AQ180,vitri(".",AQ180,1)-1))</f>
        <v/>
      </c>
    </row>
    <row r="181" spans="13:54" x14ac:dyDescent="0.25">
      <c r="M181" s="382"/>
      <c r="AB181" s="63" t="str">
        <f t="shared" si="8"/>
        <v/>
      </c>
      <c r="AP181" s="210" t="str">
        <f t="shared" si="9"/>
        <v/>
      </c>
      <c r="AQ181" s="263"/>
      <c r="AR181" s="210" t="str">
        <f t="shared" si="10"/>
        <v/>
      </c>
      <c r="AS181" s="217"/>
      <c r="AT181" s="210" t="s">
        <v>503</v>
      </c>
      <c r="AU181" s="263"/>
      <c r="AV181" s="217"/>
      <c r="BB181" s="253" t="str">
        <f t="array" ref="BB181">_xlfn.IFS(AQ181="","",LEN(AQ181)-LEN(SUBSTITUTE(AQ181,".",""))=3,LEFT(AQ181,vitri(".",AQ181,3)-1),LEN(AQ181)-LEN(SUBSTITUTE(AQ181,".",""))=2,LEFT(AQ181,vitri(".",AQ181,2)-1),TRUE,LEFT(AQ181,vitri(".",AQ181,1)-1))</f>
        <v/>
      </c>
    </row>
    <row r="182" spans="13:54" x14ac:dyDescent="0.25">
      <c r="M182" s="382"/>
      <c r="AB182" s="63" t="str">
        <f t="shared" si="8"/>
        <v/>
      </c>
      <c r="AP182" s="210" t="str">
        <f t="shared" si="9"/>
        <v/>
      </c>
      <c r="AQ182" s="263"/>
      <c r="AR182" s="210" t="str">
        <f t="shared" si="10"/>
        <v/>
      </c>
      <c r="AS182" s="217"/>
      <c r="AT182" s="210" t="s">
        <v>503</v>
      </c>
      <c r="AU182" s="263"/>
      <c r="AV182" s="217"/>
      <c r="BB182" s="253" t="str">
        <f t="array" ref="BB182">_xlfn.IFS(AQ182="","",LEN(AQ182)-LEN(SUBSTITUTE(AQ182,".",""))=3,LEFT(AQ182,vitri(".",AQ182,3)-1),LEN(AQ182)-LEN(SUBSTITUTE(AQ182,".",""))=2,LEFT(AQ182,vitri(".",AQ182,2)-1),TRUE,LEFT(AQ182,vitri(".",AQ182,1)-1))</f>
        <v/>
      </c>
    </row>
    <row r="183" spans="13:54" x14ac:dyDescent="0.25">
      <c r="M183" s="382"/>
      <c r="AB183" s="63" t="str">
        <f t="shared" si="8"/>
        <v/>
      </c>
      <c r="AP183" s="210" t="str">
        <f t="shared" si="9"/>
        <v/>
      </c>
      <c r="AQ183" s="263"/>
      <c r="AR183" s="210" t="str">
        <f t="shared" si="10"/>
        <v/>
      </c>
      <c r="AS183" s="217"/>
      <c r="AT183" s="210" t="s">
        <v>503</v>
      </c>
      <c r="AU183" s="263"/>
      <c r="AV183" s="217"/>
      <c r="BB183" s="253" t="str">
        <f t="array" ref="BB183">_xlfn.IFS(AQ183="","",LEN(AQ183)-LEN(SUBSTITUTE(AQ183,".",""))=3,LEFT(AQ183,vitri(".",AQ183,3)-1),LEN(AQ183)-LEN(SUBSTITUTE(AQ183,".",""))=2,LEFT(AQ183,vitri(".",AQ183,2)-1),TRUE,LEFT(AQ183,vitri(".",AQ183,1)-1))</f>
        <v/>
      </c>
    </row>
    <row r="184" spans="13:54" x14ac:dyDescent="0.25">
      <c r="M184" s="382"/>
      <c r="AB184" s="63" t="str">
        <f t="shared" si="8"/>
        <v/>
      </c>
      <c r="AP184" s="210" t="str">
        <f t="shared" si="9"/>
        <v/>
      </c>
      <c r="AQ184" s="263"/>
      <c r="AR184" s="210" t="str">
        <f t="shared" si="10"/>
        <v/>
      </c>
      <c r="AS184" s="217"/>
      <c r="AT184" s="210" t="s">
        <v>503</v>
      </c>
      <c r="AU184" s="263"/>
      <c r="AV184" s="217"/>
      <c r="BB184" s="253" t="str">
        <f t="array" ref="BB184">_xlfn.IFS(AQ184="","",LEN(AQ184)-LEN(SUBSTITUTE(AQ184,".",""))=3,LEFT(AQ184,vitri(".",AQ184,3)-1),LEN(AQ184)-LEN(SUBSTITUTE(AQ184,".",""))=2,LEFT(AQ184,vitri(".",AQ184,2)-1),TRUE,LEFT(AQ184,vitri(".",AQ184,1)-1))</f>
        <v/>
      </c>
    </row>
    <row r="185" spans="13:54" x14ac:dyDescent="0.25">
      <c r="M185" s="382"/>
      <c r="AB185" s="63" t="str">
        <f t="shared" si="8"/>
        <v/>
      </c>
      <c r="AP185" s="210" t="str">
        <f t="shared" si="9"/>
        <v/>
      </c>
      <c r="AQ185" s="263"/>
      <c r="AR185" s="210" t="str">
        <f t="shared" si="10"/>
        <v/>
      </c>
      <c r="AS185" s="217"/>
      <c r="AT185" s="210" t="s">
        <v>503</v>
      </c>
      <c r="AU185" s="263"/>
      <c r="AV185" s="217"/>
      <c r="BB185" s="253" t="str">
        <f t="array" ref="BB185">_xlfn.IFS(AQ185="","",LEN(AQ185)-LEN(SUBSTITUTE(AQ185,".",""))=3,LEFT(AQ185,vitri(".",AQ185,3)-1),LEN(AQ185)-LEN(SUBSTITUTE(AQ185,".",""))=2,LEFT(AQ185,vitri(".",AQ185,2)-1),TRUE,LEFT(AQ185,vitri(".",AQ185,1)-1))</f>
        <v/>
      </c>
    </row>
    <row r="186" spans="13:54" x14ac:dyDescent="0.25">
      <c r="M186" s="382"/>
      <c r="AB186" s="63" t="str">
        <f t="shared" si="8"/>
        <v/>
      </c>
      <c r="AP186" s="210" t="str">
        <f t="shared" si="9"/>
        <v/>
      </c>
      <c r="AQ186" s="263"/>
      <c r="AR186" s="210" t="str">
        <f t="shared" si="10"/>
        <v/>
      </c>
      <c r="AS186" s="217"/>
      <c r="AT186" s="210" t="s">
        <v>503</v>
      </c>
      <c r="AU186" s="263"/>
      <c r="AV186" s="217"/>
      <c r="BB186" s="253" t="str">
        <f t="array" ref="BB186">_xlfn.IFS(AQ186="","",LEN(AQ186)-LEN(SUBSTITUTE(AQ186,".",""))=3,LEFT(AQ186,vitri(".",AQ186,3)-1),LEN(AQ186)-LEN(SUBSTITUTE(AQ186,".",""))=2,LEFT(AQ186,vitri(".",AQ186,2)-1),TRUE,LEFT(AQ186,vitri(".",AQ186,1)-1))</f>
        <v/>
      </c>
    </row>
    <row r="187" spans="13:54" x14ac:dyDescent="0.25">
      <c r="M187" s="382"/>
      <c r="AB187" s="63" t="str">
        <f t="shared" si="8"/>
        <v/>
      </c>
      <c r="AP187" s="210" t="str">
        <f t="shared" si="9"/>
        <v/>
      </c>
      <c r="AQ187" s="263"/>
      <c r="AR187" s="210" t="str">
        <f t="shared" si="10"/>
        <v/>
      </c>
      <c r="AS187" s="217"/>
      <c r="AT187" s="210" t="s">
        <v>503</v>
      </c>
      <c r="AU187" s="263"/>
      <c r="AV187" s="217"/>
      <c r="BB187" s="253" t="str">
        <f t="array" ref="BB187">_xlfn.IFS(AQ187="","",LEN(AQ187)-LEN(SUBSTITUTE(AQ187,".",""))=3,LEFT(AQ187,vitri(".",AQ187,3)-1),LEN(AQ187)-LEN(SUBSTITUTE(AQ187,".",""))=2,LEFT(AQ187,vitri(".",AQ187,2)-1),TRUE,LEFT(AQ187,vitri(".",AQ187,1)-1))</f>
        <v/>
      </c>
    </row>
    <row r="188" spans="13:54" x14ac:dyDescent="0.25">
      <c r="M188" s="382"/>
      <c r="AB188" s="63" t="str">
        <f t="shared" si="8"/>
        <v/>
      </c>
      <c r="AP188" s="210" t="str">
        <f t="shared" si="9"/>
        <v/>
      </c>
      <c r="AQ188" s="263"/>
      <c r="AR188" s="210" t="str">
        <f t="shared" si="10"/>
        <v/>
      </c>
      <c r="AS188" s="217"/>
      <c r="AT188" s="210" t="s">
        <v>503</v>
      </c>
      <c r="AU188" s="263"/>
      <c r="AV188" s="217"/>
      <c r="BB188" s="253" t="str">
        <f t="array" ref="BB188">_xlfn.IFS(AQ188="","",LEN(AQ188)-LEN(SUBSTITUTE(AQ188,".",""))=3,LEFT(AQ188,vitri(".",AQ188,3)-1),LEN(AQ188)-LEN(SUBSTITUTE(AQ188,".",""))=2,LEFT(AQ188,vitri(".",AQ188,2)-1),TRUE,LEFT(AQ188,vitri(".",AQ188,1)-1))</f>
        <v/>
      </c>
    </row>
    <row r="189" spans="13:54" x14ac:dyDescent="0.25">
      <c r="M189" s="382"/>
      <c r="AB189" s="63" t="str">
        <f t="shared" si="8"/>
        <v/>
      </c>
      <c r="AP189" s="210" t="str">
        <f t="shared" si="9"/>
        <v/>
      </c>
      <c r="AQ189" s="263"/>
      <c r="AR189" s="210" t="str">
        <f t="shared" si="10"/>
        <v/>
      </c>
      <c r="AS189" s="217"/>
      <c r="AT189" s="210" t="s">
        <v>503</v>
      </c>
      <c r="AU189" s="263"/>
      <c r="AV189" s="217"/>
      <c r="BB189" s="253" t="str">
        <f t="array" ref="BB189">_xlfn.IFS(AQ189="","",LEN(AQ189)-LEN(SUBSTITUTE(AQ189,".",""))=3,LEFT(AQ189,vitri(".",AQ189,3)-1),LEN(AQ189)-LEN(SUBSTITUTE(AQ189,".",""))=2,LEFT(AQ189,vitri(".",AQ189,2)-1),TRUE,LEFT(AQ189,vitri(".",AQ189,1)-1))</f>
        <v/>
      </c>
    </row>
    <row r="190" spans="13:54" x14ac:dyDescent="0.25">
      <c r="M190" s="382"/>
      <c r="AB190" s="63" t="str">
        <f t="shared" si="8"/>
        <v/>
      </c>
      <c r="AP190" s="210" t="str">
        <f t="shared" si="9"/>
        <v/>
      </c>
      <c r="AQ190" s="263"/>
      <c r="AR190" s="210" t="str">
        <f t="shared" si="10"/>
        <v/>
      </c>
      <c r="AS190" s="217"/>
      <c r="AT190" s="210" t="s">
        <v>503</v>
      </c>
      <c r="AU190" s="263"/>
      <c r="AV190" s="217"/>
      <c r="BB190" s="253" t="str">
        <f t="array" ref="BB190">_xlfn.IFS(AQ190="","",LEN(AQ190)-LEN(SUBSTITUTE(AQ190,".",""))=3,LEFT(AQ190,vitri(".",AQ190,3)-1),LEN(AQ190)-LEN(SUBSTITUTE(AQ190,".",""))=2,LEFT(AQ190,vitri(".",AQ190,2)-1),TRUE,LEFT(AQ190,vitri(".",AQ190,1)-1))</f>
        <v/>
      </c>
    </row>
    <row r="191" spans="13:54" x14ac:dyDescent="0.25">
      <c r="M191" s="382"/>
      <c r="AB191" s="63" t="str">
        <f t="shared" si="8"/>
        <v/>
      </c>
      <c r="AP191" s="210" t="str">
        <f t="shared" si="9"/>
        <v/>
      </c>
      <c r="AR191" s="210" t="str">
        <f t="shared" si="10"/>
        <v/>
      </c>
      <c r="AT191" s="210" t="s">
        <v>503</v>
      </c>
      <c r="BB191" s="253" t="str">
        <f t="array" ref="BB191">_xlfn.IFS(AQ191="","",LEN(AQ191)-LEN(SUBSTITUTE(AQ191,".",""))=3,LEFT(AQ191,vitri(".",AQ191,3)-1),LEN(AQ191)-LEN(SUBSTITUTE(AQ191,".",""))=2,LEFT(AQ191,vitri(".",AQ191,2)-1),TRUE,LEFT(AQ191,vitri(".",AQ191,1)-1))</f>
        <v/>
      </c>
    </row>
    <row r="192" spans="13:54" x14ac:dyDescent="0.25">
      <c r="M192" s="382"/>
      <c r="AB192" s="63" t="str">
        <f t="shared" si="8"/>
        <v/>
      </c>
      <c r="AP192" s="210" t="str">
        <f t="shared" si="9"/>
        <v/>
      </c>
      <c r="AR192" s="210" t="str">
        <f t="shared" si="10"/>
        <v/>
      </c>
      <c r="AT192" s="210" t="s">
        <v>503</v>
      </c>
      <c r="BB192" s="253" t="str">
        <f t="array" ref="BB192">_xlfn.IFS(AQ192="","",LEN(AQ192)-LEN(SUBSTITUTE(AQ192,".",""))=3,LEFT(AQ192,vitri(".",AQ192,3)-1),LEN(AQ192)-LEN(SUBSTITUTE(AQ192,".",""))=2,LEFT(AQ192,vitri(".",AQ192,2)-1),TRUE,LEFT(AQ192,vitri(".",AQ192,1)-1))</f>
        <v/>
      </c>
    </row>
    <row r="193" spans="13:54" x14ac:dyDescent="0.25">
      <c r="M193" s="382"/>
      <c r="AB193" s="63" t="str">
        <f t="shared" si="8"/>
        <v/>
      </c>
      <c r="AP193" s="210" t="str">
        <f t="shared" si="9"/>
        <v/>
      </c>
      <c r="AR193" s="210" t="str">
        <f t="shared" si="10"/>
        <v/>
      </c>
      <c r="AT193" s="210" t="s">
        <v>503</v>
      </c>
      <c r="BB193" s="253" t="str">
        <f t="array" ref="BB193">_xlfn.IFS(AQ193="","",LEN(AQ193)-LEN(SUBSTITUTE(AQ193,".",""))=3,LEFT(AQ193,vitri(".",AQ193,3)-1),LEN(AQ193)-LEN(SUBSTITUTE(AQ193,".",""))=2,LEFT(AQ193,vitri(".",AQ193,2)-1),TRUE,LEFT(AQ193,vitri(".",AQ193,1)-1))</f>
        <v/>
      </c>
    </row>
    <row r="194" spans="13:54" x14ac:dyDescent="0.25">
      <c r="M194" s="382"/>
      <c r="AB194" s="63" t="str">
        <f t="shared" si="8"/>
        <v/>
      </c>
      <c r="AP194" s="210" t="str">
        <f t="shared" si="9"/>
        <v/>
      </c>
      <c r="AR194" s="210" t="str">
        <f t="shared" si="10"/>
        <v/>
      </c>
      <c r="AT194" s="210" t="s">
        <v>503</v>
      </c>
      <c r="BB194" s="253" t="str">
        <f t="array" ref="BB194">_xlfn.IFS(AQ194="","",LEN(AQ194)-LEN(SUBSTITUTE(AQ194,".",""))=3,LEFT(AQ194,vitri(".",AQ194,3)-1),LEN(AQ194)-LEN(SUBSTITUTE(AQ194,".",""))=2,LEFT(AQ194,vitri(".",AQ194,2)-1),TRUE,LEFT(AQ194,vitri(".",AQ194,1)-1))</f>
        <v/>
      </c>
    </row>
    <row r="195" spans="13:54" x14ac:dyDescent="0.25">
      <c r="M195" s="382"/>
      <c r="AB195" s="63" t="str">
        <f t="shared" si="8"/>
        <v/>
      </c>
      <c r="AP195" s="210" t="str">
        <f t="shared" si="9"/>
        <v/>
      </c>
      <c r="AR195" s="210" t="str">
        <f t="shared" si="10"/>
        <v/>
      </c>
      <c r="AT195" s="210" t="s">
        <v>503</v>
      </c>
      <c r="BB195" s="253" t="str">
        <f t="array" ref="BB195">_xlfn.IFS(AQ195="","",LEN(AQ195)-LEN(SUBSTITUTE(AQ195,".",""))=3,LEFT(AQ195,vitri(".",AQ195,3)-1),LEN(AQ195)-LEN(SUBSTITUTE(AQ195,".",""))=2,LEFT(AQ195,vitri(".",AQ195,2)-1),TRUE,LEFT(AQ195,vitri(".",AQ195,1)-1))</f>
        <v/>
      </c>
    </row>
    <row r="196" spans="13:54" x14ac:dyDescent="0.25">
      <c r="M196" s="382"/>
      <c r="AB196" s="63" t="str">
        <f t="shared" si="8"/>
        <v/>
      </c>
      <c r="AP196" s="210" t="str">
        <f t="shared" si="9"/>
        <v/>
      </c>
      <c r="AR196" s="210" t="str">
        <f t="shared" si="10"/>
        <v/>
      </c>
      <c r="AT196" s="210" t="s">
        <v>503</v>
      </c>
      <c r="BB196" s="253" t="str">
        <f t="array" ref="BB196">_xlfn.IFS(AQ196="","",LEN(AQ196)-LEN(SUBSTITUTE(AQ196,".",""))=3,LEFT(AQ196,vitri(".",AQ196,3)-1),LEN(AQ196)-LEN(SUBSTITUTE(AQ196,".",""))=2,LEFT(AQ196,vitri(".",AQ196,2)-1),TRUE,LEFT(AQ196,vitri(".",AQ196,1)-1))</f>
        <v/>
      </c>
    </row>
    <row r="197" spans="13:54" x14ac:dyDescent="0.25">
      <c r="M197" s="382"/>
      <c r="AB197" s="63" t="str">
        <f t="shared" ref="AB197:AB202" si="11">IF(Z197="","",Z197*1)</f>
        <v/>
      </c>
      <c r="AP197" s="210" t="str">
        <f t="shared" si="9"/>
        <v/>
      </c>
      <c r="AR197" s="210" t="str">
        <f t="shared" si="10"/>
        <v/>
      </c>
      <c r="AT197" s="210" t="s">
        <v>503</v>
      </c>
      <c r="BB197" s="253" t="str">
        <f t="array" ref="BB197">_xlfn.IFS(AQ197="","",LEN(AQ197)-LEN(SUBSTITUTE(AQ197,".",""))=3,LEFT(AQ197,vitri(".",AQ197,3)-1),LEN(AQ197)-LEN(SUBSTITUTE(AQ197,".",""))=2,LEFT(AQ197,vitri(".",AQ197,2)-1),TRUE,LEFT(AQ197,vitri(".",AQ197,1)-1))</f>
        <v/>
      </c>
    </row>
    <row r="198" spans="13:54" x14ac:dyDescent="0.25">
      <c r="M198" s="382"/>
      <c r="AB198" s="63" t="str">
        <f t="shared" si="11"/>
        <v/>
      </c>
      <c r="AP198" s="210" t="str">
        <f>IF(AQ198="","",AP197+1)</f>
        <v/>
      </c>
      <c r="AR198" s="210" t="str">
        <f>IF(AP198="","",AP198)</f>
        <v/>
      </c>
      <c r="AT198" s="210" t="s">
        <v>503</v>
      </c>
      <c r="BB198" s="253" t="str">
        <f t="array" ref="BB198">_xlfn.IFS(AQ198="","",LEN(AQ198)-LEN(SUBSTITUTE(AQ198,".",""))=3,LEFT(AQ198,vitri(".",AQ198,3)-1),LEN(AQ198)-LEN(SUBSTITUTE(AQ198,".",""))=2,LEFT(AQ198,vitri(".",AQ198,2)-1),TRUE,LEFT(AQ198,vitri(".",AQ198,1)-1))</f>
        <v/>
      </c>
    </row>
    <row r="199" spans="13:54" x14ac:dyDescent="0.25">
      <c r="M199" s="382"/>
      <c r="AB199" s="63" t="str">
        <f t="shared" si="11"/>
        <v/>
      </c>
      <c r="AP199" s="210" t="str">
        <f>IF(AQ199="","",AP198+1)</f>
        <v/>
      </c>
      <c r="AR199" s="210" t="str">
        <f>IF(AP199="","",AP199)</f>
        <v/>
      </c>
      <c r="AT199" s="210" t="s">
        <v>503</v>
      </c>
      <c r="BB199" s="253" t="str">
        <f t="array" ref="BB199">_xlfn.IFS(AQ199="","",LEN(AQ199)-LEN(SUBSTITUTE(AQ199,".",""))=3,LEFT(AQ199,vitri(".",AQ199,3)-1),LEN(AQ199)-LEN(SUBSTITUTE(AQ199,".",""))=2,LEFT(AQ199,vitri(".",AQ199,2)-1),TRUE,LEFT(AQ199,vitri(".",AQ199,1)-1))</f>
        <v/>
      </c>
    </row>
    <row r="200" spans="13:54" x14ac:dyDescent="0.25">
      <c r="M200" s="382"/>
      <c r="AB200" s="63" t="str">
        <f t="shared" si="11"/>
        <v/>
      </c>
      <c r="AP200" s="210" t="str">
        <f>IF(AQ200="","",AP199+1)</f>
        <v/>
      </c>
      <c r="AR200" s="210" t="str">
        <f>IF(AP200="","",AP200)</f>
        <v/>
      </c>
      <c r="AT200" s="210" t="s">
        <v>503</v>
      </c>
      <c r="BB200" s="253" t="str">
        <f t="array" ref="BB200">_xlfn.IFS(AQ200="","",LEN(AQ200)-LEN(SUBSTITUTE(AQ200,".",""))=3,LEFT(AQ200,vitri(".",AQ200,3)-1),LEN(AQ200)-LEN(SUBSTITUTE(AQ200,".",""))=2,LEFT(AQ200,vitri(".",AQ200,2)-1),TRUE,LEFT(AQ200,vitri(".",AQ200,1)-1))</f>
        <v/>
      </c>
    </row>
    <row r="201" spans="13:54" x14ac:dyDescent="0.25">
      <c r="M201" s="382"/>
      <c r="AB201" s="63" t="str">
        <f t="shared" si="11"/>
        <v/>
      </c>
      <c r="AP201" s="210" t="str">
        <f>IF(AQ201="","",AP200+1)</f>
        <v/>
      </c>
      <c r="AR201" s="210" t="str">
        <f>IF(AS201="","",AR200+1)</f>
        <v/>
      </c>
      <c r="AT201" s="210" t="s">
        <v>503</v>
      </c>
      <c r="BB201" s="253" t="str">
        <f t="array" ref="BB201">_xlfn.IFS(AQ201="","",LEN(AQ201)-LEN(SUBSTITUTE(AQ201,".",""))=3,LEFT(AQ201,vitri(".",AQ201,3)-1),LEN(AQ201)-LEN(SUBSTITUTE(AQ201,".",""))=2,LEFT(AQ201,vitri(".",AQ201,2)-1),TRUE,LEFT(AQ201,vitri(".",AQ201,1)-1))</f>
        <v/>
      </c>
    </row>
    <row r="202" spans="13:54" x14ac:dyDescent="0.25">
      <c r="M202" s="382"/>
      <c r="AB202" s="63" t="str">
        <f t="shared" si="11"/>
        <v/>
      </c>
      <c r="BB202" s="253" t="str">
        <f t="array" ref="BB202">_xlfn.IFS(AQ202="","",LEN(AQ202)-LEN(SUBSTITUTE(AQ202,".",""))=3,LEFT(AQ202,vitri(".",AQ202,3)-1),LEN(AQ202)-LEN(SUBSTITUTE(AQ202,".",""))=2,LEFT(AQ202,vitri(".",AQ202,2)-1),TRUE,LEFT(AQ202,vitri(".",AQ202,1)-1))</f>
        <v/>
      </c>
    </row>
    <row r="203" spans="13:54" x14ac:dyDescent="0.25">
      <c r="M203" s="382"/>
      <c r="BB203" s="253" t="str">
        <f t="array" ref="BB203">_xlfn.IFS(AQ203="","",LEN(AQ203)-LEN(SUBSTITUTE(AQ203,".",""))=3,LEFT(AQ203,vitri(".",AQ203,3)-1),LEN(AQ203)-LEN(SUBSTITUTE(AQ203,".",""))=2,LEFT(AQ203,vitri(".",AQ203,2)-1),TRUE,LEFT(AQ203,vitri(".",AQ203,1)-1))</f>
        <v/>
      </c>
    </row>
    <row r="204" spans="13:54" x14ac:dyDescent="0.25">
      <c r="M204" s="382"/>
      <c r="BB204" s="253" t="str">
        <f t="array" ref="BB204">_xlfn.IFS(AQ204="","",LEN(AQ204)-LEN(SUBSTITUTE(AQ204,".",""))=3,LEFT(AQ204,vitri(".",AQ204,3)-1),LEN(AQ204)-LEN(SUBSTITUTE(AQ204,".",""))=2,LEFT(AQ204,vitri(".",AQ204,2)-1),TRUE,LEFT(AQ204,vitri(".",AQ204,1)-1))</f>
        <v/>
      </c>
    </row>
    <row r="205" spans="13:54" x14ac:dyDescent="0.25">
      <c r="M205" s="382"/>
      <c r="BB205" s="253" t="str">
        <f t="array" ref="BB205">_xlfn.IFS(AQ205="","",LEN(AQ205)-LEN(SUBSTITUTE(AQ205,".",""))=3,LEFT(AQ205,vitri(".",AQ205,3)-1),LEN(AQ205)-LEN(SUBSTITUTE(AQ205,".",""))=2,LEFT(AQ205,vitri(".",AQ205,2)-1),TRUE,LEFT(AQ205,vitri(".",AQ205,1)-1))</f>
        <v/>
      </c>
    </row>
    <row r="206" spans="13:54" x14ac:dyDescent="0.25">
      <c r="M206" s="382"/>
      <c r="BB206" s="253" t="str">
        <f t="array" ref="BB206">_xlfn.IFS(AQ206="","",LEN(AQ206)-LEN(SUBSTITUTE(AQ206,".",""))=3,LEFT(AQ206,vitri(".",AQ206,3)-1),LEN(AQ206)-LEN(SUBSTITUTE(AQ206,".",""))=2,LEFT(AQ206,vitri(".",AQ206,2)-1),TRUE,LEFT(AQ206,vitri(".",AQ206,1)-1))</f>
        <v/>
      </c>
    </row>
    <row r="207" spans="13:54" x14ac:dyDescent="0.25">
      <c r="M207" s="382"/>
      <c r="BB207" s="253" t="str">
        <f t="array" ref="BB207">_xlfn.IFS(AQ207="","",LEN(AQ207)-LEN(SUBSTITUTE(AQ207,".",""))=3,LEFT(AQ207,vitri(".",AQ207,3)-1),LEN(AQ207)-LEN(SUBSTITUTE(AQ207,".",""))=2,LEFT(AQ207,vitri(".",AQ207,2)-1),TRUE,LEFT(AQ207,vitri(".",AQ207,1)-1))</f>
        <v/>
      </c>
    </row>
    <row r="208" spans="13:54" x14ac:dyDescent="0.25">
      <c r="M208" s="382"/>
      <c r="BB208" s="253" t="str">
        <f t="array" ref="BB208">_xlfn.IFS(AQ208="","",LEN(AQ208)-LEN(SUBSTITUTE(AQ208,".",""))=3,LEFT(AQ208,vitri(".",AQ208,3)-1),LEN(AQ208)-LEN(SUBSTITUTE(AQ208,".",""))=2,LEFT(AQ208,vitri(".",AQ208,2)-1),TRUE,LEFT(AQ208,vitri(".",AQ208,1)-1))</f>
        <v/>
      </c>
    </row>
    <row r="209" spans="13:54" x14ac:dyDescent="0.25">
      <c r="M209" s="382"/>
      <c r="BB209" s="253" t="str">
        <f t="array" ref="BB209">_xlfn.IFS(AQ209="","",LEN(AQ209)-LEN(SUBSTITUTE(AQ209,".",""))=3,LEFT(AQ209,vitri(".",AQ209,3)-1),LEN(AQ209)-LEN(SUBSTITUTE(AQ209,".",""))=2,LEFT(AQ209,vitri(".",AQ209,2)-1),TRUE,LEFT(AQ209,vitri(".",AQ209,1)-1))</f>
        <v/>
      </c>
    </row>
    <row r="210" spans="13:54" x14ac:dyDescent="0.25">
      <c r="M210" s="382"/>
      <c r="BB210" s="253" t="str">
        <f t="array" ref="BB210">_xlfn.IFS(AQ210="","",LEN(AQ210)-LEN(SUBSTITUTE(AQ210,".",""))=3,LEFT(AQ210,vitri(".",AQ210,3)-1),LEN(AQ210)-LEN(SUBSTITUTE(AQ210,".",""))=2,LEFT(AQ210,vitri(".",AQ210,2)-1),TRUE,LEFT(AQ210,vitri(".",AQ210,1)-1))</f>
        <v/>
      </c>
    </row>
    <row r="211" spans="13:54" x14ac:dyDescent="0.25">
      <c r="M211" s="382"/>
      <c r="BB211" s="253" t="str">
        <f t="array" ref="BB211">_xlfn.IFS(AQ211="","",LEN(AQ211)-LEN(SUBSTITUTE(AQ211,".",""))=3,LEFT(AQ211,vitri(".",AQ211,3)-1),LEN(AQ211)-LEN(SUBSTITUTE(AQ211,".",""))=2,LEFT(AQ211,vitri(".",AQ211,2)-1),TRUE,LEFT(AQ211,vitri(".",AQ211,1)-1))</f>
        <v/>
      </c>
    </row>
    <row r="212" spans="13:54" x14ac:dyDescent="0.25">
      <c r="M212" s="382"/>
      <c r="BB212" s="253" t="str">
        <f t="array" ref="BB212">_xlfn.IFS(AQ212="","",LEN(AQ212)-LEN(SUBSTITUTE(AQ212,".",""))=3,LEFT(AQ212,vitri(".",AQ212,3)-1),LEN(AQ212)-LEN(SUBSTITUTE(AQ212,".",""))=2,LEFT(AQ212,vitri(".",AQ212,2)-1),TRUE,LEFT(AQ212,vitri(".",AQ212,1)-1))</f>
        <v/>
      </c>
    </row>
    <row r="213" spans="13:54" x14ac:dyDescent="0.25">
      <c r="M213" s="382"/>
      <c r="BB213" s="253" t="str">
        <f t="array" ref="BB213">_xlfn.IFS(AQ213="","",LEN(AQ213)-LEN(SUBSTITUTE(AQ213,".",""))=3,LEFT(AQ213,vitri(".",AQ213,3)-1),LEN(AQ213)-LEN(SUBSTITUTE(AQ213,".",""))=2,LEFT(AQ213,vitri(".",AQ213,2)-1),TRUE,LEFT(AQ213,vitri(".",AQ213,1)-1))</f>
        <v/>
      </c>
    </row>
    <row r="214" spans="13:54" x14ac:dyDescent="0.25">
      <c r="M214" s="382"/>
      <c r="BB214" s="253" t="str">
        <f t="array" ref="BB214">_xlfn.IFS(AQ214="","",LEN(AQ214)-LEN(SUBSTITUTE(AQ214,".",""))=3,LEFT(AQ214,vitri(".",AQ214,3)-1),LEN(AQ214)-LEN(SUBSTITUTE(AQ214,".",""))=2,LEFT(AQ214,vitri(".",AQ214,2)-1),TRUE,LEFT(AQ214,vitri(".",AQ214,1)-1))</f>
        <v/>
      </c>
    </row>
    <row r="215" spans="13:54" x14ac:dyDescent="0.25">
      <c r="M215" s="382"/>
      <c r="BB215" s="253" t="str">
        <f t="array" ref="BB215">_xlfn.IFS(AQ215="","",LEN(AQ215)-LEN(SUBSTITUTE(AQ215,".",""))=3,LEFT(AQ215,vitri(".",AQ215,3)-1),LEN(AQ215)-LEN(SUBSTITUTE(AQ215,".",""))=2,LEFT(AQ215,vitri(".",AQ215,2)-1),TRUE,LEFT(AQ215,vitri(".",AQ215,1)-1))</f>
        <v/>
      </c>
    </row>
    <row r="216" spans="13:54" x14ac:dyDescent="0.25">
      <c r="M216" s="382"/>
      <c r="BB216" s="253" t="str">
        <f t="array" ref="BB216">_xlfn.IFS(AQ216="","",LEN(AQ216)-LEN(SUBSTITUTE(AQ216,".",""))=3,LEFT(AQ216,vitri(".",AQ216,3)-1),LEN(AQ216)-LEN(SUBSTITUTE(AQ216,".",""))=2,LEFT(AQ216,vitri(".",AQ216,2)-1),TRUE,LEFT(AQ216,vitri(".",AQ216,1)-1))</f>
        <v/>
      </c>
    </row>
    <row r="217" spans="13:54" x14ac:dyDescent="0.25">
      <c r="M217" s="382"/>
      <c r="BB217" s="253" t="str">
        <f t="array" ref="BB217">_xlfn.IFS(AQ217="","",LEN(AQ217)-LEN(SUBSTITUTE(AQ217,".",""))=3,LEFT(AQ217,vitri(".",AQ217,3)-1),LEN(AQ217)-LEN(SUBSTITUTE(AQ217,".",""))=2,LEFT(AQ217,vitri(".",AQ217,2)-1),TRUE,LEFT(AQ217,vitri(".",AQ217,1)-1))</f>
        <v/>
      </c>
    </row>
    <row r="218" spans="13:54" x14ac:dyDescent="0.25">
      <c r="M218" s="382"/>
      <c r="BB218" s="253" t="str">
        <f t="array" ref="BB218">_xlfn.IFS(AQ218="","",LEN(AQ218)-LEN(SUBSTITUTE(AQ218,".",""))=3,LEFT(AQ218,vitri(".",AQ218,3)-1),LEN(AQ218)-LEN(SUBSTITUTE(AQ218,".",""))=2,LEFT(AQ218,vitri(".",AQ218,2)-1),TRUE,LEFT(AQ218,vitri(".",AQ218,1)-1))</f>
        <v/>
      </c>
    </row>
    <row r="219" spans="13:54" x14ac:dyDescent="0.25">
      <c r="M219" s="382"/>
      <c r="BB219" s="253" t="str">
        <f t="array" ref="BB219">_xlfn.IFS(AQ219="","",LEN(AQ219)-LEN(SUBSTITUTE(AQ219,".",""))=3,LEFT(AQ219,vitri(".",AQ219,3)-1),LEN(AQ219)-LEN(SUBSTITUTE(AQ219,".",""))=2,LEFT(AQ219,vitri(".",AQ219,2)-1),TRUE,LEFT(AQ219,vitri(".",AQ219,1)-1))</f>
        <v/>
      </c>
    </row>
    <row r="220" spans="13:54" x14ac:dyDescent="0.25">
      <c r="M220" s="382"/>
      <c r="BB220" s="253" t="str">
        <f t="array" ref="BB220">_xlfn.IFS(AQ220="","",LEN(AQ220)-LEN(SUBSTITUTE(AQ220,".",""))=3,LEFT(AQ220,vitri(".",AQ220,3)-1),LEN(AQ220)-LEN(SUBSTITUTE(AQ220,".",""))=2,LEFT(AQ220,vitri(".",AQ220,2)-1),TRUE,LEFT(AQ220,vitri(".",AQ220,1)-1))</f>
        <v/>
      </c>
    </row>
    <row r="221" spans="13:54" x14ac:dyDescent="0.25">
      <c r="M221" s="382"/>
      <c r="BB221" s="253" t="str">
        <f t="array" ref="BB221">_xlfn.IFS(AQ221="","",LEN(AQ221)-LEN(SUBSTITUTE(AQ221,".",""))=3,LEFT(AQ221,vitri(".",AQ221,3)-1),LEN(AQ221)-LEN(SUBSTITUTE(AQ221,".",""))=2,LEFT(AQ221,vitri(".",AQ221,2)-1),TRUE,LEFT(AQ221,vitri(".",AQ221,1)-1))</f>
        <v/>
      </c>
    </row>
    <row r="222" spans="13:54" x14ac:dyDescent="0.25">
      <c r="M222" s="382"/>
      <c r="BB222" s="253" t="str">
        <f t="array" ref="BB222">_xlfn.IFS(AQ222="","",LEN(AQ222)-LEN(SUBSTITUTE(AQ222,".",""))=3,LEFT(AQ222,vitri(".",AQ222,3)-1),LEN(AQ222)-LEN(SUBSTITUTE(AQ222,".",""))=2,LEFT(AQ222,vitri(".",AQ222,2)-1),TRUE,LEFT(AQ222,vitri(".",AQ222,1)-1))</f>
        <v/>
      </c>
    </row>
    <row r="223" spans="13:54" x14ac:dyDescent="0.25">
      <c r="M223" s="382"/>
      <c r="BB223" s="253" t="str">
        <f t="array" ref="BB223">_xlfn.IFS(AQ223="","",LEN(AQ223)-LEN(SUBSTITUTE(AQ223,".",""))=3,LEFT(AQ223,vitri(".",AQ223,3)-1),LEN(AQ223)-LEN(SUBSTITUTE(AQ223,".",""))=2,LEFT(AQ223,vitri(".",AQ223,2)-1),TRUE,LEFT(AQ223,vitri(".",AQ223,1)-1))</f>
        <v/>
      </c>
    </row>
    <row r="224" spans="13:54" x14ac:dyDescent="0.25">
      <c r="M224" s="382"/>
      <c r="BB224" s="253" t="str">
        <f t="array" ref="BB224">_xlfn.IFS(AQ224="","",LEN(AQ224)-LEN(SUBSTITUTE(AQ224,".",""))=3,LEFT(AQ224,vitri(".",AQ224,3)-1),LEN(AQ224)-LEN(SUBSTITUTE(AQ224,".",""))=2,LEFT(AQ224,vitri(".",AQ224,2)-1),TRUE,LEFT(AQ224,vitri(".",AQ224,1)-1))</f>
        <v/>
      </c>
    </row>
    <row r="225" spans="13:54" x14ac:dyDescent="0.25">
      <c r="M225" s="382"/>
      <c r="BB225" s="253" t="str">
        <f t="array" ref="BB225">_xlfn.IFS(AQ225="","",LEN(AQ225)-LEN(SUBSTITUTE(AQ225,".",""))=3,LEFT(AQ225,vitri(".",AQ225,3)-1),LEN(AQ225)-LEN(SUBSTITUTE(AQ225,".",""))=2,LEFT(AQ225,vitri(".",AQ225,2)-1),TRUE,LEFT(AQ225,vitri(".",AQ225,1)-1))</f>
        <v/>
      </c>
    </row>
    <row r="226" spans="13:54" x14ac:dyDescent="0.25">
      <c r="M226" s="382"/>
      <c r="BB226" s="253" t="str">
        <f t="array" ref="BB226">_xlfn.IFS(AQ226="","",LEN(AQ226)-LEN(SUBSTITUTE(AQ226,".",""))=3,LEFT(AQ226,vitri(".",AQ226,3)-1),LEN(AQ226)-LEN(SUBSTITUTE(AQ226,".",""))=2,LEFT(AQ226,vitri(".",AQ226,2)-1),TRUE,LEFT(AQ226,vitri(".",AQ226,1)-1))</f>
        <v/>
      </c>
    </row>
    <row r="227" spans="13:54" x14ac:dyDescent="0.25">
      <c r="M227" s="382"/>
      <c r="BB227" s="253" t="str">
        <f t="array" ref="BB227">_xlfn.IFS(AQ227="","",LEN(AQ227)-LEN(SUBSTITUTE(AQ227,".",""))=3,LEFT(AQ227,vitri(".",AQ227,3)-1),LEN(AQ227)-LEN(SUBSTITUTE(AQ227,".",""))=2,LEFT(AQ227,vitri(".",AQ227,2)-1),TRUE,LEFT(AQ227,vitri(".",AQ227,1)-1))</f>
        <v/>
      </c>
    </row>
    <row r="228" spans="13:54" x14ac:dyDescent="0.25">
      <c r="M228" s="382"/>
      <c r="BB228" s="253" t="str">
        <f t="array" ref="BB228">_xlfn.IFS(AQ228="","",LEN(AQ228)-LEN(SUBSTITUTE(AQ228,".",""))=3,LEFT(AQ228,vitri(".",AQ228,3)-1),LEN(AQ228)-LEN(SUBSTITUTE(AQ228,".",""))=2,LEFT(AQ228,vitri(".",AQ228,2)-1),TRUE,LEFT(AQ228,vitri(".",AQ228,1)-1))</f>
        <v/>
      </c>
    </row>
    <row r="229" spans="13:54" x14ac:dyDescent="0.25">
      <c r="M229" s="382"/>
      <c r="BB229" s="253" t="str">
        <f t="array" ref="BB229">_xlfn.IFS(AQ229="","",LEN(AQ229)-LEN(SUBSTITUTE(AQ229,".",""))=3,LEFT(AQ229,vitri(".",AQ229,3)-1),LEN(AQ229)-LEN(SUBSTITUTE(AQ229,".",""))=2,LEFT(AQ229,vitri(".",AQ229,2)-1),TRUE,LEFT(AQ229,vitri(".",AQ229,1)-1))</f>
        <v/>
      </c>
    </row>
    <row r="230" spans="13:54" x14ac:dyDescent="0.25">
      <c r="M230" s="382"/>
      <c r="BB230" s="253" t="str">
        <f t="array" ref="BB230">_xlfn.IFS(AQ230="","",LEN(AQ230)-LEN(SUBSTITUTE(AQ230,".",""))=3,LEFT(AQ230,vitri(".",AQ230,3)-1),LEN(AQ230)-LEN(SUBSTITUTE(AQ230,".",""))=2,LEFT(AQ230,vitri(".",AQ230,2)-1),TRUE,LEFT(AQ230,vitri(".",AQ230,1)-1))</f>
        <v/>
      </c>
    </row>
    <row r="231" spans="13:54" x14ac:dyDescent="0.25">
      <c r="M231" s="382"/>
      <c r="BB231" s="253" t="str">
        <f t="array" ref="BB231">_xlfn.IFS(AQ231="","",LEN(AQ231)-LEN(SUBSTITUTE(AQ231,".",""))=3,LEFT(AQ231,vitri(".",AQ231,3)-1),LEN(AQ231)-LEN(SUBSTITUTE(AQ231,".",""))=2,LEFT(AQ231,vitri(".",AQ231,2)-1),TRUE,LEFT(AQ231,vitri(".",AQ231,1)-1))</f>
        <v/>
      </c>
    </row>
    <row r="232" spans="13:54" x14ac:dyDescent="0.25">
      <c r="M232" s="382"/>
      <c r="BB232" s="253" t="str">
        <f t="array" ref="BB232">_xlfn.IFS(AQ232="","",LEN(AQ232)-LEN(SUBSTITUTE(AQ232,".",""))=3,LEFT(AQ232,vitri(".",AQ232,3)-1),LEN(AQ232)-LEN(SUBSTITUTE(AQ232,".",""))=2,LEFT(AQ232,vitri(".",AQ232,2)-1),TRUE,LEFT(AQ232,vitri(".",AQ232,1)-1))</f>
        <v/>
      </c>
    </row>
    <row r="233" spans="13:54" x14ac:dyDescent="0.25">
      <c r="M233" s="382"/>
      <c r="BB233" s="253" t="str">
        <f t="array" ref="BB233">_xlfn.IFS(AQ233="","",LEN(AQ233)-LEN(SUBSTITUTE(AQ233,".",""))=3,LEFT(AQ233,vitri(".",AQ233,3)-1),LEN(AQ233)-LEN(SUBSTITUTE(AQ233,".",""))=2,LEFT(AQ233,vitri(".",AQ233,2)-1),TRUE,LEFT(AQ233,vitri(".",AQ233,1)-1))</f>
        <v/>
      </c>
    </row>
    <row r="234" spans="13:54" x14ac:dyDescent="0.25">
      <c r="M234" s="382"/>
      <c r="BB234" s="253" t="str">
        <f t="array" ref="BB234">_xlfn.IFS(AQ234="","",LEN(AQ234)-LEN(SUBSTITUTE(AQ234,".",""))=3,LEFT(AQ234,vitri(".",AQ234,3)-1),LEN(AQ234)-LEN(SUBSTITUTE(AQ234,".",""))=2,LEFT(AQ234,vitri(".",AQ234,2)-1),TRUE,LEFT(AQ234,vitri(".",AQ234,1)-1))</f>
        <v/>
      </c>
    </row>
    <row r="235" spans="13:54" x14ac:dyDescent="0.25">
      <c r="M235" s="382"/>
      <c r="BB235" s="253" t="str">
        <f t="array" ref="BB235">_xlfn.IFS(AQ235="","",LEN(AQ235)-LEN(SUBSTITUTE(AQ235,".",""))=3,LEFT(AQ235,vitri(".",AQ235,3)-1),LEN(AQ235)-LEN(SUBSTITUTE(AQ235,".",""))=2,LEFT(AQ235,vitri(".",AQ235,2)-1),TRUE,LEFT(AQ235,vitri(".",AQ235,1)-1))</f>
        <v/>
      </c>
    </row>
    <row r="236" spans="13:54" x14ac:dyDescent="0.25">
      <c r="M236" s="382"/>
      <c r="BB236" s="253" t="str">
        <f t="array" ref="BB236">_xlfn.IFS(AQ236="","",LEN(AQ236)-LEN(SUBSTITUTE(AQ236,".",""))=3,LEFT(AQ236,vitri(".",AQ236,3)-1),LEN(AQ236)-LEN(SUBSTITUTE(AQ236,".",""))=2,LEFT(AQ236,vitri(".",AQ236,2)-1),TRUE,LEFT(AQ236,vitri(".",AQ236,1)-1))</f>
        <v/>
      </c>
    </row>
    <row r="237" spans="13:54" x14ac:dyDescent="0.25">
      <c r="M237" s="382"/>
      <c r="BB237" s="253" t="str">
        <f t="array" ref="BB237">_xlfn.IFS(AQ237="","",LEN(AQ237)-LEN(SUBSTITUTE(AQ237,".",""))=3,LEFT(AQ237,vitri(".",AQ237,3)-1),LEN(AQ237)-LEN(SUBSTITUTE(AQ237,".",""))=2,LEFT(AQ237,vitri(".",AQ237,2)-1),TRUE,LEFT(AQ237,vitri(".",AQ237,1)-1))</f>
        <v/>
      </c>
    </row>
    <row r="238" spans="13:54" x14ac:dyDescent="0.25">
      <c r="M238" s="382"/>
      <c r="BB238" s="253" t="str">
        <f t="array" ref="BB238">_xlfn.IFS(AQ238="","",LEN(AQ238)-LEN(SUBSTITUTE(AQ238,".",""))=3,LEFT(AQ238,vitri(".",AQ238,3)-1),LEN(AQ238)-LEN(SUBSTITUTE(AQ238,".",""))=2,LEFT(AQ238,vitri(".",AQ238,2)-1),TRUE,LEFT(AQ238,vitri(".",AQ238,1)-1))</f>
        <v/>
      </c>
    </row>
    <row r="239" spans="13:54" x14ac:dyDescent="0.25">
      <c r="M239" s="382"/>
      <c r="BB239" s="253" t="str">
        <f t="array" ref="BB239">_xlfn.IFS(AQ239="","",LEN(AQ239)-LEN(SUBSTITUTE(AQ239,".",""))=3,LEFT(AQ239,vitri(".",AQ239,3)-1),LEN(AQ239)-LEN(SUBSTITUTE(AQ239,".",""))=2,LEFT(AQ239,vitri(".",AQ239,2)-1),TRUE,LEFT(AQ239,vitri(".",AQ239,1)-1))</f>
        <v/>
      </c>
    </row>
    <row r="240" spans="13:54" x14ac:dyDescent="0.25">
      <c r="M240" s="382"/>
      <c r="BB240" s="253" t="str">
        <f t="array" ref="BB240">_xlfn.IFS(AQ240="","",LEN(AQ240)-LEN(SUBSTITUTE(AQ240,".",""))=3,LEFT(AQ240,vitri(".",AQ240,3)-1),LEN(AQ240)-LEN(SUBSTITUTE(AQ240,".",""))=2,LEFT(AQ240,vitri(".",AQ240,2)-1),TRUE,LEFT(AQ240,vitri(".",AQ240,1)-1))</f>
        <v/>
      </c>
    </row>
    <row r="241" spans="13:54" x14ac:dyDescent="0.25">
      <c r="M241" s="382"/>
      <c r="BB241" s="253" t="str">
        <f t="array" ref="BB241">_xlfn.IFS(AQ241="","",LEN(AQ241)-LEN(SUBSTITUTE(AQ241,".",""))=3,LEFT(AQ241,vitri(".",AQ241,3)-1),LEN(AQ241)-LEN(SUBSTITUTE(AQ241,".",""))=2,LEFT(AQ241,vitri(".",AQ241,2)-1),TRUE,LEFT(AQ241,vitri(".",AQ241,1)-1))</f>
        <v/>
      </c>
    </row>
    <row r="242" spans="13:54" x14ac:dyDescent="0.25">
      <c r="M242" s="382"/>
      <c r="BB242" s="253" t="str">
        <f t="array" ref="BB242">_xlfn.IFS(AQ242="","",LEN(AQ242)-LEN(SUBSTITUTE(AQ242,".",""))=3,LEFT(AQ242,vitri(".",AQ242,3)-1),LEN(AQ242)-LEN(SUBSTITUTE(AQ242,".",""))=2,LEFT(AQ242,vitri(".",AQ242,2)-1),TRUE,LEFT(AQ242,vitri(".",AQ242,1)-1))</f>
        <v/>
      </c>
    </row>
    <row r="243" spans="13:54" x14ac:dyDescent="0.25">
      <c r="M243" s="382"/>
      <c r="BB243" s="253" t="str">
        <f t="array" ref="BB243">_xlfn.IFS(AQ243="","",LEN(AQ243)-LEN(SUBSTITUTE(AQ243,".",""))=3,LEFT(AQ243,vitri(".",AQ243,3)-1),LEN(AQ243)-LEN(SUBSTITUTE(AQ243,".",""))=2,LEFT(AQ243,vitri(".",AQ243,2)-1),TRUE,LEFT(AQ243,vitri(".",AQ243,1)-1))</f>
        <v/>
      </c>
    </row>
    <row r="244" spans="13:54" x14ac:dyDescent="0.25">
      <c r="M244" s="382"/>
      <c r="BB244" s="253" t="str">
        <f t="array" ref="BB244">_xlfn.IFS(AQ244="","",LEN(AQ244)-LEN(SUBSTITUTE(AQ244,".",""))=3,LEFT(AQ244,vitri(".",AQ244,3)-1),LEN(AQ244)-LEN(SUBSTITUTE(AQ244,".",""))=2,LEFT(AQ244,vitri(".",AQ244,2)-1),TRUE,LEFT(AQ244,vitri(".",AQ244,1)-1))</f>
        <v/>
      </c>
    </row>
    <row r="245" spans="13:54" x14ac:dyDescent="0.25">
      <c r="M245" s="382"/>
      <c r="BB245" s="253" t="str">
        <f t="array" ref="BB245">_xlfn.IFS(AQ245="","",LEN(AQ245)-LEN(SUBSTITUTE(AQ245,".",""))=3,LEFT(AQ245,vitri(".",AQ245,3)-1),LEN(AQ245)-LEN(SUBSTITUTE(AQ245,".",""))=2,LEFT(AQ245,vitri(".",AQ245,2)-1),TRUE,LEFT(AQ245,vitri(".",AQ245,1)-1))</f>
        <v/>
      </c>
    </row>
    <row r="246" spans="13:54" x14ac:dyDescent="0.25">
      <c r="M246" s="382"/>
      <c r="BB246" s="253" t="str">
        <f t="array" ref="BB246">_xlfn.IFS(AQ246="","",LEN(AQ246)-LEN(SUBSTITUTE(AQ246,".",""))=3,LEFT(AQ246,vitri(".",AQ246,3)-1),LEN(AQ246)-LEN(SUBSTITUTE(AQ246,".",""))=2,LEFT(AQ246,vitri(".",AQ246,2)-1),TRUE,LEFT(AQ246,vitri(".",AQ246,1)-1))</f>
        <v/>
      </c>
    </row>
    <row r="247" spans="13:54" x14ac:dyDescent="0.25">
      <c r="M247" s="382"/>
      <c r="BB247" s="253" t="str">
        <f t="array" ref="BB247">_xlfn.IFS(AQ247="","",LEN(AQ247)-LEN(SUBSTITUTE(AQ247,".",""))=3,LEFT(AQ247,vitri(".",AQ247,3)-1),LEN(AQ247)-LEN(SUBSTITUTE(AQ247,".",""))=2,LEFT(AQ247,vitri(".",AQ247,2)-1),TRUE,LEFT(AQ247,vitri(".",AQ247,1)-1))</f>
        <v/>
      </c>
    </row>
    <row r="248" spans="13:54" x14ac:dyDescent="0.25">
      <c r="M248" s="382"/>
      <c r="BB248" s="253" t="str">
        <f t="array" ref="BB248">_xlfn.IFS(AQ248="","",LEN(AQ248)-LEN(SUBSTITUTE(AQ248,".",""))=3,LEFT(AQ248,vitri(".",AQ248,3)-1),LEN(AQ248)-LEN(SUBSTITUTE(AQ248,".",""))=2,LEFT(AQ248,vitri(".",AQ248,2)-1),TRUE,LEFT(AQ248,vitri(".",AQ248,1)-1))</f>
        <v/>
      </c>
    </row>
    <row r="249" spans="13:54" x14ac:dyDescent="0.25">
      <c r="M249" s="382"/>
      <c r="BB249" s="253" t="str">
        <f t="array" ref="BB249">_xlfn.IFS(AQ249="","",LEN(AQ249)-LEN(SUBSTITUTE(AQ249,".",""))=3,LEFT(AQ249,vitri(".",AQ249,3)-1),LEN(AQ249)-LEN(SUBSTITUTE(AQ249,".",""))=2,LEFT(AQ249,vitri(".",AQ249,2)-1),TRUE,LEFT(AQ249,vitri(".",AQ249,1)-1))</f>
        <v/>
      </c>
    </row>
    <row r="250" spans="13:54" x14ac:dyDescent="0.25">
      <c r="M250" s="382"/>
      <c r="BB250" s="253" t="str">
        <f t="array" ref="BB250">_xlfn.IFS(AQ250="","",LEN(AQ250)-LEN(SUBSTITUTE(AQ250,".",""))=3,LEFT(AQ250,vitri(".",AQ250,3)-1),LEN(AQ250)-LEN(SUBSTITUTE(AQ250,".",""))=2,LEFT(AQ250,vitri(".",AQ250,2)-1),TRUE,LEFT(AQ250,vitri(".",AQ250,1)-1))</f>
        <v/>
      </c>
    </row>
    <row r="251" spans="13:54" x14ac:dyDescent="0.25">
      <c r="M251" s="382"/>
      <c r="BB251" s="253" t="str">
        <f t="array" ref="BB251">_xlfn.IFS(AQ251="","",LEN(AQ251)-LEN(SUBSTITUTE(AQ251,".",""))=3,LEFT(AQ251,vitri(".",AQ251,3)-1),LEN(AQ251)-LEN(SUBSTITUTE(AQ251,".",""))=2,LEFT(AQ251,vitri(".",AQ251,2)-1),TRUE,LEFT(AQ251,vitri(".",AQ251,1)-1))</f>
        <v/>
      </c>
    </row>
    <row r="252" spans="13:54" x14ac:dyDescent="0.25">
      <c r="M252" s="382"/>
      <c r="BB252" s="253" t="str">
        <f t="array" ref="BB252">_xlfn.IFS(AQ252="","",LEN(AQ252)-LEN(SUBSTITUTE(AQ252,".",""))=3,LEFT(AQ252,vitri(".",AQ252,3)-1),LEN(AQ252)-LEN(SUBSTITUTE(AQ252,".",""))=2,LEFT(AQ252,vitri(".",AQ252,2)-1),TRUE,LEFT(AQ252,vitri(".",AQ252,1)-1))</f>
        <v/>
      </c>
    </row>
    <row r="253" spans="13:54" x14ac:dyDescent="0.25">
      <c r="M253" s="382"/>
      <c r="BB253" s="253" t="str">
        <f t="array" ref="BB253">_xlfn.IFS(AQ253="","",LEN(AQ253)-LEN(SUBSTITUTE(AQ253,".",""))=3,LEFT(AQ253,vitri(".",AQ253,3)-1),LEN(AQ253)-LEN(SUBSTITUTE(AQ253,".",""))=2,LEFT(AQ253,vitri(".",AQ253,2)-1),TRUE,LEFT(AQ253,vitri(".",AQ253,1)-1))</f>
        <v/>
      </c>
    </row>
    <row r="254" spans="13:54" x14ac:dyDescent="0.25">
      <c r="M254" s="382"/>
      <c r="BB254" s="253" t="str">
        <f t="array" ref="BB254">_xlfn.IFS(AQ254="","",LEN(AQ254)-LEN(SUBSTITUTE(AQ254,".",""))=3,LEFT(AQ254,vitri(".",AQ254,3)-1),LEN(AQ254)-LEN(SUBSTITUTE(AQ254,".",""))=2,LEFT(AQ254,vitri(".",AQ254,2)-1),TRUE,LEFT(AQ254,vitri(".",AQ254,1)-1))</f>
        <v/>
      </c>
    </row>
    <row r="255" spans="13:54" x14ac:dyDescent="0.25">
      <c r="M255" s="382"/>
      <c r="BB255" s="253" t="str">
        <f t="array" ref="BB255">_xlfn.IFS(AQ255="","",LEN(AQ255)-LEN(SUBSTITUTE(AQ255,".",""))=3,LEFT(AQ255,vitri(".",AQ255,3)-1),LEN(AQ255)-LEN(SUBSTITUTE(AQ255,".",""))=2,LEFT(AQ255,vitri(".",AQ255,2)-1),TRUE,LEFT(AQ255,vitri(".",AQ255,1)-1))</f>
        <v/>
      </c>
    </row>
    <row r="256" spans="13:54" x14ac:dyDescent="0.25">
      <c r="M256" s="382"/>
      <c r="BB256" s="253" t="str">
        <f t="array" ref="BB256">_xlfn.IFS(AQ256="","",LEN(AQ256)-LEN(SUBSTITUTE(AQ256,".",""))=3,LEFT(AQ256,vitri(".",AQ256,3)-1),LEN(AQ256)-LEN(SUBSTITUTE(AQ256,".",""))=2,LEFT(AQ256,vitri(".",AQ256,2)-1),TRUE,LEFT(AQ256,vitri(".",AQ256,1)-1))</f>
        <v/>
      </c>
    </row>
    <row r="257" spans="13:54" x14ac:dyDescent="0.25">
      <c r="M257" s="382"/>
      <c r="BB257" s="253" t="str">
        <f t="array" ref="BB257">_xlfn.IFS(AQ257="","",LEN(AQ257)-LEN(SUBSTITUTE(AQ257,".",""))=3,LEFT(AQ257,vitri(".",AQ257,3)-1),LEN(AQ257)-LEN(SUBSTITUTE(AQ257,".",""))=2,LEFT(AQ257,vitri(".",AQ257,2)-1),TRUE,LEFT(AQ257,vitri(".",AQ257,1)-1))</f>
        <v/>
      </c>
    </row>
    <row r="258" spans="13:54" x14ac:dyDescent="0.25">
      <c r="M258" s="382"/>
      <c r="BB258" s="253" t="str">
        <f t="array" ref="BB258">_xlfn.IFS(AQ258="","",LEN(AQ258)-LEN(SUBSTITUTE(AQ258,".",""))=3,LEFT(AQ258,vitri(".",AQ258,3)-1),LEN(AQ258)-LEN(SUBSTITUTE(AQ258,".",""))=2,LEFT(AQ258,vitri(".",AQ258,2)-1),TRUE,LEFT(AQ258,vitri(".",AQ258,1)-1))</f>
        <v/>
      </c>
    </row>
    <row r="259" spans="13:54" x14ac:dyDescent="0.25">
      <c r="M259" s="382"/>
      <c r="BB259" s="253" t="str">
        <f t="array" ref="BB259">_xlfn.IFS(AQ259="","",LEN(AQ259)-LEN(SUBSTITUTE(AQ259,".",""))=3,LEFT(AQ259,vitri(".",AQ259,3)-1),LEN(AQ259)-LEN(SUBSTITUTE(AQ259,".",""))=2,LEFT(AQ259,vitri(".",AQ259,2)-1),TRUE,LEFT(AQ259,vitri(".",AQ259,1)-1))</f>
        <v/>
      </c>
    </row>
    <row r="260" spans="13:54" x14ac:dyDescent="0.25">
      <c r="M260" s="382"/>
      <c r="BB260" s="253" t="str">
        <f t="array" ref="BB260">_xlfn.IFS(AQ260="","",LEN(AQ260)-LEN(SUBSTITUTE(AQ260,".",""))=3,LEFT(AQ260,vitri(".",AQ260,3)-1),LEN(AQ260)-LEN(SUBSTITUTE(AQ260,".",""))=2,LEFT(AQ260,vitri(".",AQ260,2)-1),TRUE,LEFT(AQ260,vitri(".",AQ260,1)-1))</f>
        <v/>
      </c>
    </row>
    <row r="261" spans="13:54" x14ac:dyDescent="0.25">
      <c r="M261" s="382"/>
      <c r="BB261" s="253" t="str">
        <f t="array" ref="BB261">_xlfn.IFS(AQ261="","",LEN(AQ261)-LEN(SUBSTITUTE(AQ261,".",""))=3,LEFT(AQ261,vitri(".",AQ261,3)-1),LEN(AQ261)-LEN(SUBSTITUTE(AQ261,".",""))=2,LEFT(AQ261,vitri(".",AQ261,2)-1),TRUE,LEFT(AQ261,vitri(".",AQ261,1)-1))</f>
        <v/>
      </c>
    </row>
    <row r="262" spans="13:54" x14ac:dyDescent="0.25">
      <c r="M262" s="382"/>
      <c r="BB262" s="253" t="str">
        <f t="array" ref="BB262">_xlfn.IFS(AQ262="","",LEN(AQ262)-LEN(SUBSTITUTE(AQ262,".",""))=3,LEFT(AQ262,vitri(".",AQ262,3)-1),LEN(AQ262)-LEN(SUBSTITUTE(AQ262,".",""))=2,LEFT(AQ262,vitri(".",AQ262,2)-1),TRUE,LEFT(AQ262,vitri(".",AQ262,1)-1))</f>
        <v/>
      </c>
    </row>
    <row r="263" spans="13:54" x14ac:dyDescent="0.25">
      <c r="M263" s="382"/>
      <c r="BB263" s="253" t="str">
        <f t="array" ref="BB263">_xlfn.IFS(AQ263="","",LEN(AQ263)-LEN(SUBSTITUTE(AQ263,".",""))=3,LEFT(AQ263,vitri(".",AQ263,3)-1),LEN(AQ263)-LEN(SUBSTITUTE(AQ263,".",""))=2,LEFT(AQ263,vitri(".",AQ263,2)-1),TRUE,LEFT(AQ263,vitri(".",AQ263,1)-1))</f>
        <v/>
      </c>
    </row>
    <row r="264" spans="13:54" x14ac:dyDescent="0.25">
      <c r="M264" s="382"/>
      <c r="BB264" s="253" t="str">
        <f t="array" ref="BB264">_xlfn.IFS(AQ264="","",LEN(AQ264)-LEN(SUBSTITUTE(AQ264,".",""))=3,LEFT(AQ264,vitri(".",AQ264,3)-1),LEN(AQ264)-LEN(SUBSTITUTE(AQ264,".",""))=2,LEFT(AQ264,vitri(".",AQ264,2)-1),TRUE,LEFT(AQ264,vitri(".",AQ264,1)-1))</f>
        <v/>
      </c>
    </row>
    <row r="265" spans="13:54" x14ac:dyDescent="0.25">
      <c r="M265" s="382"/>
      <c r="BB265" s="253" t="str">
        <f t="array" ref="BB265">_xlfn.IFS(AQ265="","",LEN(AQ265)-LEN(SUBSTITUTE(AQ265,".",""))=3,LEFT(AQ265,vitri(".",AQ265,3)-1),LEN(AQ265)-LEN(SUBSTITUTE(AQ265,".",""))=2,LEFT(AQ265,vitri(".",AQ265,2)-1),TRUE,LEFT(AQ265,vitri(".",AQ265,1)-1))</f>
        <v/>
      </c>
    </row>
    <row r="266" spans="13:54" x14ac:dyDescent="0.25">
      <c r="M266" s="382"/>
      <c r="BB266" s="253" t="str">
        <f t="array" ref="BB266">_xlfn.IFS(AQ266="","",LEN(AQ266)-LEN(SUBSTITUTE(AQ266,".",""))=3,LEFT(AQ266,vitri(".",AQ266,3)-1),LEN(AQ266)-LEN(SUBSTITUTE(AQ266,".",""))=2,LEFT(AQ266,vitri(".",AQ266,2)-1),TRUE,LEFT(AQ266,vitri(".",AQ266,1)-1))</f>
        <v/>
      </c>
    </row>
    <row r="267" spans="13:54" x14ac:dyDescent="0.25">
      <c r="M267" s="382"/>
      <c r="BB267" s="253" t="str">
        <f t="array" ref="BB267">_xlfn.IFS(AQ267="","",LEN(AQ267)-LEN(SUBSTITUTE(AQ267,".",""))=3,LEFT(AQ267,vitri(".",AQ267,3)-1),LEN(AQ267)-LEN(SUBSTITUTE(AQ267,".",""))=2,LEFT(AQ267,vitri(".",AQ267,2)-1),TRUE,LEFT(AQ267,vitri(".",AQ267,1)-1))</f>
        <v/>
      </c>
    </row>
    <row r="268" spans="13:54" x14ac:dyDescent="0.25">
      <c r="M268" s="382"/>
      <c r="BB268" s="253" t="str">
        <f t="array" ref="BB268">_xlfn.IFS(AQ268="","",LEN(AQ268)-LEN(SUBSTITUTE(AQ268,".",""))=3,LEFT(AQ268,vitri(".",AQ268,3)-1),LEN(AQ268)-LEN(SUBSTITUTE(AQ268,".",""))=2,LEFT(AQ268,vitri(".",AQ268,2)-1),TRUE,LEFT(AQ268,vitri(".",AQ268,1)-1))</f>
        <v/>
      </c>
    </row>
    <row r="269" spans="13:54" x14ac:dyDescent="0.25">
      <c r="M269" s="382"/>
      <c r="BB269" s="253" t="str">
        <f t="array" ref="BB269">_xlfn.IFS(AQ269="","",LEN(AQ269)-LEN(SUBSTITUTE(AQ269,".",""))=3,LEFT(AQ269,vitri(".",AQ269,3)-1),LEN(AQ269)-LEN(SUBSTITUTE(AQ269,".",""))=2,LEFT(AQ269,vitri(".",AQ269,2)-1),TRUE,LEFT(AQ269,vitri(".",AQ269,1)-1))</f>
        <v/>
      </c>
    </row>
    <row r="270" spans="13:54" x14ac:dyDescent="0.25">
      <c r="M270" s="382"/>
      <c r="BB270" s="253" t="str">
        <f t="array" ref="BB270">_xlfn.IFS(AQ270="","",LEN(AQ270)-LEN(SUBSTITUTE(AQ270,".",""))=3,LEFT(AQ270,vitri(".",AQ270,3)-1),LEN(AQ270)-LEN(SUBSTITUTE(AQ270,".",""))=2,LEFT(AQ270,vitri(".",AQ270,2)-1),TRUE,LEFT(AQ270,vitri(".",AQ270,1)-1))</f>
        <v/>
      </c>
    </row>
    <row r="271" spans="13:54" x14ac:dyDescent="0.25">
      <c r="M271" s="382"/>
      <c r="BB271" s="253" t="str">
        <f t="array" ref="BB271">_xlfn.IFS(AQ271="","",LEN(AQ271)-LEN(SUBSTITUTE(AQ271,".",""))=3,LEFT(AQ271,vitri(".",AQ271,3)-1),LEN(AQ271)-LEN(SUBSTITUTE(AQ271,".",""))=2,LEFT(AQ271,vitri(".",AQ271,2)-1),TRUE,LEFT(AQ271,vitri(".",AQ271,1)-1))</f>
        <v/>
      </c>
    </row>
    <row r="272" spans="13:54" x14ac:dyDescent="0.25">
      <c r="M272" s="382"/>
      <c r="BB272" s="253" t="str">
        <f t="array" ref="BB272">_xlfn.IFS(AQ272="","",LEN(AQ272)-LEN(SUBSTITUTE(AQ272,".",""))=3,LEFT(AQ272,vitri(".",AQ272,3)-1),LEN(AQ272)-LEN(SUBSTITUTE(AQ272,".",""))=2,LEFT(AQ272,vitri(".",AQ272,2)-1),TRUE,LEFT(AQ272,vitri(".",AQ272,1)-1))</f>
        <v/>
      </c>
    </row>
    <row r="273" spans="13:54" x14ac:dyDescent="0.25">
      <c r="M273" s="382"/>
      <c r="BB273" s="253" t="str">
        <f t="array" ref="BB273">_xlfn.IFS(AQ273="","",LEN(AQ273)-LEN(SUBSTITUTE(AQ273,".",""))=3,LEFT(AQ273,vitri(".",AQ273,3)-1),LEN(AQ273)-LEN(SUBSTITUTE(AQ273,".",""))=2,LEFT(AQ273,vitri(".",AQ273,2)-1),TRUE,LEFT(AQ273,vitri(".",AQ273,1)-1))</f>
        <v/>
      </c>
    </row>
    <row r="274" spans="13:54" x14ac:dyDescent="0.25">
      <c r="M274" s="382"/>
      <c r="BB274" s="253" t="str">
        <f t="array" ref="BB274">_xlfn.IFS(AQ274="","",LEN(AQ274)-LEN(SUBSTITUTE(AQ274,".",""))=3,LEFT(AQ274,vitri(".",AQ274,3)-1),LEN(AQ274)-LEN(SUBSTITUTE(AQ274,".",""))=2,LEFT(AQ274,vitri(".",AQ274,2)-1),TRUE,LEFT(AQ274,vitri(".",AQ274,1)-1))</f>
        <v/>
      </c>
    </row>
    <row r="275" spans="13:54" x14ac:dyDescent="0.25">
      <c r="M275" s="382"/>
      <c r="BB275" s="253" t="str">
        <f t="array" ref="BB275">_xlfn.IFS(AQ275="","",LEN(AQ275)-LEN(SUBSTITUTE(AQ275,".",""))=3,LEFT(AQ275,vitri(".",AQ275,3)-1),LEN(AQ275)-LEN(SUBSTITUTE(AQ275,".",""))=2,LEFT(AQ275,vitri(".",AQ275,2)-1),TRUE,LEFT(AQ275,vitri(".",AQ275,1)-1))</f>
        <v/>
      </c>
    </row>
    <row r="276" spans="13:54" x14ac:dyDescent="0.25">
      <c r="M276" s="382"/>
      <c r="BB276" s="253" t="str">
        <f t="array" ref="BB276">_xlfn.IFS(AQ276="","",LEN(AQ276)-LEN(SUBSTITUTE(AQ276,".",""))=3,LEFT(AQ276,vitri(".",AQ276,3)-1),LEN(AQ276)-LEN(SUBSTITUTE(AQ276,".",""))=2,LEFT(AQ276,vitri(".",AQ276,2)-1),TRUE,LEFT(AQ276,vitri(".",AQ276,1)-1))</f>
        <v/>
      </c>
    </row>
    <row r="277" spans="13:54" x14ac:dyDescent="0.25">
      <c r="M277" s="382"/>
      <c r="BB277" s="253" t="str">
        <f t="array" ref="BB277">_xlfn.IFS(AQ277="","",LEN(AQ277)-LEN(SUBSTITUTE(AQ277,".",""))=3,LEFT(AQ277,vitri(".",AQ277,3)-1),LEN(AQ277)-LEN(SUBSTITUTE(AQ277,".",""))=2,LEFT(AQ277,vitri(".",AQ277,2)-1),TRUE,LEFT(AQ277,vitri(".",AQ277,1)-1))</f>
        <v/>
      </c>
    </row>
    <row r="278" spans="13:54" x14ac:dyDescent="0.25">
      <c r="M278" s="382"/>
      <c r="BB278" s="253" t="str">
        <f t="array" ref="BB278">_xlfn.IFS(AQ278="","",LEN(AQ278)-LEN(SUBSTITUTE(AQ278,".",""))=3,LEFT(AQ278,vitri(".",AQ278,3)-1),LEN(AQ278)-LEN(SUBSTITUTE(AQ278,".",""))=2,LEFT(AQ278,vitri(".",AQ278,2)-1),TRUE,LEFT(AQ278,vitri(".",AQ278,1)-1))</f>
        <v/>
      </c>
    </row>
    <row r="279" spans="13:54" x14ac:dyDescent="0.25">
      <c r="M279" s="382"/>
      <c r="BB279" s="253" t="str">
        <f t="array" ref="BB279">_xlfn.IFS(AQ279="","",LEN(AQ279)-LEN(SUBSTITUTE(AQ279,".",""))=3,LEFT(AQ279,vitri(".",AQ279,3)-1),LEN(AQ279)-LEN(SUBSTITUTE(AQ279,".",""))=2,LEFT(AQ279,vitri(".",AQ279,2)-1),TRUE,LEFT(AQ279,vitri(".",AQ279,1)-1))</f>
        <v/>
      </c>
    </row>
    <row r="280" spans="13:54" x14ac:dyDescent="0.25">
      <c r="M280" s="382"/>
      <c r="BB280" s="253" t="str">
        <f t="array" ref="BB280">_xlfn.IFS(AQ280="","",LEN(AQ280)-LEN(SUBSTITUTE(AQ280,".",""))=3,LEFT(AQ280,vitri(".",AQ280,3)-1),LEN(AQ280)-LEN(SUBSTITUTE(AQ280,".",""))=2,LEFT(AQ280,vitri(".",AQ280,2)-1),TRUE,LEFT(AQ280,vitri(".",AQ280,1)-1))</f>
        <v/>
      </c>
    </row>
    <row r="281" spans="13:54" x14ac:dyDescent="0.25">
      <c r="M281" s="382"/>
      <c r="BB281" s="253" t="str">
        <f t="array" ref="BB281">_xlfn.IFS(AQ281="","",LEN(AQ281)-LEN(SUBSTITUTE(AQ281,".",""))=3,LEFT(AQ281,vitri(".",AQ281,3)-1),LEN(AQ281)-LEN(SUBSTITUTE(AQ281,".",""))=2,LEFT(AQ281,vitri(".",AQ281,2)-1),TRUE,LEFT(AQ281,vitri(".",AQ281,1)-1))</f>
        <v/>
      </c>
    </row>
    <row r="282" spans="13:54" x14ac:dyDescent="0.25">
      <c r="M282" s="382"/>
      <c r="BB282" s="253" t="str">
        <f t="array" ref="BB282">_xlfn.IFS(AQ282="","",LEN(AQ282)-LEN(SUBSTITUTE(AQ282,".",""))=3,LEFT(AQ282,vitri(".",AQ282,3)-1),LEN(AQ282)-LEN(SUBSTITUTE(AQ282,".",""))=2,LEFT(AQ282,vitri(".",AQ282,2)-1),TRUE,LEFT(AQ282,vitri(".",AQ282,1)-1))</f>
        <v/>
      </c>
    </row>
    <row r="283" spans="13:54" x14ac:dyDescent="0.25">
      <c r="M283" s="382"/>
      <c r="BB283" s="253" t="str">
        <f t="array" ref="BB283">_xlfn.IFS(AQ283="","",LEN(AQ283)-LEN(SUBSTITUTE(AQ283,".",""))=3,LEFT(AQ283,vitri(".",AQ283,3)-1),LEN(AQ283)-LEN(SUBSTITUTE(AQ283,".",""))=2,LEFT(AQ283,vitri(".",AQ283,2)-1),TRUE,LEFT(AQ283,vitri(".",AQ283,1)-1))</f>
        <v/>
      </c>
    </row>
    <row r="284" spans="13:54" x14ac:dyDescent="0.25">
      <c r="M284" s="382"/>
      <c r="BB284" s="253" t="str">
        <f t="array" ref="BB284">_xlfn.IFS(AQ284="","",LEN(AQ284)-LEN(SUBSTITUTE(AQ284,".",""))=3,LEFT(AQ284,vitri(".",AQ284,3)-1),LEN(AQ284)-LEN(SUBSTITUTE(AQ284,".",""))=2,LEFT(AQ284,vitri(".",AQ284,2)-1),TRUE,LEFT(AQ284,vitri(".",AQ284,1)-1))</f>
        <v/>
      </c>
    </row>
    <row r="285" spans="13:54" x14ac:dyDescent="0.25">
      <c r="M285" s="382"/>
      <c r="BB285" s="253" t="str">
        <f t="array" ref="BB285">_xlfn.IFS(AQ285="","",LEN(AQ285)-LEN(SUBSTITUTE(AQ285,".",""))=3,LEFT(AQ285,vitri(".",AQ285,3)-1),LEN(AQ285)-LEN(SUBSTITUTE(AQ285,".",""))=2,LEFT(AQ285,vitri(".",AQ285,2)-1),TRUE,LEFT(AQ285,vitri(".",AQ285,1)-1))</f>
        <v/>
      </c>
    </row>
    <row r="286" spans="13:54" x14ac:dyDescent="0.25">
      <c r="M286" s="382"/>
      <c r="BB286" s="253" t="str">
        <f t="array" ref="BB286">_xlfn.IFS(AQ286="","",LEN(AQ286)-LEN(SUBSTITUTE(AQ286,".",""))=3,LEFT(AQ286,vitri(".",AQ286,3)-1),LEN(AQ286)-LEN(SUBSTITUTE(AQ286,".",""))=2,LEFT(AQ286,vitri(".",AQ286,2)-1),TRUE,LEFT(AQ286,vitri(".",AQ286,1)-1))</f>
        <v/>
      </c>
    </row>
    <row r="287" spans="13:54" x14ac:dyDescent="0.25">
      <c r="M287" s="382"/>
      <c r="BB287" s="253" t="str">
        <f t="array" ref="BB287">_xlfn.IFS(AQ287="","",LEN(AQ287)-LEN(SUBSTITUTE(AQ287,".",""))=3,LEFT(AQ287,vitri(".",AQ287,3)-1),LEN(AQ287)-LEN(SUBSTITUTE(AQ287,".",""))=2,LEFT(AQ287,vitri(".",AQ287,2)-1),TRUE,LEFT(AQ287,vitri(".",AQ287,1)-1))</f>
        <v/>
      </c>
    </row>
    <row r="288" spans="13:54" x14ac:dyDescent="0.25">
      <c r="M288" s="382"/>
      <c r="BB288" s="253" t="str">
        <f t="array" ref="BB288">_xlfn.IFS(AQ288="","",LEN(AQ288)-LEN(SUBSTITUTE(AQ288,".",""))=3,LEFT(AQ288,vitri(".",AQ288,3)-1),LEN(AQ288)-LEN(SUBSTITUTE(AQ288,".",""))=2,LEFT(AQ288,vitri(".",AQ288,2)-1),TRUE,LEFT(AQ288,vitri(".",AQ288,1)-1))</f>
        <v/>
      </c>
    </row>
    <row r="289" spans="13:54" x14ac:dyDescent="0.25">
      <c r="M289" s="382"/>
      <c r="BB289" s="253" t="str">
        <f t="array" ref="BB289">_xlfn.IFS(AQ289="","",LEN(AQ289)-LEN(SUBSTITUTE(AQ289,".",""))=3,LEFT(AQ289,vitri(".",AQ289,3)-1),LEN(AQ289)-LEN(SUBSTITUTE(AQ289,".",""))=2,LEFT(AQ289,vitri(".",AQ289,2)-1),TRUE,LEFT(AQ289,vitri(".",AQ289,1)-1))</f>
        <v/>
      </c>
    </row>
    <row r="290" spans="13:54" x14ac:dyDescent="0.25">
      <c r="M290" s="382"/>
      <c r="BB290" s="253" t="str">
        <f t="array" ref="BB290">_xlfn.IFS(AQ290="","",LEN(AQ290)-LEN(SUBSTITUTE(AQ290,".",""))=3,LEFT(AQ290,vitri(".",AQ290,3)-1),LEN(AQ290)-LEN(SUBSTITUTE(AQ290,".",""))=2,LEFT(AQ290,vitri(".",AQ290,2)-1),TRUE,LEFT(AQ290,vitri(".",AQ290,1)-1))</f>
        <v/>
      </c>
    </row>
    <row r="291" spans="13:54" x14ac:dyDescent="0.25">
      <c r="M291" s="382"/>
      <c r="BB291" s="253" t="str">
        <f t="array" ref="BB291">_xlfn.IFS(AQ291="","",LEN(AQ291)-LEN(SUBSTITUTE(AQ291,".",""))=3,LEFT(AQ291,vitri(".",AQ291,3)-1),LEN(AQ291)-LEN(SUBSTITUTE(AQ291,".",""))=2,LEFT(AQ291,vitri(".",AQ291,2)-1),TRUE,LEFT(AQ291,vitri(".",AQ291,1)-1))</f>
        <v/>
      </c>
    </row>
    <row r="292" spans="13:54" x14ac:dyDescent="0.25">
      <c r="M292" s="382"/>
      <c r="BB292" s="253" t="str">
        <f t="array" ref="BB292">_xlfn.IFS(AQ292="","",LEN(AQ292)-LEN(SUBSTITUTE(AQ292,".",""))=3,LEFT(AQ292,vitri(".",AQ292,3)-1),LEN(AQ292)-LEN(SUBSTITUTE(AQ292,".",""))=2,LEFT(AQ292,vitri(".",AQ292,2)-1),TRUE,LEFT(AQ292,vitri(".",AQ292,1)-1))</f>
        <v/>
      </c>
    </row>
    <row r="293" spans="13:54" x14ac:dyDescent="0.25">
      <c r="M293" s="382"/>
      <c r="BB293" s="253" t="str">
        <f t="array" ref="BB293">_xlfn.IFS(AQ293="","",LEN(AQ293)-LEN(SUBSTITUTE(AQ293,".",""))=3,LEFT(AQ293,vitri(".",AQ293,3)-1),LEN(AQ293)-LEN(SUBSTITUTE(AQ293,".",""))=2,LEFT(AQ293,vitri(".",AQ293,2)-1),TRUE,LEFT(AQ293,vitri(".",AQ293,1)-1))</f>
        <v/>
      </c>
    </row>
    <row r="294" spans="13:54" x14ac:dyDescent="0.25">
      <c r="M294" s="382"/>
      <c r="BB294" s="253" t="str">
        <f t="array" ref="BB294">_xlfn.IFS(AQ294="","",LEN(AQ294)-LEN(SUBSTITUTE(AQ294,".",""))=3,LEFT(AQ294,vitri(".",AQ294,3)-1),LEN(AQ294)-LEN(SUBSTITUTE(AQ294,".",""))=2,LEFT(AQ294,vitri(".",AQ294,2)-1),TRUE,LEFT(AQ294,vitri(".",AQ294,1)-1))</f>
        <v/>
      </c>
    </row>
    <row r="295" spans="13:54" x14ac:dyDescent="0.25">
      <c r="M295" s="382"/>
      <c r="BB295" s="253" t="str">
        <f t="array" ref="BB295">_xlfn.IFS(AQ295="","",LEN(AQ295)-LEN(SUBSTITUTE(AQ295,".",""))=3,LEFT(AQ295,vitri(".",AQ295,3)-1),LEN(AQ295)-LEN(SUBSTITUTE(AQ295,".",""))=2,LEFT(AQ295,vitri(".",AQ295,2)-1),TRUE,LEFT(AQ295,vitri(".",AQ295,1)-1))</f>
        <v/>
      </c>
    </row>
    <row r="296" spans="13:54" x14ac:dyDescent="0.25">
      <c r="M296" s="382"/>
      <c r="BB296" s="253" t="str">
        <f t="array" ref="BB296">_xlfn.IFS(AQ296="","",LEN(AQ296)-LEN(SUBSTITUTE(AQ296,".",""))=3,LEFT(AQ296,vitri(".",AQ296,3)-1),LEN(AQ296)-LEN(SUBSTITUTE(AQ296,".",""))=2,LEFT(AQ296,vitri(".",AQ296,2)-1),TRUE,LEFT(AQ296,vitri(".",AQ296,1)-1))</f>
        <v/>
      </c>
    </row>
    <row r="297" spans="13:54" x14ac:dyDescent="0.25">
      <c r="M297" s="382"/>
      <c r="BB297" s="253" t="str">
        <f t="array" ref="BB297">_xlfn.IFS(AQ297="","",LEN(AQ297)-LEN(SUBSTITUTE(AQ297,".",""))=3,LEFT(AQ297,vitri(".",AQ297,3)-1),LEN(AQ297)-LEN(SUBSTITUTE(AQ297,".",""))=2,LEFT(AQ297,vitri(".",AQ297,2)-1),TRUE,LEFT(AQ297,vitri(".",AQ297,1)-1))</f>
        <v/>
      </c>
    </row>
    <row r="298" spans="13:54" x14ac:dyDescent="0.25">
      <c r="M298" s="382"/>
      <c r="BB298" s="253" t="str">
        <f t="array" ref="BB298">_xlfn.IFS(AQ298="","",LEN(AQ298)-LEN(SUBSTITUTE(AQ298,".",""))=3,LEFT(AQ298,vitri(".",AQ298,3)-1),LEN(AQ298)-LEN(SUBSTITUTE(AQ298,".",""))=2,LEFT(AQ298,vitri(".",AQ298,2)-1),TRUE,LEFT(AQ298,vitri(".",AQ298,1)-1))</f>
        <v/>
      </c>
    </row>
    <row r="299" spans="13:54" x14ac:dyDescent="0.25">
      <c r="M299" s="382"/>
      <c r="BB299" s="253" t="str">
        <f t="array" ref="BB299">_xlfn.IFS(AQ299="","",LEN(AQ299)-LEN(SUBSTITUTE(AQ299,".",""))=3,LEFT(AQ299,vitri(".",AQ299,3)-1),LEN(AQ299)-LEN(SUBSTITUTE(AQ299,".",""))=2,LEFT(AQ299,vitri(".",AQ299,2)-1),TRUE,LEFT(AQ299,vitri(".",AQ299,1)-1))</f>
        <v/>
      </c>
    </row>
    <row r="300" spans="13:54" x14ac:dyDescent="0.25">
      <c r="M300" s="382"/>
      <c r="BB300" s="253" t="str">
        <f t="array" ref="BB300">_xlfn.IFS(AQ300="","",LEN(AQ300)-LEN(SUBSTITUTE(AQ300,".",""))=3,LEFT(AQ300,vitri(".",AQ300,3)-1),LEN(AQ300)-LEN(SUBSTITUTE(AQ300,".",""))=2,LEFT(AQ300,vitri(".",AQ300,2)-1),TRUE,LEFT(AQ300,vitri(".",AQ300,1)-1))</f>
        <v/>
      </c>
    </row>
    <row r="301" spans="13:54" x14ac:dyDescent="0.25">
      <c r="M301" s="382"/>
      <c r="BB301" s="253" t="str">
        <f t="array" ref="BB301">_xlfn.IFS(AQ301="","",LEN(AQ301)-LEN(SUBSTITUTE(AQ301,".",""))=3,LEFT(AQ301,vitri(".",AQ301,3)-1),LEN(AQ301)-LEN(SUBSTITUTE(AQ301,".",""))=2,LEFT(AQ301,vitri(".",AQ301,2)-1),TRUE,LEFT(AQ301,vitri(".",AQ301,1)-1))</f>
        <v/>
      </c>
    </row>
    <row r="302" spans="13:54" x14ac:dyDescent="0.25">
      <c r="M302" s="382"/>
      <c r="BB302" s="253" t="str">
        <f t="array" ref="BB302">_xlfn.IFS(AQ302="","",LEN(AQ302)-LEN(SUBSTITUTE(AQ302,".",""))=3,LEFT(AQ302,vitri(".",AQ302,3)-1),LEN(AQ302)-LEN(SUBSTITUTE(AQ302,".",""))=2,LEFT(AQ302,vitri(".",AQ302,2)-1),TRUE,LEFT(AQ302,vitri(".",AQ302,1)-1))</f>
        <v/>
      </c>
    </row>
    <row r="303" spans="13:54" x14ac:dyDescent="0.25">
      <c r="M303" s="382"/>
      <c r="BB303" s="253" t="str">
        <f t="array" ref="BB303">_xlfn.IFS(AQ303="","",LEN(AQ303)-LEN(SUBSTITUTE(AQ303,".",""))=3,LEFT(AQ303,vitri(".",AQ303,3)-1),LEN(AQ303)-LEN(SUBSTITUTE(AQ303,".",""))=2,LEFT(AQ303,vitri(".",AQ303,2)-1),TRUE,LEFT(AQ303,vitri(".",AQ303,1)-1))</f>
        <v/>
      </c>
    </row>
    <row r="304" spans="13:54" x14ac:dyDescent="0.25">
      <c r="M304" s="382"/>
      <c r="BB304" s="253" t="str">
        <f t="array" ref="BB304">_xlfn.IFS(AQ304="","",LEN(AQ304)-LEN(SUBSTITUTE(AQ304,".",""))=3,LEFT(AQ304,vitri(".",AQ304,3)-1),LEN(AQ304)-LEN(SUBSTITUTE(AQ304,".",""))=2,LEFT(AQ304,vitri(".",AQ304,2)-1),TRUE,LEFT(AQ304,vitri(".",AQ304,1)-1))</f>
        <v/>
      </c>
    </row>
    <row r="305" spans="13:54" x14ac:dyDescent="0.25">
      <c r="M305" s="382"/>
      <c r="BB305" s="253" t="str">
        <f t="array" ref="BB305">_xlfn.IFS(AQ305="","",LEN(AQ305)-LEN(SUBSTITUTE(AQ305,".",""))=3,LEFT(AQ305,vitri(".",AQ305,3)-1),LEN(AQ305)-LEN(SUBSTITUTE(AQ305,".",""))=2,LEFT(AQ305,vitri(".",AQ305,2)-1),TRUE,LEFT(AQ305,vitri(".",AQ305,1)-1))</f>
        <v/>
      </c>
    </row>
    <row r="306" spans="13:54" x14ac:dyDescent="0.25">
      <c r="M306" s="382"/>
      <c r="BB306" s="253" t="str">
        <f t="array" ref="BB306">_xlfn.IFS(AQ306="","",LEN(AQ306)-LEN(SUBSTITUTE(AQ306,".",""))=3,LEFT(AQ306,vitri(".",AQ306,3)-1),LEN(AQ306)-LEN(SUBSTITUTE(AQ306,".",""))=2,LEFT(AQ306,vitri(".",AQ306,2)-1),TRUE,LEFT(AQ306,vitri(".",AQ306,1)-1))</f>
        <v/>
      </c>
    </row>
    <row r="307" spans="13:54" x14ac:dyDescent="0.25">
      <c r="M307" s="382"/>
      <c r="BB307" s="253" t="str">
        <f t="array" ref="BB307">_xlfn.IFS(AQ307="","",LEN(AQ307)-LEN(SUBSTITUTE(AQ307,".",""))=3,LEFT(AQ307,vitri(".",AQ307,3)-1),LEN(AQ307)-LEN(SUBSTITUTE(AQ307,".",""))=2,LEFT(AQ307,vitri(".",AQ307,2)-1),TRUE,LEFT(AQ307,vitri(".",AQ307,1)-1))</f>
        <v/>
      </c>
    </row>
    <row r="308" spans="13:54" x14ac:dyDescent="0.25">
      <c r="M308" s="382"/>
      <c r="BB308" s="253" t="str">
        <f t="array" ref="BB308">_xlfn.IFS(AQ308="","",LEN(AQ308)-LEN(SUBSTITUTE(AQ308,".",""))=3,LEFT(AQ308,vitri(".",AQ308,3)-1),LEN(AQ308)-LEN(SUBSTITUTE(AQ308,".",""))=2,LEFT(AQ308,vitri(".",AQ308,2)-1),TRUE,LEFT(AQ308,vitri(".",AQ308,1)-1))</f>
        <v/>
      </c>
    </row>
    <row r="309" spans="13:54" x14ac:dyDescent="0.25">
      <c r="M309" s="382"/>
      <c r="BB309" s="253" t="str">
        <f t="array" ref="BB309">_xlfn.IFS(AQ309="","",LEN(AQ309)-LEN(SUBSTITUTE(AQ309,".",""))=3,LEFT(AQ309,vitri(".",AQ309,3)-1),LEN(AQ309)-LEN(SUBSTITUTE(AQ309,".",""))=2,LEFT(AQ309,vitri(".",AQ309,2)-1),TRUE,LEFT(AQ309,vitri(".",AQ309,1)-1))</f>
        <v/>
      </c>
    </row>
    <row r="310" spans="13:54" x14ac:dyDescent="0.25">
      <c r="M310" s="382"/>
      <c r="BB310" s="253" t="str">
        <f t="array" ref="BB310">_xlfn.IFS(AQ310="","",LEN(AQ310)-LEN(SUBSTITUTE(AQ310,".",""))=3,LEFT(AQ310,vitri(".",AQ310,3)-1),LEN(AQ310)-LEN(SUBSTITUTE(AQ310,".",""))=2,LEFT(AQ310,vitri(".",AQ310,2)-1),TRUE,LEFT(AQ310,vitri(".",AQ310,1)-1))</f>
        <v/>
      </c>
    </row>
    <row r="311" spans="13:54" x14ac:dyDescent="0.25">
      <c r="M311" s="382"/>
      <c r="BB311" s="253" t="str">
        <f t="array" ref="BB311">_xlfn.IFS(AQ311="","",LEN(AQ311)-LEN(SUBSTITUTE(AQ311,".",""))=3,LEFT(AQ311,vitri(".",AQ311,3)-1),LEN(AQ311)-LEN(SUBSTITUTE(AQ311,".",""))=2,LEFT(AQ311,vitri(".",AQ311,2)-1),TRUE,LEFT(AQ311,vitri(".",AQ311,1)-1))</f>
        <v/>
      </c>
    </row>
    <row r="312" spans="13:54" x14ac:dyDescent="0.25">
      <c r="M312" s="382"/>
      <c r="BB312" s="253" t="str">
        <f t="array" ref="BB312">_xlfn.IFS(AQ312="","",LEN(AQ312)-LEN(SUBSTITUTE(AQ312,".",""))=3,LEFT(AQ312,vitri(".",AQ312,3)-1),LEN(AQ312)-LEN(SUBSTITUTE(AQ312,".",""))=2,LEFT(AQ312,vitri(".",AQ312,2)-1),TRUE,LEFT(AQ312,vitri(".",AQ312,1)-1))</f>
        <v/>
      </c>
    </row>
    <row r="313" spans="13:54" x14ac:dyDescent="0.25">
      <c r="M313" s="382"/>
      <c r="BB313" s="253" t="str">
        <f t="array" ref="BB313">_xlfn.IFS(AQ313="","",LEN(AQ313)-LEN(SUBSTITUTE(AQ313,".",""))=3,LEFT(AQ313,vitri(".",AQ313,3)-1),LEN(AQ313)-LEN(SUBSTITUTE(AQ313,".",""))=2,LEFT(AQ313,vitri(".",AQ313,2)-1),TRUE,LEFT(AQ313,vitri(".",AQ313,1)-1))</f>
        <v/>
      </c>
    </row>
    <row r="314" spans="13:54" x14ac:dyDescent="0.25">
      <c r="M314" s="382"/>
      <c r="BB314" s="253" t="str">
        <f t="array" ref="BB314">_xlfn.IFS(AQ314="","",LEN(AQ314)-LEN(SUBSTITUTE(AQ314,".",""))=3,LEFT(AQ314,vitri(".",AQ314,3)-1),LEN(AQ314)-LEN(SUBSTITUTE(AQ314,".",""))=2,LEFT(AQ314,vitri(".",AQ314,2)-1),TRUE,LEFT(AQ314,vitri(".",AQ314,1)-1))</f>
        <v/>
      </c>
    </row>
    <row r="315" spans="13:54" x14ac:dyDescent="0.25">
      <c r="M315" s="382"/>
      <c r="BB315" s="253" t="str">
        <f t="array" ref="BB315">_xlfn.IFS(AQ315="","",LEN(AQ315)-LEN(SUBSTITUTE(AQ315,".",""))=3,LEFT(AQ315,vitri(".",AQ315,3)-1),LEN(AQ315)-LEN(SUBSTITUTE(AQ315,".",""))=2,LEFT(AQ315,vitri(".",AQ315,2)-1),TRUE,LEFT(AQ315,vitri(".",AQ315,1)-1))</f>
        <v/>
      </c>
    </row>
    <row r="316" spans="13:54" x14ac:dyDescent="0.25">
      <c r="M316" s="382"/>
      <c r="BB316" s="253" t="str">
        <f t="array" ref="BB316">_xlfn.IFS(AQ316="","",LEN(AQ316)-LEN(SUBSTITUTE(AQ316,".",""))=3,LEFT(AQ316,vitri(".",AQ316,3)-1),LEN(AQ316)-LEN(SUBSTITUTE(AQ316,".",""))=2,LEFT(AQ316,vitri(".",AQ316,2)-1),TRUE,LEFT(AQ316,vitri(".",AQ316,1)-1))</f>
        <v/>
      </c>
    </row>
    <row r="317" spans="13:54" x14ac:dyDescent="0.25">
      <c r="M317" s="382"/>
      <c r="BB317" s="253" t="str">
        <f t="array" ref="BB317">_xlfn.IFS(AQ317="","",LEN(AQ317)-LEN(SUBSTITUTE(AQ317,".",""))=3,LEFT(AQ317,vitri(".",AQ317,3)-1),LEN(AQ317)-LEN(SUBSTITUTE(AQ317,".",""))=2,LEFT(AQ317,vitri(".",AQ317,2)-1),TRUE,LEFT(AQ317,vitri(".",AQ317,1)-1))</f>
        <v/>
      </c>
    </row>
    <row r="318" spans="13:54" x14ac:dyDescent="0.25">
      <c r="M318" s="382"/>
      <c r="BB318" s="253" t="str">
        <f t="array" ref="BB318">_xlfn.IFS(AQ318="","",LEN(AQ318)-LEN(SUBSTITUTE(AQ318,".",""))=3,LEFT(AQ318,vitri(".",AQ318,3)-1),LEN(AQ318)-LEN(SUBSTITUTE(AQ318,".",""))=2,LEFT(AQ318,vitri(".",AQ318,2)-1),TRUE,LEFT(AQ318,vitri(".",AQ318,1)-1))</f>
        <v/>
      </c>
    </row>
    <row r="319" spans="13:54" x14ac:dyDescent="0.25">
      <c r="M319" s="382"/>
      <c r="BB319" s="253" t="str">
        <f t="array" ref="BB319">_xlfn.IFS(AQ319="","",LEN(AQ319)-LEN(SUBSTITUTE(AQ319,".",""))=3,LEFT(AQ319,vitri(".",AQ319,3)-1),LEN(AQ319)-LEN(SUBSTITUTE(AQ319,".",""))=2,LEFT(AQ319,vitri(".",AQ319,2)-1),TRUE,LEFT(AQ319,vitri(".",AQ319,1)-1))</f>
        <v/>
      </c>
    </row>
    <row r="320" spans="13:54" x14ac:dyDescent="0.25">
      <c r="M320" s="382"/>
      <c r="BB320" s="253" t="str">
        <f t="array" ref="BB320">_xlfn.IFS(AQ320="","",LEN(AQ320)-LEN(SUBSTITUTE(AQ320,".",""))=3,LEFT(AQ320,vitri(".",AQ320,3)-1),LEN(AQ320)-LEN(SUBSTITUTE(AQ320,".",""))=2,LEFT(AQ320,vitri(".",AQ320,2)-1),TRUE,LEFT(AQ320,vitri(".",AQ320,1)-1))</f>
        <v/>
      </c>
    </row>
    <row r="321" spans="13:54" x14ac:dyDescent="0.25">
      <c r="M321" s="382"/>
      <c r="BB321" s="253" t="str">
        <f t="array" ref="BB321">_xlfn.IFS(AQ321="","",LEN(AQ321)-LEN(SUBSTITUTE(AQ321,".",""))=3,LEFT(AQ321,vitri(".",AQ321,3)-1),LEN(AQ321)-LEN(SUBSTITUTE(AQ321,".",""))=2,LEFT(AQ321,vitri(".",AQ321,2)-1),TRUE,LEFT(AQ321,vitri(".",AQ321,1)-1))</f>
        <v/>
      </c>
    </row>
    <row r="322" spans="13:54" x14ac:dyDescent="0.25">
      <c r="M322" s="382"/>
      <c r="BB322" s="253" t="str">
        <f t="array" ref="BB322">_xlfn.IFS(AQ322="","",LEN(AQ322)-LEN(SUBSTITUTE(AQ322,".",""))=3,LEFT(AQ322,vitri(".",AQ322,3)-1),LEN(AQ322)-LEN(SUBSTITUTE(AQ322,".",""))=2,LEFT(AQ322,vitri(".",AQ322,2)-1),TRUE,LEFT(AQ322,vitri(".",AQ322,1)-1))</f>
        <v/>
      </c>
    </row>
    <row r="323" spans="13:54" x14ac:dyDescent="0.25">
      <c r="M323" s="382"/>
      <c r="BB323" s="253" t="str">
        <f t="array" ref="BB323">_xlfn.IFS(AQ323="","",LEN(AQ323)-LEN(SUBSTITUTE(AQ323,".",""))=3,LEFT(AQ323,vitri(".",AQ323,3)-1),LEN(AQ323)-LEN(SUBSTITUTE(AQ323,".",""))=2,LEFT(AQ323,vitri(".",AQ323,2)-1),TRUE,LEFT(AQ323,vitri(".",AQ323,1)-1))</f>
        <v/>
      </c>
    </row>
    <row r="324" spans="13:54" x14ac:dyDescent="0.25">
      <c r="M324" s="382"/>
      <c r="BB324" s="253" t="str">
        <f t="array" ref="BB324">_xlfn.IFS(AQ324="","",LEN(AQ324)-LEN(SUBSTITUTE(AQ324,".",""))=3,LEFT(AQ324,vitri(".",AQ324,3)-1),LEN(AQ324)-LEN(SUBSTITUTE(AQ324,".",""))=2,LEFT(AQ324,vitri(".",AQ324,2)-1),TRUE,LEFT(AQ324,vitri(".",AQ324,1)-1))</f>
        <v/>
      </c>
    </row>
    <row r="325" spans="13:54" x14ac:dyDescent="0.25">
      <c r="M325" s="382"/>
      <c r="BB325" s="253" t="str">
        <f t="array" ref="BB325">_xlfn.IFS(AQ325="","",LEN(AQ325)-LEN(SUBSTITUTE(AQ325,".",""))=3,LEFT(AQ325,vitri(".",AQ325,3)-1),LEN(AQ325)-LEN(SUBSTITUTE(AQ325,".",""))=2,LEFT(AQ325,vitri(".",AQ325,2)-1),TRUE,LEFT(AQ325,vitri(".",AQ325,1)-1))</f>
        <v/>
      </c>
    </row>
    <row r="326" spans="13:54" x14ac:dyDescent="0.25">
      <c r="M326" s="382"/>
      <c r="BB326" s="253" t="str">
        <f t="array" ref="BB326">_xlfn.IFS(AQ326="","",LEN(AQ326)-LEN(SUBSTITUTE(AQ326,".",""))=3,LEFT(AQ326,vitri(".",AQ326,3)-1),LEN(AQ326)-LEN(SUBSTITUTE(AQ326,".",""))=2,LEFT(AQ326,vitri(".",AQ326,2)-1),TRUE,LEFT(AQ326,vitri(".",AQ326,1)-1))</f>
        <v/>
      </c>
    </row>
    <row r="327" spans="13:54" x14ac:dyDescent="0.25">
      <c r="M327" s="382"/>
      <c r="BB327" s="253" t="str">
        <f t="array" ref="BB327">_xlfn.IFS(AQ327="","",LEN(AQ327)-LEN(SUBSTITUTE(AQ327,".",""))=3,LEFT(AQ327,vitri(".",AQ327,3)-1),LEN(AQ327)-LEN(SUBSTITUTE(AQ327,".",""))=2,LEFT(AQ327,vitri(".",AQ327,2)-1),TRUE,LEFT(AQ327,vitri(".",AQ327,1)-1))</f>
        <v/>
      </c>
    </row>
    <row r="328" spans="13:54" x14ac:dyDescent="0.25">
      <c r="M328" s="382"/>
      <c r="BB328" s="253" t="str">
        <f t="array" ref="BB328">_xlfn.IFS(AQ328="","",LEN(AQ328)-LEN(SUBSTITUTE(AQ328,".",""))=3,LEFT(AQ328,vitri(".",AQ328,3)-1),LEN(AQ328)-LEN(SUBSTITUTE(AQ328,".",""))=2,LEFT(AQ328,vitri(".",AQ328,2)-1),TRUE,LEFT(AQ328,vitri(".",AQ328,1)-1))</f>
        <v/>
      </c>
    </row>
    <row r="329" spans="13:54" x14ac:dyDescent="0.25">
      <c r="M329" s="382"/>
      <c r="BB329" s="253" t="str">
        <f t="array" ref="BB329">_xlfn.IFS(AQ329="","",LEN(AQ329)-LEN(SUBSTITUTE(AQ329,".",""))=3,LEFT(AQ329,vitri(".",AQ329,3)-1),LEN(AQ329)-LEN(SUBSTITUTE(AQ329,".",""))=2,LEFT(AQ329,vitri(".",AQ329,2)-1),TRUE,LEFT(AQ329,vitri(".",AQ329,1)-1))</f>
        <v/>
      </c>
    </row>
    <row r="330" spans="13:54" x14ac:dyDescent="0.25">
      <c r="M330" s="382"/>
      <c r="BB330" s="253" t="str">
        <f t="array" ref="BB330">_xlfn.IFS(AQ330="","",LEN(AQ330)-LEN(SUBSTITUTE(AQ330,".",""))=3,LEFT(AQ330,vitri(".",AQ330,3)-1),LEN(AQ330)-LEN(SUBSTITUTE(AQ330,".",""))=2,LEFT(AQ330,vitri(".",AQ330,2)-1),TRUE,LEFT(AQ330,vitri(".",AQ330,1)-1))</f>
        <v/>
      </c>
    </row>
    <row r="331" spans="13:54" x14ac:dyDescent="0.25">
      <c r="M331" s="382"/>
      <c r="BB331" s="253" t="str">
        <f t="array" ref="BB331">_xlfn.IFS(AQ331="","",LEN(AQ331)-LEN(SUBSTITUTE(AQ331,".",""))=3,LEFT(AQ331,vitri(".",AQ331,3)-1),LEN(AQ331)-LEN(SUBSTITUTE(AQ331,".",""))=2,LEFT(AQ331,vitri(".",AQ331,2)-1),TRUE,LEFT(AQ331,vitri(".",AQ331,1)-1))</f>
        <v/>
      </c>
    </row>
    <row r="332" spans="13:54" x14ac:dyDescent="0.25">
      <c r="M332" s="382"/>
      <c r="BB332" s="253" t="str">
        <f t="array" ref="BB332">_xlfn.IFS(AQ332="","",LEN(AQ332)-LEN(SUBSTITUTE(AQ332,".",""))=3,LEFT(AQ332,vitri(".",AQ332,3)-1),LEN(AQ332)-LEN(SUBSTITUTE(AQ332,".",""))=2,LEFT(AQ332,vitri(".",AQ332,2)-1),TRUE,LEFT(AQ332,vitri(".",AQ332,1)-1))</f>
        <v/>
      </c>
    </row>
    <row r="333" spans="13:54" x14ac:dyDescent="0.25">
      <c r="M333" s="382"/>
      <c r="BB333" s="253" t="str">
        <f t="array" ref="BB333">_xlfn.IFS(AQ333="","",LEN(AQ333)-LEN(SUBSTITUTE(AQ333,".",""))=3,LEFT(AQ333,vitri(".",AQ333,3)-1),LEN(AQ333)-LEN(SUBSTITUTE(AQ333,".",""))=2,LEFT(AQ333,vitri(".",AQ333,2)-1),TRUE,LEFT(AQ333,vitri(".",AQ333,1)-1))</f>
        <v/>
      </c>
    </row>
    <row r="334" spans="13:54" x14ac:dyDescent="0.25">
      <c r="M334" s="382"/>
      <c r="BB334" s="253" t="str">
        <f t="array" ref="BB334">_xlfn.IFS(AQ334="","",LEN(AQ334)-LEN(SUBSTITUTE(AQ334,".",""))=3,LEFT(AQ334,vitri(".",AQ334,3)-1),LEN(AQ334)-LEN(SUBSTITUTE(AQ334,".",""))=2,LEFT(AQ334,vitri(".",AQ334,2)-1),TRUE,LEFT(AQ334,vitri(".",AQ334,1)-1))</f>
        <v/>
      </c>
    </row>
    <row r="335" spans="13:54" x14ac:dyDescent="0.25">
      <c r="M335" s="382"/>
      <c r="BB335" s="253" t="str">
        <f t="array" ref="BB335">_xlfn.IFS(AQ335="","",LEN(AQ335)-LEN(SUBSTITUTE(AQ335,".",""))=3,LEFT(AQ335,vitri(".",AQ335,3)-1),LEN(AQ335)-LEN(SUBSTITUTE(AQ335,".",""))=2,LEFT(AQ335,vitri(".",AQ335,2)-1),TRUE,LEFT(AQ335,vitri(".",AQ335,1)-1))</f>
        <v/>
      </c>
    </row>
    <row r="336" spans="13:54" x14ac:dyDescent="0.25">
      <c r="M336" s="382"/>
      <c r="BB336" s="253" t="str">
        <f t="array" ref="BB336">_xlfn.IFS(AQ336="","",LEN(AQ336)-LEN(SUBSTITUTE(AQ336,".",""))=3,LEFT(AQ336,vitri(".",AQ336,3)-1),LEN(AQ336)-LEN(SUBSTITUTE(AQ336,".",""))=2,LEFT(AQ336,vitri(".",AQ336,2)-1),TRUE,LEFT(AQ336,vitri(".",AQ336,1)-1))</f>
        <v/>
      </c>
    </row>
    <row r="337" spans="13:54" x14ac:dyDescent="0.25">
      <c r="M337" s="382"/>
      <c r="BB337" s="253" t="str">
        <f t="array" ref="BB337">_xlfn.IFS(AQ337="","",LEN(AQ337)-LEN(SUBSTITUTE(AQ337,".",""))=3,LEFT(AQ337,vitri(".",AQ337,3)-1),LEN(AQ337)-LEN(SUBSTITUTE(AQ337,".",""))=2,LEFT(AQ337,vitri(".",AQ337,2)-1),TRUE,LEFT(AQ337,vitri(".",AQ337,1)-1))</f>
        <v/>
      </c>
    </row>
    <row r="338" spans="13:54" x14ac:dyDescent="0.25">
      <c r="M338" s="382"/>
      <c r="BB338" s="253" t="str">
        <f t="array" ref="BB338">_xlfn.IFS(AQ338="","",LEN(AQ338)-LEN(SUBSTITUTE(AQ338,".",""))=3,LEFT(AQ338,vitri(".",AQ338,3)-1),LEN(AQ338)-LEN(SUBSTITUTE(AQ338,".",""))=2,LEFT(AQ338,vitri(".",AQ338,2)-1),TRUE,LEFT(AQ338,vitri(".",AQ338,1)-1))</f>
        <v/>
      </c>
    </row>
    <row r="339" spans="13:54" x14ac:dyDescent="0.25">
      <c r="M339" s="382"/>
      <c r="BB339" s="253" t="str">
        <f t="array" ref="BB339">_xlfn.IFS(AQ339="","",LEN(AQ339)-LEN(SUBSTITUTE(AQ339,".",""))=3,LEFT(AQ339,vitri(".",AQ339,3)-1),LEN(AQ339)-LEN(SUBSTITUTE(AQ339,".",""))=2,LEFT(AQ339,vitri(".",AQ339,2)-1),TRUE,LEFT(AQ339,vitri(".",AQ339,1)-1))</f>
        <v/>
      </c>
    </row>
    <row r="340" spans="13:54" x14ac:dyDescent="0.25">
      <c r="M340" s="382"/>
      <c r="BB340" s="253" t="str">
        <f t="array" ref="BB340">_xlfn.IFS(AQ340="","",LEN(AQ340)-LEN(SUBSTITUTE(AQ340,".",""))=3,LEFT(AQ340,vitri(".",AQ340,3)-1),LEN(AQ340)-LEN(SUBSTITUTE(AQ340,".",""))=2,LEFT(AQ340,vitri(".",AQ340,2)-1),TRUE,LEFT(AQ340,vitri(".",AQ340,1)-1))</f>
        <v/>
      </c>
    </row>
    <row r="341" spans="13:54" x14ac:dyDescent="0.25">
      <c r="M341" s="382"/>
      <c r="BB341" s="253" t="str">
        <f t="array" ref="BB341">_xlfn.IFS(AQ341="","",LEN(AQ341)-LEN(SUBSTITUTE(AQ341,".",""))=3,LEFT(AQ341,vitri(".",AQ341,3)-1),LEN(AQ341)-LEN(SUBSTITUTE(AQ341,".",""))=2,LEFT(AQ341,vitri(".",AQ341,2)-1),TRUE,LEFT(AQ341,vitri(".",AQ341,1)-1))</f>
        <v/>
      </c>
    </row>
    <row r="342" spans="13:54" x14ac:dyDescent="0.25">
      <c r="M342" s="382"/>
      <c r="BB342" s="253" t="str">
        <f t="array" ref="BB342">_xlfn.IFS(AQ342="","",LEN(AQ342)-LEN(SUBSTITUTE(AQ342,".",""))=3,LEFT(AQ342,vitri(".",AQ342,3)-1),LEN(AQ342)-LEN(SUBSTITUTE(AQ342,".",""))=2,LEFT(AQ342,vitri(".",AQ342,2)-1),TRUE,LEFT(AQ342,vitri(".",AQ342,1)-1))</f>
        <v/>
      </c>
    </row>
    <row r="343" spans="13:54" x14ac:dyDescent="0.25">
      <c r="M343" s="382"/>
      <c r="BB343" s="253" t="str">
        <f t="array" ref="BB343">_xlfn.IFS(AQ343="","",LEN(AQ343)-LEN(SUBSTITUTE(AQ343,".",""))=3,LEFT(AQ343,vitri(".",AQ343,3)-1),LEN(AQ343)-LEN(SUBSTITUTE(AQ343,".",""))=2,LEFT(AQ343,vitri(".",AQ343,2)-1),TRUE,LEFT(AQ343,vitri(".",AQ343,1)-1))</f>
        <v/>
      </c>
    </row>
    <row r="344" spans="13:54" x14ac:dyDescent="0.25">
      <c r="M344" s="382"/>
      <c r="BB344" s="253" t="str">
        <f t="array" ref="BB344">_xlfn.IFS(AQ344="","",LEN(AQ344)-LEN(SUBSTITUTE(AQ344,".",""))=3,LEFT(AQ344,vitri(".",AQ344,3)-1),LEN(AQ344)-LEN(SUBSTITUTE(AQ344,".",""))=2,LEFT(AQ344,vitri(".",AQ344,2)-1),TRUE,LEFT(AQ344,vitri(".",AQ344,1)-1))</f>
        <v/>
      </c>
    </row>
    <row r="345" spans="13:54" x14ac:dyDescent="0.25">
      <c r="M345" s="382"/>
      <c r="BB345" s="253" t="str">
        <f t="array" ref="BB345">_xlfn.IFS(AQ345="","",LEN(AQ345)-LEN(SUBSTITUTE(AQ345,".",""))=3,LEFT(AQ345,vitri(".",AQ345,3)-1),LEN(AQ345)-LEN(SUBSTITUTE(AQ345,".",""))=2,LEFT(AQ345,vitri(".",AQ345,2)-1),TRUE,LEFT(AQ345,vitri(".",AQ345,1)-1))</f>
        <v/>
      </c>
    </row>
    <row r="346" spans="13:54" x14ac:dyDescent="0.25">
      <c r="M346" s="382"/>
      <c r="BB346" s="253" t="str">
        <f t="array" ref="BB346">_xlfn.IFS(AQ346="","",LEN(AQ346)-LEN(SUBSTITUTE(AQ346,".",""))=3,LEFT(AQ346,vitri(".",AQ346,3)-1),LEN(AQ346)-LEN(SUBSTITUTE(AQ346,".",""))=2,LEFT(AQ346,vitri(".",AQ346,2)-1),TRUE,LEFT(AQ346,vitri(".",AQ346,1)-1))</f>
        <v/>
      </c>
    </row>
    <row r="347" spans="13:54" x14ac:dyDescent="0.25">
      <c r="M347" s="382"/>
      <c r="BB347" s="253" t="str">
        <f t="array" ref="BB347">_xlfn.IFS(AQ347="","",LEN(AQ347)-LEN(SUBSTITUTE(AQ347,".",""))=3,LEFT(AQ347,vitri(".",AQ347,3)-1),LEN(AQ347)-LEN(SUBSTITUTE(AQ347,".",""))=2,LEFT(AQ347,vitri(".",AQ347,2)-1),TRUE,LEFT(AQ347,vitri(".",AQ347,1)-1))</f>
        <v/>
      </c>
    </row>
    <row r="348" spans="13:54" x14ac:dyDescent="0.25">
      <c r="M348" s="382"/>
      <c r="BB348" s="253" t="str">
        <f t="array" ref="BB348">_xlfn.IFS(AQ348="","",LEN(AQ348)-LEN(SUBSTITUTE(AQ348,".",""))=3,LEFT(AQ348,vitri(".",AQ348,3)-1),LEN(AQ348)-LEN(SUBSTITUTE(AQ348,".",""))=2,LEFT(AQ348,vitri(".",AQ348,2)-1),TRUE,LEFT(AQ348,vitri(".",AQ348,1)-1))</f>
        <v/>
      </c>
    </row>
    <row r="349" spans="13:54" x14ac:dyDescent="0.25">
      <c r="M349" s="382"/>
      <c r="BB349" s="253" t="str">
        <f t="array" ref="BB349">_xlfn.IFS(AQ349="","",LEN(AQ349)-LEN(SUBSTITUTE(AQ349,".",""))=3,LEFT(AQ349,vitri(".",AQ349,3)-1),LEN(AQ349)-LEN(SUBSTITUTE(AQ349,".",""))=2,LEFT(AQ349,vitri(".",AQ349,2)-1),TRUE,LEFT(AQ349,vitri(".",AQ349,1)-1))</f>
        <v/>
      </c>
    </row>
    <row r="350" spans="13:54" x14ac:dyDescent="0.25">
      <c r="M350" s="382"/>
      <c r="BB350" s="253" t="str">
        <f t="array" ref="BB350">_xlfn.IFS(AQ350="","",LEN(AQ350)-LEN(SUBSTITUTE(AQ350,".",""))=3,LEFT(AQ350,vitri(".",AQ350,3)-1),LEN(AQ350)-LEN(SUBSTITUTE(AQ350,".",""))=2,LEFT(AQ350,vitri(".",AQ350,2)-1),TRUE,LEFT(AQ350,vitri(".",AQ350,1)-1))</f>
        <v/>
      </c>
    </row>
    <row r="351" spans="13:54" x14ac:dyDescent="0.25">
      <c r="M351" s="382"/>
      <c r="BB351" s="253" t="str">
        <f t="array" ref="BB351">_xlfn.IFS(AQ351="","",LEN(AQ351)-LEN(SUBSTITUTE(AQ351,".",""))=3,LEFT(AQ351,vitri(".",AQ351,3)-1),LEN(AQ351)-LEN(SUBSTITUTE(AQ351,".",""))=2,LEFT(AQ351,vitri(".",AQ351,2)-1),TRUE,LEFT(AQ351,vitri(".",AQ351,1)-1))</f>
        <v/>
      </c>
    </row>
    <row r="352" spans="13:54" x14ac:dyDescent="0.25">
      <c r="M352" s="382"/>
      <c r="BB352" s="253" t="str">
        <f t="array" ref="BB352">_xlfn.IFS(AQ352="","",LEN(AQ352)-LEN(SUBSTITUTE(AQ352,".",""))=3,LEFT(AQ352,vitri(".",AQ352,3)-1),LEN(AQ352)-LEN(SUBSTITUTE(AQ352,".",""))=2,LEFT(AQ352,vitri(".",AQ352,2)-1),TRUE,LEFT(AQ352,vitri(".",AQ352,1)-1))</f>
        <v/>
      </c>
    </row>
    <row r="353" spans="13:54" x14ac:dyDescent="0.25">
      <c r="M353" s="382"/>
      <c r="BB353" s="253" t="str">
        <f t="array" ref="BB353">_xlfn.IFS(AQ353="","",LEN(AQ353)-LEN(SUBSTITUTE(AQ353,".",""))=3,LEFT(AQ353,vitri(".",AQ353,3)-1),LEN(AQ353)-LEN(SUBSTITUTE(AQ353,".",""))=2,LEFT(AQ353,vitri(".",AQ353,2)-1),TRUE,LEFT(AQ353,vitri(".",AQ353,1)-1))</f>
        <v/>
      </c>
    </row>
    <row r="354" spans="13:54" x14ac:dyDescent="0.25">
      <c r="M354" s="382"/>
      <c r="BB354" s="253" t="str">
        <f t="array" ref="BB354">_xlfn.IFS(AQ354="","",LEN(AQ354)-LEN(SUBSTITUTE(AQ354,".",""))=3,LEFT(AQ354,vitri(".",AQ354,3)-1),LEN(AQ354)-LEN(SUBSTITUTE(AQ354,".",""))=2,LEFT(AQ354,vitri(".",AQ354,2)-1),TRUE,LEFT(AQ354,vitri(".",AQ354,1)-1))</f>
        <v/>
      </c>
    </row>
    <row r="355" spans="13:54" x14ac:dyDescent="0.25">
      <c r="M355" s="382"/>
      <c r="BB355" s="253" t="str">
        <f t="array" ref="BB355">_xlfn.IFS(AQ355="","",LEN(AQ355)-LEN(SUBSTITUTE(AQ355,".",""))=3,LEFT(AQ355,vitri(".",AQ355,3)-1),LEN(AQ355)-LEN(SUBSTITUTE(AQ355,".",""))=2,LEFT(AQ355,vitri(".",AQ355,2)-1),TRUE,LEFT(AQ355,vitri(".",AQ355,1)-1))</f>
        <v/>
      </c>
    </row>
    <row r="356" spans="13:54" x14ac:dyDescent="0.25">
      <c r="M356" s="382"/>
      <c r="BB356" s="253" t="str">
        <f t="array" ref="BB356">_xlfn.IFS(AQ356="","",LEN(AQ356)-LEN(SUBSTITUTE(AQ356,".",""))=3,LEFT(AQ356,vitri(".",AQ356,3)-1),LEN(AQ356)-LEN(SUBSTITUTE(AQ356,".",""))=2,LEFT(AQ356,vitri(".",AQ356,2)-1),TRUE,LEFT(AQ356,vitri(".",AQ356,1)-1))</f>
        <v/>
      </c>
    </row>
    <row r="357" spans="13:54" x14ac:dyDescent="0.25">
      <c r="M357" s="382"/>
      <c r="BB357" s="253" t="str">
        <f t="array" ref="BB357">_xlfn.IFS(AQ357="","",LEN(AQ357)-LEN(SUBSTITUTE(AQ357,".",""))=3,LEFT(AQ357,vitri(".",AQ357,3)-1),LEN(AQ357)-LEN(SUBSTITUTE(AQ357,".",""))=2,LEFT(AQ357,vitri(".",AQ357,2)-1),TRUE,LEFT(AQ357,vitri(".",AQ357,1)-1))</f>
        <v/>
      </c>
    </row>
    <row r="358" spans="13:54" x14ac:dyDescent="0.25">
      <c r="M358" s="382"/>
      <c r="BB358" s="253" t="str">
        <f t="array" ref="BB358">_xlfn.IFS(AQ358="","",LEN(AQ358)-LEN(SUBSTITUTE(AQ358,".",""))=3,LEFT(AQ358,vitri(".",AQ358,3)-1),LEN(AQ358)-LEN(SUBSTITUTE(AQ358,".",""))=2,LEFT(AQ358,vitri(".",AQ358,2)-1),TRUE,LEFT(AQ358,vitri(".",AQ358,1)-1))</f>
        <v/>
      </c>
    </row>
    <row r="359" spans="13:54" x14ac:dyDescent="0.25">
      <c r="M359" s="382"/>
      <c r="BB359" s="253" t="str">
        <f t="array" ref="BB359">_xlfn.IFS(AQ359="","",LEN(AQ359)-LEN(SUBSTITUTE(AQ359,".",""))=3,LEFT(AQ359,vitri(".",AQ359,3)-1),LEN(AQ359)-LEN(SUBSTITUTE(AQ359,".",""))=2,LEFT(AQ359,vitri(".",AQ359,2)-1),TRUE,LEFT(AQ359,vitri(".",AQ359,1)-1))</f>
        <v/>
      </c>
    </row>
    <row r="360" spans="13:54" x14ac:dyDescent="0.25">
      <c r="M360" s="382"/>
      <c r="BB360" s="253" t="str">
        <f t="array" ref="BB360">_xlfn.IFS(AQ360="","",LEN(AQ360)-LEN(SUBSTITUTE(AQ360,".",""))=3,LEFT(AQ360,vitri(".",AQ360,3)-1),LEN(AQ360)-LEN(SUBSTITUTE(AQ360,".",""))=2,LEFT(AQ360,vitri(".",AQ360,2)-1),TRUE,LEFT(AQ360,vitri(".",AQ360,1)-1))</f>
        <v/>
      </c>
    </row>
    <row r="361" spans="13:54" x14ac:dyDescent="0.25">
      <c r="M361" s="382"/>
      <c r="BB361" s="253" t="str">
        <f t="array" ref="BB361">_xlfn.IFS(AQ361="","",LEN(AQ361)-LEN(SUBSTITUTE(AQ361,".",""))=3,LEFT(AQ361,vitri(".",AQ361,3)-1),LEN(AQ361)-LEN(SUBSTITUTE(AQ361,".",""))=2,LEFT(AQ361,vitri(".",AQ361,2)-1),TRUE,LEFT(AQ361,vitri(".",AQ361,1)-1))</f>
        <v/>
      </c>
    </row>
    <row r="362" spans="13:54" x14ac:dyDescent="0.25">
      <c r="M362" s="382"/>
      <c r="BB362" s="253" t="str">
        <f t="array" ref="BB362">_xlfn.IFS(AQ362="","",LEN(AQ362)-LEN(SUBSTITUTE(AQ362,".",""))=3,LEFT(AQ362,vitri(".",AQ362,3)-1),LEN(AQ362)-LEN(SUBSTITUTE(AQ362,".",""))=2,LEFT(AQ362,vitri(".",AQ362,2)-1),TRUE,LEFT(AQ362,vitri(".",AQ362,1)-1))</f>
        <v/>
      </c>
    </row>
    <row r="363" spans="13:54" x14ac:dyDescent="0.25">
      <c r="M363" s="382"/>
      <c r="BB363" s="253" t="str">
        <f t="array" ref="BB363">_xlfn.IFS(AQ363="","",LEN(AQ363)-LEN(SUBSTITUTE(AQ363,".",""))=3,LEFT(AQ363,vitri(".",AQ363,3)-1),LEN(AQ363)-LEN(SUBSTITUTE(AQ363,".",""))=2,LEFT(AQ363,vitri(".",AQ363,2)-1),TRUE,LEFT(AQ363,vitri(".",AQ363,1)-1))</f>
        <v/>
      </c>
    </row>
    <row r="364" spans="13:54" x14ac:dyDescent="0.25">
      <c r="M364" s="382"/>
      <c r="BB364" s="253" t="str">
        <f t="array" ref="BB364">_xlfn.IFS(AQ364="","",LEN(AQ364)-LEN(SUBSTITUTE(AQ364,".",""))=3,LEFT(AQ364,vitri(".",AQ364,3)-1),LEN(AQ364)-LEN(SUBSTITUTE(AQ364,".",""))=2,LEFT(AQ364,vitri(".",AQ364,2)-1),TRUE,LEFT(AQ364,vitri(".",AQ364,1)-1))</f>
        <v/>
      </c>
    </row>
    <row r="365" spans="13:54" x14ac:dyDescent="0.25">
      <c r="M365" s="382"/>
      <c r="BB365" s="253" t="str">
        <f t="array" ref="BB365">_xlfn.IFS(AQ365="","",LEN(AQ365)-LEN(SUBSTITUTE(AQ365,".",""))=3,LEFT(AQ365,vitri(".",AQ365,3)-1),LEN(AQ365)-LEN(SUBSTITUTE(AQ365,".",""))=2,LEFT(AQ365,vitri(".",AQ365,2)-1),TRUE,LEFT(AQ365,vitri(".",AQ365,1)-1))</f>
        <v/>
      </c>
    </row>
    <row r="366" spans="13:54" x14ac:dyDescent="0.25">
      <c r="M366" s="382"/>
      <c r="BB366" s="253" t="str">
        <f t="array" ref="BB366">_xlfn.IFS(AQ366="","",LEN(AQ366)-LEN(SUBSTITUTE(AQ366,".",""))=3,LEFT(AQ366,vitri(".",AQ366,3)-1),LEN(AQ366)-LEN(SUBSTITUTE(AQ366,".",""))=2,LEFT(AQ366,vitri(".",AQ366,2)-1),TRUE,LEFT(AQ366,vitri(".",AQ366,1)-1))</f>
        <v/>
      </c>
    </row>
    <row r="367" spans="13:54" x14ac:dyDescent="0.25">
      <c r="M367" s="382"/>
      <c r="BB367" s="253" t="str">
        <f t="array" ref="BB367">_xlfn.IFS(AQ367="","",LEN(AQ367)-LEN(SUBSTITUTE(AQ367,".",""))=3,LEFT(AQ367,vitri(".",AQ367,3)-1),LEN(AQ367)-LEN(SUBSTITUTE(AQ367,".",""))=2,LEFT(AQ367,vitri(".",AQ367,2)-1),TRUE,LEFT(AQ367,vitri(".",AQ367,1)-1))</f>
        <v/>
      </c>
    </row>
    <row r="368" spans="13:54" x14ac:dyDescent="0.25">
      <c r="M368" s="382"/>
      <c r="BB368" s="253" t="str">
        <f t="array" ref="BB368">_xlfn.IFS(AQ368="","",LEN(AQ368)-LEN(SUBSTITUTE(AQ368,".",""))=3,LEFT(AQ368,vitri(".",AQ368,3)-1),LEN(AQ368)-LEN(SUBSTITUTE(AQ368,".",""))=2,LEFT(AQ368,vitri(".",AQ368,2)-1),TRUE,LEFT(AQ368,vitri(".",AQ368,1)-1))</f>
        <v/>
      </c>
    </row>
    <row r="369" spans="13:54" x14ac:dyDescent="0.25">
      <c r="M369" s="382"/>
      <c r="BB369" s="253" t="str">
        <f t="array" ref="BB369">_xlfn.IFS(AQ369="","",LEN(AQ369)-LEN(SUBSTITUTE(AQ369,".",""))=3,LEFT(AQ369,vitri(".",AQ369,3)-1),LEN(AQ369)-LEN(SUBSTITUTE(AQ369,".",""))=2,LEFT(AQ369,vitri(".",AQ369,2)-1),TRUE,LEFT(AQ369,vitri(".",AQ369,1)-1))</f>
        <v/>
      </c>
    </row>
    <row r="370" spans="13:54" x14ac:dyDescent="0.25">
      <c r="M370" s="382"/>
      <c r="BB370" s="253" t="str">
        <f t="array" ref="BB370">_xlfn.IFS(AQ370="","",LEN(AQ370)-LEN(SUBSTITUTE(AQ370,".",""))=3,LEFT(AQ370,vitri(".",AQ370,3)-1),LEN(AQ370)-LEN(SUBSTITUTE(AQ370,".",""))=2,LEFT(AQ370,vitri(".",AQ370,2)-1),TRUE,LEFT(AQ370,vitri(".",AQ370,1)-1))</f>
        <v/>
      </c>
    </row>
    <row r="371" spans="13:54" x14ac:dyDescent="0.25">
      <c r="M371" s="382"/>
      <c r="BB371" s="253" t="str">
        <f t="array" ref="BB371">_xlfn.IFS(AQ371="","",LEN(AQ371)-LEN(SUBSTITUTE(AQ371,".",""))=3,LEFT(AQ371,vitri(".",AQ371,3)-1),LEN(AQ371)-LEN(SUBSTITUTE(AQ371,".",""))=2,LEFT(AQ371,vitri(".",AQ371,2)-1),TRUE,LEFT(AQ371,vitri(".",AQ371,1)-1))</f>
        <v/>
      </c>
    </row>
    <row r="372" spans="13:54" x14ac:dyDescent="0.25">
      <c r="M372" s="382"/>
      <c r="BB372" s="253" t="str">
        <f t="array" ref="BB372">_xlfn.IFS(AQ372="","",LEN(AQ372)-LEN(SUBSTITUTE(AQ372,".",""))=3,LEFT(AQ372,vitri(".",AQ372,3)-1),LEN(AQ372)-LEN(SUBSTITUTE(AQ372,".",""))=2,LEFT(AQ372,vitri(".",AQ372,2)-1),TRUE,LEFT(AQ372,vitri(".",AQ372,1)-1))</f>
        <v/>
      </c>
    </row>
    <row r="373" spans="13:54" x14ac:dyDescent="0.25">
      <c r="M373" s="382"/>
      <c r="BB373" s="253" t="str">
        <f t="array" ref="BB373">_xlfn.IFS(AQ373="","",LEN(AQ373)-LEN(SUBSTITUTE(AQ373,".",""))=3,LEFT(AQ373,vitri(".",AQ373,3)-1),LEN(AQ373)-LEN(SUBSTITUTE(AQ373,".",""))=2,LEFT(AQ373,vitri(".",AQ373,2)-1),TRUE,LEFT(AQ373,vitri(".",AQ373,1)-1))</f>
        <v/>
      </c>
    </row>
    <row r="374" spans="13:54" x14ac:dyDescent="0.25">
      <c r="M374" s="382"/>
      <c r="BB374" s="253" t="str">
        <f t="array" ref="BB374">_xlfn.IFS(AQ374="","",LEN(AQ374)-LEN(SUBSTITUTE(AQ374,".",""))=3,LEFT(AQ374,vitri(".",AQ374,3)-1),LEN(AQ374)-LEN(SUBSTITUTE(AQ374,".",""))=2,LEFT(AQ374,vitri(".",AQ374,2)-1),TRUE,LEFT(AQ374,vitri(".",AQ374,1)-1))</f>
        <v/>
      </c>
    </row>
    <row r="375" spans="13:54" x14ac:dyDescent="0.25">
      <c r="M375" s="382"/>
      <c r="BB375" s="253" t="str">
        <f t="array" ref="BB375">_xlfn.IFS(AQ375="","",LEN(AQ375)-LEN(SUBSTITUTE(AQ375,".",""))=3,LEFT(AQ375,vitri(".",AQ375,3)-1),LEN(AQ375)-LEN(SUBSTITUTE(AQ375,".",""))=2,LEFT(AQ375,vitri(".",AQ375,2)-1),TRUE,LEFT(AQ375,vitri(".",AQ375,1)-1))</f>
        <v/>
      </c>
    </row>
    <row r="376" spans="13:54" x14ac:dyDescent="0.25">
      <c r="M376" s="382"/>
      <c r="BB376" s="253" t="str">
        <f t="array" ref="BB376">_xlfn.IFS(AQ376="","",LEN(AQ376)-LEN(SUBSTITUTE(AQ376,".",""))=3,LEFT(AQ376,vitri(".",AQ376,3)-1),LEN(AQ376)-LEN(SUBSTITUTE(AQ376,".",""))=2,LEFT(AQ376,vitri(".",AQ376,2)-1),TRUE,LEFT(AQ376,vitri(".",AQ376,1)-1))</f>
        <v/>
      </c>
    </row>
    <row r="377" spans="13:54" x14ac:dyDescent="0.25">
      <c r="M377" s="382"/>
      <c r="BB377" s="253" t="str">
        <f t="array" ref="BB377">_xlfn.IFS(AQ377="","",LEN(AQ377)-LEN(SUBSTITUTE(AQ377,".",""))=3,LEFT(AQ377,vitri(".",AQ377,3)-1),LEN(AQ377)-LEN(SUBSTITUTE(AQ377,".",""))=2,LEFT(AQ377,vitri(".",AQ377,2)-1),TRUE,LEFT(AQ377,vitri(".",AQ377,1)-1))</f>
        <v/>
      </c>
    </row>
    <row r="378" spans="13:54" x14ac:dyDescent="0.25">
      <c r="M378" s="382"/>
      <c r="BB378" s="253" t="str">
        <f t="array" ref="BB378">_xlfn.IFS(AQ378="","",LEN(AQ378)-LEN(SUBSTITUTE(AQ378,".",""))=3,LEFT(AQ378,vitri(".",AQ378,3)-1),LEN(AQ378)-LEN(SUBSTITUTE(AQ378,".",""))=2,LEFT(AQ378,vitri(".",AQ378,2)-1),TRUE,LEFT(AQ378,vitri(".",AQ378,1)-1))</f>
        <v/>
      </c>
    </row>
    <row r="379" spans="13:54" x14ac:dyDescent="0.25">
      <c r="M379" s="382"/>
      <c r="BB379" s="253" t="str">
        <f t="array" ref="BB379">_xlfn.IFS(AQ379="","",LEN(AQ379)-LEN(SUBSTITUTE(AQ379,".",""))=3,LEFT(AQ379,vitri(".",AQ379,3)-1),LEN(AQ379)-LEN(SUBSTITUTE(AQ379,".",""))=2,LEFT(AQ379,vitri(".",AQ379,2)-1),TRUE,LEFT(AQ379,vitri(".",AQ379,1)-1))</f>
        <v/>
      </c>
    </row>
    <row r="380" spans="13:54" x14ac:dyDescent="0.25">
      <c r="M380" s="382"/>
      <c r="BB380" s="253" t="str">
        <f t="array" ref="BB380">_xlfn.IFS(AQ380="","",LEN(AQ380)-LEN(SUBSTITUTE(AQ380,".",""))=3,LEFT(AQ380,vitri(".",AQ380,3)-1),LEN(AQ380)-LEN(SUBSTITUTE(AQ380,".",""))=2,LEFT(AQ380,vitri(".",AQ380,2)-1),TRUE,LEFT(AQ380,vitri(".",AQ380,1)-1))</f>
        <v/>
      </c>
    </row>
    <row r="381" spans="13:54" x14ac:dyDescent="0.25">
      <c r="M381" s="382"/>
      <c r="BB381" s="253" t="str">
        <f t="array" ref="BB381">_xlfn.IFS(AQ381="","",LEN(AQ381)-LEN(SUBSTITUTE(AQ381,".",""))=3,LEFT(AQ381,vitri(".",AQ381,3)-1),LEN(AQ381)-LEN(SUBSTITUTE(AQ381,".",""))=2,LEFT(AQ381,vitri(".",AQ381,2)-1),TRUE,LEFT(AQ381,vitri(".",AQ381,1)-1))</f>
        <v/>
      </c>
    </row>
    <row r="382" spans="13:54" x14ac:dyDescent="0.25">
      <c r="M382" s="382"/>
      <c r="BB382" s="253" t="str">
        <f t="array" ref="BB382">_xlfn.IFS(AQ382="","",LEN(AQ382)-LEN(SUBSTITUTE(AQ382,".",""))=3,LEFT(AQ382,vitri(".",AQ382,3)-1),LEN(AQ382)-LEN(SUBSTITUTE(AQ382,".",""))=2,LEFT(AQ382,vitri(".",AQ382,2)-1),TRUE,LEFT(AQ382,vitri(".",AQ382,1)-1))</f>
        <v/>
      </c>
    </row>
    <row r="383" spans="13:54" x14ac:dyDescent="0.25">
      <c r="M383" s="382"/>
      <c r="BB383" s="253" t="str">
        <f t="array" ref="BB383">_xlfn.IFS(AQ383="","",LEN(AQ383)-LEN(SUBSTITUTE(AQ383,".",""))=3,LEFT(AQ383,vitri(".",AQ383,3)-1),LEN(AQ383)-LEN(SUBSTITUTE(AQ383,".",""))=2,LEFT(AQ383,vitri(".",AQ383,2)-1),TRUE,LEFT(AQ383,vitri(".",AQ383,1)-1))</f>
        <v/>
      </c>
    </row>
    <row r="384" spans="13:54" x14ac:dyDescent="0.25">
      <c r="M384" s="382"/>
      <c r="BB384" s="253" t="str">
        <f t="array" ref="BB384">_xlfn.IFS(AQ384="","",LEN(AQ384)-LEN(SUBSTITUTE(AQ384,".",""))=3,LEFT(AQ384,vitri(".",AQ384,3)-1),LEN(AQ384)-LEN(SUBSTITUTE(AQ384,".",""))=2,LEFT(AQ384,vitri(".",AQ384,2)-1),TRUE,LEFT(AQ384,vitri(".",AQ384,1)-1))</f>
        <v/>
      </c>
    </row>
    <row r="385" spans="13:54" x14ac:dyDescent="0.25">
      <c r="M385" s="382"/>
      <c r="BB385" s="253" t="str">
        <f t="array" ref="BB385">_xlfn.IFS(AQ385="","",LEN(AQ385)-LEN(SUBSTITUTE(AQ385,".",""))=3,LEFT(AQ385,vitri(".",AQ385,3)-1),LEN(AQ385)-LEN(SUBSTITUTE(AQ385,".",""))=2,LEFT(AQ385,vitri(".",AQ385,2)-1),TRUE,LEFT(AQ385,vitri(".",AQ385,1)-1))</f>
        <v/>
      </c>
    </row>
    <row r="386" spans="13:54" x14ac:dyDescent="0.25">
      <c r="M386" s="382"/>
      <c r="BB386" s="253" t="str">
        <f t="array" ref="BB386">_xlfn.IFS(AQ386="","",LEN(AQ386)-LEN(SUBSTITUTE(AQ386,".",""))=3,LEFT(AQ386,vitri(".",AQ386,3)-1),LEN(AQ386)-LEN(SUBSTITUTE(AQ386,".",""))=2,LEFT(AQ386,vitri(".",AQ386,2)-1),TRUE,LEFT(AQ386,vitri(".",AQ386,1)-1))</f>
        <v/>
      </c>
    </row>
    <row r="387" spans="13:54" x14ac:dyDescent="0.25">
      <c r="M387" s="382"/>
      <c r="BB387" s="253" t="str">
        <f t="array" ref="BB387">_xlfn.IFS(AQ387="","",LEN(AQ387)-LEN(SUBSTITUTE(AQ387,".",""))=3,LEFT(AQ387,vitri(".",AQ387,3)-1),LEN(AQ387)-LEN(SUBSTITUTE(AQ387,".",""))=2,LEFT(AQ387,vitri(".",AQ387,2)-1),TRUE,LEFT(AQ387,vitri(".",AQ387,1)-1))</f>
        <v/>
      </c>
    </row>
    <row r="388" spans="13:54" x14ac:dyDescent="0.25">
      <c r="M388" s="382"/>
      <c r="BB388" s="253" t="str">
        <f t="array" ref="BB388">_xlfn.IFS(AQ388="","",LEN(AQ388)-LEN(SUBSTITUTE(AQ388,".",""))=3,LEFT(AQ388,vitri(".",AQ388,3)-1),LEN(AQ388)-LEN(SUBSTITUTE(AQ388,".",""))=2,LEFT(AQ388,vitri(".",AQ388,2)-1),TRUE,LEFT(AQ388,vitri(".",AQ388,1)-1))</f>
        <v/>
      </c>
    </row>
    <row r="389" spans="13:54" x14ac:dyDescent="0.25">
      <c r="M389" s="382"/>
      <c r="BB389" s="253" t="str">
        <f t="array" ref="BB389">_xlfn.IFS(AQ389="","",LEN(AQ389)-LEN(SUBSTITUTE(AQ389,".",""))=3,LEFT(AQ389,vitri(".",AQ389,3)-1),LEN(AQ389)-LEN(SUBSTITUTE(AQ389,".",""))=2,LEFT(AQ389,vitri(".",AQ389,2)-1),TRUE,LEFT(AQ389,vitri(".",AQ389,1)-1))</f>
        <v/>
      </c>
    </row>
    <row r="390" spans="13:54" x14ac:dyDescent="0.25">
      <c r="M390" s="382"/>
      <c r="BB390" s="253" t="str">
        <f t="array" ref="BB390">_xlfn.IFS(AQ390="","",LEN(AQ390)-LEN(SUBSTITUTE(AQ390,".",""))=3,LEFT(AQ390,vitri(".",AQ390,3)-1),LEN(AQ390)-LEN(SUBSTITUTE(AQ390,".",""))=2,LEFT(AQ390,vitri(".",AQ390,2)-1),TRUE,LEFT(AQ390,vitri(".",AQ390,1)-1))</f>
        <v/>
      </c>
    </row>
    <row r="391" spans="13:54" x14ac:dyDescent="0.25">
      <c r="M391" s="382"/>
      <c r="BB391" s="253" t="str">
        <f t="array" ref="BB391">_xlfn.IFS(AQ391="","",LEN(AQ391)-LEN(SUBSTITUTE(AQ391,".",""))=3,LEFT(AQ391,vitri(".",AQ391,3)-1),LEN(AQ391)-LEN(SUBSTITUTE(AQ391,".",""))=2,LEFT(AQ391,vitri(".",AQ391,2)-1),TRUE,LEFT(AQ391,vitri(".",AQ391,1)-1))</f>
        <v/>
      </c>
    </row>
    <row r="392" spans="13:54" x14ac:dyDescent="0.25">
      <c r="M392" s="382"/>
      <c r="BB392" s="253" t="str">
        <f t="array" ref="BB392">_xlfn.IFS(AQ392="","",LEN(AQ392)-LEN(SUBSTITUTE(AQ392,".",""))=3,LEFT(AQ392,vitri(".",AQ392,3)-1),LEN(AQ392)-LEN(SUBSTITUTE(AQ392,".",""))=2,LEFT(AQ392,vitri(".",AQ392,2)-1),TRUE,LEFT(AQ392,vitri(".",AQ392,1)-1))</f>
        <v/>
      </c>
    </row>
    <row r="393" spans="13:54" x14ac:dyDescent="0.25">
      <c r="M393" s="382"/>
      <c r="BB393" s="253" t="str">
        <f t="array" ref="BB393">_xlfn.IFS(AQ393="","",LEN(AQ393)-LEN(SUBSTITUTE(AQ393,".",""))=3,LEFT(AQ393,vitri(".",AQ393,3)-1),LEN(AQ393)-LEN(SUBSTITUTE(AQ393,".",""))=2,LEFT(AQ393,vitri(".",AQ393,2)-1),TRUE,LEFT(AQ393,vitri(".",AQ393,1)-1))</f>
        <v/>
      </c>
    </row>
    <row r="394" spans="13:54" x14ac:dyDescent="0.25">
      <c r="M394" s="382"/>
      <c r="BB394" s="253" t="str">
        <f t="array" ref="BB394">_xlfn.IFS(AQ394="","",LEN(AQ394)-LEN(SUBSTITUTE(AQ394,".",""))=3,LEFT(AQ394,vitri(".",AQ394,3)-1),LEN(AQ394)-LEN(SUBSTITUTE(AQ394,".",""))=2,LEFT(AQ394,vitri(".",AQ394,2)-1),TRUE,LEFT(AQ394,vitri(".",AQ394,1)-1))</f>
        <v/>
      </c>
    </row>
    <row r="395" spans="13:54" x14ac:dyDescent="0.25">
      <c r="M395" s="382"/>
      <c r="BB395" s="253" t="str">
        <f t="array" ref="BB395">_xlfn.IFS(AQ395="","",LEN(AQ395)-LEN(SUBSTITUTE(AQ395,".",""))=3,LEFT(AQ395,vitri(".",AQ395,3)-1),LEN(AQ395)-LEN(SUBSTITUTE(AQ395,".",""))=2,LEFT(AQ395,vitri(".",AQ395,2)-1),TRUE,LEFT(AQ395,vitri(".",AQ395,1)-1))</f>
        <v/>
      </c>
    </row>
    <row r="396" spans="13:54" x14ac:dyDescent="0.25">
      <c r="M396" s="382"/>
      <c r="BB396" s="253" t="str">
        <f t="array" ref="BB396">_xlfn.IFS(AQ396="","",LEN(AQ396)-LEN(SUBSTITUTE(AQ396,".",""))=3,LEFT(AQ396,vitri(".",AQ396,3)-1),LEN(AQ396)-LEN(SUBSTITUTE(AQ396,".",""))=2,LEFT(AQ396,vitri(".",AQ396,2)-1),TRUE,LEFT(AQ396,vitri(".",AQ396,1)-1))</f>
        <v/>
      </c>
    </row>
    <row r="397" spans="13:54" x14ac:dyDescent="0.25">
      <c r="M397" s="382"/>
      <c r="BB397" s="253" t="str">
        <f t="array" ref="BB397">_xlfn.IFS(AQ397="","",LEN(AQ397)-LEN(SUBSTITUTE(AQ397,".",""))=3,LEFT(AQ397,vitri(".",AQ397,3)-1),LEN(AQ397)-LEN(SUBSTITUTE(AQ397,".",""))=2,LEFT(AQ397,vitri(".",AQ397,2)-1),TRUE,LEFT(AQ397,vitri(".",AQ397,1)-1))</f>
        <v/>
      </c>
    </row>
    <row r="398" spans="13:54" x14ac:dyDescent="0.25">
      <c r="M398" s="382"/>
      <c r="BB398" s="253" t="str">
        <f t="array" ref="BB398">_xlfn.IFS(AQ398="","",LEN(AQ398)-LEN(SUBSTITUTE(AQ398,".",""))=3,LEFT(AQ398,vitri(".",AQ398,3)-1),LEN(AQ398)-LEN(SUBSTITUTE(AQ398,".",""))=2,LEFT(AQ398,vitri(".",AQ398,2)-1),TRUE,LEFT(AQ398,vitri(".",AQ398,1)-1))</f>
        <v/>
      </c>
    </row>
    <row r="399" spans="13:54" x14ac:dyDescent="0.25">
      <c r="M399" s="382"/>
      <c r="BB399" s="253" t="str">
        <f t="array" ref="BB399">_xlfn.IFS(AQ399="","",LEN(AQ399)-LEN(SUBSTITUTE(AQ399,".",""))=3,LEFT(AQ399,vitri(".",AQ399,3)-1),LEN(AQ399)-LEN(SUBSTITUTE(AQ399,".",""))=2,LEFT(AQ399,vitri(".",AQ399,2)-1),TRUE,LEFT(AQ399,vitri(".",AQ399,1)-1))</f>
        <v/>
      </c>
    </row>
    <row r="400" spans="13:54" x14ac:dyDescent="0.25">
      <c r="M400" s="382"/>
      <c r="BB400" s="253" t="str">
        <f t="array" ref="BB400">_xlfn.IFS(AQ400="","",LEN(AQ400)-LEN(SUBSTITUTE(AQ400,".",""))=3,LEFT(AQ400,vitri(".",AQ400,3)-1),LEN(AQ400)-LEN(SUBSTITUTE(AQ400,".",""))=2,LEFT(AQ400,vitri(".",AQ400,2)-1),TRUE,LEFT(AQ400,vitri(".",AQ400,1)-1))</f>
        <v/>
      </c>
    </row>
    <row r="401" spans="13:54" x14ac:dyDescent="0.25">
      <c r="M401" s="382"/>
      <c r="BB401" s="253" t="str">
        <f t="array" ref="BB401">_xlfn.IFS(AQ401="","",LEN(AQ401)-LEN(SUBSTITUTE(AQ401,".",""))=3,LEFT(AQ401,vitri(".",AQ401,3)-1),LEN(AQ401)-LEN(SUBSTITUTE(AQ401,".",""))=2,LEFT(AQ401,vitri(".",AQ401,2)-1),TRUE,LEFT(AQ401,vitri(".",AQ401,1)-1))</f>
        <v/>
      </c>
    </row>
    <row r="402" spans="13:54" x14ac:dyDescent="0.25">
      <c r="M402" s="382"/>
      <c r="BB402" s="253" t="str">
        <f t="array" ref="BB402">_xlfn.IFS(AQ402="","",LEN(AQ402)-LEN(SUBSTITUTE(AQ402,".",""))=3,LEFT(AQ402,vitri(".",AQ402,3)-1),LEN(AQ402)-LEN(SUBSTITUTE(AQ402,".",""))=2,LEFT(AQ402,vitri(".",AQ402,2)-1),TRUE,LEFT(AQ402,vitri(".",AQ402,1)-1))</f>
        <v/>
      </c>
    </row>
    <row r="403" spans="13:54" x14ac:dyDescent="0.25">
      <c r="M403" s="382"/>
      <c r="BB403" s="253" t="str">
        <f t="array" ref="BB403">_xlfn.IFS(AQ403="","",LEN(AQ403)-LEN(SUBSTITUTE(AQ403,".",""))=3,LEFT(AQ403,vitri(".",AQ403,3)-1),LEN(AQ403)-LEN(SUBSTITUTE(AQ403,".",""))=2,LEFT(AQ403,vitri(".",AQ403,2)-1),TRUE,LEFT(AQ403,vitri(".",AQ403,1)-1))</f>
        <v/>
      </c>
    </row>
    <row r="404" spans="13:54" x14ac:dyDescent="0.25">
      <c r="M404" s="382"/>
      <c r="BB404" s="253" t="str">
        <f t="array" ref="BB404">_xlfn.IFS(AQ404="","",LEN(AQ404)-LEN(SUBSTITUTE(AQ404,".",""))=3,LEFT(AQ404,vitri(".",AQ404,3)-1),LEN(AQ404)-LEN(SUBSTITUTE(AQ404,".",""))=2,LEFT(AQ404,vitri(".",AQ404,2)-1),TRUE,LEFT(AQ404,vitri(".",AQ404,1)-1))</f>
        <v/>
      </c>
    </row>
    <row r="405" spans="13:54" x14ac:dyDescent="0.25">
      <c r="M405" s="382"/>
      <c r="BB405" s="253" t="str">
        <f t="array" ref="BB405">_xlfn.IFS(AQ405="","",LEN(AQ405)-LEN(SUBSTITUTE(AQ405,".",""))=3,LEFT(AQ405,vitri(".",AQ405,3)-1),LEN(AQ405)-LEN(SUBSTITUTE(AQ405,".",""))=2,LEFT(AQ405,vitri(".",AQ405,2)-1),TRUE,LEFT(AQ405,vitri(".",AQ405,1)-1))</f>
        <v/>
      </c>
    </row>
    <row r="406" spans="13:54" x14ac:dyDescent="0.25">
      <c r="M406" s="382"/>
      <c r="BB406" s="253" t="str">
        <f t="array" ref="BB406">_xlfn.IFS(AQ406="","",LEN(AQ406)-LEN(SUBSTITUTE(AQ406,".",""))=3,LEFT(AQ406,vitri(".",AQ406,3)-1),LEN(AQ406)-LEN(SUBSTITUTE(AQ406,".",""))=2,LEFT(AQ406,vitri(".",AQ406,2)-1),TRUE,LEFT(AQ406,vitri(".",AQ406,1)-1))</f>
        <v/>
      </c>
    </row>
    <row r="407" spans="13:54" x14ac:dyDescent="0.25">
      <c r="M407" s="382"/>
      <c r="BB407" s="253" t="str">
        <f t="array" ref="BB407">_xlfn.IFS(AQ407="","",LEN(AQ407)-LEN(SUBSTITUTE(AQ407,".",""))=3,LEFT(AQ407,vitri(".",AQ407,3)-1),LEN(AQ407)-LEN(SUBSTITUTE(AQ407,".",""))=2,LEFT(AQ407,vitri(".",AQ407,2)-1),TRUE,LEFT(AQ407,vitri(".",AQ407,1)-1))</f>
        <v/>
      </c>
    </row>
    <row r="408" spans="13:54" x14ac:dyDescent="0.25">
      <c r="M408" s="382"/>
      <c r="BB408" s="253" t="str">
        <f t="array" ref="BB408">_xlfn.IFS(AQ408="","",LEN(AQ408)-LEN(SUBSTITUTE(AQ408,".",""))=3,LEFT(AQ408,vitri(".",AQ408,3)-1),LEN(AQ408)-LEN(SUBSTITUTE(AQ408,".",""))=2,LEFT(AQ408,vitri(".",AQ408,2)-1),TRUE,LEFT(AQ408,vitri(".",AQ408,1)-1))</f>
        <v/>
      </c>
    </row>
    <row r="409" spans="13:54" x14ac:dyDescent="0.25">
      <c r="M409" s="382"/>
      <c r="BB409" s="253" t="str">
        <f t="array" ref="BB409">_xlfn.IFS(AQ409="","",LEN(AQ409)-LEN(SUBSTITUTE(AQ409,".",""))=3,LEFT(AQ409,vitri(".",AQ409,3)-1),LEN(AQ409)-LEN(SUBSTITUTE(AQ409,".",""))=2,LEFT(AQ409,vitri(".",AQ409,2)-1),TRUE,LEFT(AQ409,vitri(".",AQ409,1)-1))</f>
        <v/>
      </c>
    </row>
    <row r="410" spans="13:54" x14ac:dyDescent="0.25">
      <c r="M410" s="382"/>
      <c r="BB410" s="253" t="str">
        <f t="array" ref="BB410">_xlfn.IFS(AQ410="","",LEN(AQ410)-LEN(SUBSTITUTE(AQ410,".",""))=3,LEFT(AQ410,vitri(".",AQ410,3)-1),LEN(AQ410)-LEN(SUBSTITUTE(AQ410,".",""))=2,LEFT(AQ410,vitri(".",AQ410,2)-1),TRUE,LEFT(AQ410,vitri(".",AQ410,1)-1))</f>
        <v/>
      </c>
    </row>
    <row r="411" spans="13:54" x14ac:dyDescent="0.25">
      <c r="M411" s="382"/>
      <c r="BB411" s="253" t="str">
        <f t="array" ref="BB411">_xlfn.IFS(AQ411="","",LEN(AQ411)-LEN(SUBSTITUTE(AQ411,".",""))=3,LEFT(AQ411,vitri(".",AQ411,3)-1),LEN(AQ411)-LEN(SUBSTITUTE(AQ411,".",""))=2,LEFT(AQ411,vitri(".",AQ411,2)-1),TRUE,LEFT(AQ411,vitri(".",AQ411,1)-1))</f>
        <v/>
      </c>
    </row>
    <row r="412" spans="13:54" x14ac:dyDescent="0.25">
      <c r="M412" s="382"/>
      <c r="BB412" s="253" t="str">
        <f t="array" ref="BB412">_xlfn.IFS(AQ412="","",LEN(AQ412)-LEN(SUBSTITUTE(AQ412,".",""))=3,LEFT(AQ412,vitri(".",AQ412,3)-1),LEN(AQ412)-LEN(SUBSTITUTE(AQ412,".",""))=2,LEFT(AQ412,vitri(".",AQ412,2)-1),TRUE,LEFT(AQ412,vitri(".",AQ412,1)-1))</f>
        <v/>
      </c>
    </row>
    <row r="413" spans="13:54" x14ac:dyDescent="0.25">
      <c r="M413" s="382"/>
      <c r="BB413" s="253" t="str">
        <f t="array" ref="BB413">_xlfn.IFS(AQ413="","",LEN(AQ413)-LEN(SUBSTITUTE(AQ413,".",""))=3,LEFT(AQ413,vitri(".",AQ413,3)-1),LEN(AQ413)-LEN(SUBSTITUTE(AQ413,".",""))=2,LEFT(AQ413,vitri(".",AQ413,2)-1),TRUE,LEFT(AQ413,vitri(".",AQ413,1)-1))</f>
        <v/>
      </c>
    </row>
    <row r="414" spans="13:54" x14ac:dyDescent="0.25">
      <c r="M414" s="382"/>
      <c r="BB414" s="253" t="str">
        <f t="array" ref="BB414">_xlfn.IFS(AQ414="","",LEN(AQ414)-LEN(SUBSTITUTE(AQ414,".",""))=3,LEFT(AQ414,vitri(".",AQ414,3)-1),LEN(AQ414)-LEN(SUBSTITUTE(AQ414,".",""))=2,LEFT(AQ414,vitri(".",AQ414,2)-1),TRUE,LEFT(AQ414,vitri(".",AQ414,1)-1))</f>
        <v/>
      </c>
    </row>
    <row r="415" spans="13:54" x14ac:dyDescent="0.25">
      <c r="M415" s="382"/>
      <c r="BB415" s="253" t="str">
        <f t="array" ref="BB415">_xlfn.IFS(AQ415="","",LEN(AQ415)-LEN(SUBSTITUTE(AQ415,".",""))=3,LEFT(AQ415,vitri(".",AQ415,3)-1),LEN(AQ415)-LEN(SUBSTITUTE(AQ415,".",""))=2,LEFT(AQ415,vitri(".",AQ415,2)-1),TRUE,LEFT(AQ415,vitri(".",AQ415,1)-1))</f>
        <v/>
      </c>
    </row>
    <row r="416" spans="13:54" x14ac:dyDescent="0.25">
      <c r="M416" s="382"/>
      <c r="BB416" s="253" t="str">
        <f t="array" ref="BB416">_xlfn.IFS(AQ416="","",LEN(AQ416)-LEN(SUBSTITUTE(AQ416,".",""))=3,LEFT(AQ416,vitri(".",AQ416,3)-1),LEN(AQ416)-LEN(SUBSTITUTE(AQ416,".",""))=2,LEFT(AQ416,vitri(".",AQ416,2)-1),TRUE,LEFT(AQ416,vitri(".",AQ416,1)-1))</f>
        <v/>
      </c>
    </row>
    <row r="417" spans="13:54" x14ac:dyDescent="0.25">
      <c r="M417" s="382"/>
      <c r="BB417" s="253" t="str">
        <f t="array" ref="BB417">_xlfn.IFS(AQ417="","",LEN(AQ417)-LEN(SUBSTITUTE(AQ417,".",""))=3,LEFT(AQ417,vitri(".",AQ417,3)-1),LEN(AQ417)-LEN(SUBSTITUTE(AQ417,".",""))=2,LEFT(AQ417,vitri(".",AQ417,2)-1),TRUE,LEFT(AQ417,vitri(".",AQ417,1)-1))</f>
        <v/>
      </c>
    </row>
    <row r="418" spans="13:54" x14ac:dyDescent="0.25">
      <c r="M418" s="382"/>
      <c r="BB418" s="253" t="str">
        <f t="array" ref="BB418">_xlfn.IFS(AQ418="","",LEN(AQ418)-LEN(SUBSTITUTE(AQ418,".",""))=3,LEFT(AQ418,vitri(".",AQ418,3)-1),LEN(AQ418)-LEN(SUBSTITUTE(AQ418,".",""))=2,LEFT(AQ418,vitri(".",AQ418,2)-1),TRUE,LEFT(AQ418,vitri(".",AQ418,1)-1))</f>
        <v/>
      </c>
    </row>
    <row r="419" spans="13:54" x14ac:dyDescent="0.25">
      <c r="M419" s="382"/>
      <c r="BB419" s="253" t="str">
        <f t="array" ref="BB419">_xlfn.IFS(AQ419="","",LEN(AQ419)-LEN(SUBSTITUTE(AQ419,".",""))=3,LEFT(AQ419,vitri(".",AQ419,3)-1),LEN(AQ419)-LEN(SUBSTITUTE(AQ419,".",""))=2,LEFT(AQ419,vitri(".",AQ419,2)-1),TRUE,LEFT(AQ419,vitri(".",AQ419,1)-1))</f>
        <v/>
      </c>
    </row>
    <row r="420" spans="13:54" x14ac:dyDescent="0.25">
      <c r="M420" s="382"/>
      <c r="BB420" s="253" t="str">
        <f t="array" ref="BB420">_xlfn.IFS(AQ420="","",LEN(AQ420)-LEN(SUBSTITUTE(AQ420,".",""))=3,LEFT(AQ420,vitri(".",AQ420,3)-1),LEN(AQ420)-LEN(SUBSTITUTE(AQ420,".",""))=2,LEFT(AQ420,vitri(".",AQ420,2)-1),TRUE,LEFT(AQ420,vitri(".",AQ420,1)-1))</f>
        <v/>
      </c>
    </row>
    <row r="421" spans="13:54" x14ac:dyDescent="0.25">
      <c r="M421" s="382"/>
      <c r="BB421" s="253" t="str">
        <f t="array" ref="BB421">_xlfn.IFS(AQ421="","",LEN(AQ421)-LEN(SUBSTITUTE(AQ421,".",""))=3,LEFT(AQ421,vitri(".",AQ421,3)-1),LEN(AQ421)-LEN(SUBSTITUTE(AQ421,".",""))=2,LEFT(AQ421,vitri(".",AQ421,2)-1),TRUE,LEFT(AQ421,vitri(".",AQ421,1)-1))</f>
        <v/>
      </c>
    </row>
    <row r="422" spans="13:54" x14ac:dyDescent="0.25">
      <c r="M422" s="382"/>
      <c r="BB422" s="253" t="str">
        <f t="array" ref="BB422">_xlfn.IFS(AQ422="","",LEN(AQ422)-LEN(SUBSTITUTE(AQ422,".",""))=3,LEFT(AQ422,vitri(".",AQ422,3)-1),LEN(AQ422)-LEN(SUBSTITUTE(AQ422,".",""))=2,LEFT(AQ422,vitri(".",AQ422,2)-1),TRUE,LEFT(AQ422,vitri(".",AQ422,1)-1))</f>
        <v/>
      </c>
    </row>
    <row r="423" spans="13:54" x14ac:dyDescent="0.25">
      <c r="M423" s="382"/>
      <c r="BB423" s="253" t="str">
        <f t="array" ref="BB423">_xlfn.IFS(AQ423="","",LEN(AQ423)-LEN(SUBSTITUTE(AQ423,".",""))=3,LEFT(AQ423,vitri(".",AQ423,3)-1),LEN(AQ423)-LEN(SUBSTITUTE(AQ423,".",""))=2,LEFT(AQ423,vitri(".",AQ423,2)-1),TRUE,LEFT(AQ423,vitri(".",AQ423,1)-1))</f>
        <v/>
      </c>
    </row>
    <row r="424" spans="13:54" x14ac:dyDescent="0.25">
      <c r="M424" s="382"/>
      <c r="BB424" s="253" t="str">
        <f t="array" ref="BB424">_xlfn.IFS(AQ424="","",LEN(AQ424)-LEN(SUBSTITUTE(AQ424,".",""))=3,LEFT(AQ424,vitri(".",AQ424,3)-1),LEN(AQ424)-LEN(SUBSTITUTE(AQ424,".",""))=2,LEFT(AQ424,vitri(".",AQ424,2)-1),TRUE,LEFT(AQ424,vitri(".",AQ424,1)-1))</f>
        <v/>
      </c>
    </row>
    <row r="425" spans="13:54" x14ac:dyDescent="0.25">
      <c r="M425" s="382"/>
      <c r="BB425" s="253" t="str">
        <f t="array" ref="BB425">_xlfn.IFS(AQ425="","",LEN(AQ425)-LEN(SUBSTITUTE(AQ425,".",""))=3,LEFT(AQ425,vitri(".",AQ425,3)-1),LEN(AQ425)-LEN(SUBSTITUTE(AQ425,".",""))=2,LEFT(AQ425,vitri(".",AQ425,2)-1),TRUE,LEFT(AQ425,vitri(".",AQ425,1)-1))</f>
        <v/>
      </c>
    </row>
    <row r="426" spans="13:54" x14ac:dyDescent="0.25">
      <c r="M426" s="382"/>
      <c r="BB426" s="253" t="str">
        <f t="array" ref="BB426">_xlfn.IFS(AQ426="","",LEN(AQ426)-LEN(SUBSTITUTE(AQ426,".",""))=3,LEFT(AQ426,vitri(".",AQ426,3)-1),LEN(AQ426)-LEN(SUBSTITUTE(AQ426,".",""))=2,LEFT(AQ426,vitri(".",AQ426,2)-1),TRUE,LEFT(AQ426,vitri(".",AQ426,1)-1))</f>
        <v/>
      </c>
    </row>
    <row r="427" spans="13:54" x14ac:dyDescent="0.25">
      <c r="M427" s="382"/>
      <c r="BB427" s="253" t="str">
        <f t="array" ref="BB427">_xlfn.IFS(AQ427="","",LEN(AQ427)-LEN(SUBSTITUTE(AQ427,".",""))=3,LEFT(AQ427,vitri(".",AQ427,3)-1),LEN(AQ427)-LEN(SUBSTITUTE(AQ427,".",""))=2,LEFT(AQ427,vitri(".",AQ427,2)-1),TRUE,LEFT(AQ427,vitri(".",AQ427,1)-1))</f>
        <v/>
      </c>
    </row>
    <row r="428" spans="13:54" x14ac:dyDescent="0.25">
      <c r="M428" s="382"/>
      <c r="BB428" s="253" t="str">
        <f t="array" ref="BB428">_xlfn.IFS(AQ428="","",LEN(AQ428)-LEN(SUBSTITUTE(AQ428,".",""))=3,LEFT(AQ428,vitri(".",AQ428,3)-1),LEN(AQ428)-LEN(SUBSTITUTE(AQ428,".",""))=2,LEFT(AQ428,vitri(".",AQ428,2)-1),TRUE,LEFT(AQ428,vitri(".",AQ428,1)-1))</f>
        <v/>
      </c>
    </row>
    <row r="429" spans="13:54" x14ac:dyDescent="0.25">
      <c r="M429" s="382"/>
      <c r="BB429" s="253" t="str">
        <f t="array" ref="BB429">_xlfn.IFS(AQ429="","",LEN(AQ429)-LEN(SUBSTITUTE(AQ429,".",""))=3,LEFT(AQ429,vitri(".",AQ429,3)-1),LEN(AQ429)-LEN(SUBSTITUTE(AQ429,".",""))=2,LEFT(AQ429,vitri(".",AQ429,2)-1),TRUE,LEFT(AQ429,vitri(".",AQ429,1)-1))</f>
        <v/>
      </c>
    </row>
    <row r="430" spans="13:54" x14ac:dyDescent="0.25">
      <c r="M430" s="382"/>
      <c r="BB430" s="253" t="str">
        <f t="array" ref="BB430">_xlfn.IFS(AQ430="","",LEN(AQ430)-LEN(SUBSTITUTE(AQ430,".",""))=3,LEFT(AQ430,vitri(".",AQ430,3)-1),LEN(AQ430)-LEN(SUBSTITUTE(AQ430,".",""))=2,LEFT(AQ430,vitri(".",AQ430,2)-1),TRUE,LEFT(AQ430,vitri(".",AQ430,1)-1))</f>
        <v/>
      </c>
    </row>
    <row r="431" spans="13:54" x14ac:dyDescent="0.25">
      <c r="M431" s="382"/>
      <c r="BB431" s="253" t="str">
        <f t="array" ref="BB431">_xlfn.IFS(AQ431="","",LEN(AQ431)-LEN(SUBSTITUTE(AQ431,".",""))=3,LEFT(AQ431,vitri(".",AQ431,3)-1),LEN(AQ431)-LEN(SUBSTITUTE(AQ431,".",""))=2,LEFT(AQ431,vitri(".",AQ431,2)-1),TRUE,LEFT(AQ431,vitri(".",AQ431,1)-1))</f>
        <v/>
      </c>
    </row>
    <row r="432" spans="13:54" x14ac:dyDescent="0.25">
      <c r="M432" s="382"/>
      <c r="BB432" s="253" t="str">
        <f t="array" ref="BB432">_xlfn.IFS(AQ432="","",LEN(AQ432)-LEN(SUBSTITUTE(AQ432,".",""))=3,LEFT(AQ432,vitri(".",AQ432,3)-1),LEN(AQ432)-LEN(SUBSTITUTE(AQ432,".",""))=2,LEFT(AQ432,vitri(".",AQ432,2)-1),TRUE,LEFT(AQ432,vitri(".",AQ432,1)-1))</f>
        <v/>
      </c>
    </row>
    <row r="433" spans="13:54" x14ac:dyDescent="0.25">
      <c r="M433" s="382"/>
      <c r="BB433" s="253" t="str">
        <f t="array" ref="BB433">_xlfn.IFS(AQ433="","",LEN(AQ433)-LEN(SUBSTITUTE(AQ433,".",""))=3,LEFT(AQ433,vitri(".",AQ433,3)-1),LEN(AQ433)-LEN(SUBSTITUTE(AQ433,".",""))=2,LEFT(AQ433,vitri(".",AQ433,2)-1),TRUE,LEFT(AQ433,vitri(".",AQ433,1)-1))</f>
        <v/>
      </c>
    </row>
    <row r="434" spans="13:54" x14ac:dyDescent="0.25">
      <c r="M434" s="382"/>
      <c r="BB434" s="253" t="str">
        <f t="array" ref="BB434">_xlfn.IFS(AQ434="","",LEN(AQ434)-LEN(SUBSTITUTE(AQ434,".",""))=3,LEFT(AQ434,vitri(".",AQ434,3)-1),LEN(AQ434)-LEN(SUBSTITUTE(AQ434,".",""))=2,LEFT(AQ434,vitri(".",AQ434,2)-1),TRUE,LEFT(AQ434,vitri(".",AQ434,1)-1))</f>
        <v/>
      </c>
    </row>
    <row r="435" spans="13:54" x14ac:dyDescent="0.25">
      <c r="M435" s="382"/>
      <c r="BB435" s="253" t="str">
        <f t="array" ref="BB435">_xlfn.IFS(AQ435="","",LEN(AQ435)-LEN(SUBSTITUTE(AQ435,".",""))=3,LEFT(AQ435,vitri(".",AQ435,3)-1),LEN(AQ435)-LEN(SUBSTITUTE(AQ435,".",""))=2,LEFT(AQ435,vitri(".",AQ435,2)-1),TRUE,LEFT(AQ435,vitri(".",AQ435,1)-1))</f>
        <v/>
      </c>
    </row>
    <row r="436" spans="13:54" x14ac:dyDescent="0.25">
      <c r="M436" s="382"/>
      <c r="BB436" s="253" t="str">
        <f t="array" ref="BB436">_xlfn.IFS(AQ436="","",LEN(AQ436)-LEN(SUBSTITUTE(AQ436,".",""))=3,LEFT(AQ436,vitri(".",AQ436,3)-1),LEN(AQ436)-LEN(SUBSTITUTE(AQ436,".",""))=2,LEFT(AQ436,vitri(".",AQ436,2)-1),TRUE,LEFT(AQ436,vitri(".",AQ436,1)-1))</f>
        <v/>
      </c>
    </row>
    <row r="437" spans="13:54" x14ac:dyDescent="0.25">
      <c r="M437" s="382"/>
      <c r="BB437" s="253" t="str">
        <f t="array" ref="BB437">_xlfn.IFS(AQ437="","",LEN(AQ437)-LEN(SUBSTITUTE(AQ437,".",""))=3,LEFT(AQ437,vitri(".",AQ437,3)-1),LEN(AQ437)-LEN(SUBSTITUTE(AQ437,".",""))=2,LEFT(AQ437,vitri(".",AQ437,2)-1),TRUE,LEFT(AQ437,vitri(".",AQ437,1)-1))</f>
        <v/>
      </c>
    </row>
    <row r="438" spans="13:54" x14ac:dyDescent="0.25">
      <c r="M438" s="382"/>
      <c r="BB438" s="253" t="str">
        <f t="array" ref="BB438">_xlfn.IFS(AQ438="","",LEN(AQ438)-LEN(SUBSTITUTE(AQ438,".",""))=3,LEFT(AQ438,vitri(".",AQ438,3)-1),LEN(AQ438)-LEN(SUBSTITUTE(AQ438,".",""))=2,LEFT(AQ438,vitri(".",AQ438,2)-1),TRUE,LEFT(AQ438,vitri(".",AQ438,1)-1))</f>
        <v/>
      </c>
    </row>
    <row r="439" spans="13:54" x14ac:dyDescent="0.25">
      <c r="M439" s="382"/>
      <c r="BB439" s="253" t="str">
        <f t="array" ref="BB439">_xlfn.IFS(AQ439="","",LEN(AQ439)-LEN(SUBSTITUTE(AQ439,".",""))=3,LEFT(AQ439,vitri(".",AQ439,3)-1),LEN(AQ439)-LEN(SUBSTITUTE(AQ439,".",""))=2,LEFT(AQ439,vitri(".",AQ439,2)-1),TRUE,LEFT(AQ439,vitri(".",AQ439,1)-1))</f>
        <v/>
      </c>
    </row>
    <row r="440" spans="13:54" x14ac:dyDescent="0.25">
      <c r="M440" s="382"/>
      <c r="BB440" s="253" t="str">
        <f t="array" ref="BB440">_xlfn.IFS(AQ440="","",LEN(AQ440)-LEN(SUBSTITUTE(AQ440,".",""))=3,LEFT(AQ440,vitri(".",AQ440,3)-1),LEN(AQ440)-LEN(SUBSTITUTE(AQ440,".",""))=2,LEFT(AQ440,vitri(".",AQ440,2)-1),TRUE,LEFT(AQ440,vitri(".",AQ440,1)-1))</f>
        <v/>
      </c>
    </row>
    <row r="441" spans="13:54" x14ac:dyDescent="0.25">
      <c r="M441" s="382"/>
      <c r="BB441" s="253" t="str">
        <f t="array" ref="BB441">_xlfn.IFS(AQ441="","",LEN(AQ441)-LEN(SUBSTITUTE(AQ441,".",""))=3,LEFT(AQ441,vitri(".",AQ441,3)-1),LEN(AQ441)-LEN(SUBSTITUTE(AQ441,".",""))=2,LEFT(AQ441,vitri(".",AQ441,2)-1),TRUE,LEFT(AQ441,vitri(".",AQ441,1)-1))</f>
        <v/>
      </c>
    </row>
    <row r="442" spans="13:54" x14ac:dyDescent="0.25">
      <c r="M442" s="382"/>
      <c r="BB442" s="253" t="str">
        <f t="array" ref="BB442">_xlfn.IFS(AQ442="","",LEN(AQ442)-LEN(SUBSTITUTE(AQ442,".",""))=3,LEFT(AQ442,vitri(".",AQ442,3)-1),LEN(AQ442)-LEN(SUBSTITUTE(AQ442,".",""))=2,LEFT(AQ442,vitri(".",AQ442,2)-1),TRUE,LEFT(AQ442,vitri(".",AQ442,1)-1))</f>
        <v/>
      </c>
    </row>
    <row r="443" spans="13:54" x14ac:dyDescent="0.25">
      <c r="M443" s="382"/>
      <c r="BB443" s="253" t="str">
        <f t="array" ref="BB443">_xlfn.IFS(AQ443="","",LEN(AQ443)-LEN(SUBSTITUTE(AQ443,".",""))=3,LEFT(AQ443,vitri(".",AQ443,3)-1),LEN(AQ443)-LEN(SUBSTITUTE(AQ443,".",""))=2,LEFT(AQ443,vitri(".",AQ443,2)-1),TRUE,LEFT(AQ443,vitri(".",AQ443,1)-1))</f>
        <v/>
      </c>
    </row>
    <row r="444" spans="13:54" x14ac:dyDescent="0.25">
      <c r="M444" s="382"/>
      <c r="BB444" s="253" t="str">
        <f t="array" ref="BB444">_xlfn.IFS(AQ444="","",LEN(AQ444)-LEN(SUBSTITUTE(AQ444,".",""))=3,LEFT(AQ444,vitri(".",AQ444,3)-1),LEN(AQ444)-LEN(SUBSTITUTE(AQ444,".",""))=2,LEFT(AQ444,vitri(".",AQ444,2)-1),TRUE,LEFT(AQ444,vitri(".",AQ444,1)-1))</f>
        <v/>
      </c>
    </row>
    <row r="445" spans="13:54" x14ac:dyDescent="0.25">
      <c r="M445" s="382"/>
      <c r="BB445" s="253" t="str">
        <f t="array" ref="BB445">_xlfn.IFS(AQ445="","",LEN(AQ445)-LEN(SUBSTITUTE(AQ445,".",""))=3,LEFT(AQ445,vitri(".",AQ445,3)-1),LEN(AQ445)-LEN(SUBSTITUTE(AQ445,".",""))=2,LEFT(AQ445,vitri(".",AQ445,2)-1),TRUE,LEFT(AQ445,vitri(".",AQ445,1)-1))</f>
        <v/>
      </c>
    </row>
    <row r="446" spans="13:54" x14ac:dyDescent="0.25">
      <c r="M446" s="382"/>
      <c r="BB446" s="253" t="str">
        <f t="array" ref="BB446">_xlfn.IFS(AQ446="","",LEN(AQ446)-LEN(SUBSTITUTE(AQ446,".",""))=3,LEFT(AQ446,vitri(".",AQ446,3)-1),LEN(AQ446)-LEN(SUBSTITUTE(AQ446,".",""))=2,LEFT(AQ446,vitri(".",AQ446,2)-1),TRUE,LEFT(AQ446,vitri(".",AQ446,1)-1))</f>
        <v/>
      </c>
    </row>
    <row r="447" spans="13:54" x14ac:dyDescent="0.25">
      <c r="M447" s="382"/>
      <c r="BB447" s="253" t="str">
        <f t="array" ref="BB447">_xlfn.IFS(AQ447="","",LEN(AQ447)-LEN(SUBSTITUTE(AQ447,".",""))=3,LEFT(AQ447,vitri(".",AQ447,3)-1),LEN(AQ447)-LEN(SUBSTITUTE(AQ447,".",""))=2,LEFT(AQ447,vitri(".",AQ447,2)-1),TRUE,LEFT(AQ447,vitri(".",AQ447,1)-1))</f>
        <v/>
      </c>
    </row>
    <row r="448" spans="13:54" x14ac:dyDescent="0.25">
      <c r="M448" s="382"/>
      <c r="BB448" s="253" t="str">
        <f t="array" ref="BB448">_xlfn.IFS(AQ448="","",LEN(AQ448)-LEN(SUBSTITUTE(AQ448,".",""))=3,LEFT(AQ448,vitri(".",AQ448,3)-1),LEN(AQ448)-LEN(SUBSTITUTE(AQ448,".",""))=2,LEFT(AQ448,vitri(".",AQ448,2)-1),TRUE,LEFT(AQ448,vitri(".",AQ448,1)-1))</f>
        <v/>
      </c>
    </row>
    <row r="449" spans="13:54" x14ac:dyDescent="0.25">
      <c r="M449" s="382"/>
      <c r="BB449" s="253" t="str">
        <f t="array" ref="BB449">_xlfn.IFS(AQ449="","",LEN(AQ449)-LEN(SUBSTITUTE(AQ449,".",""))=3,LEFT(AQ449,vitri(".",AQ449,3)-1),LEN(AQ449)-LEN(SUBSTITUTE(AQ449,".",""))=2,LEFT(AQ449,vitri(".",AQ449,2)-1),TRUE,LEFT(AQ449,vitri(".",AQ449,1)-1))</f>
        <v/>
      </c>
    </row>
    <row r="450" spans="13:54" x14ac:dyDescent="0.25">
      <c r="M450" s="382"/>
      <c r="BB450" s="253" t="str">
        <f t="array" ref="BB450">_xlfn.IFS(AQ450="","",LEN(AQ450)-LEN(SUBSTITUTE(AQ450,".",""))=3,LEFT(AQ450,vitri(".",AQ450,3)-1),LEN(AQ450)-LEN(SUBSTITUTE(AQ450,".",""))=2,LEFT(AQ450,vitri(".",AQ450,2)-1),TRUE,LEFT(AQ450,vitri(".",AQ450,1)-1))</f>
        <v/>
      </c>
    </row>
    <row r="451" spans="13:54" x14ac:dyDescent="0.25">
      <c r="M451" s="382"/>
      <c r="BB451" s="253" t="str">
        <f t="array" ref="BB451">_xlfn.IFS(AQ451="","",LEN(AQ451)-LEN(SUBSTITUTE(AQ451,".",""))=3,LEFT(AQ451,vitri(".",AQ451,3)-1),LEN(AQ451)-LEN(SUBSTITUTE(AQ451,".",""))=2,LEFT(AQ451,vitri(".",AQ451,2)-1),TRUE,LEFT(AQ451,vitri(".",AQ451,1)-1))</f>
        <v/>
      </c>
    </row>
    <row r="452" spans="13:54" x14ac:dyDescent="0.25">
      <c r="M452" s="382"/>
      <c r="BB452" s="253" t="str">
        <f t="array" ref="BB452">_xlfn.IFS(AQ452="","",LEN(AQ452)-LEN(SUBSTITUTE(AQ452,".",""))=3,LEFT(AQ452,vitri(".",AQ452,3)-1),LEN(AQ452)-LEN(SUBSTITUTE(AQ452,".",""))=2,LEFT(AQ452,vitri(".",AQ452,2)-1),TRUE,LEFT(AQ452,vitri(".",AQ452,1)-1))</f>
        <v/>
      </c>
    </row>
    <row r="453" spans="13:54" x14ac:dyDescent="0.25">
      <c r="M453" s="382"/>
      <c r="BB453" s="253" t="str">
        <f t="array" ref="BB453">_xlfn.IFS(AQ453="","",LEN(AQ453)-LEN(SUBSTITUTE(AQ453,".",""))=3,LEFT(AQ453,vitri(".",AQ453,3)-1),LEN(AQ453)-LEN(SUBSTITUTE(AQ453,".",""))=2,LEFT(AQ453,vitri(".",AQ453,2)-1),TRUE,LEFT(AQ453,vitri(".",AQ453,1)-1))</f>
        <v/>
      </c>
    </row>
    <row r="454" spans="13:54" x14ac:dyDescent="0.25">
      <c r="M454" s="382"/>
      <c r="BB454" s="253" t="str">
        <f t="array" ref="BB454">_xlfn.IFS(AQ454="","",LEN(AQ454)-LEN(SUBSTITUTE(AQ454,".",""))=3,LEFT(AQ454,vitri(".",AQ454,3)-1),LEN(AQ454)-LEN(SUBSTITUTE(AQ454,".",""))=2,LEFT(AQ454,vitri(".",AQ454,2)-1),TRUE,LEFT(AQ454,vitri(".",AQ454,1)-1))</f>
        <v/>
      </c>
    </row>
    <row r="455" spans="13:54" x14ac:dyDescent="0.25">
      <c r="M455" s="382"/>
      <c r="BB455" s="253" t="str">
        <f t="array" ref="BB455">_xlfn.IFS(AQ455="","",LEN(AQ455)-LEN(SUBSTITUTE(AQ455,".",""))=3,LEFT(AQ455,vitri(".",AQ455,3)-1),LEN(AQ455)-LEN(SUBSTITUTE(AQ455,".",""))=2,LEFT(AQ455,vitri(".",AQ455,2)-1),TRUE,LEFT(AQ455,vitri(".",AQ455,1)-1))</f>
        <v/>
      </c>
    </row>
    <row r="456" spans="13:54" x14ac:dyDescent="0.25">
      <c r="M456" s="382"/>
      <c r="BB456" s="253" t="str">
        <f t="array" ref="BB456">_xlfn.IFS(AQ456="","",LEN(AQ456)-LEN(SUBSTITUTE(AQ456,".",""))=3,LEFT(AQ456,vitri(".",AQ456,3)-1),LEN(AQ456)-LEN(SUBSTITUTE(AQ456,".",""))=2,LEFT(AQ456,vitri(".",AQ456,2)-1),TRUE,LEFT(AQ456,vitri(".",AQ456,1)-1))</f>
        <v/>
      </c>
    </row>
    <row r="457" spans="13:54" x14ac:dyDescent="0.25">
      <c r="M457" s="382"/>
      <c r="BB457" s="253" t="str">
        <f t="array" ref="BB457">_xlfn.IFS(AQ457="","",LEN(AQ457)-LEN(SUBSTITUTE(AQ457,".",""))=3,LEFT(AQ457,vitri(".",AQ457,3)-1),LEN(AQ457)-LEN(SUBSTITUTE(AQ457,".",""))=2,LEFT(AQ457,vitri(".",AQ457,2)-1),TRUE,LEFT(AQ457,vitri(".",AQ457,1)-1))</f>
        <v/>
      </c>
    </row>
    <row r="458" spans="13:54" x14ac:dyDescent="0.25">
      <c r="M458" s="382"/>
      <c r="BB458" s="253" t="str">
        <f t="array" ref="BB458">_xlfn.IFS(AQ458="","",LEN(AQ458)-LEN(SUBSTITUTE(AQ458,".",""))=3,LEFT(AQ458,vitri(".",AQ458,3)-1),LEN(AQ458)-LEN(SUBSTITUTE(AQ458,".",""))=2,LEFT(AQ458,vitri(".",AQ458,2)-1),TRUE,LEFT(AQ458,vitri(".",AQ458,1)-1))</f>
        <v/>
      </c>
    </row>
    <row r="459" spans="13:54" x14ac:dyDescent="0.25">
      <c r="M459" s="382"/>
      <c r="BB459" s="253" t="str">
        <f t="array" ref="BB459">_xlfn.IFS(AQ459="","",LEN(AQ459)-LEN(SUBSTITUTE(AQ459,".",""))=3,LEFT(AQ459,vitri(".",AQ459,3)-1),LEN(AQ459)-LEN(SUBSTITUTE(AQ459,".",""))=2,LEFT(AQ459,vitri(".",AQ459,2)-1),TRUE,LEFT(AQ459,vitri(".",AQ459,1)-1))</f>
        <v/>
      </c>
    </row>
    <row r="460" spans="13:54" x14ac:dyDescent="0.25">
      <c r="M460" s="382"/>
      <c r="BB460" s="253" t="str">
        <f t="array" ref="BB460">_xlfn.IFS(AQ460="","",LEN(AQ460)-LEN(SUBSTITUTE(AQ460,".",""))=3,LEFT(AQ460,vitri(".",AQ460,3)-1),LEN(AQ460)-LEN(SUBSTITUTE(AQ460,".",""))=2,LEFT(AQ460,vitri(".",AQ460,2)-1),TRUE,LEFT(AQ460,vitri(".",AQ460,1)-1))</f>
        <v/>
      </c>
    </row>
    <row r="461" spans="13:54" x14ac:dyDescent="0.25">
      <c r="M461" s="382"/>
      <c r="BB461" s="253" t="str">
        <f t="array" ref="BB461">_xlfn.IFS(AQ461="","",LEN(AQ461)-LEN(SUBSTITUTE(AQ461,".",""))=3,LEFT(AQ461,vitri(".",AQ461,3)-1),LEN(AQ461)-LEN(SUBSTITUTE(AQ461,".",""))=2,LEFT(AQ461,vitri(".",AQ461,2)-1),TRUE,LEFT(AQ461,vitri(".",AQ461,1)-1))</f>
        <v/>
      </c>
    </row>
    <row r="462" spans="13:54" x14ac:dyDescent="0.25">
      <c r="M462" s="382"/>
      <c r="BB462" s="253" t="str">
        <f t="array" ref="BB462">_xlfn.IFS(AQ462="","",LEN(AQ462)-LEN(SUBSTITUTE(AQ462,".",""))=3,LEFT(AQ462,vitri(".",AQ462,3)-1),LEN(AQ462)-LEN(SUBSTITUTE(AQ462,".",""))=2,LEFT(AQ462,vitri(".",AQ462,2)-1),TRUE,LEFT(AQ462,vitri(".",AQ462,1)-1))</f>
        <v/>
      </c>
    </row>
    <row r="463" spans="13:54" x14ac:dyDescent="0.25">
      <c r="M463" s="382"/>
      <c r="BB463" s="253" t="str">
        <f t="array" ref="BB463">_xlfn.IFS(AQ463="","",LEN(AQ463)-LEN(SUBSTITUTE(AQ463,".",""))=3,LEFT(AQ463,vitri(".",AQ463,3)-1),LEN(AQ463)-LEN(SUBSTITUTE(AQ463,".",""))=2,LEFT(AQ463,vitri(".",AQ463,2)-1),TRUE,LEFT(AQ463,vitri(".",AQ463,1)-1))</f>
        <v/>
      </c>
    </row>
    <row r="464" spans="13:54" x14ac:dyDescent="0.25">
      <c r="M464" s="382"/>
      <c r="BB464" s="253" t="str">
        <f t="array" ref="BB464">_xlfn.IFS(AQ464="","",LEN(AQ464)-LEN(SUBSTITUTE(AQ464,".",""))=3,LEFT(AQ464,vitri(".",AQ464,3)-1),LEN(AQ464)-LEN(SUBSTITUTE(AQ464,".",""))=2,LEFT(AQ464,vitri(".",AQ464,2)-1),TRUE,LEFT(AQ464,vitri(".",AQ464,1)-1))</f>
        <v/>
      </c>
    </row>
    <row r="465" spans="13:54" x14ac:dyDescent="0.25">
      <c r="M465" s="382"/>
      <c r="BB465" s="253" t="str">
        <f t="array" ref="BB465">_xlfn.IFS(AQ465="","",LEN(AQ465)-LEN(SUBSTITUTE(AQ465,".",""))=3,LEFT(AQ465,vitri(".",AQ465,3)-1),LEN(AQ465)-LEN(SUBSTITUTE(AQ465,".",""))=2,LEFT(AQ465,vitri(".",AQ465,2)-1),TRUE,LEFT(AQ465,vitri(".",AQ465,1)-1))</f>
        <v/>
      </c>
    </row>
    <row r="466" spans="13:54" x14ac:dyDescent="0.25">
      <c r="M466" s="382"/>
      <c r="BB466" s="253" t="str">
        <f t="array" ref="BB466">_xlfn.IFS(AQ466="","",LEN(AQ466)-LEN(SUBSTITUTE(AQ466,".",""))=3,LEFT(AQ466,vitri(".",AQ466,3)-1),LEN(AQ466)-LEN(SUBSTITUTE(AQ466,".",""))=2,LEFT(AQ466,vitri(".",AQ466,2)-1),TRUE,LEFT(AQ466,vitri(".",AQ466,1)-1))</f>
        <v/>
      </c>
    </row>
    <row r="467" spans="13:54" x14ac:dyDescent="0.25">
      <c r="M467" s="382"/>
      <c r="BB467" s="253" t="str">
        <f t="array" ref="BB467">_xlfn.IFS(AQ467="","",LEN(AQ467)-LEN(SUBSTITUTE(AQ467,".",""))=3,LEFT(AQ467,vitri(".",AQ467,3)-1),LEN(AQ467)-LEN(SUBSTITUTE(AQ467,".",""))=2,LEFT(AQ467,vitri(".",AQ467,2)-1),TRUE,LEFT(AQ467,vitri(".",AQ467,1)-1))</f>
        <v/>
      </c>
    </row>
    <row r="468" spans="13:54" x14ac:dyDescent="0.25">
      <c r="M468" s="382"/>
      <c r="BB468" s="253" t="str">
        <f t="array" ref="BB468">_xlfn.IFS(AQ468="","",LEN(AQ468)-LEN(SUBSTITUTE(AQ468,".",""))=3,LEFT(AQ468,vitri(".",AQ468,3)-1),LEN(AQ468)-LEN(SUBSTITUTE(AQ468,".",""))=2,LEFT(AQ468,vitri(".",AQ468,2)-1),TRUE,LEFT(AQ468,vitri(".",AQ468,1)-1))</f>
        <v/>
      </c>
    </row>
    <row r="469" spans="13:54" x14ac:dyDescent="0.25">
      <c r="M469" s="382"/>
      <c r="BB469" s="253" t="str">
        <f t="array" ref="BB469">_xlfn.IFS(AQ469="","",LEN(AQ469)-LEN(SUBSTITUTE(AQ469,".",""))=3,LEFT(AQ469,vitri(".",AQ469,3)-1),LEN(AQ469)-LEN(SUBSTITUTE(AQ469,".",""))=2,LEFT(AQ469,vitri(".",AQ469,2)-1),TRUE,LEFT(AQ469,vitri(".",AQ469,1)-1))</f>
        <v/>
      </c>
    </row>
    <row r="470" spans="13:54" x14ac:dyDescent="0.25">
      <c r="M470" s="382"/>
      <c r="BB470" s="253" t="str">
        <f t="array" ref="BB470">_xlfn.IFS(AQ470="","",LEN(AQ470)-LEN(SUBSTITUTE(AQ470,".",""))=3,LEFT(AQ470,vitri(".",AQ470,3)-1),LEN(AQ470)-LEN(SUBSTITUTE(AQ470,".",""))=2,LEFT(AQ470,vitri(".",AQ470,2)-1),TRUE,LEFT(AQ470,vitri(".",AQ470,1)-1))</f>
        <v/>
      </c>
    </row>
    <row r="471" spans="13:54" x14ac:dyDescent="0.25">
      <c r="M471" s="382"/>
      <c r="BB471" s="253" t="str">
        <f t="array" ref="BB471">_xlfn.IFS(AQ471="","",LEN(AQ471)-LEN(SUBSTITUTE(AQ471,".",""))=3,LEFT(AQ471,vitri(".",AQ471,3)-1),LEN(AQ471)-LEN(SUBSTITUTE(AQ471,".",""))=2,LEFT(AQ471,vitri(".",AQ471,2)-1),TRUE,LEFT(AQ471,vitri(".",AQ471,1)-1))</f>
        <v/>
      </c>
    </row>
    <row r="472" spans="13:54" x14ac:dyDescent="0.25">
      <c r="M472" s="382"/>
      <c r="BB472" s="253" t="str">
        <f t="array" ref="BB472">_xlfn.IFS(AQ472="","",LEN(AQ472)-LEN(SUBSTITUTE(AQ472,".",""))=3,LEFT(AQ472,vitri(".",AQ472,3)-1),LEN(AQ472)-LEN(SUBSTITUTE(AQ472,".",""))=2,LEFT(AQ472,vitri(".",AQ472,2)-1),TRUE,LEFT(AQ472,vitri(".",AQ472,1)-1))</f>
        <v/>
      </c>
    </row>
    <row r="473" spans="13:54" x14ac:dyDescent="0.25">
      <c r="M473" s="382"/>
      <c r="BB473" s="253" t="str">
        <f t="array" ref="BB473">_xlfn.IFS(AQ473="","",LEN(AQ473)-LEN(SUBSTITUTE(AQ473,".",""))=3,LEFT(AQ473,vitri(".",AQ473,3)-1),LEN(AQ473)-LEN(SUBSTITUTE(AQ473,".",""))=2,LEFT(AQ473,vitri(".",AQ473,2)-1),TRUE,LEFT(AQ473,vitri(".",AQ473,1)-1))</f>
        <v/>
      </c>
    </row>
    <row r="474" spans="13:54" x14ac:dyDescent="0.25">
      <c r="M474" s="382"/>
      <c r="BB474" s="253" t="str">
        <f t="array" ref="BB474">_xlfn.IFS(AQ474="","",LEN(AQ474)-LEN(SUBSTITUTE(AQ474,".",""))=3,LEFT(AQ474,vitri(".",AQ474,3)-1),LEN(AQ474)-LEN(SUBSTITUTE(AQ474,".",""))=2,LEFT(AQ474,vitri(".",AQ474,2)-1),TRUE,LEFT(AQ474,vitri(".",AQ474,1)-1))</f>
        <v/>
      </c>
    </row>
    <row r="475" spans="13:54" x14ac:dyDescent="0.25">
      <c r="M475" s="382"/>
      <c r="BB475" s="253" t="str">
        <f t="array" ref="BB475">_xlfn.IFS(AQ475="","",LEN(AQ475)-LEN(SUBSTITUTE(AQ475,".",""))=3,LEFT(AQ475,vitri(".",AQ475,3)-1),LEN(AQ475)-LEN(SUBSTITUTE(AQ475,".",""))=2,LEFT(AQ475,vitri(".",AQ475,2)-1),TRUE,LEFT(AQ475,vitri(".",AQ475,1)-1))</f>
        <v/>
      </c>
    </row>
    <row r="476" spans="13:54" x14ac:dyDescent="0.25">
      <c r="M476" s="382"/>
      <c r="BB476" s="253" t="str">
        <f t="array" ref="BB476">_xlfn.IFS(AQ476="","",LEN(AQ476)-LEN(SUBSTITUTE(AQ476,".",""))=3,LEFT(AQ476,vitri(".",AQ476,3)-1),LEN(AQ476)-LEN(SUBSTITUTE(AQ476,".",""))=2,LEFT(AQ476,vitri(".",AQ476,2)-1),TRUE,LEFT(AQ476,vitri(".",AQ476,1)-1))</f>
        <v/>
      </c>
    </row>
    <row r="477" spans="13:54" x14ac:dyDescent="0.25">
      <c r="M477" s="382"/>
      <c r="BB477" s="253" t="str">
        <f t="array" ref="BB477">_xlfn.IFS(AQ477="","",LEN(AQ477)-LEN(SUBSTITUTE(AQ477,".",""))=3,LEFT(AQ477,vitri(".",AQ477,3)-1),LEN(AQ477)-LEN(SUBSTITUTE(AQ477,".",""))=2,LEFT(AQ477,vitri(".",AQ477,2)-1),TRUE,LEFT(AQ477,vitri(".",AQ477,1)-1))</f>
        <v/>
      </c>
    </row>
    <row r="478" spans="13:54" x14ac:dyDescent="0.25">
      <c r="M478" s="382"/>
      <c r="BB478" s="253" t="str">
        <f t="array" ref="BB478">_xlfn.IFS(AQ478="","",LEN(AQ478)-LEN(SUBSTITUTE(AQ478,".",""))=3,LEFT(AQ478,vitri(".",AQ478,3)-1),LEN(AQ478)-LEN(SUBSTITUTE(AQ478,".",""))=2,LEFT(AQ478,vitri(".",AQ478,2)-1),TRUE,LEFT(AQ478,vitri(".",AQ478,1)-1))</f>
        <v/>
      </c>
    </row>
    <row r="479" spans="13:54" x14ac:dyDescent="0.25">
      <c r="M479" s="382"/>
      <c r="BB479" s="253" t="str">
        <f t="array" ref="BB479">_xlfn.IFS(AQ479="","",LEN(AQ479)-LEN(SUBSTITUTE(AQ479,".",""))=3,LEFT(AQ479,vitri(".",AQ479,3)-1),LEN(AQ479)-LEN(SUBSTITUTE(AQ479,".",""))=2,LEFT(AQ479,vitri(".",AQ479,2)-1),TRUE,LEFT(AQ479,vitri(".",AQ479,1)-1))</f>
        <v/>
      </c>
    </row>
    <row r="480" spans="13:54" x14ac:dyDescent="0.25">
      <c r="M480" s="382"/>
      <c r="BB480" s="253" t="str">
        <f t="array" ref="BB480">_xlfn.IFS(AQ480="","",LEN(AQ480)-LEN(SUBSTITUTE(AQ480,".",""))=3,LEFT(AQ480,vitri(".",AQ480,3)-1),LEN(AQ480)-LEN(SUBSTITUTE(AQ480,".",""))=2,LEFT(AQ480,vitri(".",AQ480,2)-1),TRUE,LEFT(AQ480,vitri(".",AQ480,1)-1))</f>
        <v/>
      </c>
    </row>
    <row r="481" spans="13:54" x14ac:dyDescent="0.25">
      <c r="M481" s="382"/>
      <c r="BB481" s="253" t="str">
        <f t="array" ref="BB481">_xlfn.IFS(AQ481="","",LEN(AQ481)-LEN(SUBSTITUTE(AQ481,".",""))=3,LEFT(AQ481,vitri(".",AQ481,3)-1),LEN(AQ481)-LEN(SUBSTITUTE(AQ481,".",""))=2,LEFT(AQ481,vitri(".",AQ481,2)-1),TRUE,LEFT(AQ481,vitri(".",AQ481,1)-1))</f>
        <v/>
      </c>
    </row>
    <row r="482" spans="13:54" x14ac:dyDescent="0.25">
      <c r="M482" s="382"/>
      <c r="BB482" s="253" t="str">
        <f t="array" ref="BB482">_xlfn.IFS(AQ482="","",LEN(AQ482)-LEN(SUBSTITUTE(AQ482,".",""))=3,LEFT(AQ482,vitri(".",AQ482,3)-1),LEN(AQ482)-LEN(SUBSTITUTE(AQ482,".",""))=2,LEFT(AQ482,vitri(".",AQ482,2)-1),TRUE,LEFT(AQ482,vitri(".",AQ482,1)-1))</f>
        <v/>
      </c>
    </row>
    <row r="483" spans="13:54" x14ac:dyDescent="0.25">
      <c r="M483" s="382"/>
      <c r="BB483" s="253" t="str">
        <f t="array" ref="BB483">_xlfn.IFS(AQ483="","",LEN(AQ483)-LEN(SUBSTITUTE(AQ483,".",""))=3,LEFT(AQ483,vitri(".",AQ483,3)-1),LEN(AQ483)-LEN(SUBSTITUTE(AQ483,".",""))=2,LEFT(AQ483,vitri(".",AQ483,2)-1),TRUE,LEFT(AQ483,vitri(".",AQ483,1)-1))</f>
        <v/>
      </c>
    </row>
    <row r="484" spans="13:54" x14ac:dyDescent="0.25">
      <c r="M484" s="382"/>
      <c r="BB484" s="253" t="str">
        <f t="array" ref="BB484">_xlfn.IFS(AQ484="","",LEN(AQ484)-LEN(SUBSTITUTE(AQ484,".",""))=3,LEFT(AQ484,vitri(".",AQ484,3)-1),LEN(AQ484)-LEN(SUBSTITUTE(AQ484,".",""))=2,LEFT(AQ484,vitri(".",AQ484,2)-1),TRUE,LEFT(AQ484,vitri(".",AQ484,1)-1))</f>
        <v/>
      </c>
    </row>
    <row r="485" spans="13:54" x14ac:dyDescent="0.25">
      <c r="M485" s="382"/>
      <c r="BB485" s="253" t="str">
        <f t="array" ref="BB485">_xlfn.IFS(AQ485="","",LEN(AQ485)-LEN(SUBSTITUTE(AQ485,".",""))=3,LEFT(AQ485,vitri(".",AQ485,3)-1),LEN(AQ485)-LEN(SUBSTITUTE(AQ485,".",""))=2,LEFT(AQ485,vitri(".",AQ485,2)-1),TRUE,LEFT(AQ485,vitri(".",AQ485,1)-1))</f>
        <v/>
      </c>
    </row>
    <row r="486" spans="13:54" x14ac:dyDescent="0.25">
      <c r="M486" s="382"/>
      <c r="BB486" s="253" t="str">
        <f t="array" ref="BB486">_xlfn.IFS(AQ486="","",LEN(AQ486)-LEN(SUBSTITUTE(AQ486,".",""))=3,LEFT(AQ486,vitri(".",AQ486,3)-1),LEN(AQ486)-LEN(SUBSTITUTE(AQ486,".",""))=2,LEFT(AQ486,vitri(".",AQ486,2)-1),TRUE,LEFT(AQ486,vitri(".",AQ486,1)-1))</f>
        <v/>
      </c>
    </row>
    <row r="487" spans="13:54" x14ac:dyDescent="0.25">
      <c r="M487" s="382"/>
      <c r="BB487" s="253" t="str">
        <f t="array" ref="BB487">_xlfn.IFS(AQ487="","",LEN(AQ487)-LEN(SUBSTITUTE(AQ487,".",""))=3,LEFT(AQ487,vitri(".",AQ487,3)-1),LEN(AQ487)-LEN(SUBSTITUTE(AQ487,".",""))=2,LEFT(AQ487,vitri(".",AQ487,2)-1),TRUE,LEFT(AQ487,vitri(".",AQ487,1)-1))</f>
        <v/>
      </c>
    </row>
    <row r="488" spans="13:54" x14ac:dyDescent="0.25">
      <c r="M488" s="382"/>
      <c r="BB488" s="253" t="str">
        <f t="array" ref="BB488">_xlfn.IFS(AQ488="","",LEN(AQ488)-LEN(SUBSTITUTE(AQ488,".",""))=3,LEFT(AQ488,vitri(".",AQ488,3)-1),LEN(AQ488)-LEN(SUBSTITUTE(AQ488,".",""))=2,LEFT(AQ488,vitri(".",AQ488,2)-1),TRUE,LEFT(AQ488,vitri(".",AQ488,1)-1))</f>
        <v/>
      </c>
    </row>
    <row r="489" spans="13:54" x14ac:dyDescent="0.25">
      <c r="M489" s="382"/>
      <c r="BB489" s="253" t="str">
        <f t="array" ref="BB489">_xlfn.IFS(AQ489="","",LEN(AQ489)-LEN(SUBSTITUTE(AQ489,".",""))=3,LEFT(AQ489,vitri(".",AQ489,3)-1),LEN(AQ489)-LEN(SUBSTITUTE(AQ489,".",""))=2,LEFT(AQ489,vitri(".",AQ489,2)-1),TRUE,LEFT(AQ489,vitri(".",AQ489,1)-1))</f>
        <v/>
      </c>
    </row>
    <row r="490" spans="13:54" x14ac:dyDescent="0.25">
      <c r="M490" s="382"/>
      <c r="BB490" s="253" t="str">
        <f t="array" ref="BB490">_xlfn.IFS(AQ490="","",LEN(AQ490)-LEN(SUBSTITUTE(AQ490,".",""))=3,LEFT(AQ490,vitri(".",AQ490,3)-1),LEN(AQ490)-LEN(SUBSTITUTE(AQ490,".",""))=2,LEFT(AQ490,vitri(".",AQ490,2)-1),TRUE,LEFT(AQ490,vitri(".",AQ490,1)-1))</f>
        <v/>
      </c>
    </row>
    <row r="491" spans="13:54" x14ac:dyDescent="0.25">
      <c r="M491" s="382"/>
      <c r="BB491" s="253" t="str">
        <f t="array" ref="BB491">_xlfn.IFS(AQ491="","",LEN(AQ491)-LEN(SUBSTITUTE(AQ491,".",""))=3,LEFT(AQ491,vitri(".",AQ491,3)-1),LEN(AQ491)-LEN(SUBSTITUTE(AQ491,".",""))=2,LEFT(AQ491,vitri(".",AQ491,2)-1),TRUE,LEFT(AQ491,vitri(".",AQ491,1)-1))</f>
        <v/>
      </c>
    </row>
    <row r="492" spans="13:54" x14ac:dyDescent="0.25">
      <c r="M492" s="382"/>
      <c r="BB492" s="253" t="str">
        <f t="array" ref="BB492">_xlfn.IFS(AQ492="","",LEN(AQ492)-LEN(SUBSTITUTE(AQ492,".",""))=3,LEFT(AQ492,vitri(".",AQ492,3)-1),LEN(AQ492)-LEN(SUBSTITUTE(AQ492,".",""))=2,LEFT(AQ492,vitri(".",AQ492,2)-1),TRUE,LEFT(AQ492,vitri(".",AQ492,1)-1))</f>
        <v/>
      </c>
    </row>
    <row r="493" spans="13:54" x14ac:dyDescent="0.25">
      <c r="M493" s="382"/>
      <c r="BB493" s="253" t="str">
        <f t="array" ref="BB493">_xlfn.IFS(AQ493="","",LEN(AQ493)-LEN(SUBSTITUTE(AQ493,".",""))=3,LEFT(AQ493,vitri(".",AQ493,3)-1),LEN(AQ493)-LEN(SUBSTITUTE(AQ493,".",""))=2,LEFT(AQ493,vitri(".",AQ493,2)-1),TRUE,LEFT(AQ493,vitri(".",AQ493,1)-1))</f>
        <v/>
      </c>
    </row>
    <row r="494" spans="13:54" x14ac:dyDescent="0.25">
      <c r="M494" s="382"/>
      <c r="BB494" s="253" t="str">
        <f t="array" ref="BB494">_xlfn.IFS(AQ494="","",LEN(AQ494)-LEN(SUBSTITUTE(AQ494,".",""))=3,LEFT(AQ494,vitri(".",AQ494,3)-1),LEN(AQ494)-LEN(SUBSTITUTE(AQ494,".",""))=2,LEFT(AQ494,vitri(".",AQ494,2)-1),TRUE,LEFT(AQ494,vitri(".",AQ494,1)-1))</f>
        <v/>
      </c>
    </row>
    <row r="495" spans="13:54" x14ac:dyDescent="0.25">
      <c r="M495" s="382"/>
      <c r="BB495" s="253" t="str">
        <f t="array" ref="BB495">_xlfn.IFS(AQ495="","",LEN(AQ495)-LEN(SUBSTITUTE(AQ495,".",""))=3,LEFT(AQ495,vitri(".",AQ495,3)-1),LEN(AQ495)-LEN(SUBSTITUTE(AQ495,".",""))=2,LEFT(AQ495,vitri(".",AQ495,2)-1),TRUE,LEFT(AQ495,vitri(".",AQ495,1)-1))</f>
        <v/>
      </c>
    </row>
    <row r="496" spans="13:54" x14ac:dyDescent="0.25">
      <c r="M496" s="382"/>
      <c r="BB496" s="253" t="str">
        <f t="array" ref="BB496">_xlfn.IFS(AQ496="","",LEN(AQ496)-LEN(SUBSTITUTE(AQ496,".",""))=3,LEFT(AQ496,vitri(".",AQ496,3)-1),LEN(AQ496)-LEN(SUBSTITUTE(AQ496,".",""))=2,LEFT(AQ496,vitri(".",AQ496,2)-1),TRUE,LEFT(AQ496,vitri(".",AQ496,1)-1))</f>
        <v/>
      </c>
    </row>
    <row r="497" spans="13:54" x14ac:dyDescent="0.25">
      <c r="M497" s="382"/>
      <c r="BB497" s="253" t="str">
        <f t="array" ref="BB497">_xlfn.IFS(AQ497="","",LEN(AQ497)-LEN(SUBSTITUTE(AQ497,".",""))=3,LEFT(AQ497,vitri(".",AQ497,3)-1),LEN(AQ497)-LEN(SUBSTITUTE(AQ497,".",""))=2,LEFT(AQ497,vitri(".",AQ497,2)-1),TRUE,LEFT(AQ497,vitri(".",AQ497,1)-1))</f>
        <v/>
      </c>
    </row>
    <row r="498" spans="13:54" x14ac:dyDescent="0.25">
      <c r="M498" s="382"/>
      <c r="BB498" s="253" t="str">
        <f t="array" ref="BB498">_xlfn.IFS(AQ498="","",LEN(AQ498)-LEN(SUBSTITUTE(AQ498,".",""))=3,LEFT(AQ498,vitri(".",AQ498,3)-1),LEN(AQ498)-LEN(SUBSTITUTE(AQ498,".",""))=2,LEFT(AQ498,vitri(".",AQ498,2)-1),TRUE,LEFT(AQ498,vitri(".",AQ498,1)-1))</f>
        <v/>
      </c>
    </row>
    <row r="499" spans="13:54" x14ac:dyDescent="0.25">
      <c r="M499" s="382"/>
      <c r="BB499" s="253" t="str">
        <f t="array" ref="BB499">_xlfn.IFS(AQ499="","",LEN(AQ499)-LEN(SUBSTITUTE(AQ499,".",""))=3,LEFT(AQ499,vitri(".",AQ499,3)-1),LEN(AQ499)-LEN(SUBSTITUTE(AQ499,".",""))=2,LEFT(AQ499,vitri(".",AQ499,2)-1),TRUE,LEFT(AQ499,vitri(".",AQ499,1)-1))</f>
        <v/>
      </c>
    </row>
    <row r="500" spans="13:54" x14ac:dyDescent="0.25">
      <c r="M500" s="382"/>
      <c r="BB500" s="253" t="str">
        <f t="array" ref="BB500">_xlfn.IFS(AQ500="","",LEN(AQ500)-LEN(SUBSTITUTE(AQ500,".",""))=3,LEFT(AQ500,vitri(".",AQ500,3)-1),LEN(AQ500)-LEN(SUBSTITUTE(AQ500,".",""))=2,LEFT(AQ500,vitri(".",AQ500,2)-1),TRUE,LEFT(AQ500,vitri(".",AQ500,1)-1))</f>
        <v/>
      </c>
    </row>
    <row r="501" spans="13:54" x14ac:dyDescent="0.25">
      <c r="M501" s="382"/>
      <c r="BB501" s="253" t="str">
        <f t="array" ref="BB501">_xlfn.IFS(AQ501="","",LEN(AQ501)-LEN(SUBSTITUTE(AQ501,".",""))=3,LEFT(AQ501,vitri(".",AQ501,3)-1),LEN(AQ501)-LEN(SUBSTITUTE(AQ501,".",""))=2,LEFT(AQ501,vitri(".",AQ501,2)-1),TRUE,LEFT(AQ501,vitri(".",AQ501,1)-1))</f>
        <v/>
      </c>
    </row>
    <row r="502" spans="13:54" x14ac:dyDescent="0.25">
      <c r="M502" s="382"/>
      <c r="BB502" s="253" t="str">
        <f t="array" ref="BB502">_xlfn.IFS(AQ502="","",LEN(AQ502)-LEN(SUBSTITUTE(AQ502,".",""))=3,LEFT(AQ502,vitri(".",AQ502,3)-1),LEN(AQ502)-LEN(SUBSTITUTE(AQ502,".",""))=2,LEFT(AQ502,vitri(".",AQ502,2)-1),TRUE,LEFT(AQ502,vitri(".",AQ502,1)-1))</f>
        <v/>
      </c>
    </row>
    <row r="503" spans="13:54" x14ac:dyDescent="0.25">
      <c r="M503" s="382"/>
      <c r="BB503" s="253" t="str">
        <f t="array" ref="BB503">_xlfn.IFS(AQ503="","",LEN(AQ503)-LEN(SUBSTITUTE(AQ503,".",""))=3,LEFT(AQ503,vitri(".",AQ503,3)-1),LEN(AQ503)-LEN(SUBSTITUTE(AQ503,".",""))=2,LEFT(AQ503,vitri(".",AQ503,2)-1),TRUE,LEFT(AQ503,vitri(".",AQ503,1)-1))</f>
        <v/>
      </c>
    </row>
    <row r="504" spans="13:54" x14ac:dyDescent="0.25">
      <c r="M504" s="382"/>
      <c r="BB504" s="253" t="str">
        <f t="array" ref="BB504">_xlfn.IFS(AQ504="","",LEN(AQ504)-LEN(SUBSTITUTE(AQ504,".",""))=3,LEFT(AQ504,vitri(".",AQ504,3)-1),LEN(AQ504)-LEN(SUBSTITUTE(AQ504,".",""))=2,LEFT(AQ504,vitri(".",AQ504,2)-1),TRUE,LEFT(AQ504,vitri(".",AQ504,1)-1))</f>
        <v/>
      </c>
    </row>
    <row r="505" spans="13:54" x14ac:dyDescent="0.25">
      <c r="M505" s="382"/>
      <c r="BB505" s="253" t="str">
        <f t="array" ref="BB505">_xlfn.IFS(AQ505="","",LEN(AQ505)-LEN(SUBSTITUTE(AQ505,".",""))=3,LEFT(AQ505,vitri(".",AQ505,3)-1),LEN(AQ505)-LEN(SUBSTITUTE(AQ505,".",""))=2,LEFT(AQ505,vitri(".",AQ505,2)-1),TRUE,LEFT(AQ505,vitri(".",AQ505,1)-1))</f>
        <v/>
      </c>
    </row>
    <row r="506" spans="13:54" x14ac:dyDescent="0.25">
      <c r="M506" s="382"/>
      <c r="BB506" s="253" t="str">
        <f t="array" ref="BB506">_xlfn.IFS(AQ506="","",LEN(AQ506)-LEN(SUBSTITUTE(AQ506,".",""))=3,LEFT(AQ506,vitri(".",AQ506,3)-1),LEN(AQ506)-LEN(SUBSTITUTE(AQ506,".",""))=2,LEFT(AQ506,vitri(".",AQ506,2)-1),TRUE,LEFT(AQ506,vitri(".",AQ506,1)-1))</f>
        <v/>
      </c>
    </row>
    <row r="507" spans="13:54" x14ac:dyDescent="0.25">
      <c r="M507" s="382"/>
      <c r="BB507" s="253" t="str">
        <f t="array" ref="BB507">_xlfn.IFS(AQ507="","",LEN(AQ507)-LEN(SUBSTITUTE(AQ507,".",""))=3,LEFT(AQ507,vitri(".",AQ507,3)-1),LEN(AQ507)-LEN(SUBSTITUTE(AQ507,".",""))=2,LEFT(AQ507,vitri(".",AQ507,2)-1),TRUE,LEFT(AQ507,vitri(".",AQ507,1)-1))</f>
        <v/>
      </c>
    </row>
    <row r="508" spans="13:54" x14ac:dyDescent="0.25">
      <c r="M508" s="382"/>
      <c r="BB508" s="253" t="str">
        <f t="array" ref="BB508">_xlfn.IFS(AQ508="","",LEN(AQ508)-LEN(SUBSTITUTE(AQ508,".",""))=3,LEFT(AQ508,vitri(".",AQ508,3)-1),LEN(AQ508)-LEN(SUBSTITUTE(AQ508,".",""))=2,LEFT(AQ508,vitri(".",AQ508,2)-1),TRUE,LEFT(AQ508,vitri(".",AQ508,1)-1))</f>
        <v/>
      </c>
    </row>
    <row r="509" spans="13:54" x14ac:dyDescent="0.25">
      <c r="M509" s="382"/>
      <c r="BB509" s="253" t="str">
        <f t="array" ref="BB509">_xlfn.IFS(AQ509="","",LEN(AQ509)-LEN(SUBSTITUTE(AQ509,".",""))=3,LEFT(AQ509,vitri(".",AQ509,3)-1),LEN(AQ509)-LEN(SUBSTITUTE(AQ509,".",""))=2,LEFT(AQ509,vitri(".",AQ509,2)-1),TRUE,LEFT(AQ509,vitri(".",AQ509,1)-1))</f>
        <v/>
      </c>
    </row>
    <row r="510" spans="13:54" x14ac:dyDescent="0.25">
      <c r="M510" s="382"/>
      <c r="BB510" s="253" t="str">
        <f t="array" ref="BB510">_xlfn.IFS(AQ510="","",LEN(AQ510)-LEN(SUBSTITUTE(AQ510,".",""))=3,LEFT(AQ510,vitri(".",AQ510,3)-1),LEN(AQ510)-LEN(SUBSTITUTE(AQ510,".",""))=2,LEFT(AQ510,vitri(".",AQ510,2)-1),TRUE,LEFT(AQ510,vitri(".",AQ510,1)-1))</f>
        <v/>
      </c>
    </row>
    <row r="511" spans="13:54" x14ac:dyDescent="0.25">
      <c r="M511" s="382"/>
      <c r="BB511" s="253" t="str">
        <f t="array" ref="BB511">_xlfn.IFS(AQ511="","",LEN(AQ511)-LEN(SUBSTITUTE(AQ511,".",""))=3,LEFT(AQ511,vitri(".",AQ511,3)-1),LEN(AQ511)-LEN(SUBSTITUTE(AQ511,".",""))=2,LEFT(AQ511,vitri(".",AQ511,2)-1),TRUE,LEFT(AQ511,vitri(".",AQ511,1)-1))</f>
        <v/>
      </c>
    </row>
    <row r="512" spans="13:54" x14ac:dyDescent="0.25">
      <c r="M512" s="382"/>
      <c r="BB512" s="253" t="str">
        <f t="array" ref="BB512">_xlfn.IFS(AQ512="","",LEN(AQ512)-LEN(SUBSTITUTE(AQ512,".",""))=3,LEFT(AQ512,vitri(".",AQ512,3)-1),LEN(AQ512)-LEN(SUBSTITUTE(AQ512,".",""))=2,LEFT(AQ512,vitri(".",AQ512,2)-1),TRUE,LEFT(AQ512,vitri(".",AQ512,1)-1))</f>
        <v/>
      </c>
    </row>
    <row r="513" spans="13:54" x14ac:dyDescent="0.25">
      <c r="M513" s="382"/>
      <c r="BB513" s="253" t="str">
        <f t="array" ref="BB513">_xlfn.IFS(AQ513="","",LEN(AQ513)-LEN(SUBSTITUTE(AQ513,".",""))=3,LEFT(AQ513,vitri(".",AQ513,3)-1),LEN(AQ513)-LEN(SUBSTITUTE(AQ513,".",""))=2,LEFT(AQ513,vitri(".",AQ513,2)-1),TRUE,LEFT(AQ513,vitri(".",AQ513,1)-1))</f>
        <v/>
      </c>
    </row>
    <row r="514" spans="13:54" x14ac:dyDescent="0.25">
      <c r="M514" s="382"/>
      <c r="BB514" s="253" t="str">
        <f t="array" ref="BB514">_xlfn.IFS(AQ514="","",LEN(AQ514)-LEN(SUBSTITUTE(AQ514,".",""))=3,LEFT(AQ514,vitri(".",AQ514,3)-1),LEN(AQ514)-LEN(SUBSTITUTE(AQ514,".",""))=2,LEFT(AQ514,vitri(".",AQ514,2)-1),TRUE,LEFT(AQ514,vitri(".",AQ514,1)-1))</f>
        <v/>
      </c>
    </row>
    <row r="515" spans="13:54" x14ac:dyDescent="0.25">
      <c r="M515" s="382"/>
      <c r="BB515" s="253" t="str">
        <f t="array" ref="BB515">_xlfn.IFS(AQ515="","",LEN(AQ515)-LEN(SUBSTITUTE(AQ515,".",""))=3,LEFT(AQ515,vitri(".",AQ515,3)-1),LEN(AQ515)-LEN(SUBSTITUTE(AQ515,".",""))=2,LEFT(AQ515,vitri(".",AQ515,2)-1),TRUE,LEFT(AQ515,vitri(".",AQ515,1)-1))</f>
        <v/>
      </c>
    </row>
    <row r="516" spans="13:54" x14ac:dyDescent="0.25">
      <c r="M516" s="382"/>
      <c r="BB516" s="253" t="str">
        <f t="array" ref="BB516">_xlfn.IFS(AQ516="","",LEN(AQ516)-LEN(SUBSTITUTE(AQ516,".",""))=3,LEFT(AQ516,vitri(".",AQ516,3)-1),LEN(AQ516)-LEN(SUBSTITUTE(AQ516,".",""))=2,LEFT(AQ516,vitri(".",AQ516,2)-1),TRUE,LEFT(AQ516,vitri(".",AQ516,1)-1))</f>
        <v/>
      </c>
    </row>
    <row r="517" spans="13:54" x14ac:dyDescent="0.25">
      <c r="M517" s="382"/>
      <c r="BB517" s="253" t="str">
        <f t="array" ref="BB517">_xlfn.IFS(AQ517="","",LEN(AQ517)-LEN(SUBSTITUTE(AQ517,".",""))=3,LEFT(AQ517,vitri(".",AQ517,3)-1),LEN(AQ517)-LEN(SUBSTITUTE(AQ517,".",""))=2,LEFT(AQ517,vitri(".",AQ517,2)-1),TRUE,LEFT(AQ517,vitri(".",AQ517,1)-1))</f>
        <v/>
      </c>
    </row>
    <row r="518" spans="13:54" x14ac:dyDescent="0.25">
      <c r="M518" s="382"/>
      <c r="BB518" s="253" t="str">
        <f t="array" ref="BB518">_xlfn.IFS(AQ518="","",LEN(AQ518)-LEN(SUBSTITUTE(AQ518,".",""))=3,LEFT(AQ518,vitri(".",AQ518,3)-1),LEN(AQ518)-LEN(SUBSTITUTE(AQ518,".",""))=2,LEFT(AQ518,vitri(".",AQ518,2)-1),TRUE,LEFT(AQ518,vitri(".",AQ518,1)-1))</f>
        <v/>
      </c>
    </row>
    <row r="519" spans="13:54" x14ac:dyDescent="0.25">
      <c r="M519" s="382"/>
      <c r="BB519" s="253" t="str">
        <f t="array" ref="BB519">_xlfn.IFS(AQ519="","",LEN(AQ519)-LEN(SUBSTITUTE(AQ519,".",""))=3,LEFT(AQ519,vitri(".",AQ519,3)-1),LEN(AQ519)-LEN(SUBSTITUTE(AQ519,".",""))=2,LEFT(AQ519,vitri(".",AQ519,2)-1),TRUE,LEFT(AQ519,vitri(".",AQ519,1)-1))</f>
        <v/>
      </c>
    </row>
    <row r="520" spans="13:54" x14ac:dyDescent="0.25">
      <c r="M520" s="382"/>
      <c r="BB520" s="253" t="str">
        <f t="array" ref="BB520">_xlfn.IFS(AQ520="","",LEN(AQ520)-LEN(SUBSTITUTE(AQ520,".",""))=3,LEFT(AQ520,vitri(".",AQ520,3)-1),LEN(AQ520)-LEN(SUBSTITUTE(AQ520,".",""))=2,LEFT(AQ520,vitri(".",AQ520,2)-1),TRUE,LEFT(AQ520,vitri(".",AQ520,1)-1))</f>
        <v/>
      </c>
    </row>
    <row r="521" spans="13:54" x14ac:dyDescent="0.25">
      <c r="M521" s="382"/>
      <c r="BB521" s="253" t="str">
        <f t="array" ref="BB521">_xlfn.IFS(AQ521="","",LEN(AQ521)-LEN(SUBSTITUTE(AQ521,".",""))=3,LEFT(AQ521,vitri(".",AQ521,3)-1),LEN(AQ521)-LEN(SUBSTITUTE(AQ521,".",""))=2,LEFT(AQ521,vitri(".",AQ521,2)-1),TRUE,LEFT(AQ521,vitri(".",AQ521,1)-1))</f>
        <v/>
      </c>
    </row>
    <row r="522" spans="13:54" x14ac:dyDescent="0.25">
      <c r="M522" s="382"/>
      <c r="BB522" s="253" t="str">
        <f t="array" ref="BB522">_xlfn.IFS(AQ522="","",LEN(AQ522)-LEN(SUBSTITUTE(AQ522,".",""))=3,LEFT(AQ522,vitri(".",AQ522,3)-1),LEN(AQ522)-LEN(SUBSTITUTE(AQ522,".",""))=2,LEFT(AQ522,vitri(".",AQ522,2)-1),TRUE,LEFT(AQ522,vitri(".",AQ522,1)-1))</f>
        <v/>
      </c>
    </row>
    <row r="523" spans="13:54" x14ac:dyDescent="0.25">
      <c r="M523" s="382"/>
      <c r="BB523" s="253" t="str">
        <f t="array" ref="BB523">_xlfn.IFS(AQ523="","",LEN(AQ523)-LEN(SUBSTITUTE(AQ523,".",""))=3,LEFT(AQ523,vitri(".",AQ523,3)-1),LEN(AQ523)-LEN(SUBSTITUTE(AQ523,".",""))=2,LEFT(AQ523,vitri(".",AQ523,2)-1),TRUE,LEFT(AQ523,vitri(".",AQ523,1)-1))</f>
        <v/>
      </c>
    </row>
    <row r="524" spans="13:54" x14ac:dyDescent="0.25">
      <c r="M524" s="382"/>
      <c r="BB524" s="253" t="str">
        <f t="array" ref="BB524">_xlfn.IFS(AQ524="","",LEN(AQ524)-LEN(SUBSTITUTE(AQ524,".",""))=3,LEFT(AQ524,vitri(".",AQ524,3)-1),LEN(AQ524)-LEN(SUBSTITUTE(AQ524,".",""))=2,LEFT(AQ524,vitri(".",AQ524,2)-1),TRUE,LEFT(AQ524,vitri(".",AQ524,1)-1))</f>
        <v/>
      </c>
    </row>
    <row r="525" spans="13:54" x14ac:dyDescent="0.25">
      <c r="M525" s="382"/>
      <c r="BB525" s="253" t="str">
        <f t="array" ref="BB525">_xlfn.IFS(AQ525="","",LEN(AQ525)-LEN(SUBSTITUTE(AQ525,".",""))=3,LEFT(AQ525,vitri(".",AQ525,3)-1),LEN(AQ525)-LEN(SUBSTITUTE(AQ525,".",""))=2,LEFT(AQ525,vitri(".",AQ525,2)-1),TRUE,LEFT(AQ525,vitri(".",AQ525,1)-1))</f>
        <v/>
      </c>
    </row>
    <row r="526" spans="13:54" x14ac:dyDescent="0.25">
      <c r="M526" s="382"/>
      <c r="BB526" s="253" t="str">
        <f t="array" ref="BB526">_xlfn.IFS(AQ526="","",LEN(AQ526)-LEN(SUBSTITUTE(AQ526,".",""))=3,LEFT(AQ526,vitri(".",AQ526,3)-1),LEN(AQ526)-LEN(SUBSTITUTE(AQ526,".",""))=2,LEFT(AQ526,vitri(".",AQ526,2)-1),TRUE,LEFT(AQ526,vitri(".",AQ526,1)-1))</f>
        <v/>
      </c>
    </row>
    <row r="527" spans="13:54" x14ac:dyDescent="0.25">
      <c r="M527" s="382"/>
      <c r="BB527" s="253" t="str">
        <f t="array" ref="BB527">_xlfn.IFS(AQ527="","",LEN(AQ527)-LEN(SUBSTITUTE(AQ527,".",""))=3,LEFT(AQ527,vitri(".",AQ527,3)-1),LEN(AQ527)-LEN(SUBSTITUTE(AQ527,".",""))=2,LEFT(AQ527,vitri(".",AQ527,2)-1),TRUE,LEFT(AQ527,vitri(".",AQ527,1)-1))</f>
        <v/>
      </c>
    </row>
    <row r="528" spans="13:54" x14ac:dyDescent="0.25">
      <c r="M528" s="382"/>
      <c r="BB528" s="253" t="str">
        <f t="array" ref="BB528">_xlfn.IFS(AQ528="","",LEN(AQ528)-LEN(SUBSTITUTE(AQ528,".",""))=3,LEFT(AQ528,vitri(".",AQ528,3)-1),LEN(AQ528)-LEN(SUBSTITUTE(AQ528,".",""))=2,LEFT(AQ528,vitri(".",AQ528,2)-1),TRUE,LEFT(AQ528,vitri(".",AQ528,1)-1))</f>
        <v/>
      </c>
    </row>
    <row r="529" spans="13:54" x14ac:dyDescent="0.25">
      <c r="M529" s="382"/>
      <c r="BB529" s="253" t="str">
        <f t="array" ref="BB529">_xlfn.IFS(AQ529="","",LEN(AQ529)-LEN(SUBSTITUTE(AQ529,".",""))=3,LEFT(AQ529,vitri(".",AQ529,3)-1),LEN(AQ529)-LEN(SUBSTITUTE(AQ529,".",""))=2,LEFT(AQ529,vitri(".",AQ529,2)-1),TRUE,LEFT(AQ529,vitri(".",AQ529,1)-1))</f>
        <v/>
      </c>
    </row>
    <row r="530" spans="13:54" x14ac:dyDescent="0.25">
      <c r="M530" s="382"/>
      <c r="BB530" s="253" t="str">
        <f t="array" ref="BB530">_xlfn.IFS(AQ530="","",LEN(AQ530)-LEN(SUBSTITUTE(AQ530,".",""))=3,LEFT(AQ530,vitri(".",AQ530,3)-1),LEN(AQ530)-LEN(SUBSTITUTE(AQ530,".",""))=2,LEFT(AQ530,vitri(".",AQ530,2)-1),TRUE,LEFT(AQ530,vitri(".",AQ530,1)-1))</f>
        <v/>
      </c>
    </row>
    <row r="531" spans="13:54" x14ac:dyDescent="0.25">
      <c r="M531" s="382"/>
      <c r="BB531" s="253" t="str">
        <f t="array" ref="BB531">_xlfn.IFS(AQ531="","",LEN(AQ531)-LEN(SUBSTITUTE(AQ531,".",""))=3,LEFT(AQ531,vitri(".",AQ531,3)-1),LEN(AQ531)-LEN(SUBSTITUTE(AQ531,".",""))=2,LEFT(AQ531,vitri(".",AQ531,2)-1),TRUE,LEFT(AQ531,vitri(".",AQ531,1)-1))</f>
        <v/>
      </c>
    </row>
    <row r="532" spans="13:54" x14ac:dyDescent="0.25">
      <c r="M532" s="382"/>
      <c r="BB532" s="253" t="str">
        <f t="array" ref="BB532">_xlfn.IFS(AQ532="","",LEN(AQ532)-LEN(SUBSTITUTE(AQ532,".",""))=3,LEFT(AQ532,vitri(".",AQ532,3)-1),LEN(AQ532)-LEN(SUBSTITUTE(AQ532,".",""))=2,LEFT(AQ532,vitri(".",AQ532,2)-1),TRUE,LEFT(AQ532,vitri(".",AQ532,1)-1))</f>
        <v/>
      </c>
    </row>
    <row r="533" spans="13:54" x14ac:dyDescent="0.25">
      <c r="M533" s="382"/>
      <c r="BB533" s="253" t="str">
        <f t="array" ref="BB533">_xlfn.IFS(AQ533="","",LEN(AQ533)-LEN(SUBSTITUTE(AQ533,".",""))=3,LEFT(AQ533,vitri(".",AQ533,3)-1),LEN(AQ533)-LEN(SUBSTITUTE(AQ533,".",""))=2,LEFT(AQ533,vitri(".",AQ533,2)-1),TRUE,LEFT(AQ533,vitri(".",AQ533,1)-1))</f>
        <v/>
      </c>
    </row>
    <row r="534" spans="13:54" x14ac:dyDescent="0.25">
      <c r="M534" s="382"/>
      <c r="BB534" s="253" t="str">
        <f t="array" ref="BB534">_xlfn.IFS(AQ534="","",LEN(AQ534)-LEN(SUBSTITUTE(AQ534,".",""))=3,LEFT(AQ534,vitri(".",AQ534,3)-1),LEN(AQ534)-LEN(SUBSTITUTE(AQ534,".",""))=2,LEFT(AQ534,vitri(".",AQ534,2)-1),TRUE,LEFT(AQ534,vitri(".",AQ534,1)-1))</f>
        <v/>
      </c>
    </row>
    <row r="535" spans="13:54" x14ac:dyDescent="0.25">
      <c r="M535" s="382"/>
      <c r="BB535" s="253" t="str">
        <f t="array" ref="BB535">_xlfn.IFS(AQ535="","",LEN(AQ535)-LEN(SUBSTITUTE(AQ535,".",""))=3,LEFT(AQ535,vitri(".",AQ535,3)-1),LEN(AQ535)-LEN(SUBSTITUTE(AQ535,".",""))=2,LEFT(AQ535,vitri(".",AQ535,2)-1),TRUE,LEFT(AQ535,vitri(".",AQ535,1)-1))</f>
        <v/>
      </c>
    </row>
    <row r="536" spans="13:54" x14ac:dyDescent="0.25">
      <c r="M536" s="382"/>
      <c r="BB536" s="253" t="str">
        <f t="array" ref="BB536">_xlfn.IFS(AQ536="","",LEN(AQ536)-LEN(SUBSTITUTE(AQ536,".",""))=3,LEFT(AQ536,vitri(".",AQ536,3)-1),LEN(AQ536)-LEN(SUBSTITUTE(AQ536,".",""))=2,LEFT(AQ536,vitri(".",AQ536,2)-1),TRUE,LEFT(AQ536,vitri(".",AQ536,1)-1))</f>
        <v/>
      </c>
    </row>
    <row r="537" spans="13:54" x14ac:dyDescent="0.25">
      <c r="M537" s="382"/>
      <c r="BB537" s="253" t="str">
        <f t="array" ref="BB537">_xlfn.IFS(AQ537="","",LEN(AQ537)-LEN(SUBSTITUTE(AQ537,".",""))=3,LEFT(AQ537,vitri(".",AQ537,3)-1),LEN(AQ537)-LEN(SUBSTITUTE(AQ537,".",""))=2,LEFT(AQ537,vitri(".",AQ537,2)-1),TRUE,LEFT(AQ537,vitri(".",AQ537,1)-1))</f>
        <v/>
      </c>
    </row>
    <row r="538" spans="13:54" x14ac:dyDescent="0.25">
      <c r="M538" s="382"/>
      <c r="BB538" s="253" t="str">
        <f t="array" ref="BB538">_xlfn.IFS(AQ538="","",LEN(AQ538)-LEN(SUBSTITUTE(AQ538,".",""))=3,LEFT(AQ538,vitri(".",AQ538,3)-1),LEN(AQ538)-LEN(SUBSTITUTE(AQ538,".",""))=2,LEFT(AQ538,vitri(".",AQ538,2)-1),TRUE,LEFT(AQ538,vitri(".",AQ538,1)-1))</f>
        <v/>
      </c>
    </row>
    <row r="539" spans="13:54" x14ac:dyDescent="0.25">
      <c r="M539" s="382"/>
      <c r="BB539" s="253" t="str">
        <f t="array" ref="BB539">_xlfn.IFS(AQ539="","",LEN(AQ539)-LEN(SUBSTITUTE(AQ539,".",""))=3,LEFT(AQ539,vitri(".",AQ539,3)-1),LEN(AQ539)-LEN(SUBSTITUTE(AQ539,".",""))=2,LEFT(AQ539,vitri(".",AQ539,2)-1),TRUE,LEFT(AQ539,vitri(".",AQ539,1)-1))</f>
        <v/>
      </c>
    </row>
    <row r="540" spans="13:54" x14ac:dyDescent="0.25">
      <c r="M540" s="382"/>
      <c r="BB540" s="253" t="str">
        <f t="array" ref="BB540">_xlfn.IFS(AQ540="","",LEN(AQ540)-LEN(SUBSTITUTE(AQ540,".",""))=3,LEFT(AQ540,vitri(".",AQ540,3)-1),LEN(AQ540)-LEN(SUBSTITUTE(AQ540,".",""))=2,LEFT(AQ540,vitri(".",AQ540,2)-1),TRUE,LEFT(AQ540,vitri(".",AQ540,1)-1))</f>
        <v/>
      </c>
    </row>
    <row r="541" spans="13:54" x14ac:dyDescent="0.25">
      <c r="M541" s="382"/>
      <c r="BB541" s="253" t="str">
        <f t="array" ref="BB541">_xlfn.IFS(AQ541="","",LEN(AQ541)-LEN(SUBSTITUTE(AQ541,".",""))=3,LEFT(AQ541,vitri(".",AQ541,3)-1),LEN(AQ541)-LEN(SUBSTITUTE(AQ541,".",""))=2,LEFT(AQ541,vitri(".",AQ541,2)-1),TRUE,LEFT(AQ541,vitri(".",AQ541,1)-1))</f>
        <v/>
      </c>
    </row>
    <row r="542" spans="13:54" x14ac:dyDescent="0.25">
      <c r="M542" s="382"/>
      <c r="BB542" s="253" t="str">
        <f t="array" ref="BB542">_xlfn.IFS(AQ542="","",LEN(AQ542)-LEN(SUBSTITUTE(AQ542,".",""))=3,LEFT(AQ542,vitri(".",AQ542,3)-1),LEN(AQ542)-LEN(SUBSTITUTE(AQ542,".",""))=2,LEFT(AQ542,vitri(".",AQ542,2)-1),TRUE,LEFT(AQ542,vitri(".",AQ542,1)-1))</f>
        <v/>
      </c>
    </row>
    <row r="543" spans="13:54" x14ac:dyDescent="0.25">
      <c r="M543" s="382"/>
      <c r="BB543" s="253" t="str">
        <f t="array" ref="BB543">_xlfn.IFS(AQ543="","",LEN(AQ543)-LEN(SUBSTITUTE(AQ543,".",""))=3,LEFT(AQ543,vitri(".",AQ543,3)-1),LEN(AQ543)-LEN(SUBSTITUTE(AQ543,".",""))=2,LEFT(AQ543,vitri(".",AQ543,2)-1),TRUE,LEFT(AQ543,vitri(".",AQ543,1)-1))</f>
        <v/>
      </c>
    </row>
    <row r="544" spans="13:54" x14ac:dyDescent="0.25">
      <c r="M544" s="382"/>
      <c r="BB544" s="253" t="str">
        <f t="array" ref="BB544">_xlfn.IFS(AQ544="","",LEN(AQ544)-LEN(SUBSTITUTE(AQ544,".",""))=3,LEFT(AQ544,vitri(".",AQ544,3)-1),LEN(AQ544)-LEN(SUBSTITUTE(AQ544,".",""))=2,LEFT(AQ544,vitri(".",AQ544,2)-1),TRUE,LEFT(AQ544,vitri(".",AQ544,1)-1))</f>
        <v/>
      </c>
    </row>
    <row r="545" spans="13:54" x14ac:dyDescent="0.25">
      <c r="M545" s="382"/>
      <c r="BB545" s="253" t="str">
        <f t="array" ref="BB545">_xlfn.IFS(AQ545="","",LEN(AQ545)-LEN(SUBSTITUTE(AQ545,".",""))=3,LEFT(AQ545,vitri(".",AQ545,3)-1),LEN(AQ545)-LEN(SUBSTITUTE(AQ545,".",""))=2,LEFT(AQ545,vitri(".",AQ545,2)-1),TRUE,LEFT(AQ545,vitri(".",AQ545,1)-1))</f>
        <v/>
      </c>
    </row>
    <row r="546" spans="13:54" x14ac:dyDescent="0.25">
      <c r="M546" s="382"/>
      <c r="BB546" s="253" t="str">
        <f t="array" ref="BB546">_xlfn.IFS(AQ546="","",LEN(AQ546)-LEN(SUBSTITUTE(AQ546,".",""))=3,LEFT(AQ546,vitri(".",AQ546,3)-1),LEN(AQ546)-LEN(SUBSTITUTE(AQ546,".",""))=2,LEFT(AQ546,vitri(".",AQ546,2)-1),TRUE,LEFT(AQ546,vitri(".",AQ546,1)-1))</f>
        <v/>
      </c>
    </row>
    <row r="547" spans="13:54" x14ac:dyDescent="0.25">
      <c r="M547" s="382"/>
      <c r="BB547" s="253" t="str">
        <f t="array" ref="BB547">_xlfn.IFS(AQ547="","",LEN(AQ547)-LEN(SUBSTITUTE(AQ547,".",""))=3,LEFT(AQ547,vitri(".",AQ547,3)-1),LEN(AQ547)-LEN(SUBSTITUTE(AQ547,".",""))=2,LEFT(AQ547,vitri(".",AQ547,2)-1),TRUE,LEFT(AQ547,vitri(".",AQ547,1)-1))</f>
        <v/>
      </c>
    </row>
    <row r="548" spans="13:54" x14ac:dyDescent="0.25">
      <c r="M548" s="382"/>
      <c r="BB548" s="253" t="str">
        <f t="array" ref="BB548">_xlfn.IFS(AQ548="","",LEN(AQ548)-LEN(SUBSTITUTE(AQ548,".",""))=3,LEFT(AQ548,vitri(".",AQ548,3)-1),LEN(AQ548)-LEN(SUBSTITUTE(AQ548,".",""))=2,LEFT(AQ548,vitri(".",AQ548,2)-1),TRUE,LEFT(AQ548,vitri(".",AQ548,1)-1))</f>
        <v/>
      </c>
    </row>
    <row r="549" spans="13:54" x14ac:dyDescent="0.25">
      <c r="M549" s="382"/>
      <c r="BB549" s="253" t="str">
        <f t="array" ref="BB549">_xlfn.IFS(AQ549="","",LEN(AQ549)-LEN(SUBSTITUTE(AQ549,".",""))=3,LEFT(AQ549,vitri(".",AQ549,3)-1),LEN(AQ549)-LEN(SUBSTITUTE(AQ549,".",""))=2,LEFT(AQ549,vitri(".",AQ549,2)-1),TRUE,LEFT(AQ549,vitri(".",AQ549,1)-1))</f>
        <v/>
      </c>
    </row>
    <row r="550" spans="13:54" x14ac:dyDescent="0.25">
      <c r="M550" s="382"/>
      <c r="BB550" s="253" t="str">
        <f t="array" ref="BB550">_xlfn.IFS(AQ550="","",LEN(AQ550)-LEN(SUBSTITUTE(AQ550,".",""))=3,LEFT(AQ550,vitri(".",AQ550,3)-1),LEN(AQ550)-LEN(SUBSTITUTE(AQ550,".",""))=2,LEFT(AQ550,vitri(".",AQ550,2)-1),TRUE,LEFT(AQ550,vitri(".",AQ550,1)-1))</f>
        <v/>
      </c>
    </row>
    <row r="551" spans="13:54" x14ac:dyDescent="0.25">
      <c r="M551" s="382"/>
      <c r="BB551" s="253" t="str">
        <f t="array" ref="BB551">_xlfn.IFS(AQ551="","",LEN(AQ551)-LEN(SUBSTITUTE(AQ551,".",""))=3,LEFT(AQ551,vitri(".",AQ551,3)-1),LEN(AQ551)-LEN(SUBSTITUTE(AQ551,".",""))=2,LEFT(AQ551,vitri(".",AQ551,2)-1),TRUE,LEFT(AQ551,vitri(".",AQ551,1)-1))</f>
        <v/>
      </c>
    </row>
    <row r="552" spans="13:54" x14ac:dyDescent="0.25">
      <c r="M552" s="382"/>
      <c r="BB552" s="253" t="str">
        <f t="array" ref="BB552">_xlfn.IFS(AQ552="","",LEN(AQ552)-LEN(SUBSTITUTE(AQ552,".",""))=3,LEFT(AQ552,vitri(".",AQ552,3)-1),LEN(AQ552)-LEN(SUBSTITUTE(AQ552,".",""))=2,LEFT(AQ552,vitri(".",AQ552,2)-1),TRUE,LEFT(AQ552,vitri(".",AQ552,1)-1))</f>
        <v/>
      </c>
    </row>
    <row r="553" spans="13:54" x14ac:dyDescent="0.25">
      <c r="M553" s="382"/>
      <c r="BB553" s="253" t="str">
        <f t="array" ref="BB553">_xlfn.IFS(AQ553="","",LEN(AQ553)-LEN(SUBSTITUTE(AQ553,".",""))=3,LEFT(AQ553,vitri(".",AQ553,3)-1),LEN(AQ553)-LEN(SUBSTITUTE(AQ553,".",""))=2,LEFT(AQ553,vitri(".",AQ553,2)-1),TRUE,LEFT(AQ553,vitri(".",AQ553,1)-1))</f>
        <v/>
      </c>
    </row>
    <row r="554" spans="13:54" x14ac:dyDescent="0.25">
      <c r="M554" s="382"/>
      <c r="BB554" s="253" t="str">
        <f t="array" ref="BB554">_xlfn.IFS(AQ554="","",LEN(AQ554)-LEN(SUBSTITUTE(AQ554,".",""))=3,LEFT(AQ554,vitri(".",AQ554,3)-1),LEN(AQ554)-LEN(SUBSTITUTE(AQ554,".",""))=2,LEFT(AQ554,vitri(".",AQ554,2)-1),TRUE,LEFT(AQ554,vitri(".",AQ554,1)-1))</f>
        <v/>
      </c>
    </row>
    <row r="555" spans="13:54" x14ac:dyDescent="0.25">
      <c r="M555" s="382"/>
      <c r="BB555" s="253" t="str">
        <f t="array" ref="BB555">_xlfn.IFS(AQ555="","",LEN(AQ555)-LEN(SUBSTITUTE(AQ555,".",""))=3,LEFT(AQ555,vitri(".",AQ555,3)-1),LEN(AQ555)-LEN(SUBSTITUTE(AQ555,".",""))=2,LEFT(AQ555,vitri(".",AQ555,2)-1),TRUE,LEFT(AQ555,vitri(".",AQ555,1)-1))</f>
        <v/>
      </c>
    </row>
    <row r="556" spans="13:54" x14ac:dyDescent="0.25">
      <c r="M556" s="382"/>
      <c r="BB556" s="253" t="str">
        <f t="array" ref="BB556">_xlfn.IFS(AQ556="","",LEN(AQ556)-LEN(SUBSTITUTE(AQ556,".",""))=3,LEFT(AQ556,vitri(".",AQ556,3)-1),LEN(AQ556)-LEN(SUBSTITUTE(AQ556,".",""))=2,LEFT(AQ556,vitri(".",AQ556,2)-1),TRUE,LEFT(AQ556,vitri(".",AQ556,1)-1))</f>
        <v/>
      </c>
    </row>
    <row r="557" spans="13:54" x14ac:dyDescent="0.25">
      <c r="M557" s="382"/>
      <c r="BB557" s="253" t="str">
        <f t="array" ref="BB557">_xlfn.IFS(AQ557="","",LEN(AQ557)-LEN(SUBSTITUTE(AQ557,".",""))=3,LEFT(AQ557,vitri(".",AQ557,3)-1),LEN(AQ557)-LEN(SUBSTITUTE(AQ557,".",""))=2,LEFT(AQ557,vitri(".",AQ557,2)-1),TRUE,LEFT(AQ557,vitri(".",AQ557,1)-1))</f>
        <v/>
      </c>
    </row>
    <row r="558" spans="13:54" x14ac:dyDescent="0.25">
      <c r="M558" s="382"/>
      <c r="BB558" s="253" t="str">
        <f t="array" ref="BB558">_xlfn.IFS(AQ558="","",LEN(AQ558)-LEN(SUBSTITUTE(AQ558,".",""))=3,LEFT(AQ558,vitri(".",AQ558,3)-1),LEN(AQ558)-LEN(SUBSTITUTE(AQ558,".",""))=2,LEFT(AQ558,vitri(".",AQ558,2)-1),TRUE,LEFT(AQ558,vitri(".",AQ558,1)-1))</f>
        <v/>
      </c>
    </row>
    <row r="559" spans="13:54" x14ac:dyDescent="0.25">
      <c r="M559" s="382"/>
      <c r="BB559" s="253" t="str">
        <f t="array" ref="BB559">_xlfn.IFS(AQ559="","",LEN(AQ559)-LEN(SUBSTITUTE(AQ559,".",""))=3,LEFT(AQ559,vitri(".",AQ559,3)-1),LEN(AQ559)-LEN(SUBSTITUTE(AQ559,".",""))=2,LEFT(AQ559,vitri(".",AQ559,2)-1),TRUE,LEFT(AQ559,vitri(".",AQ559,1)-1))</f>
        <v/>
      </c>
    </row>
    <row r="560" spans="13:54" x14ac:dyDescent="0.25">
      <c r="M560" s="382"/>
      <c r="BB560" s="253" t="str">
        <f t="array" ref="BB560">_xlfn.IFS(AQ560="","",LEN(AQ560)-LEN(SUBSTITUTE(AQ560,".",""))=3,LEFT(AQ560,vitri(".",AQ560,3)-1),LEN(AQ560)-LEN(SUBSTITUTE(AQ560,".",""))=2,LEFT(AQ560,vitri(".",AQ560,2)-1),TRUE,LEFT(AQ560,vitri(".",AQ560,1)-1))</f>
        <v/>
      </c>
    </row>
    <row r="561" spans="13:54" x14ac:dyDescent="0.25">
      <c r="M561" s="382"/>
      <c r="BB561" s="253" t="str">
        <f t="array" ref="BB561">_xlfn.IFS(AQ561="","",LEN(AQ561)-LEN(SUBSTITUTE(AQ561,".",""))=3,LEFT(AQ561,vitri(".",AQ561,3)-1),LEN(AQ561)-LEN(SUBSTITUTE(AQ561,".",""))=2,LEFT(AQ561,vitri(".",AQ561,2)-1),TRUE,LEFT(AQ561,vitri(".",AQ561,1)-1))</f>
        <v/>
      </c>
    </row>
    <row r="562" spans="13:54" x14ac:dyDescent="0.25">
      <c r="M562" s="382"/>
      <c r="BB562" s="253" t="str">
        <f t="array" ref="BB562">_xlfn.IFS(AQ562="","",LEN(AQ562)-LEN(SUBSTITUTE(AQ562,".",""))=3,LEFT(AQ562,vitri(".",AQ562,3)-1),LEN(AQ562)-LEN(SUBSTITUTE(AQ562,".",""))=2,LEFT(AQ562,vitri(".",AQ562,2)-1),TRUE,LEFT(AQ562,vitri(".",AQ562,1)-1))</f>
        <v/>
      </c>
    </row>
    <row r="563" spans="13:54" x14ac:dyDescent="0.25">
      <c r="M563" s="382"/>
      <c r="BB563" s="253" t="str">
        <f t="array" ref="BB563">_xlfn.IFS(AQ563="","",LEN(AQ563)-LEN(SUBSTITUTE(AQ563,".",""))=3,LEFT(AQ563,vitri(".",AQ563,3)-1),LEN(AQ563)-LEN(SUBSTITUTE(AQ563,".",""))=2,LEFT(AQ563,vitri(".",AQ563,2)-1),TRUE,LEFT(AQ563,vitri(".",AQ563,1)-1))</f>
        <v/>
      </c>
    </row>
    <row r="564" spans="13:54" x14ac:dyDescent="0.25">
      <c r="M564" s="382"/>
      <c r="BB564" s="253" t="str">
        <f t="array" ref="BB564">_xlfn.IFS(AQ564="","",LEN(AQ564)-LEN(SUBSTITUTE(AQ564,".",""))=3,LEFT(AQ564,vitri(".",AQ564,3)-1),LEN(AQ564)-LEN(SUBSTITUTE(AQ564,".",""))=2,LEFT(AQ564,vitri(".",AQ564,2)-1),TRUE,LEFT(AQ564,vitri(".",AQ564,1)-1))</f>
        <v/>
      </c>
    </row>
    <row r="565" spans="13:54" x14ac:dyDescent="0.25">
      <c r="M565" s="382"/>
      <c r="BB565" s="253" t="str">
        <f t="array" ref="BB565">_xlfn.IFS(AQ565="","",LEN(AQ565)-LEN(SUBSTITUTE(AQ565,".",""))=3,LEFT(AQ565,vitri(".",AQ565,3)-1),LEN(AQ565)-LEN(SUBSTITUTE(AQ565,".",""))=2,LEFT(AQ565,vitri(".",AQ565,2)-1),TRUE,LEFT(AQ565,vitri(".",AQ565,1)-1))</f>
        <v/>
      </c>
    </row>
    <row r="566" spans="13:54" x14ac:dyDescent="0.25">
      <c r="M566" s="382"/>
      <c r="BB566" s="253" t="str">
        <f t="array" ref="BB566">_xlfn.IFS(AQ566="","",LEN(AQ566)-LEN(SUBSTITUTE(AQ566,".",""))=3,LEFT(AQ566,vitri(".",AQ566,3)-1),LEN(AQ566)-LEN(SUBSTITUTE(AQ566,".",""))=2,LEFT(AQ566,vitri(".",AQ566,2)-1),TRUE,LEFT(AQ566,vitri(".",AQ566,1)-1))</f>
        <v/>
      </c>
    </row>
    <row r="567" spans="13:54" x14ac:dyDescent="0.25">
      <c r="M567" s="382"/>
      <c r="BB567" s="253" t="str">
        <f t="array" ref="BB567">_xlfn.IFS(AQ567="","",LEN(AQ567)-LEN(SUBSTITUTE(AQ567,".",""))=3,LEFT(AQ567,vitri(".",AQ567,3)-1),LEN(AQ567)-LEN(SUBSTITUTE(AQ567,".",""))=2,LEFT(AQ567,vitri(".",AQ567,2)-1),TRUE,LEFT(AQ567,vitri(".",AQ567,1)-1))</f>
        <v/>
      </c>
    </row>
    <row r="568" spans="13:54" x14ac:dyDescent="0.25">
      <c r="M568" s="382"/>
      <c r="BB568" s="253" t="str">
        <f t="array" ref="BB568">_xlfn.IFS(AQ568="","",LEN(AQ568)-LEN(SUBSTITUTE(AQ568,".",""))=3,LEFT(AQ568,vitri(".",AQ568,3)-1),LEN(AQ568)-LEN(SUBSTITUTE(AQ568,".",""))=2,LEFT(AQ568,vitri(".",AQ568,2)-1),TRUE,LEFT(AQ568,vitri(".",AQ568,1)-1))</f>
        <v/>
      </c>
    </row>
    <row r="569" spans="13:54" x14ac:dyDescent="0.25">
      <c r="M569" s="382"/>
      <c r="BB569" s="253" t="str">
        <f t="array" ref="BB569">_xlfn.IFS(AQ569="","",LEN(AQ569)-LEN(SUBSTITUTE(AQ569,".",""))=3,LEFT(AQ569,vitri(".",AQ569,3)-1),LEN(AQ569)-LEN(SUBSTITUTE(AQ569,".",""))=2,LEFT(AQ569,vitri(".",AQ569,2)-1),TRUE,LEFT(AQ569,vitri(".",AQ569,1)-1))</f>
        <v/>
      </c>
    </row>
    <row r="570" spans="13:54" x14ac:dyDescent="0.25">
      <c r="M570" s="382"/>
      <c r="BB570" s="253" t="str">
        <f t="array" ref="BB570">_xlfn.IFS(AQ570="","",LEN(AQ570)-LEN(SUBSTITUTE(AQ570,".",""))=3,LEFT(AQ570,vitri(".",AQ570,3)-1),LEN(AQ570)-LEN(SUBSTITUTE(AQ570,".",""))=2,LEFT(AQ570,vitri(".",AQ570,2)-1),TRUE,LEFT(AQ570,vitri(".",AQ570,1)-1))</f>
        <v/>
      </c>
    </row>
    <row r="571" spans="13:54" x14ac:dyDescent="0.25">
      <c r="M571" s="382"/>
      <c r="BB571" s="253" t="str">
        <f t="array" ref="BB571">_xlfn.IFS(AQ571="","",LEN(AQ571)-LEN(SUBSTITUTE(AQ571,".",""))=3,LEFT(AQ571,vitri(".",AQ571,3)-1),LEN(AQ571)-LEN(SUBSTITUTE(AQ571,".",""))=2,LEFT(AQ571,vitri(".",AQ571,2)-1),TRUE,LEFT(AQ571,vitri(".",AQ571,1)-1))</f>
        <v/>
      </c>
    </row>
    <row r="572" spans="13:54" x14ac:dyDescent="0.25">
      <c r="M572" s="382"/>
      <c r="BB572" s="253" t="str">
        <f t="array" ref="BB572">_xlfn.IFS(AQ572="","",LEN(AQ572)-LEN(SUBSTITUTE(AQ572,".",""))=3,LEFT(AQ572,vitri(".",AQ572,3)-1),LEN(AQ572)-LEN(SUBSTITUTE(AQ572,".",""))=2,LEFT(AQ572,vitri(".",AQ572,2)-1),TRUE,LEFT(AQ572,vitri(".",AQ572,1)-1))</f>
        <v/>
      </c>
    </row>
    <row r="573" spans="13:54" x14ac:dyDescent="0.25">
      <c r="M573" s="382"/>
      <c r="BB573" s="253" t="str">
        <f t="array" ref="BB573">_xlfn.IFS(AQ573="","",LEN(AQ573)-LEN(SUBSTITUTE(AQ573,".",""))=3,LEFT(AQ573,vitri(".",AQ573,3)-1),LEN(AQ573)-LEN(SUBSTITUTE(AQ573,".",""))=2,LEFT(AQ573,vitri(".",AQ573,2)-1),TRUE,LEFT(AQ573,vitri(".",AQ573,1)-1))</f>
        <v/>
      </c>
    </row>
    <row r="574" spans="13:54" x14ac:dyDescent="0.25">
      <c r="M574" s="382"/>
      <c r="BB574" s="253" t="str">
        <f t="array" ref="BB574">_xlfn.IFS(AQ574="","",LEN(AQ574)-LEN(SUBSTITUTE(AQ574,".",""))=3,LEFT(AQ574,vitri(".",AQ574,3)-1),LEN(AQ574)-LEN(SUBSTITUTE(AQ574,".",""))=2,LEFT(AQ574,vitri(".",AQ574,2)-1),TRUE,LEFT(AQ574,vitri(".",AQ574,1)-1))</f>
        <v/>
      </c>
    </row>
    <row r="575" spans="13:54" x14ac:dyDescent="0.25">
      <c r="M575" s="382"/>
      <c r="BB575" s="253" t="str">
        <f t="array" ref="BB575">_xlfn.IFS(AQ575="","",LEN(AQ575)-LEN(SUBSTITUTE(AQ575,".",""))=3,LEFT(AQ575,vitri(".",AQ575,3)-1),LEN(AQ575)-LEN(SUBSTITUTE(AQ575,".",""))=2,LEFT(AQ575,vitri(".",AQ575,2)-1),TRUE,LEFT(AQ575,vitri(".",AQ575,1)-1))</f>
        <v/>
      </c>
    </row>
    <row r="576" spans="13:54" x14ac:dyDescent="0.25">
      <c r="M576" s="382"/>
      <c r="BB576" s="253" t="str">
        <f t="array" ref="BB576">_xlfn.IFS(AQ576="","",LEN(AQ576)-LEN(SUBSTITUTE(AQ576,".",""))=3,LEFT(AQ576,vitri(".",AQ576,3)-1),LEN(AQ576)-LEN(SUBSTITUTE(AQ576,".",""))=2,LEFT(AQ576,vitri(".",AQ576,2)-1),TRUE,LEFT(AQ576,vitri(".",AQ576,1)-1))</f>
        <v/>
      </c>
    </row>
    <row r="577" spans="13:54" x14ac:dyDescent="0.25">
      <c r="M577" s="382"/>
      <c r="BB577" s="253" t="str">
        <f t="array" ref="BB577">_xlfn.IFS(AQ577="","",LEN(AQ577)-LEN(SUBSTITUTE(AQ577,".",""))=3,LEFT(AQ577,vitri(".",AQ577,3)-1),LEN(AQ577)-LEN(SUBSTITUTE(AQ577,".",""))=2,LEFT(AQ577,vitri(".",AQ577,2)-1),TRUE,LEFT(AQ577,vitri(".",AQ577,1)-1))</f>
        <v/>
      </c>
    </row>
    <row r="578" spans="13:54" x14ac:dyDescent="0.25">
      <c r="M578" s="382"/>
      <c r="BB578" s="253" t="str">
        <f t="array" ref="BB578">_xlfn.IFS(AQ578="","",LEN(AQ578)-LEN(SUBSTITUTE(AQ578,".",""))=3,LEFT(AQ578,vitri(".",AQ578,3)-1),LEN(AQ578)-LEN(SUBSTITUTE(AQ578,".",""))=2,LEFT(AQ578,vitri(".",AQ578,2)-1),TRUE,LEFT(AQ578,vitri(".",AQ578,1)-1))</f>
        <v/>
      </c>
    </row>
    <row r="579" spans="13:54" x14ac:dyDescent="0.25">
      <c r="M579" s="382"/>
      <c r="BB579" s="253" t="str">
        <f t="array" ref="BB579">_xlfn.IFS(AQ579="","",LEN(AQ579)-LEN(SUBSTITUTE(AQ579,".",""))=3,LEFT(AQ579,vitri(".",AQ579,3)-1),LEN(AQ579)-LEN(SUBSTITUTE(AQ579,".",""))=2,LEFT(AQ579,vitri(".",AQ579,2)-1),TRUE,LEFT(AQ579,vitri(".",AQ579,1)-1))</f>
        <v/>
      </c>
    </row>
    <row r="580" spans="13:54" x14ac:dyDescent="0.25">
      <c r="M580" s="382"/>
      <c r="BB580" s="253" t="str">
        <f t="array" ref="BB580">_xlfn.IFS(AQ580="","",LEN(AQ580)-LEN(SUBSTITUTE(AQ580,".",""))=3,LEFT(AQ580,vitri(".",AQ580,3)-1),LEN(AQ580)-LEN(SUBSTITUTE(AQ580,".",""))=2,LEFT(AQ580,vitri(".",AQ580,2)-1),TRUE,LEFT(AQ580,vitri(".",AQ580,1)-1))</f>
        <v/>
      </c>
    </row>
    <row r="581" spans="13:54" x14ac:dyDescent="0.25">
      <c r="M581" s="382"/>
      <c r="BB581" s="253" t="str">
        <f t="array" ref="BB581">_xlfn.IFS(AQ581="","",LEN(AQ581)-LEN(SUBSTITUTE(AQ581,".",""))=3,LEFT(AQ581,vitri(".",AQ581,3)-1),LEN(AQ581)-LEN(SUBSTITUTE(AQ581,".",""))=2,LEFT(AQ581,vitri(".",AQ581,2)-1),TRUE,LEFT(AQ581,vitri(".",AQ581,1)-1))</f>
        <v/>
      </c>
    </row>
    <row r="582" spans="13:54" x14ac:dyDescent="0.25">
      <c r="M582" s="382"/>
      <c r="BB582" s="253" t="str">
        <f t="array" ref="BB582">_xlfn.IFS(AQ582="","",LEN(AQ582)-LEN(SUBSTITUTE(AQ582,".",""))=3,LEFT(AQ582,vitri(".",AQ582,3)-1),LEN(AQ582)-LEN(SUBSTITUTE(AQ582,".",""))=2,LEFT(AQ582,vitri(".",AQ582,2)-1),TRUE,LEFT(AQ582,vitri(".",AQ582,1)-1))</f>
        <v/>
      </c>
    </row>
    <row r="583" spans="13:54" x14ac:dyDescent="0.25">
      <c r="M583" s="382"/>
      <c r="BB583" s="253" t="str">
        <f t="array" ref="BB583">_xlfn.IFS(AQ583="","",LEN(AQ583)-LEN(SUBSTITUTE(AQ583,".",""))=3,LEFT(AQ583,vitri(".",AQ583,3)-1),LEN(AQ583)-LEN(SUBSTITUTE(AQ583,".",""))=2,LEFT(AQ583,vitri(".",AQ583,2)-1),TRUE,LEFT(AQ583,vitri(".",AQ583,1)-1))</f>
        <v/>
      </c>
    </row>
    <row r="584" spans="13:54" x14ac:dyDescent="0.25">
      <c r="M584" s="382"/>
      <c r="BB584" s="253" t="str">
        <f t="array" ref="BB584">_xlfn.IFS(AQ584="","",LEN(AQ584)-LEN(SUBSTITUTE(AQ584,".",""))=3,LEFT(AQ584,vitri(".",AQ584,3)-1),LEN(AQ584)-LEN(SUBSTITUTE(AQ584,".",""))=2,LEFT(AQ584,vitri(".",AQ584,2)-1),TRUE,LEFT(AQ584,vitri(".",AQ584,1)-1))</f>
        <v/>
      </c>
    </row>
    <row r="585" spans="13:54" x14ac:dyDescent="0.25">
      <c r="M585" s="382"/>
      <c r="BB585" s="253" t="str">
        <f t="array" ref="BB585">_xlfn.IFS(AQ585="","",LEN(AQ585)-LEN(SUBSTITUTE(AQ585,".",""))=3,LEFT(AQ585,vitri(".",AQ585,3)-1),LEN(AQ585)-LEN(SUBSTITUTE(AQ585,".",""))=2,LEFT(AQ585,vitri(".",AQ585,2)-1),TRUE,LEFT(AQ585,vitri(".",AQ585,1)-1))</f>
        <v/>
      </c>
    </row>
    <row r="586" spans="13:54" x14ac:dyDescent="0.25">
      <c r="M586" s="382"/>
      <c r="BB586" s="253" t="str">
        <f t="array" ref="BB586">_xlfn.IFS(AQ586="","",LEN(AQ586)-LEN(SUBSTITUTE(AQ586,".",""))=3,LEFT(AQ586,vitri(".",AQ586,3)-1),LEN(AQ586)-LEN(SUBSTITUTE(AQ586,".",""))=2,LEFT(AQ586,vitri(".",AQ586,2)-1),TRUE,LEFT(AQ586,vitri(".",AQ586,1)-1))</f>
        <v/>
      </c>
    </row>
    <row r="587" spans="13:54" x14ac:dyDescent="0.25">
      <c r="M587" s="382"/>
      <c r="BB587" s="253" t="str">
        <f t="array" ref="BB587">_xlfn.IFS(AQ587="","",LEN(AQ587)-LEN(SUBSTITUTE(AQ587,".",""))=3,LEFT(AQ587,vitri(".",AQ587,3)-1),LEN(AQ587)-LEN(SUBSTITUTE(AQ587,".",""))=2,LEFT(AQ587,vitri(".",AQ587,2)-1),TRUE,LEFT(AQ587,vitri(".",AQ587,1)-1))</f>
        <v/>
      </c>
    </row>
    <row r="588" spans="13:54" x14ac:dyDescent="0.25">
      <c r="M588" s="382"/>
      <c r="BB588" s="253" t="str">
        <f t="array" ref="BB588">_xlfn.IFS(AQ588="","",LEN(AQ588)-LEN(SUBSTITUTE(AQ588,".",""))=3,LEFT(AQ588,vitri(".",AQ588,3)-1),LEN(AQ588)-LEN(SUBSTITUTE(AQ588,".",""))=2,LEFT(AQ588,vitri(".",AQ588,2)-1),TRUE,LEFT(AQ588,vitri(".",AQ588,1)-1))</f>
        <v/>
      </c>
    </row>
    <row r="589" spans="13:54" x14ac:dyDescent="0.25">
      <c r="M589" s="382"/>
      <c r="BB589" s="253" t="str">
        <f t="array" ref="BB589">_xlfn.IFS(AQ589="","",LEN(AQ589)-LEN(SUBSTITUTE(AQ589,".",""))=3,LEFT(AQ589,vitri(".",AQ589,3)-1),LEN(AQ589)-LEN(SUBSTITUTE(AQ589,".",""))=2,LEFT(AQ589,vitri(".",AQ589,2)-1),TRUE,LEFT(AQ589,vitri(".",AQ589,1)-1))</f>
        <v/>
      </c>
    </row>
    <row r="590" spans="13:54" x14ac:dyDescent="0.25">
      <c r="M590" s="382"/>
      <c r="BB590" s="253" t="str">
        <f t="array" ref="BB590">_xlfn.IFS(AQ590="","",LEN(AQ590)-LEN(SUBSTITUTE(AQ590,".",""))=3,LEFT(AQ590,vitri(".",AQ590,3)-1),LEN(AQ590)-LEN(SUBSTITUTE(AQ590,".",""))=2,LEFT(AQ590,vitri(".",AQ590,2)-1),TRUE,LEFT(AQ590,vitri(".",AQ590,1)-1))</f>
        <v/>
      </c>
    </row>
    <row r="591" spans="13:54" x14ac:dyDescent="0.25">
      <c r="M591" s="382"/>
      <c r="BB591" s="253" t="str">
        <f t="array" ref="BB591">_xlfn.IFS(AQ591="","",LEN(AQ591)-LEN(SUBSTITUTE(AQ591,".",""))=3,LEFT(AQ591,vitri(".",AQ591,3)-1),LEN(AQ591)-LEN(SUBSTITUTE(AQ591,".",""))=2,LEFT(AQ591,vitri(".",AQ591,2)-1),TRUE,LEFT(AQ591,vitri(".",AQ591,1)-1))</f>
        <v/>
      </c>
    </row>
    <row r="592" spans="13:54" x14ac:dyDescent="0.25">
      <c r="M592" s="382"/>
      <c r="BB592" s="253" t="str">
        <f t="array" ref="BB592">_xlfn.IFS(AQ592="","",LEN(AQ592)-LEN(SUBSTITUTE(AQ592,".",""))=3,LEFT(AQ592,vitri(".",AQ592,3)-1),LEN(AQ592)-LEN(SUBSTITUTE(AQ592,".",""))=2,LEFT(AQ592,vitri(".",AQ592,2)-1),TRUE,LEFT(AQ592,vitri(".",AQ592,1)-1))</f>
        <v/>
      </c>
    </row>
    <row r="593" spans="13:54" x14ac:dyDescent="0.25">
      <c r="M593" s="382"/>
      <c r="BB593" s="253" t="str">
        <f t="array" ref="BB593">_xlfn.IFS(AQ593="","",LEN(AQ593)-LEN(SUBSTITUTE(AQ593,".",""))=3,LEFT(AQ593,vitri(".",AQ593,3)-1),LEN(AQ593)-LEN(SUBSTITUTE(AQ593,".",""))=2,LEFT(AQ593,vitri(".",AQ593,2)-1),TRUE,LEFT(AQ593,vitri(".",AQ593,1)-1))</f>
        <v/>
      </c>
    </row>
    <row r="594" spans="13:54" x14ac:dyDescent="0.25">
      <c r="M594" s="382"/>
      <c r="BB594" s="253" t="str">
        <f t="array" ref="BB594">_xlfn.IFS(AQ594="","",LEN(AQ594)-LEN(SUBSTITUTE(AQ594,".",""))=3,LEFT(AQ594,vitri(".",AQ594,3)-1),LEN(AQ594)-LEN(SUBSTITUTE(AQ594,".",""))=2,LEFT(AQ594,vitri(".",AQ594,2)-1),TRUE,LEFT(AQ594,vitri(".",AQ594,1)-1))</f>
        <v/>
      </c>
    </row>
    <row r="595" spans="13:54" x14ac:dyDescent="0.25">
      <c r="M595" s="382"/>
      <c r="BB595" s="253" t="str">
        <f t="array" ref="BB595">_xlfn.IFS(AQ595="","",LEN(AQ595)-LEN(SUBSTITUTE(AQ595,".",""))=3,LEFT(AQ595,vitri(".",AQ595,3)-1),LEN(AQ595)-LEN(SUBSTITUTE(AQ595,".",""))=2,LEFT(AQ595,vitri(".",AQ595,2)-1),TRUE,LEFT(AQ595,vitri(".",AQ595,1)-1))</f>
        <v/>
      </c>
    </row>
    <row r="596" spans="13:54" x14ac:dyDescent="0.25">
      <c r="M596" s="382"/>
      <c r="BB596" s="253" t="str">
        <f t="array" ref="BB596">_xlfn.IFS(AQ596="","",LEN(AQ596)-LEN(SUBSTITUTE(AQ596,".",""))=3,LEFT(AQ596,vitri(".",AQ596,3)-1),LEN(AQ596)-LEN(SUBSTITUTE(AQ596,".",""))=2,LEFT(AQ596,vitri(".",AQ596,2)-1),TRUE,LEFT(AQ596,vitri(".",AQ596,1)-1))</f>
        <v/>
      </c>
    </row>
    <row r="597" spans="13:54" x14ac:dyDescent="0.25">
      <c r="M597" s="382"/>
      <c r="BB597" s="253" t="str">
        <f t="array" ref="BB597">_xlfn.IFS(AQ597="","",LEN(AQ597)-LEN(SUBSTITUTE(AQ597,".",""))=3,LEFT(AQ597,vitri(".",AQ597,3)-1),LEN(AQ597)-LEN(SUBSTITUTE(AQ597,".",""))=2,LEFT(AQ597,vitri(".",AQ597,2)-1),TRUE,LEFT(AQ597,vitri(".",AQ597,1)-1))</f>
        <v/>
      </c>
    </row>
    <row r="598" spans="13:54" x14ac:dyDescent="0.25">
      <c r="M598" s="382"/>
      <c r="BB598" s="253" t="str">
        <f t="array" ref="BB598">_xlfn.IFS(AQ598="","",LEN(AQ598)-LEN(SUBSTITUTE(AQ598,".",""))=3,LEFT(AQ598,vitri(".",AQ598,3)-1),LEN(AQ598)-LEN(SUBSTITUTE(AQ598,".",""))=2,LEFT(AQ598,vitri(".",AQ598,2)-1),TRUE,LEFT(AQ598,vitri(".",AQ598,1)-1))</f>
        <v/>
      </c>
    </row>
    <row r="599" spans="13:54" x14ac:dyDescent="0.25">
      <c r="M599" s="382"/>
      <c r="BB599" s="253" t="str">
        <f t="array" ref="BB599">_xlfn.IFS(AQ599="","",LEN(AQ599)-LEN(SUBSTITUTE(AQ599,".",""))=3,LEFT(AQ599,vitri(".",AQ599,3)-1),LEN(AQ599)-LEN(SUBSTITUTE(AQ599,".",""))=2,LEFT(AQ599,vitri(".",AQ599,2)-1),TRUE,LEFT(AQ599,vitri(".",AQ599,1)-1))</f>
        <v/>
      </c>
    </row>
    <row r="600" spans="13:54" x14ac:dyDescent="0.25">
      <c r="M600" s="382"/>
      <c r="BB600" s="253" t="str">
        <f t="array" ref="BB600">_xlfn.IFS(AQ600="","",LEN(AQ600)-LEN(SUBSTITUTE(AQ600,".",""))=3,LEFT(AQ600,vitri(".",AQ600,3)-1),LEN(AQ600)-LEN(SUBSTITUTE(AQ600,".",""))=2,LEFT(AQ600,vitri(".",AQ600,2)-1),TRUE,LEFT(AQ600,vitri(".",AQ600,1)-1))</f>
        <v/>
      </c>
    </row>
    <row r="601" spans="13:54" x14ac:dyDescent="0.25">
      <c r="M601" s="382"/>
      <c r="BB601" s="253" t="str">
        <f t="array" ref="BB601">_xlfn.IFS(AQ601="","",LEN(AQ601)-LEN(SUBSTITUTE(AQ601,".",""))=3,LEFT(AQ601,vitri(".",AQ601,3)-1),LEN(AQ601)-LEN(SUBSTITUTE(AQ601,".",""))=2,LEFT(AQ601,vitri(".",AQ601,2)-1),TRUE,LEFT(AQ601,vitri(".",AQ601,1)-1))</f>
        <v/>
      </c>
    </row>
    <row r="602" spans="13:54" x14ac:dyDescent="0.25">
      <c r="M602" s="382"/>
      <c r="BB602" s="253" t="str">
        <f t="array" ref="BB602">_xlfn.IFS(AQ602="","",LEN(AQ602)-LEN(SUBSTITUTE(AQ602,".",""))=3,LEFT(AQ602,vitri(".",AQ602,3)-1),LEN(AQ602)-LEN(SUBSTITUTE(AQ602,".",""))=2,LEFT(AQ602,vitri(".",AQ602,2)-1),TRUE,LEFT(AQ602,vitri(".",AQ602,1)-1))</f>
        <v/>
      </c>
    </row>
    <row r="603" spans="13:54" x14ac:dyDescent="0.25">
      <c r="M603" s="382"/>
      <c r="BB603" s="253" t="str">
        <f t="array" ref="BB603">_xlfn.IFS(AQ603="","",LEN(AQ603)-LEN(SUBSTITUTE(AQ603,".",""))=3,LEFT(AQ603,vitri(".",AQ603,3)-1),LEN(AQ603)-LEN(SUBSTITUTE(AQ603,".",""))=2,LEFT(AQ603,vitri(".",AQ603,2)-1),TRUE,LEFT(AQ603,vitri(".",AQ603,1)-1))</f>
        <v/>
      </c>
    </row>
    <row r="604" spans="13:54" x14ac:dyDescent="0.25">
      <c r="M604" s="382"/>
      <c r="BB604" s="253" t="str">
        <f t="array" ref="BB604">_xlfn.IFS(AQ604="","",LEN(AQ604)-LEN(SUBSTITUTE(AQ604,".",""))=3,LEFT(AQ604,vitri(".",AQ604,3)-1),LEN(AQ604)-LEN(SUBSTITUTE(AQ604,".",""))=2,LEFT(AQ604,vitri(".",AQ604,2)-1),TRUE,LEFT(AQ604,vitri(".",AQ604,1)-1))</f>
        <v/>
      </c>
    </row>
    <row r="605" spans="13:54" x14ac:dyDescent="0.25">
      <c r="M605" s="382"/>
      <c r="BB605" s="253" t="str">
        <f t="array" ref="BB605">_xlfn.IFS(AQ605="","",LEN(AQ605)-LEN(SUBSTITUTE(AQ605,".",""))=3,LEFT(AQ605,vitri(".",AQ605,3)-1),LEN(AQ605)-LEN(SUBSTITUTE(AQ605,".",""))=2,LEFT(AQ605,vitri(".",AQ605,2)-1),TRUE,LEFT(AQ605,vitri(".",AQ605,1)-1))</f>
        <v/>
      </c>
    </row>
    <row r="606" spans="13:54" x14ac:dyDescent="0.25">
      <c r="M606" s="382"/>
      <c r="BB606" s="253" t="str">
        <f t="array" ref="BB606">_xlfn.IFS(AQ606="","",LEN(AQ606)-LEN(SUBSTITUTE(AQ606,".",""))=3,LEFT(AQ606,vitri(".",AQ606,3)-1),LEN(AQ606)-LEN(SUBSTITUTE(AQ606,".",""))=2,LEFT(AQ606,vitri(".",AQ606,2)-1),TRUE,LEFT(AQ606,vitri(".",AQ606,1)-1))</f>
        <v/>
      </c>
    </row>
    <row r="607" spans="13:54" x14ac:dyDescent="0.25">
      <c r="M607" s="382"/>
      <c r="BB607" s="253" t="str">
        <f t="array" ref="BB607">_xlfn.IFS(AQ607="","",LEN(AQ607)-LEN(SUBSTITUTE(AQ607,".",""))=3,LEFT(AQ607,vitri(".",AQ607,3)-1),LEN(AQ607)-LEN(SUBSTITUTE(AQ607,".",""))=2,LEFT(AQ607,vitri(".",AQ607,2)-1),TRUE,LEFT(AQ607,vitri(".",AQ607,1)-1))</f>
        <v/>
      </c>
    </row>
    <row r="608" spans="13:54" x14ac:dyDescent="0.25">
      <c r="M608" s="382"/>
      <c r="BB608" s="253" t="str">
        <f t="array" ref="BB608">_xlfn.IFS(AQ608="","",LEN(AQ608)-LEN(SUBSTITUTE(AQ608,".",""))=3,LEFT(AQ608,vitri(".",AQ608,3)-1),LEN(AQ608)-LEN(SUBSTITUTE(AQ608,".",""))=2,LEFT(AQ608,vitri(".",AQ608,2)-1),TRUE,LEFT(AQ608,vitri(".",AQ608,1)-1))</f>
        <v/>
      </c>
    </row>
    <row r="609" spans="13:54" x14ac:dyDescent="0.25">
      <c r="M609" s="382"/>
      <c r="BB609" s="253" t="str">
        <f t="array" ref="BB609">_xlfn.IFS(AQ609="","",LEN(AQ609)-LEN(SUBSTITUTE(AQ609,".",""))=3,LEFT(AQ609,vitri(".",AQ609,3)-1),LEN(AQ609)-LEN(SUBSTITUTE(AQ609,".",""))=2,LEFT(AQ609,vitri(".",AQ609,2)-1),TRUE,LEFT(AQ609,vitri(".",AQ609,1)-1))</f>
        <v/>
      </c>
    </row>
    <row r="610" spans="13:54" x14ac:dyDescent="0.25">
      <c r="M610" s="382"/>
      <c r="BB610" s="253" t="str">
        <f t="array" ref="BB610">_xlfn.IFS(AQ610="","",LEN(AQ610)-LEN(SUBSTITUTE(AQ610,".",""))=3,LEFT(AQ610,vitri(".",AQ610,3)-1),LEN(AQ610)-LEN(SUBSTITUTE(AQ610,".",""))=2,LEFT(AQ610,vitri(".",AQ610,2)-1),TRUE,LEFT(AQ610,vitri(".",AQ610,1)-1))</f>
        <v/>
      </c>
    </row>
    <row r="611" spans="13:54" x14ac:dyDescent="0.25">
      <c r="M611" s="382"/>
      <c r="BB611" s="253" t="str">
        <f t="array" ref="BB611">_xlfn.IFS(AQ611="","",LEN(AQ611)-LEN(SUBSTITUTE(AQ611,".",""))=3,LEFT(AQ611,vitri(".",AQ611,3)-1),LEN(AQ611)-LEN(SUBSTITUTE(AQ611,".",""))=2,LEFT(AQ611,vitri(".",AQ611,2)-1),TRUE,LEFT(AQ611,vitri(".",AQ611,1)-1))</f>
        <v/>
      </c>
    </row>
    <row r="612" spans="13:54" x14ac:dyDescent="0.25">
      <c r="M612" s="382"/>
      <c r="BB612" s="253" t="str">
        <f t="array" ref="BB612">_xlfn.IFS(AQ612="","",LEN(AQ612)-LEN(SUBSTITUTE(AQ612,".",""))=3,LEFT(AQ612,vitri(".",AQ612,3)-1),LEN(AQ612)-LEN(SUBSTITUTE(AQ612,".",""))=2,LEFT(AQ612,vitri(".",AQ612,2)-1),TRUE,LEFT(AQ612,vitri(".",AQ612,1)-1))</f>
        <v/>
      </c>
    </row>
    <row r="613" spans="13:54" x14ac:dyDescent="0.25">
      <c r="M613" s="382"/>
      <c r="BB613" s="253" t="str">
        <f t="array" ref="BB613">_xlfn.IFS(AQ613="","",LEN(AQ613)-LEN(SUBSTITUTE(AQ613,".",""))=3,LEFT(AQ613,vitri(".",AQ613,3)-1),LEN(AQ613)-LEN(SUBSTITUTE(AQ613,".",""))=2,LEFT(AQ613,vitri(".",AQ613,2)-1),TRUE,LEFT(AQ613,vitri(".",AQ613,1)-1))</f>
        <v/>
      </c>
    </row>
    <row r="614" spans="13:54" x14ac:dyDescent="0.25">
      <c r="M614" s="382"/>
      <c r="BB614" s="253" t="str">
        <f t="array" ref="BB614">_xlfn.IFS(AQ614="","",LEN(AQ614)-LEN(SUBSTITUTE(AQ614,".",""))=3,LEFT(AQ614,vitri(".",AQ614,3)-1),LEN(AQ614)-LEN(SUBSTITUTE(AQ614,".",""))=2,LEFT(AQ614,vitri(".",AQ614,2)-1),TRUE,LEFT(AQ614,vitri(".",AQ614,1)-1))</f>
        <v/>
      </c>
    </row>
    <row r="615" spans="13:54" x14ac:dyDescent="0.25">
      <c r="M615" s="382"/>
      <c r="BB615" s="253" t="str">
        <f t="array" ref="BB615">_xlfn.IFS(AQ615="","",LEN(AQ615)-LEN(SUBSTITUTE(AQ615,".",""))=3,LEFT(AQ615,vitri(".",AQ615,3)-1),LEN(AQ615)-LEN(SUBSTITUTE(AQ615,".",""))=2,LEFT(AQ615,vitri(".",AQ615,2)-1),TRUE,LEFT(AQ615,vitri(".",AQ615,1)-1))</f>
        <v/>
      </c>
    </row>
    <row r="616" spans="13:54" x14ac:dyDescent="0.25">
      <c r="M616" s="382"/>
      <c r="BB616" s="253" t="str">
        <f t="array" ref="BB616">_xlfn.IFS(AQ616="","",LEN(AQ616)-LEN(SUBSTITUTE(AQ616,".",""))=3,LEFT(AQ616,vitri(".",AQ616,3)-1),LEN(AQ616)-LEN(SUBSTITUTE(AQ616,".",""))=2,LEFT(AQ616,vitri(".",AQ616,2)-1),TRUE,LEFT(AQ616,vitri(".",AQ616,1)-1))</f>
        <v/>
      </c>
    </row>
    <row r="617" spans="13:54" x14ac:dyDescent="0.25">
      <c r="M617" s="382"/>
      <c r="BB617" s="253" t="str">
        <f t="array" ref="BB617">_xlfn.IFS(AQ617="","",LEN(AQ617)-LEN(SUBSTITUTE(AQ617,".",""))=3,LEFT(AQ617,vitri(".",AQ617,3)-1),LEN(AQ617)-LEN(SUBSTITUTE(AQ617,".",""))=2,LEFT(AQ617,vitri(".",AQ617,2)-1),TRUE,LEFT(AQ617,vitri(".",AQ617,1)-1))</f>
        <v/>
      </c>
    </row>
    <row r="618" spans="13:54" x14ac:dyDescent="0.25">
      <c r="M618" s="382"/>
      <c r="BB618" s="253" t="str">
        <f t="array" ref="BB618">_xlfn.IFS(AQ618="","",LEN(AQ618)-LEN(SUBSTITUTE(AQ618,".",""))=3,LEFT(AQ618,vitri(".",AQ618,3)-1),LEN(AQ618)-LEN(SUBSTITUTE(AQ618,".",""))=2,LEFT(AQ618,vitri(".",AQ618,2)-1),TRUE,LEFT(AQ618,vitri(".",AQ618,1)-1))</f>
        <v/>
      </c>
    </row>
    <row r="619" spans="13:54" x14ac:dyDescent="0.25">
      <c r="M619" s="382"/>
      <c r="BB619" s="253" t="str">
        <f t="array" ref="BB619">_xlfn.IFS(AQ619="","",LEN(AQ619)-LEN(SUBSTITUTE(AQ619,".",""))=3,LEFT(AQ619,vitri(".",AQ619,3)-1),LEN(AQ619)-LEN(SUBSTITUTE(AQ619,".",""))=2,LEFT(AQ619,vitri(".",AQ619,2)-1),TRUE,LEFT(AQ619,vitri(".",AQ619,1)-1))</f>
        <v/>
      </c>
    </row>
    <row r="620" spans="13:54" x14ac:dyDescent="0.25">
      <c r="M620" s="382"/>
      <c r="BB620" s="253" t="str">
        <f t="array" ref="BB620">_xlfn.IFS(AQ620="","",LEN(AQ620)-LEN(SUBSTITUTE(AQ620,".",""))=3,LEFT(AQ620,vitri(".",AQ620,3)-1),LEN(AQ620)-LEN(SUBSTITUTE(AQ620,".",""))=2,LEFT(AQ620,vitri(".",AQ620,2)-1),TRUE,LEFT(AQ620,vitri(".",AQ620,1)-1))</f>
        <v/>
      </c>
    </row>
    <row r="621" spans="13:54" x14ac:dyDescent="0.25">
      <c r="M621" s="382"/>
      <c r="BB621" s="253" t="str">
        <f t="array" ref="BB621">_xlfn.IFS(AQ621="","",LEN(AQ621)-LEN(SUBSTITUTE(AQ621,".",""))=3,LEFT(AQ621,vitri(".",AQ621,3)-1),LEN(AQ621)-LEN(SUBSTITUTE(AQ621,".",""))=2,LEFT(AQ621,vitri(".",AQ621,2)-1),TRUE,LEFT(AQ621,vitri(".",AQ621,1)-1))</f>
        <v/>
      </c>
    </row>
    <row r="622" spans="13:54" x14ac:dyDescent="0.25">
      <c r="M622" s="382"/>
      <c r="BB622" s="253" t="str">
        <f t="array" ref="BB622">_xlfn.IFS(AQ622="","",LEN(AQ622)-LEN(SUBSTITUTE(AQ622,".",""))=3,LEFT(AQ622,vitri(".",AQ622,3)-1),LEN(AQ622)-LEN(SUBSTITUTE(AQ622,".",""))=2,LEFT(AQ622,vitri(".",AQ622,2)-1),TRUE,LEFT(AQ622,vitri(".",AQ622,1)-1))</f>
        <v/>
      </c>
    </row>
    <row r="623" spans="13:54" x14ac:dyDescent="0.25">
      <c r="M623" s="382"/>
      <c r="BB623" s="253" t="str">
        <f t="array" ref="BB623">_xlfn.IFS(AQ623="","",LEN(AQ623)-LEN(SUBSTITUTE(AQ623,".",""))=3,LEFT(AQ623,vitri(".",AQ623,3)-1),LEN(AQ623)-LEN(SUBSTITUTE(AQ623,".",""))=2,LEFT(AQ623,vitri(".",AQ623,2)-1),TRUE,LEFT(AQ623,vitri(".",AQ623,1)-1))</f>
        <v/>
      </c>
    </row>
    <row r="624" spans="13:54" x14ac:dyDescent="0.25">
      <c r="M624" s="382"/>
      <c r="BB624" s="253" t="str">
        <f t="array" ref="BB624">_xlfn.IFS(AQ624="","",LEN(AQ624)-LEN(SUBSTITUTE(AQ624,".",""))=3,LEFT(AQ624,vitri(".",AQ624,3)-1),LEN(AQ624)-LEN(SUBSTITUTE(AQ624,".",""))=2,LEFT(AQ624,vitri(".",AQ624,2)-1),TRUE,LEFT(AQ624,vitri(".",AQ624,1)-1))</f>
        <v/>
      </c>
    </row>
    <row r="625" spans="13:54" x14ac:dyDescent="0.25">
      <c r="M625" s="382"/>
      <c r="BB625" s="253" t="str">
        <f t="array" ref="BB625">_xlfn.IFS(AQ625="","",LEN(AQ625)-LEN(SUBSTITUTE(AQ625,".",""))=3,LEFT(AQ625,vitri(".",AQ625,3)-1),LEN(AQ625)-LEN(SUBSTITUTE(AQ625,".",""))=2,LEFT(AQ625,vitri(".",AQ625,2)-1),TRUE,LEFT(AQ625,vitri(".",AQ625,1)-1))</f>
        <v/>
      </c>
    </row>
    <row r="626" spans="13:54" x14ac:dyDescent="0.25">
      <c r="M626" s="382"/>
      <c r="BB626" s="253" t="str">
        <f t="array" ref="BB626">_xlfn.IFS(AQ626="","",LEN(AQ626)-LEN(SUBSTITUTE(AQ626,".",""))=3,LEFT(AQ626,vitri(".",AQ626,3)-1),LEN(AQ626)-LEN(SUBSTITUTE(AQ626,".",""))=2,LEFT(AQ626,vitri(".",AQ626,2)-1),TRUE,LEFT(AQ626,vitri(".",AQ626,1)-1))</f>
        <v/>
      </c>
    </row>
    <row r="627" spans="13:54" x14ac:dyDescent="0.25">
      <c r="M627" s="382"/>
      <c r="BB627" s="253" t="str">
        <f t="array" ref="BB627">_xlfn.IFS(AQ627="","",LEN(AQ627)-LEN(SUBSTITUTE(AQ627,".",""))=3,LEFT(AQ627,vitri(".",AQ627,3)-1),LEN(AQ627)-LEN(SUBSTITUTE(AQ627,".",""))=2,LEFT(AQ627,vitri(".",AQ627,2)-1),TRUE,LEFT(AQ627,vitri(".",AQ627,1)-1))</f>
        <v/>
      </c>
    </row>
    <row r="628" spans="13:54" x14ac:dyDescent="0.25">
      <c r="M628" s="382"/>
      <c r="BB628" s="253" t="str">
        <f t="array" ref="BB628">_xlfn.IFS(AQ628="","",LEN(AQ628)-LEN(SUBSTITUTE(AQ628,".",""))=3,LEFT(AQ628,vitri(".",AQ628,3)-1),LEN(AQ628)-LEN(SUBSTITUTE(AQ628,".",""))=2,LEFT(AQ628,vitri(".",AQ628,2)-1),TRUE,LEFT(AQ628,vitri(".",AQ628,1)-1))</f>
        <v/>
      </c>
    </row>
    <row r="629" spans="13:54" x14ac:dyDescent="0.25">
      <c r="M629" s="382"/>
      <c r="BB629" s="253" t="str">
        <f t="array" ref="BB629">_xlfn.IFS(AQ629="","",LEN(AQ629)-LEN(SUBSTITUTE(AQ629,".",""))=3,LEFT(AQ629,vitri(".",AQ629,3)-1),LEN(AQ629)-LEN(SUBSTITUTE(AQ629,".",""))=2,LEFT(AQ629,vitri(".",AQ629,2)-1),TRUE,LEFT(AQ629,vitri(".",AQ629,1)-1))</f>
        <v/>
      </c>
    </row>
    <row r="630" spans="13:54" x14ac:dyDescent="0.25">
      <c r="M630" s="382"/>
      <c r="BB630" s="253" t="str">
        <f t="array" ref="BB630">_xlfn.IFS(AQ630="","",LEN(AQ630)-LEN(SUBSTITUTE(AQ630,".",""))=3,LEFT(AQ630,vitri(".",AQ630,3)-1),LEN(AQ630)-LEN(SUBSTITUTE(AQ630,".",""))=2,LEFT(AQ630,vitri(".",AQ630,2)-1),TRUE,LEFT(AQ630,vitri(".",AQ630,1)-1))</f>
        <v/>
      </c>
    </row>
    <row r="631" spans="13:54" x14ac:dyDescent="0.25">
      <c r="M631" s="382"/>
      <c r="BB631" s="253" t="str">
        <f t="array" ref="BB631">_xlfn.IFS(AQ631="","",LEN(AQ631)-LEN(SUBSTITUTE(AQ631,".",""))=3,LEFT(AQ631,vitri(".",AQ631,3)-1),LEN(AQ631)-LEN(SUBSTITUTE(AQ631,".",""))=2,LEFT(AQ631,vitri(".",AQ631,2)-1),TRUE,LEFT(AQ631,vitri(".",AQ631,1)-1))</f>
        <v/>
      </c>
    </row>
    <row r="632" spans="13:54" x14ac:dyDescent="0.25">
      <c r="M632" s="382"/>
      <c r="BB632" s="253" t="str">
        <f t="array" ref="BB632">_xlfn.IFS(AQ632="","",LEN(AQ632)-LEN(SUBSTITUTE(AQ632,".",""))=3,LEFT(AQ632,vitri(".",AQ632,3)-1),LEN(AQ632)-LEN(SUBSTITUTE(AQ632,".",""))=2,LEFT(AQ632,vitri(".",AQ632,2)-1),TRUE,LEFT(AQ632,vitri(".",AQ632,1)-1))</f>
        <v/>
      </c>
    </row>
    <row r="633" spans="13:54" x14ac:dyDescent="0.25">
      <c r="M633" s="382"/>
      <c r="BB633" s="253" t="str">
        <f t="array" ref="BB633">_xlfn.IFS(AQ633="","",LEN(AQ633)-LEN(SUBSTITUTE(AQ633,".",""))=3,LEFT(AQ633,vitri(".",AQ633,3)-1),LEN(AQ633)-LEN(SUBSTITUTE(AQ633,".",""))=2,LEFT(AQ633,vitri(".",AQ633,2)-1),TRUE,LEFT(AQ633,vitri(".",AQ633,1)-1))</f>
        <v/>
      </c>
    </row>
    <row r="634" spans="13:54" x14ac:dyDescent="0.25">
      <c r="M634" s="382"/>
      <c r="BB634" s="253" t="str">
        <f t="array" ref="BB634">_xlfn.IFS(AQ634="","",LEN(AQ634)-LEN(SUBSTITUTE(AQ634,".",""))=3,LEFT(AQ634,vitri(".",AQ634,3)-1),LEN(AQ634)-LEN(SUBSTITUTE(AQ634,".",""))=2,LEFT(AQ634,vitri(".",AQ634,2)-1),TRUE,LEFT(AQ634,vitri(".",AQ634,1)-1))</f>
        <v/>
      </c>
    </row>
    <row r="635" spans="13:54" x14ac:dyDescent="0.25">
      <c r="M635" s="382"/>
      <c r="BB635" s="253" t="str">
        <f t="array" ref="BB635">_xlfn.IFS(AQ635="","",LEN(AQ635)-LEN(SUBSTITUTE(AQ635,".",""))=3,LEFT(AQ635,vitri(".",AQ635,3)-1),LEN(AQ635)-LEN(SUBSTITUTE(AQ635,".",""))=2,LEFT(AQ635,vitri(".",AQ635,2)-1),TRUE,LEFT(AQ635,vitri(".",AQ635,1)-1))</f>
        <v/>
      </c>
    </row>
    <row r="636" spans="13:54" x14ac:dyDescent="0.25">
      <c r="M636" s="382"/>
      <c r="BB636" s="253" t="str">
        <f t="array" ref="BB636">_xlfn.IFS(AQ636="","",LEN(AQ636)-LEN(SUBSTITUTE(AQ636,".",""))=3,LEFT(AQ636,vitri(".",AQ636,3)-1),LEN(AQ636)-LEN(SUBSTITUTE(AQ636,".",""))=2,LEFT(AQ636,vitri(".",AQ636,2)-1),TRUE,LEFT(AQ636,vitri(".",AQ636,1)-1))</f>
        <v/>
      </c>
    </row>
    <row r="637" spans="13:54" x14ac:dyDescent="0.25">
      <c r="M637" s="382"/>
      <c r="BB637" s="253" t="str">
        <f t="array" ref="BB637">_xlfn.IFS(AQ637="","",LEN(AQ637)-LEN(SUBSTITUTE(AQ637,".",""))=3,LEFT(AQ637,vitri(".",AQ637,3)-1),LEN(AQ637)-LEN(SUBSTITUTE(AQ637,".",""))=2,LEFT(AQ637,vitri(".",AQ637,2)-1),TRUE,LEFT(AQ637,vitri(".",AQ637,1)-1))</f>
        <v/>
      </c>
    </row>
    <row r="638" spans="13:54" x14ac:dyDescent="0.25">
      <c r="M638" s="382"/>
      <c r="BB638" s="253" t="str">
        <f t="array" ref="BB638">_xlfn.IFS(AQ638="","",LEN(AQ638)-LEN(SUBSTITUTE(AQ638,".",""))=3,LEFT(AQ638,vitri(".",AQ638,3)-1),LEN(AQ638)-LEN(SUBSTITUTE(AQ638,".",""))=2,LEFT(AQ638,vitri(".",AQ638,2)-1),TRUE,LEFT(AQ638,vitri(".",AQ638,1)-1))</f>
        <v/>
      </c>
    </row>
    <row r="639" spans="13:54" x14ac:dyDescent="0.25">
      <c r="M639" s="382"/>
      <c r="BB639" s="253" t="str">
        <f t="array" ref="BB639">_xlfn.IFS(AQ639="","",LEN(AQ639)-LEN(SUBSTITUTE(AQ639,".",""))=3,LEFT(AQ639,vitri(".",AQ639,3)-1),LEN(AQ639)-LEN(SUBSTITUTE(AQ639,".",""))=2,LEFT(AQ639,vitri(".",AQ639,2)-1),TRUE,LEFT(AQ639,vitri(".",AQ639,1)-1))</f>
        <v/>
      </c>
    </row>
    <row r="640" spans="13:54" x14ac:dyDescent="0.25">
      <c r="M640" s="382"/>
      <c r="BB640" s="253" t="str">
        <f t="array" ref="BB640">_xlfn.IFS(AQ640="","",LEN(AQ640)-LEN(SUBSTITUTE(AQ640,".",""))=3,LEFT(AQ640,vitri(".",AQ640,3)-1),LEN(AQ640)-LEN(SUBSTITUTE(AQ640,".",""))=2,LEFT(AQ640,vitri(".",AQ640,2)-1),TRUE,LEFT(AQ640,vitri(".",AQ640,1)-1))</f>
        <v/>
      </c>
    </row>
    <row r="641" spans="13:54" x14ac:dyDescent="0.25">
      <c r="M641" s="382"/>
      <c r="BB641" s="253" t="str">
        <f t="array" ref="BB641">_xlfn.IFS(AQ641="","",LEN(AQ641)-LEN(SUBSTITUTE(AQ641,".",""))=3,LEFT(AQ641,vitri(".",AQ641,3)-1),LEN(AQ641)-LEN(SUBSTITUTE(AQ641,".",""))=2,LEFT(AQ641,vitri(".",AQ641,2)-1),TRUE,LEFT(AQ641,vitri(".",AQ641,1)-1))</f>
        <v/>
      </c>
    </row>
    <row r="642" spans="13:54" x14ac:dyDescent="0.25">
      <c r="M642" s="382"/>
      <c r="BB642" s="253" t="str">
        <f t="array" ref="BB642">_xlfn.IFS(AQ642="","",LEN(AQ642)-LEN(SUBSTITUTE(AQ642,".",""))=3,LEFT(AQ642,vitri(".",AQ642,3)-1),LEN(AQ642)-LEN(SUBSTITUTE(AQ642,".",""))=2,LEFT(AQ642,vitri(".",AQ642,2)-1),TRUE,LEFT(AQ642,vitri(".",AQ642,1)-1))</f>
        <v/>
      </c>
    </row>
    <row r="643" spans="13:54" x14ac:dyDescent="0.25">
      <c r="M643" s="382"/>
      <c r="BB643" s="253" t="str">
        <f t="array" ref="BB643">_xlfn.IFS(AQ643="","",LEN(AQ643)-LEN(SUBSTITUTE(AQ643,".",""))=3,LEFT(AQ643,vitri(".",AQ643,3)-1),LEN(AQ643)-LEN(SUBSTITUTE(AQ643,".",""))=2,LEFT(AQ643,vitri(".",AQ643,2)-1),TRUE,LEFT(AQ643,vitri(".",AQ643,1)-1))</f>
        <v/>
      </c>
    </row>
    <row r="644" spans="13:54" x14ac:dyDescent="0.25">
      <c r="M644" s="382"/>
      <c r="BB644" s="253" t="str">
        <f t="array" ref="BB644">_xlfn.IFS(AQ644="","",LEN(AQ644)-LEN(SUBSTITUTE(AQ644,".",""))=3,LEFT(AQ644,vitri(".",AQ644,3)-1),LEN(AQ644)-LEN(SUBSTITUTE(AQ644,".",""))=2,LEFT(AQ644,vitri(".",AQ644,2)-1),TRUE,LEFT(AQ644,vitri(".",AQ644,1)-1))</f>
        <v/>
      </c>
    </row>
    <row r="645" spans="13:54" x14ac:dyDescent="0.25">
      <c r="M645" s="382"/>
      <c r="BB645" s="253" t="str">
        <f t="array" ref="BB645">_xlfn.IFS(AQ645="","",LEN(AQ645)-LEN(SUBSTITUTE(AQ645,".",""))=3,LEFT(AQ645,vitri(".",AQ645,3)-1),LEN(AQ645)-LEN(SUBSTITUTE(AQ645,".",""))=2,LEFT(AQ645,vitri(".",AQ645,2)-1),TRUE,LEFT(AQ645,vitri(".",AQ645,1)-1))</f>
        <v/>
      </c>
    </row>
    <row r="646" spans="13:54" x14ac:dyDescent="0.25">
      <c r="M646" s="382"/>
      <c r="BB646" s="253" t="str">
        <f t="array" ref="BB646">_xlfn.IFS(AQ646="","",LEN(AQ646)-LEN(SUBSTITUTE(AQ646,".",""))=3,LEFT(AQ646,vitri(".",AQ646,3)-1),LEN(AQ646)-LEN(SUBSTITUTE(AQ646,".",""))=2,LEFT(AQ646,vitri(".",AQ646,2)-1),TRUE,LEFT(AQ646,vitri(".",AQ646,1)-1))</f>
        <v/>
      </c>
    </row>
    <row r="647" spans="13:54" x14ac:dyDescent="0.25">
      <c r="M647" s="382"/>
      <c r="BB647" s="253" t="str">
        <f t="array" ref="BB647">_xlfn.IFS(AQ647="","",LEN(AQ647)-LEN(SUBSTITUTE(AQ647,".",""))=3,LEFT(AQ647,vitri(".",AQ647,3)-1),LEN(AQ647)-LEN(SUBSTITUTE(AQ647,".",""))=2,LEFT(AQ647,vitri(".",AQ647,2)-1),TRUE,LEFT(AQ647,vitri(".",AQ647,1)-1))</f>
        <v/>
      </c>
    </row>
    <row r="648" spans="13:54" x14ac:dyDescent="0.25">
      <c r="M648" s="382"/>
      <c r="BB648" s="253" t="str">
        <f t="array" ref="BB648">_xlfn.IFS(AQ648="","",LEN(AQ648)-LEN(SUBSTITUTE(AQ648,".",""))=3,LEFT(AQ648,vitri(".",AQ648,3)-1),LEN(AQ648)-LEN(SUBSTITUTE(AQ648,".",""))=2,LEFT(AQ648,vitri(".",AQ648,2)-1),TRUE,LEFT(AQ648,vitri(".",AQ648,1)-1))</f>
        <v/>
      </c>
    </row>
    <row r="649" spans="13:54" x14ac:dyDescent="0.25">
      <c r="M649" s="382"/>
      <c r="BB649" s="253" t="str">
        <f t="array" ref="BB649">_xlfn.IFS(AQ649="","",LEN(AQ649)-LEN(SUBSTITUTE(AQ649,".",""))=3,LEFT(AQ649,vitri(".",AQ649,3)-1),LEN(AQ649)-LEN(SUBSTITUTE(AQ649,".",""))=2,LEFT(AQ649,vitri(".",AQ649,2)-1),TRUE,LEFT(AQ649,vitri(".",AQ649,1)-1))</f>
        <v/>
      </c>
    </row>
    <row r="650" spans="13:54" x14ac:dyDescent="0.25">
      <c r="M650" s="382"/>
      <c r="BB650" s="253" t="str">
        <f t="array" ref="BB650">_xlfn.IFS(AQ650="","",LEN(AQ650)-LEN(SUBSTITUTE(AQ650,".",""))=3,LEFT(AQ650,vitri(".",AQ650,3)-1),LEN(AQ650)-LEN(SUBSTITUTE(AQ650,".",""))=2,LEFT(AQ650,vitri(".",AQ650,2)-1),TRUE,LEFT(AQ650,vitri(".",AQ650,1)-1))</f>
        <v/>
      </c>
    </row>
    <row r="651" spans="13:54" x14ac:dyDescent="0.25">
      <c r="M651" s="382"/>
      <c r="BB651" s="253" t="str">
        <f t="array" ref="BB651">_xlfn.IFS(AQ651="","",LEN(AQ651)-LEN(SUBSTITUTE(AQ651,".",""))=3,LEFT(AQ651,vitri(".",AQ651,3)-1),LEN(AQ651)-LEN(SUBSTITUTE(AQ651,".",""))=2,LEFT(AQ651,vitri(".",AQ651,2)-1),TRUE,LEFT(AQ651,vitri(".",AQ651,1)-1))</f>
        <v/>
      </c>
    </row>
    <row r="652" spans="13:54" x14ac:dyDescent="0.25">
      <c r="M652" s="382"/>
      <c r="BB652" s="253" t="str">
        <f t="array" ref="BB652">_xlfn.IFS(AQ652="","",LEN(AQ652)-LEN(SUBSTITUTE(AQ652,".",""))=3,LEFT(AQ652,vitri(".",AQ652,3)-1),LEN(AQ652)-LEN(SUBSTITUTE(AQ652,".",""))=2,LEFT(AQ652,vitri(".",AQ652,2)-1),TRUE,LEFT(AQ652,vitri(".",AQ652,1)-1))</f>
        <v/>
      </c>
    </row>
    <row r="653" spans="13:54" x14ac:dyDescent="0.25">
      <c r="M653" s="382"/>
      <c r="BB653" s="253" t="str">
        <f t="array" ref="BB653">_xlfn.IFS(AQ653="","",LEN(AQ653)-LEN(SUBSTITUTE(AQ653,".",""))=3,LEFT(AQ653,vitri(".",AQ653,3)-1),LEN(AQ653)-LEN(SUBSTITUTE(AQ653,".",""))=2,LEFT(AQ653,vitri(".",AQ653,2)-1),TRUE,LEFT(AQ653,vitri(".",AQ653,1)-1))</f>
        <v/>
      </c>
    </row>
    <row r="654" spans="13:54" x14ac:dyDescent="0.25">
      <c r="M654" s="382"/>
      <c r="BB654" s="253" t="str">
        <f t="array" ref="BB654">_xlfn.IFS(AQ654="","",LEN(AQ654)-LEN(SUBSTITUTE(AQ654,".",""))=3,LEFT(AQ654,vitri(".",AQ654,3)-1),LEN(AQ654)-LEN(SUBSTITUTE(AQ654,".",""))=2,LEFT(AQ654,vitri(".",AQ654,2)-1),TRUE,LEFT(AQ654,vitri(".",AQ654,1)-1))</f>
        <v/>
      </c>
    </row>
    <row r="655" spans="13:54" x14ac:dyDescent="0.25">
      <c r="M655" s="382"/>
      <c r="BB655" s="253" t="str">
        <f t="array" ref="BB655">_xlfn.IFS(AQ655="","",LEN(AQ655)-LEN(SUBSTITUTE(AQ655,".",""))=3,LEFT(AQ655,vitri(".",AQ655,3)-1),LEN(AQ655)-LEN(SUBSTITUTE(AQ655,".",""))=2,LEFT(AQ655,vitri(".",AQ655,2)-1),TRUE,LEFT(AQ655,vitri(".",AQ655,1)-1))</f>
        <v/>
      </c>
    </row>
    <row r="656" spans="13:54" x14ac:dyDescent="0.25">
      <c r="M656" s="382"/>
      <c r="BB656" s="253" t="str">
        <f t="array" ref="BB656">_xlfn.IFS(AQ656="","",LEN(AQ656)-LEN(SUBSTITUTE(AQ656,".",""))=3,LEFT(AQ656,vitri(".",AQ656,3)-1),LEN(AQ656)-LEN(SUBSTITUTE(AQ656,".",""))=2,LEFT(AQ656,vitri(".",AQ656,2)-1),TRUE,LEFT(AQ656,vitri(".",AQ656,1)-1))</f>
        <v/>
      </c>
    </row>
    <row r="657" spans="13:54" x14ac:dyDescent="0.25">
      <c r="M657" s="382"/>
      <c r="BB657" s="253" t="str">
        <f t="array" ref="BB657">_xlfn.IFS(AQ657="","",LEN(AQ657)-LEN(SUBSTITUTE(AQ657,".",""))=3,LEFT(AQ657,vitri(".",AQ657,3)-1),LEN(AQ657)-LEN(SUBSTITUTE(AQ657,".",""))=2,LEFT(AQ657,vitri(".",AQ657,2)-1),TRUE,LEFT(AQ657,vitri(".",AQ657,1)-1))</f>
        <v/>
      </c>
    </row>
    <row r="658" spans="13:54" x14ac:dyDescent="0.25">
      <c r="M658" s="382"/>
      <c r="BB658" s="253" t="str">
        <f t="array" ref="BB658">_xlfn.IFS(AQ658="","",LEN(AQ658)-LEN(SUBSTITUTE(AQ658,".",""))=3,LEFT(AQ658,vitri(".",AQ658,3)-1),LEN(AQ658)-LEN(SUBSTITUTE(AQ658,".",""))=2,LEFT(AQ658,vitri(".",AQ658,2)-1),TRUE,LEFT(AQ658,vitri(".",AQ658,1)-1))</f>
        <v/>
      </c>
    </row>
    <row r="659" spans="13:54" x14ac:dyDescent="0.25">
      <c r="M659" s="382"/>
      <c r="BB659" s="253" t="str">
        <f t="array" ref="BB659">_xlfn.IFS(AQ659="","",LEN(AQ659)-LEN(SUBSTITUTE(AQ659,".",""))=3,LEFT(AQ659,vitri(".",AQ659,3)-1),LEN(AQ659)-LEN(SUBSTITUTE(AQ659,".",""))=2,LEFT(AQ659,vitri(".",AQ659,2)-1),TRUE,LEFT(AQ659,vitri(".",AQ659,1)-1))</f>
        <v/>
      </c>
    </row>
    <row r="660" spans="13:54" x14ac:dyDescent="0.25">
      <c r="M660" s="382"/>
      <c r="BB660" s="253" t="str">
        <f t="array" ref="BB660">_xlfn.IFS(AQ660="","",LEN(AQ660)-LEN(SUBSTITUTE(AQ660,".",""))=3,LEFT(AQ660,vitri(".",AQ660,3)-1),LEN(AQ660)-LEN(SUBSTITUTE(AQ660,".",""))=2,LEFT(AQ660,vitri(".",AQ660,2)-1),TRUE,LEFT(AQ660,vitri(".",AQ660,1)-1))</f>
        <v/>
      </c>
    </row>
    <row r="661" spans="13:54" x14ac:dyDescent="0.25">
      <c r="M661" s="382"/>
      <c r="BB661" s="253" t="str">
        <f t="array" ref="BB661">_xlfn.IFS(AQ661="","",LEN(AQ661)-LEN(SUBSTITUTE(AQ661,".",""))=3,LEFT(AQ661,vitri(".",AQ661,3)-1),LEN(AQ661)-LEN(SUBSTITUTE(AQ661,".",""))=2,LEFT(AQ661,vitri(".",AQ661,2)-1),TRUE,LEFT(AQ661,vitri(".",AQ661,1)-1))</f>
        <v/>
      </c>
    </row>
    <row r="662" spans="13:54" x14ac:dyDescent="0.25">
      <c r="M662" s="382"/>
      <c r="BB662" s="253" t="str">
        <f t="array" ref="BB662">_xlfn.IFS(AQ662="","",LEN(AQ662)-LEN(SUBSTITUTE(AQ662,".",""))=3,LEFT(AQ662,vitri(".",AQ662,3)-1),LEN(AQ662)-LEN(SUBSTITUTE(AQ662,".",""))=2,LEFT(AQ662,vitri(".",AQ662,2)-1),TRUE,LEFT(AQ662,vitri(".",AQ662,1)-1))</f>
        <v/>
      </c>
    </row>
    <row r="663" spans="13:54" x14ac:dyDescent="0.25">
      <c r="M663" s="382"/>
      <c r="BB663" s="253" t="str">
        <f t="array" ref="BB663">_xlfn.IFS(AQ663="","",LEN(AQ663)-LEN(SUBSTITUTE(AQ663,".",""))=3,LEFT(AQ663,vitri(".",AQ663,3)-1),LEN(AQ663)-LEN(SUBSTITUTE(AQ663,".",""))=2,LEFT(AQ663,vitri(".",AQ663,2)-1),TRUE,LEFT(AQ663,vitri(".",AQ663,1)-1))</f>
        <v/>
      </c>
    </row>
    <row r="664" spans="13:54" x14ac:dyDescent="0.25">
      <c r="M664" s="382"/>
      <c r="BB664" s="253" t="str">
        <f t="array" ref="BB664">_xlfn.IFS(AQ664="","",LEN(AQ664)-LEN(SUBSTITUTE(AQ664,".",""))=3,LEFT(AQ664,vitri(".",AQ664,3)-1),LEN(AQ664)-LEN(SUBSTITUTE(AQ664,".",""))=2,LEFT(AQ664,vitri(".",AQ664,2)-1),TRUE,LEFT(AQ664,vitri(".",AQ664,1)-1))</f>
        <v/>
      </c>
    </row>
    <row r="665" spans="13:54" x14ac:dyDescent="0.25">
      <c r="M665" s="382"/>
      <c r="BB665" s="253" t="str">
        <f t="array" ref="BB665">_xlfn.IFS(AQ665="","",LEN(AQ665)-LEN(SUBSTITUTE(AQ665,".",""))=3,LEFT(AQ665,vitri(".",AQ665,3)-1),LEN(AQ665)-LEN(SUBSTITUTE(AQ665,".",""))=2,LEFT(AQ665,vitri(".",AQ665,2)-1),TRUE,LEFT(AQ665,vitri(".",AQ665,1)-1))</f>
        <v/>
      </c>
    </row>
    <row r="666" spans="13:54" x14ac:dyDescent="0.25">
      <c r="M666" s="382"/>
      <c r="BB666" s="253" t="str">
        <f t="array" ref="BB666">_xlfn.IFS(AQ666="","",LEN(AQ666)-LEN(SUBSTITUTE(AQ666,".",""))=3,LEFT(AQ666,vitri(".",AQ666,3)-1),LEN(AQ666)-LEN(SUBSTITUTE(AQ666,".",""))=2,LEFT(AQ666,vitri(".",AQ666,2)-1),TRUE,LEFT(AQ666,vitri(".",AQ666,1)-1))</f>
        <v/>
      </c>
    </row>
    <row r="667" spans="13:54" x14ac:dyDescent="0.25">
      <c r="M667" s="382"/>
      <c r="BB667" s="253" t="str">
        <f t="array" ref="BB667">_xlfn.IFS(AQ667="","",LEN(AQ667)-LEN(SUBSTITUTE(AQ667,".",""))=3,LEFT(AQ667,vitri(".",AQ667,3)-1),LEN(AQ667)-LEN(SUBSTITUTE(AQ667,".",""))=2,LEFT(AQ667,vitri(".",AQ667,2)-1),TRUE,LEFT(AQ667,vitri(".",AQ667,1)-1))</f>
        <v/>
      </c>
    </row>
    <row r="668" spans="13:54" x14ac:dyDescent="0.25">
      <c r="M668" s="382"/>
      <c r="BB668" s="253" t="str">
        <f t="array" ref="BB668">_xlfn.IFS(AQ668="","",LEN(AQ668)-LEN(SUBSTITUTE(AQ668,".",""))=3,LEFT(AQ668,vitri(".",AQ668,3)-1),LEN(AQ668)-LEN(SUBSTITUTE(AQ668,".",""))=2,LEFT(AQ668,vitri(".",AQ668,2)-1),TRUE,LEFT(AQ668,vitri(".",AQ668,1)-1))</f>
        <v/>
      </c>
    </row>
    <row r="669" spans="13:54" x14ac:dyDescent="0.25">
      <c r="M669" s="382"/>
      <c r="BB669" s="253" t="str">
        <f t="array" ref="BB669">_xlfn.IFS(AQ669="","",LEN(AQ669)-LEN(SUBSTITUTE(AQ669,".",""))=3,LEFT(AQ669,vitri(".",AQ669,3)-1),LEN(AQ669)-LEN(SUBSTITUTE(AQ669,".",""))=2,LEFT(AQ669,vitri(".",AQ669,2)-1),TRUE,LEFT(AQ669,vitri(".",AQ669,1)-1))</f>
        <v/>
      </c>
    </row>
    <row r="670" spans="13:54" x14ac:dyDescent="0.25">
      <c r="M670" s="382"/>
      <c r="BB670" s="253" t="str">
        <f t="array" ref="BB670">_xlfn.IFS(AQ670="","",LEN(AQ670)-LEN(SUBSTITUTE(AQ670,".",""))=3,LEFT(AQ670,vitri(".",AQ670,3)-1),LEN(AQ670)-LEN(SUBSTITUTE(AQ670,".",""))=2,LEFT(AQ670,vitri(".",AQ670,2)-1),TRUE,LEFT(AQ670,vitri(".",AQ670,1)-1))</f>
        <v/>
      </c>
    </row>
    <row r="671" spans="13:54" x14ac:dyDescent="0.25">
      <c r="M671" s="382"/>
      <c r="BB671" s="253" t="str">
        <f t="array" ref="BB671">_xlfn.IFS(AQ671="","",LEN(AQ671)-LEN(SUBSTITUTE(AQ671,".",""))=3,LEFT(AQ671,vitri(".",AQ671,3)-1),LEN(AQ671)-LEN(SUBSTITUTE(AQ671,".",""))=2,LEFT(AQ671,vitri(".",AQ671,2)-1),TRUE,LEFT(AQ671,vitri(".",AQ671,1)-1))</f>
        <v/>
      </c>
    </row>
    <row r="672" spans="13:54" x14ac:dyDescent="0.25">
      <c r="M672" s="382"/>
      <c r="BB672" s="253" t="str">
        <f t="array" ref="BB672">_xlfn.IFS(AQ672="","",LEN(AQ672)-LEN(SUBSTITUTE(AQ672,".",""))=3,LEFT(AQ672,vitri(".",AQ672,3)-1),LEN(AQ672)-LEN(SUBSTITUTE(AQ672,".",""))=2,LEFT(AQ672,vitri(".",AQ672,2)-1),TRUE,LEFT(AQ672,vitri(".",AQ672,1)-1))</f>
        <v/>
      </c>
    </row>
    <row r="673" spans="13:54" x14ac:dyDescent="0.25">
      <c r="M673" s="382"/>
      <c r="BB673" s="253" t="str">
        <f t="array" ref="BB673">_xlfn.IFS(AQ673="","",LEN(AQ673)-LEN(SUBSTITUTE(AQ673,".",""))=3,LEFT(AQ673,vitri(".",AQ673,3)-1),LEN(AQ673)-LEN(SUBSTITUTE(AQ673,".",""))=2,LEFT(AQ673,vitri(".",AQ673,2)-1),TRUE,LEFT(AQ673,vitri(".",AQ673,1)-1))</f>
        <v/>
      </c>
    </row>
    <row r="674" spans="13:54" x14ac:dyDescent="0.25">
      <c r="M674" s="382"/>
      <c r="BB674" s="253" t="str">
        <f t="array" ref="BB674">_xlfn.IFS(AQ674="","",LEN(AQ674)-LEN(SUBSTITUTE(AQ674,".",""))=3,LEFT(AQ674,vitri(".",AQ674,3)-1),LEN(AQ674)-LEN(SUBSTITUTE(AQ674,".",""))=2,LEFT(AQ674,vitri(".",AQ674,2)-1),TRUE,LEFT(AQ674,vitri(".",AQ674,1)-1))</f>
        <v/>
      </c>
    </row>
    <row r="675" spans="13:54" x14ac:dyDescent="0.25">
      <c r="M675" s="382"/>
      <c r="BB675" s="253" t="str">
        <f t="array" ref="BB675">_xlfn.IFS(AQ675="","",LEN(AQ675)-LEN(SUBSTITUTE(AQ675,".",""))=3,LEFT(AQ675,vitri(".",AQ675,3)-1),LEN(AQ675)-LEN(SUBSTITUTE(AQ675,".",""))=2,LEFT(AQ675,vitri(".",AQ675,2)-1),TRUE,LEFT(AQ675,vitri(".",AQ675,1)-1))</f>
        <v/>
      </c>
    </row>
    <row r="676" spans="13:54" x14ac:dyDescent="0.25">
      <c r="M676" s="382"/>
      <c r="BB676" s="253" t="str">
        <f t="array" ref="BB676">_xlfn.IFS(AQ676="","",LEN(AQ676)-LEN(SUBSTITUTE(AQ676,".",""))=3,LEFT(AQ676,vitri(".",AQ676,3)-1),LEN(AQ676)-LEN(SUBSTITUTE(AQ676,".",""))=2,LEFT(AQ676,vitri(".",AQ676,2)-1),TRUE,LEFT(AQ676,vitri(".",AQ676,1)-1))</f>
        <v/>
      </c>
    </row>
    <row r="677" spans="13:54" x14ac:dyDescent="0.25">
      <c r="M677" s="382"/>
      <c r="BB677" s="253" t="str">
        <f t="array" ref="BB677">_xlfn.IFS(AQ677="","",LEN(AQ677)-LEN(SUBSTITUTE(AQ677,".",""))=3,LEFT(AQ677,vitri(".",AQ677,3)-1),LEN(AQ677)-LEN(SUBSTITUTE(AQ677,".",""))=2,LEFT(AQ677,vitri(".",AQ677,2)-1),TRUE,LEFT(AQ677,vitri(".",AQ677,1)-1))</f>
        <v/>
      </c>
    </row>
    <row r="678" spans="13:54" x14ac:dyDescent="0.25">
      <c r="M678" s="382"/>
      <c r="BB678" s="253" t="str">
        <f t="array" ref="BB678">_xlfn.IFS(AQ678="","",LEN(AQ678)-LEN(SUBSTITUTE(AQ678,".",""))=3,LEFT(AQ678,vitri(".",AQ678,3)-1),LEN(AQ678)-LEN(SUBSTITUTE(AQ678,".",""))=2,LEFT(AQ678,vitri(".",AQ678,2)-1),TRUE,LEFT(AQ678,vitri(".",AQ678,1)-1))</f>
        <v/>
      </c>
    </row>
    <row r="679" spans="13:54" x14ac:dyDescent="0.25">
      <c r="M679" s="382"/>
      <c r="BB679" s="253" t="str">
        <f t="array" ref="BB679">_xlfn.IFS(AQ679="","",LEN(AQ679)-LEN(SUBSTITUTE(AQ679,".",""))=3,LEFT(AQ679,vitri(".",AQ679,3)-1),LEN(AQ679)-LEN(SUBSTITUTE(AQ679,".",""))=2,LEFT(AQ679,vitri(".",AQ679,2)-1),TRUE,LEFT(AQ679,vitri(".",AQ679,1)-1))</f>
        <v/>
      </c>
    </row>
    <row r="680" spans="13:54" x14ac:dyDescent="0.25">
      <c r="M680" s="382"/>
      <c r="BB680" s="253" t="str">
        <f t="array" ref="BB680">_xlfn.IFS(AQ680="","",LEN(AQ680)-LEN(SUBSTITUTE(AQ680,".",""))=3,LEFT(AQ680,vitri(".",AQ680,3)-1),LEN(AQ680)-LEN(SUBSTITUTE(AQ680,".",""))=2,LEFT(AQ680,vitri(".",AQ680,2)-1),TRUE,LEFT(AQ680,vitri(".",AQ680,1)-1))</f>
        <v/>
      </c>
    </row>
    <row r="681" spans="13:54" x14ac:dyDescent="0.25">
      <c r="M681" s="382"/>
      <c r="BB681" s="253" t="str">
        <f t="array" ref="BB681">_xlfn.IFS(AQ681="","",LEN(AQ681)-LEN(SUBSTITUTE(AQ681,".",""))=3,LEFT(AQ681,vitri(".",AQ681,3)-1),LEN(AQ681)-LEN(SUBSTITUTE(AQ681,".",""))=2,LEFT(AQ681,vitri(".",AQ681,2)-1),TRUE,LEFT(AQ681,vitri(".",AQ681,1)-1))</f>
        <v/>
      </c>
    </row>
    <row r="682" spans="13:54" x14ac:dyDescent="0.25">
      <c r="M682" s="382"/>
      <c r="BB682" s="253" t="str">
        <f t="array" ref="BB682">_xlfn.IFS(AQ682="","",LEN(AQ682)-LEN(SUBSTITUTE(AQ682,".",""))=3,LEFT(AQ682,vitri(".",AQ682,3)-1),LEN(AQ682)-LEN(SUBSTITUTE(AQ682,".",""))=2,LEFT(AQ682,vitri(".",AQ682,2)-1),TRUE,LEFT(AQ682,vitri(".",AQ682,1)-1))</f>
        <v/>
      </c>
    </row>
    <row r="683" spans="13:54" x14ac:dyDescent="0.25">
      <c r="M683" s="382"/>
      <c r="BB683" s="253" t="str">
        <f t="array" ref="BB683">_xlfn.IFS(AQ683="","",LEN(AQ683)-LEN(SUBSTITUTE(AQ683,".",""))=3,LEFT(AQ683,vitri(".",AQ683,3)-1),LEN(AQ683)-LEN(SUBSTITUTE(AQ683,".",""))=2,LEFT(AQ683,vitri(".",AQ683,2)-1),TRUE,LEFT(AQ683,vitri(".",AQ683,1)-1))</f>
        <v/>
      </c>
    </row>
    <row r="684" spans="13:54" x14ac:dyDescent="0.25">
      <c r="M684" s="382"/>
      <c r="BB684" s="253" t="str">
        <f t="array" ref="BB684">_xlfn.IFS(AQ684="","",LEN(AQ684)-LEN(SUBSTITUTE(AQ684,".",""))=3,LEFT(AQ684,vitri(".",AQ684,3)-1),LEN(AQ684)-LEN(SUBSTITUTE(AQ684,".",""))=2,LEFT(AQ684,vitri(".",AQ684,2)-1),TRUE,LEFT(AQ684,vitri(".",AQ684,1)-1))</f>
        <v/>
      </c>
    </row>
    <row r="685" spans="13:54" x14ac:dyDescent="0.25">
      <c r="M685" s="382"/>
      <c r="BB685" s="253" t="str">
        <f t="array" ref="BB685">_xlfn.IFS(AQ685="","",LEN(AQ685)-LEN(SUBSTITUTE(AQ685,".",""))=3,LEFT(AQ685,vitri(".",AQ685,3)-1),LEN(AQ685)-LEN(SUBSTITUTE(AQ685,".",""))=2,LEFT(AQ685,vitri(".",AQ685,2)-1),TRUE,LEFT(AQ685,vitri(".",AQ685,1)-1))</f>
        <v/>
      </c>
    </row>
    <row r="686" spans="13:54" x14ac:dyDescent="0.25">
      <c r="M686" s="382"/>
      <c r="BB686" s="253" t="str">
        <f t="array" ref="BB686">_xlfn.IFS(AQ686="","",LEN(AQ686)-LEN(SUBSTITUTE(AQ686,".",""))=3,LEFT(AQ686,vitri(".",AQ686,3)-1),LEN(AQ686)-LEN(SUBSTITUTE(AQ686,".",""))=2,LEFT(AQ686,vitri(".",AQ686,2)-1),TRUE,LEFT(AQ686,vitri(".",AQ686,1)-1))</f>
        <v/>
      </c>
    </row>
    <row r="687" spans="13:54" x14ac:dyDescent="0.25">
      <c r="M687" s="382"/>
      <c r="BB687" s="253" t="str">
        <f t="array" ref="BB687">_xlfn.IFS(AQ687="","",LEN(AQ687)-LEN(SUBSTITUTE(AQ687,".",""))=3,LEFT(AQ687,vitri(".",AQ687,3)-1),LEN(AQ687)-LEN(SUBSTITUTE(AQ687,".",""))=2,LEFT(AQ687,vitri(".",AQ687,2)-1),TRUE,LEFT(AQ687,vitri(".",AQ687,1)-1))</f>
        <v/>
      </c>
    </row>
    <row r="688" spans="13:54" x14ac:dyDescent="0.25">
      <c r="M688" s="382"/>
      <c r="BB688" s="253" t="str">
        <f t="array" ref="BB688">_xlfn.IFS(AQ688="","",LEN(AQ688)-LEN(SUBSTITUTE(AQ688,".",""))=3,LEFT(AQ688,vitri(".",AQ688,3)-1),LEN(AQ688)-LEN(SUBSTITUTE(AQ688,".",""))=2,LEFT(AQ688,vitri(".",AQ688,2)-1),TRUE,LEFT(AQ688,vitri(".",AQ688,1)-1))</f>
        <v/>
      </c>
    </row>
    <row r="689" spans="13:54" x14ac:dyDescent="0.25">
      <c r="M689" s="382"/>
      <c r="BB689" s="253" t="str">
        <f t="array" ref="BB689">_xlfn.IFS(AQ689="","",LEN(AQ689)-LEN(SUBSTITUTE(AQ689,".",""))=3,LEFT(AQ689,vitri(".",AQ689,3)-1),LEN(AQ689)-LEN(SUBSTITUTE(AQ689,".",""))=2,LEFT(AQ689,vitri(".",AQ689,2)-1),TRUE,LEFT(AQ689,vitri(".",AQ689,1)-1))</f>
        <v/>
      </c>
    </row>
    <row r="690" spans="13:54" x14ac:dyDescent="0.25">
      <c r="M690" s="382"/>
      <c r="BB690" s="253" t="str">
        <f t="array" ref="BB690">_xlfn.IFS(AQ690="","",LEN(AQ690)-LEN(SUBSTITUTE(AQ690,".",""))=3,LEFT(AQ690,vitri(".",AQ690,3)-1),LEN(AQ690)-LEN(SUBSTITUTE(AQ690,".",""))=2,LEFT(AQ690,vitri(".",AQ690,2)-1),TRUE,LEFT(AQ690,vitri(".",AQ690,1)-1))</f>
        <v/>
      </c>
    </row>
    <row r="691" spans="13:54" x14ac:dyDescent="0.25">
      <c r="M691" s="382"/>
      <c r="BB691" s="253" t="str">
        <f t="array" ref="BB691">_xlfn.IFS(AQ691="","",LEN(AQ691)-LEN(SUBSTITUTE(AQ691,".",""))=3,LEFT(AQ691,vitri(".",AQ691,3)-1),LEN(AQ691)-LEN(SUBSTITUTE(AQ691,".",""))=2,LEFT(AQ691,vitri(".",AQ691,2)-1),TRUE,LEFT(AQ691,vitri(".",AQ691,1)-1))</f>
        <v/>
      </c>
    </row>
    <row r="692" spans="13:54" x14ac:dyDescent="0.25">
      <c r="M692" s="382"/>
      <c r="BB692" s="253" t="str">
        <f t="array" ref="BB692">_xlfn.IFS(AQ692="","",LEN(AQ692)-LEN(SUBSTITUTE(AQ692,".",""))=3,LEFT(AQ692,vitri(".",AQ692,3)-1),LEN(AQ692)-LEN(SUBSTITUTE(AQ692,".",""))=2,LEFT(AQ692,vitri(".",AQ692,2)-1),TRUE,LEFT(AQ692,vitri(".",AQ692,1)-1))</f>
        <v/>
      </c>
    </row>
    <row r="693" spans="13:54" x14ac:dyDescent="0.25">
      <c r="M693" s="382"/>
      <c r="BB693" s="253" t="str">
        <f t="array" ref="BB693">_xlfn.IFS(AQ693="","",LEN(AQ693)-LEN(SUBSTITUTE(AQ693,".",""))=3,LEFT(AQ693,vitri(".",AQ693,3)-1),LEN(AQ693)-LEN(SUBSTITUTE(AQ693,".",""))=2,LEFT(AQ693,vitri(".",AQ693,2)-1),TRUE,LEFT(AQ693,vitri(".",AQ693,1)-1))</f>
        <v/>
      </c>
    </row>
    <row r="694" spans="13:54" x14ac:dyDescent="0.25">
      <c r="M694" s="382"/>
      <c r="BB694" s="253" t="str">
        <f t="array" ref="BB694">_xlfn.IFS(AQ694="","",LEN(AQ694)-LEN(SUBSTITUTE(AQ694,".",""))=3,LEFT(AQ694,vitri(".",AQ694,3)-1),LEN(AQ694)-LEN(SUBSTITUTE(AQ694,".",""))=2,LEFT(AQ694,vitri(".",AQ694,2)-1),TRUE,LEFT(AQ694,vitri(".",AQ694,1)-1))</f>
        <v/>
      </c>
    </row>
    <row r="695" spans="13:54" x14ac:dyDescent="0.25">
      <c r="M695" s="382"/>
      <c r="BB695" s="253" t="str">
        <f t="array" ref="BB695">_xlfn.IFS(AQ695="","",LEN(AQ695)-LEN(SUBSTITUTE(AQ695,".",""))=3,LEFT(AQ695,vitri(".",AQ695,3)-1),LEN(AQ695)-LEN(SUBSTITUTE(AQ695,".",""))=2,LEFT(AQ695,vitri(".",AQ695,2)-1),TRUE,LEFT(AQ695,vitri(".",AQ695,1)-1))</f>
        <v/>
      </c>
    </row>
    <row r="696" spans="13:54" x14ac:dyDescent="0.25">
      <c r="M696" s="382"/>
      <c r="BB696" s="253" t="str">
        <f t="array" ref="BB696">_xlfn.IFS(AQ696="","",LEN(AQ696)-LEN(SUBSTITUTE(AQ696,".",""))=3,LEFT(AQ696,vitri(".",AQ696,3)-1),LEN(AQ696)-LEN(SUBSTITUTE(AQ696,".",""))=2,LEFT(AQ696,vitri(".",AQ696,2)-1),TRUE,LEFT(AQ696,vitri(".",AQ696,1)-1))</f>
        <v/>
      </c>
    </row>
    <row r="697" spans="13:54" x14ac:dyDescent="0.25">
      <c r="M697" s="382"/>
      <c r="BB697" s="253" t="str">
        <f t="array" ref="BB697">_xlfn.IFS(AQ697="","",LEN(AQ697)-LEN(SUBSTITUTE(AQ697,".",""))=3,LEFT(AQ697,vitri(".",AQ697,3)-1),LEN(AQ697)-LEN(SUBSTITUTE(AQ697,".",""))=2,LEFT(AQ697,vitri(".",AQ697,2)-1),TRUE,LEFT(AQ697,vitri(".",AQ697,1)-1))</f>
        <v/>
      </c>
    </row>
    <row r="698" spans="13:54" x14ac:dyDescent="0.25">
      <c r="M698" s="382"/>
      <c r="BB698" s="253" t="str">
        <f t="array" ref="BB698">_xlfn.IFS(AQ698="","",LEN(AQ698)-LEN(SUBSTITUTE(AQ698,".",""))=3,LEFT(AQ698,vitri(".",AQ698,3)-1),LEN(AQ698)-LEN(SUBSTITUTE(AQ698,".",""))=2,LEFT(AQ698,vitri(".",AQ698,2)-1),TRUE,LEFT(AQ698,vitri(".",AQ698,1)-1))</f>
        <v/>
      </c>
    </row>
    <row r="699" spans="13:54" x14ac:dyDescent="0.25">
      <c r="M699" s="382"/>
      <c r="BB699" s="253" t="str">
        <f t="array" ref="BB699">_xlfn.IFS(AQ699="","",LEN(AQ699)-LEN(SUBSTITUTE(AQ699,".",""))=3,LEFT(AQ699,vitri(".",AQ699,3)-1),LEN(AQ699)-LEN(SUBSTITUTE(AQ699,".",""))=2,LEFT(AQ699,vitri(".",AQ699,2)-1),TRUE,LEFT(AQ699,vitri(".",AQ699,1)-1))</f>
        <v/>
      </c>
    </row>
    <row r="700" spans="13:54" x14ac:dyDescent="0.25">
      <c r="M700" s="382"/>
      <c r="BB700" s="253" t="str">
        <f t="array" ref="BB700">_xlfn.IFS(AQ700="","",LEN(AQ700)-LEN(SUBSTITUTE(AQ700,".",""))=3,LEFT(AQ700,vitri(".",AQ700,3)-1),LEN(AQ700)-LEN(SUBSTITUTE(AQ700,".",""))=2,LEFT(AQ700,vitri(".",AQ700,2)-1),TRUE,LEFT(AQ700,vitri(".",AQ700,1)-1))</f>
        <v/>
      </c>
    </row>
    <row r="701" spans="13:54" x14ac:dyDescent="0.25">
      <c r="M701" s="382"/>
      <c r="BB701" s="253" t="str">
        <f t="array" ref="BB701">_xlfn.IFS(AQ701="","",LEN(AQ701)-LEN(SUBSTITUTE(AQ701,".",""))=3,LEFT(AQ701,vitri(".",AQ701,3)-1),LEN(AQ701)-LEN(SUBSTITUTE(AQ701,".",""))=2,LEFT(AQ701,vitri(".",AQ701,2)-1),TRUE,LEFT(AQ701,vitri(".",AQ701,1)-1))</f>
        <v/>
      </c>
    </row>
    <row r="702" spans="13:54" x14ac:dyDescent="0.25">
      <c r="M702" s="382"/>
      <c r="BB702" s="253" t="str">
        <f t="array" ref="BB702">_xlfn.IFS(AQ702="","",LEN(AQ702)-LEN(SUBSTITUTE(AQ702,".",""))=3,LEFT(AQ702,vitri(".",AQ702,3)-1),LEN(AQ702)-LEN(SUBSTITUTE(AQ702,".",""))=2,LEFT(AQ702,vitri(".",AQ702,2)-1),TRUE,LEFT(AQ702,vitri(".",AQ702,1)-1))</f>
        <v/>
      </c>
    </row>
    <row r="703" spans="13:54" x14ac:dyDescent="0.25">
      <c r="M703" s="382"/>
      <c r="BB703" s="253" t="str">
        <f t="array" ref="BB703">_xlfn.IFS(AQ703="","",LEN(AQ703)-LEN(SUBSTITUTE(AQ703,".",""))=3,LEFT(AQ703,vitri(".",AQ703,3)-1),LEN(AQ703)-LEN(SUBSTITUTE(AQ703,".",""))=2,LEFT(AQ703,vitri(".",AQ703,2)-1),TRUE,LEFT(AQ703,vitri(".",AQ703,1)-1))</f>
        <v/>
      </c>
    </row>
    <row r="704" spans="13:54" x14ac:dyDescent="0.25">
      <c r="M704" s="382"/>
      <c r="BB704" s="253" t="str">
        <f t="array" ref="BB704">_xlfn.IFS(AQ704="","",LEN(AQ704)-LEN(SUBSTITUTE(AQ704,".",""))=3,LEFT(AQ704,vitri(".",AQ704,3)-1),LEN(AQ704)-LEN(SUBSTITUTE(AQ704,".",""))=2,LEFT(AQ704,vitri(".",AQ704,2)-1),TRUE,LEFT(AQ704,vitri(".",AQ704,1)-1))</f>
        <v/>
      </c>
    </row>
    <row r="705" spans="13:54" x14ac:dyDescent="0.25">
      <c r="M705" s="382"/>
      <c r="BB705" s="253" t="str">
        <f t="array" ref="BB705">_xlfn.IFS(AQ705="","",LEN(AQ705)-LEN(SUBSTITUTE(AQ705,".",""))=3,LEFT(AQ705,vitri(".",AQ705,3)-1),LEN(AQ705)-LEN(SUBSTITUTE(AQ705,".",""))=2,LEFT(AQ705,vitri(".",AQ705,2)-1),TRUE,LEFT(AQ705,vitri(".",AQ705,1)-1))</f>
        <v/>
      </c>
    </row>
    <row r="706" spans="13:54" x14ac:dyDescent="0.25">
      <c r="M706" s="382"/>
      <c r="BB706" s="253" t="str">
        <f t="array" ref="BB706">_xlfn.IFS(AQ706="","",LEN(AQ706)-LEN(SUBSTITUTE(AQ706,".",""))=3,LEFT(AQ706,vitri(".",AQ706,3)-1),LEN(AQ706)-LEN(SUBSTITUTE(AQ706,".",""))=2,LEFT(AQ706,vitri(".",AQ706,2)-1),TRUE,LEFT(AQ706,vitri(".",AQ706,1)-1))</f>
        <v/>
      </c>
    </row>
    <row r="707" spans="13:54" x14ac:dyDescent="0.25">
      <c r="M707" s="382"/>
      <c r="BB707" s="253" t="str">
        <f t="array" ref="BB707">_xlfn.IFS(AQ707="","",LEN(AQ707)-LEN(SUBSTITUTE(AQ707,".",""))=3,LEFT(AQ707,vitri(".",AQ707,3)-1),LEN(AQ707)-LEN(SUBSTITUTE(AQ707,".",""))=2,LEFT(AQ707,vitri(".",AQ707,2)-1),TRUE,LEFT(AQ707,vitri(".",AQ707,1)-1))</f>
        <v/>
      </c>
    </row>
    <row r="708" spans="13:54" x14ac:dyDescent="0.25">
      <c r="M708" s="382"/>
      <c r="BB708" s="253" t="str">
        <f t="array" ref="BB708">_xlfn.IFS(AQ708="","",LEN(AQ708)-LEN(SUBSTITUTE(AQ708,".",""))=3,LEFT(AQ708,vitri(".",AQ708,3)-1),LEN(AQ708)-LEN(SUBSTITUTE(AQ708,".",""))=2,LEFT(AQ708,vitri(".",AQ708,2)-1),TRUE,LEFT(AQ708,vitri(".",AQ708,1)-1))</f>
        <v/>
      </c>
    </row>
    <row r="709" spans="13:54" x14ac:dyDescent="0.25">
      <c r="M709" s="382"/>
      <c r="BB709" s="253" t="str">
        <f t="array" ref="BB709">_xlfn.IFS(AQ709="","",LEN(AQ709)-LEN(SUBSTITUTE(AQ709,".",""))=3,LEFT(AQ709,vitri(".",AQ709,3)-1),LEN(AQ709)-LEN(SUBSTITUTE(AQ709,".",""))=2,LEFT(AQ709,vitri(".",AQ709,2)-1),TRUE,LEFT(AQ709,vitri(".",AQ709,1)-1))</f>
        <v/>
      </c>
    </row>
    <row r="710" spans="13:54" x14ac:dyDescent="0.25">
      <c r="M710" s="382"/>
      <c r="BB710" s="253" t="str">
        <f t="array" ref="BB710">_xlfn.IFS(AQ710="","",LEN(AQ710)-LEN(SUBSTITUTE(AQ710,".",""))=3,LEFT(AQ710,vitri(".",AQ710,3)-1),LEN(AQ710)-LEN(SUBSTITUTE(AQ710,".",""))=2,LEFT(AQ710,vitri(".",AQ710,2)-1),TRUE,LEFT(AQ710,vitri(".",AQ710,1)-1))</f>
        <v/>
      </c>
    </row>
    <row r="711" spans="13:54" x14ac:dyDescent="0.25">
      <c r="M711" s="382"/>
      <c r="BB711" s="253" t="str">
        <f t="array" ref="BB711">_xlfn.IFS(AQ711="","",LEN(AQ711)-LEN(SUBSTITUTE(AQ711,".",""))=3,LEFT(AQ711,vitri(".",AQ711,3)-1),LEN(AQ711)-LEN(SUBSTITUTE(AQ711,".",""))=2,LEFT(AQ711,vitri(".",AQ711,2)-1),TRUE,LEFT(AQ711,vitri(".",AQ711,1)-1))</f>
        <v/>
      </c>
    </row>
    <row r="712" spans="13:54" x14ac:dyDescent="0.25">
      <c r="M712" s="382"/>
      <c r="BB712" s="253" t="str">
        <f t="array" ref="BB712">_xlfn.IFS(AQ712="","",LEN(AQ712)-LEN(SUBSTITUTE(AQ712,".",""))=3,LEFT(AQ712,vitri(".",AQ712,3)-1),LEN(AQ712)-LEN(SUBSTITUTE(AQ712,".",""))=2,LEFT(AQ712,vitri(".",AQ712,2)-1),TRUE,LEFT(AQ712,vitri(".",AQ712,1)-1))</f>
        <v/>
      </c>
    </row>
    <row r="713" spans="13:54" x14ac:dyDescent="0.25">
      <c r="M713" s="382"/>
      <c r="BB713" s="253" t="str">
        <f t="array" ref="BB713">_xlfn.IFS(AQ713="","",LEN(AQ713)-LEN(SUBSTITUTE(AQ713,".",""))=3,LEFT(AQ713,vitri(".",AQ713,3)-1),LEN(AQ713)-LEN(SUBSTITUTE(AQ713,".",""))=2,LEFT(AQ713,vitri(".",AQ713,2)-1),TRUE,LEFT(AQ713,vitri(".",AQ713,1)-1))</f>
        <v/>
      </c>
    </row>
    <row r="714" spans="13:54" x14ac:dyDescent="0.25">
      <c r="M714" s="382"/>
      <c r="BB714" s="253" t="str">
        <f t="array" ref="BB714">_xlfn.IFS(AQ714="","",LEN(AQ714)-LEN(SUBSTITUTE(AQ714,".",""))=3,LEFT(AQ714,vitri(".",AQ714,3)-1),LEN(AQ714)-LEN(SUBSTITUTE(AQ714,".",""))=2,LEFT(AQ714,vitri(".",AQ714,2)-1),TRUE,LEFT(AQ714,vitri(".",AQ714,1)-1))</f>
        <v/>
      </c>
    </row>
    <row r="715" spans="13:54" x14ac:dyDescent="0.25">
      <c r="M715" s="382"/>
      <c r="BB715" s="253" t="str">
        <f t="array" ref="BB715">_xlfn.IFS(AQ715="","",LEN(AQ715)-LEN(SUBSTITUTE(AQ715,".",""))=3,LEFT(AQ715,vitri(".",AQ715,3)-1),LEN(AQ715)-LEN(SUBSTITUTE(AQ715,".",""))=2,LEFT(AQ715,vitri(".",AQ715,2)-1),TRUE,LEFT(AQ715,vitri(".",AQ715,1)-1))</f>
        <v/>
      </c>
    </row>
    <row r="716" spans="13:54" x14ac:dyDescent="0.25">
      <c r="M716" s="382"/>
      <c r="BB716" s="253" t="str">
        <f t="array" ref="BB716">_xlfn.IFS(AQ716="","",LEN(AQ716)-LEN(SUBSTITUTE(AQ716,".",""))=3,LEFT(AQ716,vitri(".",AQ716,3)-1),LEN(AQ716)-LEN(SUBSTITUTE(AQ716,".",""))=2,LEFT(AQ716,vitri(".",AQ716,2)-1),TRUE,LEFT(AQ716,vitri(".",AQ716,1)-1))</f>
        <v/>
      </c>
    </row>
    <row r="717" spans="13:54" x14ac:dyDescent="0.25">
      <c r="M717" s="382"/>
      <c r="BB717" s="253" t="str">
        <f t="array" ref="BB717">_xlfn.IFS(AQ717="","",LEN(AQ717)-LEN(SUBSTITUTE(AQ717,".",""))=3,LEFT(AQ717,vitri(".",AQ717,3)-1),LEN(AQ717)-LEN(SUBSTITUTE(AQ717,".",""))=2,LEFT(AQ717,vitri(".",AQ717,2)-1),TRUE,LEFT(AQ717,vitri(".",AQ717,1)-1))</f>
        <v/>
      </c>
    </row>
    <row r="718" spans="13:54" x14ac:dyDescent="0.25">
      <c r="M718" s="382"/>
      <c r="BB718" s="253" t="str">
        <f t="array" ref="BB718">_xlfn.IFS(AQ718="","",LEN(AQ718)-LEN(SUBSTITUTE(AQ718,".",""))=3,LEFT(AQ718,vitri(".",AQ718,3)-1),LEN(AQ718)-LEN(SUBSTITUTE(AQ718,".",""))=2,LEFT(AQ718,vitri(".",AQ718,2)-1),TRUE,LEFT(AQ718,vitri(".",AQ718,1)-1))</f>
        <v/>
      </c>
    </row>
    <row r="719" spans="13:54" x14ac:dyDescent="0.25">
      <c r="M719" s="382"/>
      <c r="BB719" s="253" t="str">
        <f t="array" ref="BB719">_xlfn.IFS(AQ719="","",LEN(AQ719)-LEN(SUBSTITUTE(AQ719,".",""))=3,LEFT(AQ719,vitri(".",AQ719,3)-1),LEN(AQ719)-LEN(SUBSTITUTE(AQ719,".",""))=2,LEFT(AQ719,vitri(".",AQ719,2)-1),TRUE,LEFT(AQ719,vitri(".",AQ719,1)-1))</f>
        <v/>
      </c>
    </row>
    <row r="720" spans="13:54" x14ac:dyDescent="0.25">
      <c r="M720" s="382"/>
      <c r="BB720" s="253" t="str">
        <f t="array" ref="BB720">_xlfn.IFS(AQ720="","",LEN(AQ720)-LEN(SUBSTITUTE(AQ720,".",""))=3,LEFT(AQ720,vitri(".",AQ720,3)-1),LEN(AQ720)-LEN(SUBSTITUTE(AQ720,".",""))=2,LEFT(AQ720,vitri(".",AQ720,2)-1),TRUE,LEFT(AQ720,vitri(".",AQ720,1)-1))</f>
        <v/>
      </c>
    </row>
    <row r="721" spans="13:54" x14ac:dyDescent="0.25">
      <c r="M721" s="382"/>
      <c r="BB721" s="253" t="str">
        <f t="array" ref="BB721">_xlfn.IFS(AQ721="","",LEN(AQ721)-LEN(SUBSTITUTE(AQ721,".",""))=3,LEFT(AQ721,vitri(".",AQ721,3)-1),LEN(AQ721)-LEN(SUBSTITUTE(AQ721,".",""))=2,LEFT(AQ721,vitri(".",AQ721,2)-1),TRUE,LEFT(AQ721,vitri(".",AQ721,1)-1))</f>
        <v/>
      </c>
    </row>
    <row r="722" spans="13:54" x14ac:dyDescent="0.25">
      <c r="M722" s="382"/>
      <c r="BB722" s="253" t="str">
        <f t="array" ref="BB722">_xlfn.IFS(AQ722="","",LEN(AQ722)-LEN(SUBSTITUTE(AQ722,".",""))=3,LEFT(AQ722,vitri(".",AQ722,3)-1),LEN(AQ722)-LEN(SUBSTITUTE(AQ722,".",""))=2,LEFT(AQ722,vitri(".",AQ722,2)-1),TRUE,LEFT(AQ722,vitri(".",AQ722,1)-1))</f>
        <v/>
      </c>
    </row>
    <row r="723" spans="13:54" x14ac:dyDescent="0.25">
      <c r="M723" s="382"/>
      <c r="BB723" s="253" t="str">
        <f t="array" ref="BB723">_xlfn.IFS(AQ723="","",LEN(AQ723)-LEN(SUBSTITUTE(AQ723,".",""))=3,LEFT(AQ723,vitri(".",AQ723,3)-1),LEN(AQ723)-LEN(SUBSTITUTE(AQ723,".",""))=2,LEFT(AQ723,vitri(".",AQ723,2)-1),TRUE,LEFT(AQ723,vitri(".",AQ723,1)-1))</f>
        <v/>
      </c>
    </row>
    <row r="724" spans="13:54" x14ac:dyDescent="0.25">
      <c r="M724" s="382"/>
      <c r="BB724" s="253" t="str">
        <f t="array" ref="BB724">_xlfn.IFS(AQ724="","",LEN(AQ724)-LEN(SUBSTITUTE(AQ724,".",""))=3,LEFT(AQ724,vitri(".",AQ724,3)-1),LEN(AQ724)-LEN(SUBSTITUTE(AQ724,".",""))=2,LEFT(AQ724,vitri(".",AQ724,2)-1),TRUE,LEFT(AQ724,vitri(".",AQ724,1)-1))</f>
        <v/>
      </c>
    </row>
    <row r="725" spans="13:54" x14ac:dyDescent="0.25">
      <c r="M725" s="382"/>
      <c r="BB725" s="253" t="str">
        <f t="array" ref="BB725">_xlfn.IFS(AQ725="","",LEN(AQ725)-LEN(SUBSTITUTE(AQ725,".",""))=3,LEFT(AQ725,vitri(".",AQ725,3)-1),LEN(AQ725)-LEN(SUBSTITUTE(AQ725,".",""))=2,LEFT(AQ725,vitri(".",AQ725,2)-1),TRUE,LEFT(AQ725,vitri(".",AQ725,1)-1))</f>
        <v/>
      </c>
    </row>
    <row r="726" spans="13:54" x14ac:dyDescent="0.25">
      <c r="M726" s="382"/>
      <c r="BB726" s="253" t="str">
        <f t="array" ref="BB726">_xlfn.IFS(AQ726="","",LEN(AQ726)-LEN(SUBSTITUTE(AQ726,".",""))=3,LEFT(AQ726,vitri(".",AQ726,3)-1),LEN(AQ726)-LEN(SUBSTITUTE(AQ726,".",""))=2,LEFT(AQ726,vitri(".",AQ726,2)-1),TRUE,LEFT(AQ726,vitri(".",AQ726,1)-1))</f>
        <v/>
      </c>
    </row>
    <row r="727" spans="13:54" x14ac:dyDescent="0.25">
      <c r="M727" s="382"/>
      <c r="BB727" s="253" t="str">
        <f t="array" ref="BB727">_xlfn.IFS(AQ727="","",LEN(AQ727)-LEN(SUBSTITUTE(AQ727,".",""))=3,LEFT(AQ727,vitri(".",AQ727,3)-1),LEN(AQ727)-LEN(SUBSTITUTE(AQ727,".",""))=2,LEFT(AQ727,vitri(".",AQ727,2)-1),TRUE,LEFT(AQ727,vitri(".",AQ727,1)-1))</f>
        <v/>
      </c>
    </row>
    <row r="728" spans="13:54" x14ac:dyDescent="0.25">
      <c r="M728" s="382"/>
      <c r="BB728" s="253" t="str">
        <f t="array" ref="BB728">_xlfn.IFS(AQ728="","",LEN(AQ728)-LEN(SUBSTITUTE(AQ728,".",""))=3,LEFT(AQ728,vitri(".",AQ728,3)-1),LEN(AQ728)-LEN(SUBSTITUTE(AQ728,".",""))=2,LEFT(AQ728,vitri(".",AQ728,2)-1),TRUE,LEFT(AQ728,vitri(".",AQ728,1)-1))</f>
        <v/>
      </c>
    </row>
    <row r="729" spans="13:54" x14ac:dyDescent="0.25">
      <c r="M729" s="382"/>
      <c r="BB729" s="253" t="str">
        <f t="array" ref="BB729">_xlfn.IFS(AQ729="","",LEN(AQ729)-LEN(SUBSTITUTE(AQ729,".",""))=3,LEFT(AQ729,vitri(".",AQ729,3)-1),LEN(AQ729)-LEN(SUBSTITUTE(AQ729,".",""))=2,LEFT(AQ729,vitri(".",AQ729,2)-1),TRUE,LEFT(AQ729,vitri(".",AQ729,1)-1))</f>
        <v/>
      </c>
    </row>
    <row r="730" spans="13:54" x14ac:dyDescent="0.25">
      <c r="M730" s="382"/>
      <c r="BB730" s="253" t="str">
        <f t="array" ref="BB730">_xlfn.IFS(AQ730="","",LEN(AQ730)-LEN(SUBSTITUTE(AQ730,".",""))=3,LEFT(AQ730,vitri(".",AQ730,3)-1),LEN(AQ730)-LEN(SUBSTITUTE(AQ730,".",""))=2,LEFT(AQ730,vitri(".",AQ730,2)-1),TRUE,LEFT(AQ730,vitri(".",AQ730,1)-1))</f>
        <v/>
      </c>
    </row>
    <row r="731" spans="13:54" x14ac:dyDescent="0.25">
      <c r="M731" s="382"/>
      <c r="BB731" s="253" t="str">
        <f t="array" ref="BB731">_xlfn.IFS(AQ731="","",LEN(AQ731)-LEN(SUBSTITUTE(AQ731,".",""))=3,LEFT(AQ731,vitri(".",AQ731,3)-1),LEN(AQ731)-LEN(SUBSTITUTE(AQ731,".",""))=2,LEFT(AQ731,vitri(".",AQ731,2)-1),TRUE,LEFT(AQ731,vitri(".",AQ731,1)-1))</f>
        <v/>
      </c>
    </row>
    <row r="732" spans="13:54" x14ac:dyDescent="0.25">
      <c r="M732" s="382"/>
      <c r="BB732" s="253" t="str">
        <f t="array" ref="BB732">_xlfn.IFS(AQ732="","",LEN(AQ732)-LEN(SUBSTITUTE(AQ732,".",""))=3,LEFT(AQ732,vitri(".",AQ732,3)-1),LEN(AQ732)-LEN(SUBSTITUTE(AQ732,".",""))=2,LEFT(AQ732,vitri(".",AQ732,2)-1),TRUE,LEFT(AQ732,vitri(".",AQ732,1)-1))</f>
        <v/>
      </c>
    </row>
    <row r="733" spans="13:54" x14ac:dyDescent="0.25">
      <c r="M733" s="382"/>
      <c r="BB733" s="253" t="str">
        <f t="array" ref="BB733">_xlfn.IFS(AQ733="","",LEN(AQ733)-LEN(SUBSTITUTE(AQ733,".",""))=3,LEFT(AQ733,vitri(".",AQ733,3)-1),LEN(AQ733)-LEN(SUBSTITUTE(AQ733,".",""))=2,LEFT(AQ733,vitri(".",AQ733,2)-1),TRUE,LEFT(AQ733,vitri(".",AQ733,1)-1))</f>
        <v/>
      </c>
    </row>
    <row r="734" spans="13:54" x14ac:dyDescent="0.25">
      <c r="M734" s="382"/>
      <c r="BB734" s="253" t="str">
        <f t="array" ref="BB734">_xlfn.IFS(AQ734="","",LEN(AQ734)-LEN(SUBSTITUTE(AQ734,".",""))=3,LEFT(AQ734,vitri(".",AQ734,3)-1),LEN(AQ734)-LEN(SUBSTITUTE(AQ734,".",""))=2,LEFT(AQ734,vitri(".",AQ734,2)-1),TRUE,LEFT(AQ734,vitri(".",AQ734,1)-1))</f>
        <v/>
      </c>
    </row>
    <row r="735" spans="13:54" x14ac:dyDescent="0.25">
      <c r="M735" s="382"/>
      <c r="BB735" s="253" t="str">
        <f t="array" ref="BB735">_xlfn.IFS(AQ735="","",LEN(AQ735)-LEN(SUBSTITUTE(AQ735,".",""))=3,LEFT(AQ735,vitri(".",AQ735,3)-1),LEN(AQ735)-LEN(SUBSTITUTE(AQ735,".",""))=2,LEFT(AQ735,vitri(".",AQ735,2)-1),TRUE,LEFT(AQ735,vitri(".",AQ735,1)-1))</f>
        <v/>
      </c>
    </row>
    <row r="736" spans="13:54" x14ac:dyDescent="0.25">
      <c r="M736" s="382"/>
      <c r="BB736" s="253" t="str">
        <f t="array" ref="BB736">_xlfn.IFS(AQ736="","",LEN(AQ736)-LEN(SUBSTITUTE(AQ736,".",""))=3,LEFT(AQ736,vitri(".",AQ736,3)-1),LEN(AQ736)-LEN(SUBSTITUTE(AQ736,".",""))=2,LEFT(AQ736,vitri(".",AQ736,2)-1),TRUE,LEFT(AQ736,vitri(".",AQ736,1)-1))</f>
        <v/>
      </c>
    </row>
    <row r="737" spans="13:54" x14ac:dyDescent="0.25">
      <c r="M737" s="382"/>
      <c r="BB737" s="253" t="str">
        <f t="array" ref="BB737">_xlfn.IFS(AQ737="","",LEN(AQ737)-LEN(SUBSTITUTE(AQ737,".",""))=3,LEFT(AQ737,vitri(".",AQ737,3)-1),LEN(AQ737)-LEN(SUBSTITUTE(AQ737,".",""))=2,LEFT(AQ737,vitri(".",AQ737,2)-1),TRUE,LEFT(AQ737,vitri(".",AQ737,1)-1))</f>
        <v/>
      </c>
    </row>
    <row r="738" spans="13:54" x14ac:dyDescent="0.25">
      <c r="M738" s="382"/>
      <c r="BB738" s="253" t="str">
        <f t="array" ref="BB738">_xlfn.IFS(AQ738="","",LEN(AQ738)-LEN(SUBSTITUTE(AQ738,".",""))=3,LEFT(AQ738,vitri(".",AQ738,3)-1),LEN(AQ738)-LEN(SUBSTITUTE(AQ738,".",""))=2,LEFT(AQ738,vitri(".",AQ738,2)-1),TRUE,LEFT(AQ738,vitri(".",AQ738,1)-1))</f>
        <v/>
      </c>
    </row>
    <row r="739" spans="13:54" x14ac:dyDescent="0.25">
      <c r="M739" s="382"/>
      <c r="BB739" s="253" t="str">
        <f t="array" ref="BB739">_xlfn.IFS(AQ739="","",LEN(AQ739)-LEN(SUBSTITUTE(AQ739,".",""))=3,LEFT(AQ739,vitri(".",AQ739,3)-1),LEN(AQ739)-LEN(SUBSTITUTE(AQ739,".",""))=2,LEFT(AQ739,vitri(".",AQ739,2)-1),TRUE,LEFT(AQ739,vitri(".",AQ739,1)-1))</f>
        <v/>
      </c>
    </row>
    <row r="740" spans="13:54" x14ac:dyDescent="0.25">
      <c r="M740" s="382"/>
      <c r="BB740" s="253" t="str">
        <f t="array" ref="BB740">_xlfn.IFS(AQ740="","",LEN(AQ740)-LEN(SUBSTITUTE(AQ740,".",""))=3,LEFT(AQ740,vitri(".",AQ740,3)-1),LEN(AQ740)-LEN(SUBSTITUTE(AQ740,".",""))=2,LEFT(AQ740,vitri(".",AQ740,2)-1),TRUE,LEFT(AQ740,vitri(".",AQ740,1)-1))</f>
        <v/>
      </c>
    </row>
    <row r="741" spans="13:54" x14ac:dyDescent="0.25">
      <c r="M741" s="382"/>
      <c r="BB741" s="253" t="str">
        <f t="array" ref="BB741">_xlfn.IFS(AQ741="","",LEN(AQ741)-LEN(SUBSTITUTE(AQ741,".",""))=3,LEFT(AQ741,vitri(".",AQ741,3)-1),LEN(AQ741)-LEN(SUBSTITUTE(AQ741,".",""))=2,LEFT(AQ741,vitri(".",AQ741,2)-1),TRUE,LEFT(AQ741,vitri(".",AQ741,1)-1))</f>
        <v/>
      </c>
    </row>
    <row r="742" spans="13:54" x14ac:dyDescent="0.25">
      <c r="M742" s="382"/>
      <c r="BB742" s="253" t="str">
        <f t="array" ref="BB742">_xlfn.IFS(AQ742="","",LEN(AQ742)-LEN(SUBSTITUTE(AQ742,".",""))=3,LEFT(AQ742,vitri(".",AQ742,3)-1),LEN(AQ742)-LEN(SUBSTITUTE(AQ742,".",""))=2,LEFT(AQ742,vitri(".",AQ742,2)-1),TRUE,LEFT(AQ742,vitri(".",AQ742,1)-1))</f>
        <v/>
      </c>
    </row>
    <row r="743" spans="13:54" x14ac:dyDescent="0.25">
      <c r="M743" s="382"/>
      <c r="BB743" s="253" t="str">
        <f t="array" ref="BB743">_xlfn.IFS(AQ743="","",LEN(AQ743)-LEN(SUBSTITUTE(AQ743,".",""))=3,LEFT(AQ743,vitri(".",AQ743,3)-1),LEN(AQ743)-LEN(SUBSTITUTE(AQ743,".",""))=2,LEFT(AQ743,vitri(".",AQ743,2)-1),TRUE,LEFT(AQ743,vitri(".",AQ743,1)-1))</f>
        <v/>
      </c>
    </row>
    <row r="744" spans="13:54" x14ac:dyDescent="0.25">
      <c r="M744" s="382"/>
      <c r="BB744" s="253" t="str">
        <f t="array" ref="BB744">_xlfn.IFS(AQ744="","",LEN(AQ744)-LEN(SUBSTITUTE(AQ744,".",""))=3,LEFT(AQ744,vitri(".",AQ744,3)-1),LEN(AQ744)-LEN(SUBSTITUTE(AQ744,".",""))=2,LEFT(AQ744,vitri(".",AQ744,2)-1),TRUE,LEFT(AQ744,vitri(".",AQ744,1)-1))</f>
        <v/>
      </c>
    </row>
    <row r="745" spans="13:54" x14ac:dyDescent="0.25">
      <c r="M745" s="382"/>
      <c r="BB745" s="253" t="str">
        <f t="array" ref="BB745">_xlfn.IFS(AQ745="","",LEN(AQ745)-LEN(SUBSTITUTE(AQ745,".",""))=3,LEFT(AQ745,vitri(".",AQ745,3)-1),LEN(AQ745)-LEN(SUBSTITUTE(AQ745,".",""))=2,LEFT(AQ745,vitri(".",AQ745,2)-1),TRUE,LEFT(AQ745,vitri(".",AQ745,1)-1))</f>
        <v/>
      </c>
    </row>
    <row r="746" spans="13:54" x14ac:dyDescent="0.25">
      <c r="M746" s="382"/>
      <c r="BB746" s="253" t="str">
        <f t="array" ref="BB746">_xlfn.IFS(AQ746="","",LEN(AQ746)-LEN(SUBSTITUTE(AQ746,".",""))=3,LEFT(AQ746,vitri(".",AQ746,3)-1),LEN(AQ746)-LEN(SUBSTITUTE(AQ746,".",""))=2,LEFT(AQ746,vitri(".",AQ746,2)-1),TRUE,LEFT(AQ746,vitri(".",AQ746,1)-1))</f>
        <v/>
      </c>
    </row>
    <row r="747" spans="13:54" x14ac:dyDescent="0.25">
      <c r="M747" s="382"/>
      <c r="BB747" s="253" t="str">
        <f t="array" ref="BB747">_xlfn.IFS(AQ747="","",LEN(AQ747)-LEN(SUBSTITUTE(AQ747,".",""))=3,LEFT(AQ747,vitri(".",AQ747,3)-1),LEN(AQ747)-LEN(SUBSTITUTE(AQ747,".",""))=2,LEFT(AQ747,vitri(".",AQ747,2)-1),TRUE,LEFT(AQ747,vitri(".",AQ747,1)-1))</f>
        <v/>
      </c>
    </row>
    <row r="748" spans="13:54" x14ac:dyDescent="0.25">
      <c r="M748" s="382"/>
      <c r="BB748" s="253" t="str">
        <f t="array" ref="BB748">_xlfn.IFS(AQ748="","",LEN(AQ748)-LEN(SUBSTITUTE(AQ748,".",""))=3,LEFT(AQ748,vitri(".",AQ748,3)-1),LEN(AQ748)-LEN(SUBSTITUTE(AQ748,".",""))=2,LEFT(AQ748,vitri(".",AQ748,2)-1),TRUE,LEFT(AQ748,vitri(".",AQ748,1)-1))</f>
        <v/>
      </c>
    </row>
    <row r="749" spans="13:54" x14ac:dyDescent="0.25">
      <c r="M749" s="382"/>
      <c r="BB749" s="253" t="str">
        <f t="array" ref="BB749">_xlfn.IFS(AQ749="","",LEN(AQ749)-LEN(SUBSTITUTE(AQ749,".",""))=3,LEFT(AQ749,vitri(".",AQ749,3)-1),LEN(AQ749)-LEN(SUBSTITUTE(AQ749,".",""))=2,LEFT(AQ749,vitri(".",AQ749,2)-1),TRUE,LEFT(AQ749,vitri(".",AQ749,1)-1))</f>
        <v/>
      </c>
    </row>
    <row r="750" spans="13:54" x14ac:dyDescent="0.25">
      <c r="M750" s="382"/>
      <c r="BB750" s="253" t="str">
        <f t="array" ref="BB750">_xlfn.IFS(AQ750="","",LEN(AQ750)-LEN(SUBSTITUTE(AQ750,".",""))=3,LEFT(AQ750,vitri(".",AQ750,3)-1),LEN(AQ750)-LEN(SUBSTITUTE(AQ750,".",""))=2,LEFT(AQ750,vitri(".",AQ750,2)-1),TRUE,LEFT(AQ750,vitri(".",AQ750,1)-1))</f>
        <v/>
      </c>
    </row>
    <row r="751" spans="13:54" x14ac:dyDescent="0.25">
      <c r="M751" s="382"/>
      <c r="BB751" s="253" t="str">
        <f t="array" ref="BB751">_xlfn.IFS(AQ751="","",LEN(AQ751)-LEN(SUBSTITUTE(AQ751,".",""))=3,LEFT(AQ751,vitri(".",AQ751,3)-1),LEN(AQ751)-LEN(SUBSTITUTE(AQ751,".",""))=2,LEFT(AQ751,vitri(".",AQ751,2)-1),TRUE,LEFT(AQ751,vitri(".",AQ751,1)-1))</f>
        <v/>
      </c>
    </row>
    <row r="752" spans="13:54" x14ac:dyDescent="0.25">
      <c r="M752" s="382"/>
      <c r="BB752" s="253" t="str">
        <f t="array" ref="BB752">_xlfn.IFS(AQ752="","",LEN(AQ752)-LEN(SUBSTITUTE(AQ752,".",""))=3,LEFT(AQ752,vitri(".",AQ752,3)-1),LEN(AQ752)-LEN(SUBSTITUTE(AQ752,".",""))=2,LEFT(AQ752,vitri(".",AQ752,2)-1),TRUE,LEFT(AQ752,vitri(".",AQ752,1)-1))</f>
        <v/>
      </c>
    </row>
    <row r="753" spans="13:54" x14ac:dyDescent="0.25">
      <c r="M753" s="382"/>
      <c r="BB753" s="253" t="str">
        <f t="array" ref="BB753">_xlfn.IFS(AQ753="","",LEN(AQ753)-LEN(SUBSTITUTE(AQ753,".",""))=3,LEFT(AQ753,vitri(".",AQ753,3)-1),LEN(AQ753)-LEN(SUBSTITUTE(AQ753,".",""))=2,LEFT(AQ753,vitri(".",AQ753,2)-1),TRUE,LEFT(AQ753,vitri(".",AQ753,1)-1))</f>
        <v/>
      </c>
    </row>
    <row r="754" spans="13:54" x14ac:dyDescent="0.25">
      <c r="M754" s="382"/>
      <c r="BB754" s="253" t="str">
        <f t="array" ref="BB754">_xlfn.IFS(AQ754="","",LEN(AQ754)-LEN(SUBSTITUTE(AQ754,".",""))=3,LEFT(AQ754,vitri(".",AQ754,3)-1),LEN(AQ754)-LEN(SUBSTITUTE(AQ754,".",""))=2,LEFT(AQ754,vitri(".",AQ754,2)-1),TRUE,LEFT(AQ754,vitri(".",AQ754,1)-1))</f>
        <v/>
      </c>
    </row>
    <row r="755" spans="13:54" x14ac:dyDescent="0.25">
      <c r="M755" s="382"/>
      <c r="BB755" s="253" t="str">
        <f t="array" ref="BB755">_xlfn.IFS(AQ755="","",LEN(AQ755)-LEN(SUBSTITUTE(AQ755,".",""))=3,LEFT(AQ755,vitri(".",AQ755,3)-1),LEN(AQ755)-LEN(SUBSTITUTE(AQ755,".",""))=2,LEFT(AQ755,vitri(".",AQ755,2)-1),TRUE,LEFT(AQ755,vitri(".",AQ755,1)-1))</f>
        <v/>
      </c>
    </row>
    <row r="756" spans="13:54" x14ac:dyDescent="0.25">
      <c r="M756" s="382"/>
      <c r="BB756" s="253" t="str">
        <f t="array" ref="BB756">_xlfn.IFS(AQ756="","",LEN(AQ756)-LEN(SUBSTITUTE(AQ756,".",""))=3,LEFT(AQ756,vitri(".",AQ756,3)-1),LEN(AQ756)-LEN(SUBSTITUTE(AQ756,".",""))=2,LEFT(AQ756,vitri(".",AQ756,2)-1),TRUE,LEFT(AQ756,vitri(".",AQ756,1)-1))</f>
        <v/>
      </c>
    </row>
    <row r="757" spans="13:54" x14ac:dyDescent="0.25">
      <c r="M757" s="382"/>
      <c r="BB757" s="253" t="str">
        <f t="array" ref="BB757">_xlfn.IFS(AQ757="","",LEN(AQ757)-LEN(SUBSTITUTE(AQ757,".",""))=3,LEFT(AQ757,vitri(".",AQ757,3)-1),LEN(AQ757)-LEN(SUBSTITUTE(AQ757,".",""))=2,LEFT(AQ757,vitri(".",AQ757,2)-1),TRUE,LEFT(AQ757,vitri(".",AQ757,1)-1))</f>
        <v/>
      </c>
    </row>
    <row r="758" spans="13:54" x14ac:dyDescent="0.25">
      <c r="M758" s="382"/>
      <c r="BB758" s="253" t="str">
        <f t="array" ref="BB758">_xlfn.IFS(AQ758="","",LEN(AQ758)-LEN(SUBSTITUTE(AQ758,".",""))=3,LEFT(AQ758,vitri(".",AQ758,3)-1),LEN(AQ758)-LEN(SUBSTITUTE(AQ758,".",""))=2,LEFT(AQ758,vitri(".",AQ758,2)-1),TRUE,LEFT(AQ758,vitri(".",AQ758,1)-1))</f>
        <v/>
      </c>
    </row>
    <row r="759" spans="13:54" x14ac:dyDescent="0.25">
      <c r="M759" s="382"/>
      <c r="BB759" s="253" t="str">
        <f t="array" ref="BB759">_xlfn.IFS(AQ759="","",LEN(AQ759)-LEN(SUBSTITUTE(AQ759,".",""))=3,LEFT(AQ759,vitri(".",AQ759,3)-1),LEN(AQ759)-LEN(SUBSTITUTE(AQ759,".",""))=2,LEFT(AQ759,vitri(".",AQ759,2)-1),TRUE,LEFT(AQ759,vitri(".",AQ759,1)-1))</f>
        <v/>
      </c>
    </row>
    <row r="760" spans="13:54" x14ac:dyDescent="0.25">
      <c r="M760" s="382"/>
      <c r="BB760" s="253" t="str">
        <f t="array" ref="BB760">_xlfn.IFS(AQ760="","",LEN(AQ760)-LEN(SUBSTITUTE(AQ760,".",""))=3,LEFT(AQ760,vitri(".",AQ760,3)-1),LEN(AQ760)-LEN(SUBSTITUTE(AQ760,".",""))=2,LEFT(AQ760,vitri(".",AQ760,2)-1),TRUE,LEFT(AQ760,vitri(".",AQ760,1)-1))</f>
        <v/>
      </c>
    </row>
    <row r="761" spans="13:54" x14ac:dyDescent="0.25">
      <c r="M761" s="382"/>
      <c r="BB761" s="253" t="str">
        <f t="array" ref="BB761">_xlfn.IFS(AQ761="","",LEN(AQ761)-LEN(SUBSTITUTE(AQ761,".",""))=3,LEFT(AQ761,vitri(".",AQ761,3)-1),LEN(AQ761)-LEN(SUBSTITUTE(AQ761,".",""))=2,LEFT(AQ761,vitri(".",AQ761,2)-1),TRUE,LEFT(AQ761,vitri(".",AQ761,1)-1))</f>
        <v/>
      </c>
    </row>
    <row r="762" spans="13:54" x14ac:dyDescent="0.25">
      <c r="M762" s="382"/>
      <c r="BB762" s="253" t="str">
        <f t="array" ref="BB762">_xlfn.IFS(AQ762="","",LEN(AQ762)-LEN(SUBSTITUTE(AQ762,".",""))=3,LEFT(AQ762,vitri(".",AQ762,3)-1),LEN(AQ762)-LEN(SUBSTITUTE(AQ762,".",""))=2,LEFT(AQ762,vitri(".",AQ762,2)-1),TRUE,LEFT(AQ762,vitri(".",AQ762,1)-1))</f>
        <v/>
      </c>
    </row>
    <row r="763" spans="13:54" x14ac:dyDescent="0.25">
      <c r="M763" s="382"/>
      <c r="BB763" s="253" t="str">
        <f t="array" ref="BB763">_xlfn.IFS(AQ763="","",LEN(AQ763)-LEN(SUBSTITUTE(AQ763,".",""))=3,LEFT(AQ763,vitri(".",AQ763,3)-1),LEN(AQ763)-LEN(SUBSTITUTE(AQ763,".",""))=2,LEFT(AQ763,vitri(".",AQ763,2)-1),TRUE,LEFT(AQ763,vitri(".",AQ763,1)-1))</f>
        <v/>
      </c>
    </row>
    <row r="764" spans="13:54" x14ac:dyDescent="0.25">
      <c r="M764" s="382"/>
      <c r="BB764" s="253" t="str">
        <f t="array" ref="BB764">_xlfn.IFS(AQ764="","",LEN(AQ764)-LEN(SUBSTITUTE(AQ764,".",""))=3,LEFT(AQ764,vitri(".",AQ764,3)-1),LEN(AQ764)-LEN(SUBSTITUTE(AQ764,".",""))=2,LEFT(AQ764,vitri(".",AQ764,2)-1),TRUE,LEFT(AQ764,vitri(".",AQ764,1)-1))</f>
        <v/>
      </c>
    </row>
    <row r="765" spans="13:54" x14ac:dyDescent="0.25">
      <c r="M765" s="382"/>
      <c r="BB765" s="253" t="str">
        <f t="array" ref="BB765">_xlfn.IFS(AQ765="","",LEN(AQ765)-LEN(SUBSTITUTE(AQ765,".",""))=3,LEFT(AQ765,vitri(".",AQ765,3)-1),LEN(AQ765)-LEN(SUBSTITUTE(AQ765,".",""))=2,LEFT(AQ765,vitri(".",AQ765,2)-1),TRUE,LEFT(AQ765,vitri(".",AQ765,1)-1))</f>
        <v/>
      </c>
    </row>
    <row r="766" spans="13:54" x14ac:dyDescent="0.25">
      <c r="M766" s="382"/>
      <c r="BB766" s="253" t="str">
        <f t="array" ref="BB766">_xlfn.IFS(AQ766="","",LEN(AQ766)-LEN(SUBSTITUTE(AQ766,".",""))=3,LEFT(AQ766,vitri(".",AQ766,3)-1),LEN(AQ766)-LEN(SUBSTITUTE(AQ766,".",""))=2,LEFT(AQ766,vitri(".",AQ766,2)-1),TRUE,LEFT(AQ766,vitri(".",AQ766,1)-1))</f>
        <v/>
      </c>
    </row>
    <row r="767" spans="13:54" x14ac:dyDescent="0.25">
      <c r="M767" s="382"/>
      <c r="BB767" s="253" t="str">
        <f t="array" ref="BB767">_xlfn.IFS(AQ767="","",LEN(AQ767)-LEN(SUBSTITUTE(AQ767,".",""))=3,LEFT(AQ767,vitri(".",AQ767,3)-1),LEN(AQ767)-LEN(SUBSTITUTE(AQ767,".",""))=2,LEFT(AQ767,vitri(".",AQ767,2)-1),TRUE,LEFT(AQ767,vitri(".",AQ767,1)-1))</f>
        <v/>
      </c>
    </row>
    <row r="768" spans="13:54" x14ac:dyDescent="0.25">
      <c r="M768" s="382"/>
      <c r="BB768" s="253" t="str">
        <f t="array" ref="BB768">_xlfn.IFS(AQ768="","",LEN(AQ768)-LEN(SUBSTITUTE(AQ768,".",""))=3,LEFT(AQ768,vitri(".",AQ768,3)-1),LEN(AQ768)-LEN(SUBSTITUTE(AQ768,".",""))=2,LEFT(AQ768,vitri(".",AQ768,2)-1),TRUE,LEFT(AQ768,vitri(".",AQ768,1)-1))</f>
        <v/>
      </c>
    </row>
    <row r="769" spans="13:54" x14ac:dyDescent="0.25">
      <c r="M769" s="382"/>
      <c r="BB769" s="253" t="str">
        <f t="array" ref="BB769">_xlfn.IFS(AQ769="","",LEN(AQ769)-LEN(SUBSTITUTE(AQ769,".",""))=3,LEFT(AQ769,vitri(".",AQ769,3)-1),LEN(AQ769)-LEN(SUBSTITUTE(AQ769,".",""))=2,LEFT(AQ769,vitri(".",AQ769,2)-1),TRUE,LEFT(AQ769,vitri(".",AQ769,1)-1))</f>
        <v/>
      </c>
    </row>
    <row r="770" spans="13:54" x14ac:dyDescent="0.25">
      <c r="M770" s="382"/>
      <c r="BB770" s="253" t="str">
        <f t="array" ref="BB770">_xlfn.IFS(AQ770="","",LEN(AQ770)-LEN(SUBSTITUTE(AQ770,".",""))=3,LEFT(AQ770,vitri(".",AQ770,3)-1),LEN(AQ770)-LEN(SUBSTITUTE(AQ770,".",""))=2,LEFT(AQ770,vitri(".",AQ770,2)-1),TRUE,LEFT(AQ770,vitri(".",AQ770,1)-1))</f>
        <v/>
      </c>
    </row>
    <row r="771" spans="13:54" x14ac:dyDescent="0.25">
      <c r="M771" s="382"/>
      <c r="BB771" s="253" t="str">
        <f t="array" ref="BB771">_xlfn.IFS(AQ771="","",LEN(AQ771)-LEN(SUBSTITUTE(AQ771,".",""))=3,LEFT(AQ771,vitri(".",AQ771,3)-1),LEN(AQ771)-LEN(SUBSTITUTE(AQ771,".",""))=2,LEFT(AQ771,vitri(".",AQ771,2)-1),TRUE,LEFT(AQ771,vitri(".",AQ771,1)-1))</f>
        <v/>
      </c>
    </row>
    <row r="772" spans="13:54" x14ac:dyDescent="0.25">
      <c r="M772" s="382"/>
      <c r="BB772" s="253" t="str">
        <f t="array" ref="BB772">_xlfn.IFS(AQ772="","",LEN(AQ772)-LEN(SUBSTITUTE(AQ772,".",""))=3,LEFT(AQ772,vitri(".",AQ772,3)-1),LEN(AQ772)-LEN(SUBSTITUTE(AQ772,".",""))=2,LEFT(AQ772,vitri(".",AQ772,2)-1),TRUE,LEFT(AQ772,vitri(".",AQ772,1)-1))</f>
        <v/>
      </c>
    </row>
    <row r="773" spans="13:54" x14ac:dyDescent="0.25">
      <c r="M773" s="382"/>
      <c r="BB773" s="253" t="str">
        <f t="array" ref="BB773">_xlfn.IFS(AQ773="","",LEN(AQ773)-LEN(SUBSTITUTE(AQ773,".",""))=3,LEFT(AQ773,vitri(".",AQ773,3)-1),LEN(AQ773)-LEN(SUBSTITUTE(AQ773,".",""))=2,LEFT(AQ773,vitri(".",AQ773,2)-1),TRUE,LEFT(AQ773,vitri(".",AQ773,1)-1))</f>
        <v/>
      </c>
    </row>
    <row r="774" spans="13:54" x14ac:dyDescent="0.25">
      <c r="M774" s="382"/>
      <c r="BB774" s="253" t="str">
        <f t="array" ref="BB774">_xlfn.IFS(AQ774="","",LEN(AQ774)-LEN(SUBSTITUTE(AQ774,".",""))=3,LEFT(AQ774,vitri(".",AQ774,3)-1),LEN(AQ774)-LEN(SUBSTITUTE(AQ774,".",""))=2,LEFT(AQ774,vitri(".",AQ774,2)-1),TRUE,LEFT(AQ774,vitri(".",AQ774,1)-1))</f>
        <v/>
      </c>
    </row>
    <row r="775" spans="13:54" x14ac:dyDescent="0.25">
      <c r="M775" s="382"/>
      <c r="BB775" s="253" t="str">
        <f t="array" ref="BB775">_xlfn.IFS(AQ775="","",LEN(AQ775)-LEN(SUBSTITUTE(AQ775,".",""))=3,LEFT(AQ775,vitri(".",AQ775,3)-1),LEN(AQ775)-LEN(SUBSTITUTE(AQ775,".",""))=2,LEFT(AQ775,vitri(".",AQ775,2)-1),TRUE,LEFT(AQ775,vitri(".",AQ775,1)-1))</f>
        <v/>
      </c>
    </row>
    <row r="776" spans="13:54" x14ac:dyDescent="0.25">
      <c r="M776" s="382"/>
      <c r="BB776" s="253" t="str">
        <f t="array" ref="BB776">_xlfn.IFS(AQ776="","",LEN(AQ776)-LEN(SUBSTITUTE(AQ776,".",""))=3,LEFT(AQ776,vitri(".",AQ776,3)-1),LEN(AQ776)-LEN(SUBSTITUTE(AQ776,".",""))=2,LEFT(AQ776,vitri(".",AQ776,2)-1),TRUE,LEFT(AQ776,vitri(".",AQ776,1)-1))</f>
        <v/>
      </c>
    </row>
    <row r="777" spans="13:54" x14ac:dyDescent="0.25">
      <c r="M777" s="382"/>
      <c r="BB777" s="253" t="str">
        <f t="array" ref="BB777">_xlfn.IFS(AQ777="","",LEN(AQ777)-LEN(SUBSTITUTE(AQ777,".",""))=3,LEFT(AQ777,vitri(".",AQ777,3)-1),LEN(AQ777)-LEN(SUBSTITUTE(AQ777,".",""))=2,LEFT(AQ777,vitri(".",AQ777,2)-1),TRUE,LEFT(AQ777,vitri(".",AQ777,1)-1))</f>
        <v/>
      </c>
    </row>
    <row r="778" spans="13:54" x14ac:dyDescent="0.25">
      <c r="M778" s="382"/>
      <c r="BB778" s="253" t="str">
        <f t="array" ref="BB778">_xlfn.IFS(AQ778="","",LEN(AQ778)-LEN(SUBSTITUTE(AQ778,".",""))=3,LEFT(AQ778,vitri(".",AQ778,3)-1),LEN(AQ778)-LEN(SUBSTITUTE(AQ778,".",""))=2,LEFT(AQ778,vitri(".",AQ778,2)-1),TRUE,LEFT(AQ778,vitri(".",AQ778,1)-1))</f>
        <v/>
      </c>
    </row>
    <row r="779" spans="13:54" x14ac:dyDescent="0.25">
      <c r="M779" s="382"/>
      <c r="BB779" s="253" t="str">
        <f t="array" ref="BB779">_xlfn.IFS(AQ779="","",LEN(AQ779)-LEN(SUBSTITUTE(AQ779,".",""))=3,LEFT(AQ779,vitri(".",AQ779,3)-1),LEN(AQ779)-LEN(SUBSTITUTE(AQ779,".",""))=2,LEFT(AQ779,vitri(".",AQ779,2)-1),TRUE,LEFT(AQ779,vitri(".",AQ779,1)-1))</f>
        <v/>
      </c>
    </row>
    <row r="780" spans="13:54" x14ac:dyDescent="0.25">
      <c r="M780" s="382"/>
      <c r="BB780" s="253" t="str">
        <f t="array" ref="BB780">_xlfn.IFS(AQ780="","",LEN(AQ780)-LEN(SUBSTITUTE(AQ780,".",""))=3,LEFT(AQ780,vitri(".",AQ780,3)-1),LEN(AQ780)-LEN(SUBSTITUTE(AQ780,".",""))=2,LEFT(AQ780,vitri(".",AQ780,2)-1),TRUE,LEFT(AQ780,vitri(".",AQ780,1)-1))</f>
        <v/>
      </c>
    </row>
    <row r="781" spans="13:54" x14ac:dyDescent="0.25">
      <c r="M781" s="382"/>
      <c r="BB781" s="253" t="str">
        <f t="array" ref="BB781">_xlfn.IFS(AQ781="","",LEN(AQ781)-LEN(SUBSTITUTE(AQ781,".",""))=3,LEFT(AQ781,vitri(".",AQ781,3)-1),LEN(AQ781)-LEN(SUBSTITUTE(AQ781,".",""))=2,LEFT(AQ781,vitri(".",AQ781,2)-1),TRUE,LEFT(AQ781,vitri(".",AQ781,1)-1))</f>
        <v/>
      </c>
    </row>
    <row r="782" spans="13:54" x14ac:dyDescent="0.25">
      <c r="M782" s="382"/>
      <c r="BB782" s="253" t="str">
        <f t="array" ref="BB782">_xlfn.IFS(AQ782="","",LEN(AQ782)-LEN(SUBSTITUTE(AQ782,".",""))=3,LEFT(AQ782,vitri(".",AQ782,3)-1),LEN(AQ782)-LEN(SUBSTITUTE(AQ782,".",""))=2,LEFT(AQ782,vitri(".",AQ782,2)-1),TRUE,LEFT(AQ782,vitri(".",AQ782,1)-1))</f>
        <v/>
      </c>
    </row>
    <row r="783" spans="13:54" x14ac:dyDescent="0.25">
      <c r="M783" s="382"/>
      <c r="BB783" s="253" t="str">
        <f t="array" ref="BB783">_xlfn.IFS(AQ783="","",LEN(AQ783)-LEN(SUBSTITUTE(AQ783,".",""))=3,LEFT(AQ783,vitri(".",AQ783,3)-1),LEN(AQ783)-LEN(SUBSTITUTE(AQ783,".",""))=2,LEFT(AQ783,vitri(".",AQ783,2)-1),TRUE,LEFT(AQ783,vitri(".",AQ783,1)-1))</f>
        <v/>
      </c>
    </row>
    <row r="784" spans="13:54" x14ac:dyDescent="0.25">
      <c r="M784" s="382"/>
      <c r="BB784" s="253" t="str">
        <f t="array" ref="BB784">_xlfn.IFS(AQ784="","",LEN(AQ784)-LEN(SUBSTITUTE(AQ784,".",""))=3,LEFT(AQ784,vitri(".",AQ784,3)-1),LEN(AQ784)-LEN(SUBSTITUTE(AQ784,".",""))=2,LEFT(AQ784,vitri(".",AQ784,2)-1),TRUE,LEFT(AQ784,vitri(".",AQ784,1)-1))</f>
        <v/>
      </c>
    </row>
    <row r="785" spans="13:54" x14ac:dyDescent="0.25">
      <c r="M785" s="382"/>
      <c r="BB785" s="253" t="str">
        <f t="array" ref="BB785">_xlfn.IFS(AQ785="","",LEN(AQ785)-LEN(SUBSTITUTE(AQ785,".",""))=3,LEFT(AQ785,vitri(".",AQ785,3)-1),LEN(AQ785)-LEN(SUBSTITUTE(AQ785,".",""))=2,LEFT(AQ785,vitri(".",AQ785,2)-1),TRUE,LEFT(AQ785,vitri(".",AQ785,1)-1))</f>
        <v/>
      </c>
    </row>
    <row r="786" spans="13:54" x14ac:dyDescent="0.25">
      <c r="M786" s="382"/>
      <c r="BB786" s="253" t="str">
        <f t="array" ref="BB786">_xlfn.IFS(AQ786="","",LEN(AQ786)-LEN(SUBSTITUTE(AQ786,".",""))=3,LEFT(AQ786,vitri(".",AQ786,3)-1),LEN(AQ786)-LEN(SUBSTITUTE(AQ786,".",""))=2,LEFT(AQ786,vitri(".",AQ786,2)-1),TRUE,LEFT(AQ786,vitri(".",AQ786,1)-1))</f>
        <v/>
      </c>
    </row>
    <row r="787" spans="13:54" x14ac:dyDescent="0.25">
      <c r="M787" s="382"/>
      <c r="BB787" s="253" t="str">
        <f t="array" ref="BB787">_xlfn.IFS(AQ787="","",LEN(AQ787)-LEN(SUBSTITUTE(AQ787,".",""))=3,LEFT(AQ787,vitri(".",AQ787,3)-1),LEN(AQ787)-LEN(SUBSTITUTE(AQ787,".",""))=2,LEFT(AQ787,vitri(".",AQ787,2)-1),TRUE,LEFT(AQ787,vitri(".",AQ787,1)-1))</f>
        <v/>
      </c>
    </row>
    <row r="788" spans="13:54" x14ac:dyDescent="0.25">
      <c r="M788" s="382"/>
      <c r="BB788" s="253" t="str">
        <f t="array" ref="BB788">_xlfn.IFS(AQ788="","",LEN(AQ788)-LEN(SUBSTITUTE(AQ788,".",""))=3,LEFT(AQ788,vitri(".",AQ788,3)-1),LEN(AQ788)-LEN(SUBSTITUTE(AQ788,".",""))=2,LEFT(AQ788,vitri(".",AQ788,2)-1),TRUE,LEFT(AQ788,vitri(".",AQ788,1)-1))</f>
        <v/>
      </c>
    </row>
    <row r="789" spans="13:54" x14ac:dyDescent="0.25">
      <c r="M789" s="382"/>
      <c r="BB789" s="253" t="str">
        <f t="array" ref="BB789">_xlfn.IFS(AQ789="","",LEN(AQ789)-LEN(SUBSTITUTE(AQ789,".",""))=3,LEFT(AQ789,vitri(".",AQ789,3)-1),LEN(AQ789)-LEN(SUBSTITUTE(AQ789,".",""))=2,LEFT(AQ789,vitri(".",AQ789,2)-1),TRUE,LEFT(AQ789,vitri(".",AQ789,1)-1))</f>
        <v/>
      </c>
    </row>
    <row r="790" spans="13:54" x14ac:dyDescent="0.25">
      <c r="M790" s="382"/>
      <c r="BB790" s="253" t="str">
        <f t="array" ref="BB790">_xlfn.IFS(AQ790="","",LEN(AQ790)-LEN(SUBSTITUTE(AQ790,".",""))=3,LEFT(AQ790,vitri(".",AQ790,3)-1),LEN(AQ790)-LEN(SUBSTITUTE(AQ790,".",""))=2,LEFT(AQ790,vitri(".",AQ790,2)-1),TRUE,LEFT(AQ790,vitri(".",AQ790,1)-1))</f>
        <v/>
      </c>
    </row>
    <row r="791" spans="13:54" x14ac:dyDescent="0.25">
      <c r="M791" s="382"/>
      <c r="BB791" s="253" t="str">
        <f t="array" ref="BB791">_xlfn.IFS(AQ791="","",LEN(AQ791)-LEN(SUBSTITUTE(AQ791,".",""))=3,LEFT(AQ791,vitri(".",AQ791,3)-1),LEN(AQ791)-LEN(SUBSTITUTE(AQ791,".",""))=2,LEFT(AQ791,vitri(".",AQ791,2)-1),TRUE,LEFT(AQ791,vitri(".",AQ791,1)-1))</f>
        <v/>
      </c>
    </row>
    <row r="792" spans="13:54" x14ac:dyDescent="0.25">
      <c r="M792" s="382"/>
      <c r="BB792" s="253" t="str">
        <f t="array" ref="BB792">_xlfn.IFS(AQ792="","",LEN(AQ792)-LEN(SUBSTITUTE(AQ792,".",""))=3,LEFT(AQ792,vitri(".",AQ792,3)-1),LEN(AQ792)-LEN(SUBSTITUTE(AQ792,".",""))=2,LEFT(AQ792,vitri(".",AQ792,2)-1),TRUE,LEFT(AQ792,vitri(".",AQ792,1)-1))</f>
        <v/>
      </c>
    </row>
    <row r="793" spans="13:54" x14ac:dyDescent="0.25">
      <c r="M793" s="382"/>
      <c r="BB793" s="253" t="str">
        <f t="array" ref="BB793">_xlfn.IFS(AQ793="","",LEN(AQ793)-LEN(SUBSTITUTE(AQ793,".",""))=3,LEFT(AQ793,vitri(".",AQ793,3)-1),LEN(AQ793)-LEN(SUBSTITUTE(AQ793,".",""))=2,LEFT(AQ793,vitri(".",AQ793,2)-1),TRUE,LEFT(AQ793,vitri(".",AQ793,1)-1))</f>
        <v/>
      </c>
    </row>
    <row r="794" spans="13:54" x14ac:dyDescent="0.25">
      <c r="M794" s="382"/>
      <c r="BB794" s="253" t="str">
        <f t="array" ref="BB794">_xlfn.IFS(AQ794="","",LEN(AQ794)-LEN(SUBSTITUTE(AQ794,".",""))=3,LEFT(AQ794,vitri(".",AQ794,3)-1),LEN(AQ794)-LEN(SUBSTITUTE(AQ794,".",""))=2,LEFT(AQ794,vitri(".",AQ794,2)-1),TRUE,LEFT(AQ794,vitri(".",AQ794,1)-1))</f>
        <v/>
      </c>
    </row>
    <row r="795" spans="13:54" x14ac:dyDescent="0.25">
      <c r="M795" s="382"/>
      <c r="BB795" s="253" t="str">
        <f t="array" ref="BB795">_xlfn.IFS(AQ795="","",LEN(AQ795)-LEN(SUBSTITUTE(AQ795,".",""))=3,LEFT(AQ795,vitri(".",AQ795,3)-1),LEN(AQ795)-LEN(SUBSTITUTE(AQ795,".",""))=2,LEFT(AQ795,vitri(".",AQ795,2)-1),TRUE,LEFT(AQ795,vitri(".",AQ795,1)-1))</f>
        <v/>
      </c>
    </row>
    <row r="796" spans="13:54" x14ac:dyDescent="0.25">
      <c r="M796" s="382"/>
      <c r="BB796" s="253" t="str">
        <f t="array" ref="BB796">_xlfn.IFS(AQ796="","",LEN(AQ796)-LEN(SUBSTITUTE(AQ796,".",""))=3,LEFT(AQ796,vitri(".",AQ796,3)-1),LEN(AQ796)-LEN(SUBSTITUTE(AQ796,".",""))=2,LEFT(AQ796,vitri(".",AQ796,2)-1),TRUE,LEFT(AQ796,vitri(".",AQ796,1)-1))</f>
        <v/>
      </c>
    </row>
    <row r="797" spans="13:54" x14ac:dyDescent="0.25">
      <c r="M797" s="382"/>
      <c r="BB797" s="253" t="str">
        <f t="array" ref="BB797">_xlfn.IFS(AQ797="","",LEN(AQ797)-LEN(SUBSTITUTE(AQ797,".",""))=3,LEFT(AQ797,vitri(".",AQ797,3)-1),LEN(AQ797)-LEN(SUBSTITUTE(AQ797,".",""))=2,LEFT(AQ797,vitri(".",AQ797,2)-1),TRUE,LEFT(AQ797,vitri(".",AQ797,1)-1))</f>
        <v/>
      </c>
    </row>
    <row r="798" spans="13:54" x14ac:dyDescent="0.25">
      <c r="M798" s="382"/>
      <c r="BB798" s="253" t="str">
        <f t="array" ref="BB798">_xlfn.IFS(AQ798="","",LEN(AQ798)-LEN(SUBSTITUTE(AQ798,".",""))=3,LEFT(AQ798,vitri(".",AQ798,3)-1),LEN(AQ798)-LEN(SUBSTITUTE(AQ798,".",""))=2,LEFT(AQ798,vitri(".",AQ798,2)-1),TRUE,LEFT(AQ798,vitri(".",AQ798,1)-1))</f>
        <v/>
      </c>
    </row>
    <row r="799" spans="13:54" x14ac:dyDescent="0.25">
      <c r="M799" s="382"/>
      <c r="BB799" s="253" t="str">
        <f t="array" ref="BB799">_xlfn.IFS(AQ799="","",LEN(AQ799)-LEN(SUBSTITUTE(AQ799,".",""))=3,LEFT(AQ799,vitri(".",AQ799,3)-1),LEN(AQ799)-LEN(SUBSTITUTE(AQ799,".",""))=2,LEFT(AQ799,vitri(".",AQ799,2)-1),TRUE,LEFT(AQ799,vitri(".",AQ799,1)-1))</f>
        <v/>
      </c>
    </row>
    <row r="800" spans="13:54" x14ac:dyDescent="0.25">
      <c r="M800" s="382"/>
      <c r="BB800" s="253" t="str">
        <f t="array" ref="BB800">_xlfn.IFS(AQ800="","",LEN(AQ800)-LEN(SUBSTITUTE(AQ800,".",""))=3,LEFT(AQ800,vitri(".",AQ800,3)-1),LEN(AQ800)-LEN(SUBSTITUTE(AQ800,".",""))=2,LEFT(AQ800,vitri(".",AQ800,2)-1),TRUE,LEFT(AQ800,vitri(".",AQ800,1)-1))</f>
        <v/>
      </c>
    </row>
    <row r="801" spans="13:54" x14ac:dyDescent="0.25">
      <c r="M801" s="382"/>
      <c r="BB801" s="253" t="str">
        <f t="array" ref="BB801">_xlfn.IFS(AQ801="","",LEN(AQ801)-LEN(SUBSTITUTE(AQ801,".",""))=3,LEFT(AQ801,vitri(".",AQ801,3)-1),LEN(AQ801)-LEN(SUBSTITUTE(AQ801,".",""))=2,LEFT(AQ801,vitri(".",AQ801,2)-1),TRUE,LEFT(AQ801,vitri(".",AQ801,1)-1))</f>
        <v/>
      </c>
    </row>
    <row r="802" spans="13:54" x14ac:dyDescent="0.25">
      <c r="M802" s="382"/>
      <c r="BB802" s="253" t="str">
        <f t="array" ref="BB802">_xlfn.IFS(AQ802="","",LEN(AQ802)-LEN(SUBSTITUTE(AQ802,".",""))=3,LEFT(AQ802,vitri(".",AQ802,3)-1),LEN(AQ802)-LEN(SUBSTITUTE(AQ802,".",""))=2,LEFT(AQ802,vitri(".",AQ802,2)-1),TRUE,LEFT(AQ802,vitri(".",AQ802,1)-1))</f>
        <v/>
      </c>
    </row>
    <row r="803" spans="13:54" x14ac:dyDescent="0.25">
      <c r="M803" s="382"/>
      <c r="BB803" s="253" t="str">
        <f t="array" ref="BB803">_xlfn.IFS(AQ803="","",LEN(AQ803)-LEN(SUBSTITUTE(AQ803,".",""))=3,LEFT(AQ803,vitri(".",AQ803,3)-1),LEN(AQ803)-LEN(SUBSTITUTE(AQ803,".",""))=2,LEFT(AQ803,vitri(".",AQ803,2)-1),TRUE,LEFT(AQ803,vitri(".",AQ803,1)-1))</f>
        <v/>
      </c>
    </row>
    <row r="804" spans="13:54" x14ac:dyDescent="0.25">
      <c r="M804" s="382"/>
      <c r="BB804" s="253" t="str">
        <f t="array" ref="BB804">_xlfn.IFS(AQ804="","",LEN(AQ804)-LEN(SUBSTITUTE(AQ804,".",""))=3,LEFT(AQ804,vitri(".",AQ804,3)-1),LEN(AQ804)-LEN(SUBSTITUTE(AQ804,".",""))=2,LEFT(AQ804,vitri(".",AQ804,2)-1),TRUE,LEFT(AQ804,vitri(".",AQ804,1)-1))</f>
        <v/>
      </c>
    </row>
    <row r="805" spans="13:54" x14ac:dyDescent="0.25">
      <c r="M805" s="382"/>
      <c r="BB805" s="253" t="str">
        <f t="array" ref="BB805">_xlfn.IFS(AQ805="","",LEN(AQ805)-LEN(SUBSTITUTE(AQ805,".",""))=3,LEFT(AQ805,vitri(".",AQ805,3)-1),LEN(AQ805)-LEN(SUBSTITUTE(AQ805,".",""))=2,LEFT(AQ805,vitri(".",AQ805,2)-1),TRUE,LEFT(AQ805,vitri(".",AQ805,1)-1))</f>
        <v/>
      </c>
    </row>
    <row r="806" spans="13:54" x14ac:dyDescent="0.25">
      <c r="M806" s="382"/>
      <c r="BB806" s="253" t="str">
        <f t="array" ref="BB806">_xlfn.IFS(AQ806="","",LEN(AQ806)-LEN(SUBSTITUTE(AQ806,".",""))=3,LEFT(AQ806,vitri(".",AQ806,3)-1),LEN(AQ806)-LEN(SUBSTITUTE(AQ806,".",""))=2,LEFT(AQ806,vitri(".",AQ806,2)-1),TRUE,LEFT(AQ806,vitri(".",AQ806,1)-1))</f>
        <v/>
      </c>
    </row>
    <row r="807" spans="13:54" x14ac:dyDescent="0.25">
      <c r="M807" s="382"/>
      <c r="BB807" s="253" t="str">
        <f t="array" ref="BB807">_xlfn.IFS(AQ807="","",LEN(AQ807)-LEN(SUBSTITUTE(AQ807,".",""))=3,LEFT(AQ807,vitri(".",AQ807,3)-1),LEN(AQ807)-LEN(SUBSTITUTE(AQ807,".",""))=2,LEFT(AQ807,vitri(".",AQ807,2)-1),TRUE,LEFT(AQ807,vitri(".",AQ807,1)-1))</f>
        <v/>
      </c>
    </row>
    <row r="808" spans="13:54" x14ac:dyDescent="0.25">
      <c r="M808" s="382"/>
      <c r="BB808" s="253" t="str">
        <f t="array" ref="BB808">_xlfn.IFS(AQ808="","",LEN(AQ808)-LEN(SUBSTITUTE(AQ808,".",""))=3,LEFT(AQ808,vitri(".",AQ808,3)-1),LEN(AQ808)-LEN(SUBSTITUTE(AQ808,".",""))=2,LEFT(AQ808,vitri(".",AQ808,2)-1),TRUE,LEFT(AQ808,vitri(".",AQ808,1)-1))</f>
        <v/>
      </c>
    </row>
    <row r="809" spans="13:54" x14ac:dyDescent="0.25">
      <c r="M809" s="382"/>
      <c r="BB809" s="253" t="str">
        <f t="array" ref="BB809">_xlfn.IFS(AQ809="","",LEN(AQ809)-LEN(SUBSTITUTE(AQ809,".",""))=3,LEFT(AQ809,vitri(".",AQ809,3)-1),LEN(AQ809)-LEN(SUBSTITUTE(AQ809,".",""))=2,LEFT(AQ809,vitri(".",AQ809,2)-1),TRUE,LEFT(AQ809,vitri(".",AQ809,1)-1))</f>
        <v/>
      </c>
    </row>
    <row r="810" spans="13:54" x14ac:dyDescent="0.25">
      <c r="M810" s="382"/>
      <c r="BB810" s="253" t="str">
        <f t="array" ref="BB810">_xlfn.IFS(AQ810="","",LEN(AQ810)-LEN(SUBSTITUTE(AQ810,".",""))=3,LEFT(AQ810,vitri(".",AQ810,3)-1),LEN(AQ810)-LEN(SUBSTITUTE(AQ810,".",""))=2,LEFT(AQ810,vitri(".",AQ810,2)-1),TRUE,LEFT(AQ810,vitri(".",AQ810,1)-1))</f>
        <v/>
      </c>
    </row>
    <row r="811" spans="13:54" x14ac:dyDescent="0.25">
      <c r="M811" s="382"/>
      <c r="BB811" s="253" t="str">
        <f t="array" ref="BB811">_xlfn.IFS(AQ811="","",LEN(AQ811)-LEN(SUBSTITUTE(AQ811,".",""))=3,LEFT(AQ811,vitri(".",AQ811,3)-1),LEN(AQ811)-LEN(SUBSTITUTE(AQ811,".",""))=2,LEFT(AQ811,vitri(".",AQ811,2)-1),TRUE,LEFT(AQ811,vitri(".",AQ811,1)-1))</f>
        <v/>
      </c>
    </row>
    <row r="812" spans="13:54" x14ac:dyDescent="0.25">
      <c r="M812" s="382"/>
      <c r="BB812" s="253" t="str">
        <f t="array" ref="BB812">_xlfn.IFS(AQ812="","",LEN(AQ812)-LEN(SUBSTITUTE(AQ812,".",""))=3,LEFT(AQ812,vitri(".",AQ812,3)-1),LEN(AQ812)-LEN(SUBSTITUTE(AQ812,".",""))=2,LEFT(AQ812,vitri(".",AQ812,2)-1),TRUE,LEFT(AQ812,vitri(".",AQ812,1)-1))</f>
        <v/>
      </c>
    </row>
    <row r="813" spans="13:54" x14ac:dyDescent="0.25">
      <c r="M813" s="382"/>
      <c r="BB813" s="253" t="str">
        <f t="array" ref="BB813">_xlfn.IFS(AQ813="","",LEN(AQ813)-LEN(SUBSTITUTE(AQ813,".",""))=3,LEFT(AQ813,vitri(".",AQ813,3)-1),LEN(AQ813)-LEN(SUBSTITUTE(AQ813,".",""))=2,LEFT(AQ813,vitri(".",AQ813,2)-1),TRUE,LEFT(AQ813,vitri(".",AQ813,1)-1))</f>
        <v/>
      </c>
    </row>
    <row r="814" spans="13:54" x14ac:dyDescent="0.25">
      <c r="M814" s="382"/>
      <c r="BB814" s="253" t="str">
        <f t="array" ref="BB814">_xlfn.IFS(AQ814="","",LEN(AQ814)-LEN(SUBSTITUTE(AQ814,".",""))=3,LEFT(AQ814,vitri(".",AQ814,3)-1),LEN(AQ814)-LEN(SUBSTITUTE(AQ814,".",""))=2,LEFT(AQ814,vitri(".",AQ814,2)-1),TRUE,LEFT(AQ814,vitri(".",AQ814,1)-1))</f>
        <v/>
      </c>
    </row>
    <row r="815" spans="13:54" x14ac:dyDescent="0.25">
      <c r="M815" s="382"/>
      <c r="BB815" s="253" t="str">
        <f t="array" ref="BB815">_xlfn.IFS(AQ815="","",LEN(AQ815)-LEN(SUBSTITUTE(AQ815,".",""))=3,LEFT(AQ815,vitri(".",AQ815,3)-1),LEN(AQ815)-LEN(SUBSTITUTE(AQ815,".",""))=2,LEFT(AQ815,vitri(".",AQ815,2)-1),TRUE,LEFT(AQ815,vitri(".",AQ815,1)-1))</f>
        <v/>
      </c>
    </row>
    <row r="816" spans="13:54" x14ac:dyDescent="0.25">
      <c r="M816" s="382"/>
      <c r="BB816" s="253" t="str">
        <f t="array" ref="BB816">_xlfn.IFS(AQ816="","",LEN(AQ816)-LEN(SUBSTITUTE(AQ816,".",""))=3,LEFT(AQ816,vitri(".",AQ816,3)-1),LEN(AQ816)-LEN(SUBSTITUTE(AQ816,".",""))=2,LEFT(AQ816,vitri(".",AQ816,2)-1),TRUE,LEFT(AQ816,vitri(".",AQ816,1)-1))</f>
        <v/>
      </c>
    </row>
    <row r="817" spans="13:54" x14ac:dyDescent="0.25">
      <c r="M817" s="382"/>
      <c r="BB817" s="253" t="str">
        <f t="array" ref="BB817">_xlfn.IFS(AQ817="","",LEN(AQ817)-LEN(SUBSTITUTE(AQ817,".",""))=3,LEFT(AQ817,vitri(".",AQ817,3)-1),LEN(AQ817)-LEN(SUBSTITUTE(AQ817,".",""))=2,LEFT(AQ817,vitri(".",AQ817,2)-1),TRUE,LEFT(AQ817,vitri(".",AQ817,1)-1))</f>
        <v/>
      </c>
    </row>
    <row r="818" spans="13:54" x14ac:dyDescent="0.25">
      <c r="M818" s="382"/>
      <c r="BB818" s="253" t="str">
        <f t="array" ref="BB818">_xlfn.IFS(AQ818="","",LEN(AQ818)-LEN(SUBSTITUTE(AQ818,".",""))=3,LEFT(AQ818,vitri(".",AQ818,3)-1),LEN(AQ818)-LEN(SUBSTITUTE(AQ818,".",""))=2,LEFT(AQ818,vitri(".",AQ818,2)-1),TRUE,LEFT(AQ818,vitri(".",AQ818,1)-1))</f>
        <v/>
      </c>
    </row>
    <row r="819" spans="13:54" x14ac:dyDescent="0.25">
      <c r="M819" s="382"/>
      <c r="BB819" s="253" t="str">
        <f t="array" ref="BB819">_xlfn.IFS(AQ819="","",LEN(AQ819)-LEN(SUBSTITUTE(AQ819,".",""))=3,LEFT(AQ819,vitri(".",AQ819,3)-1),LEN(AQ819)-LEN(SUBSTITUTE(AQ819,".",""))=2,LEFT(AQ819,vitri(".",AQ819,2)-1),TRUE,LEFT(AQ819,vitri(".",AQ819,1)-1))</f>
        <v/>
      </c>
    </row>
    <row r="820" spans="13:54" x14ac:dyDescent="0.25">
      <c r="M820" s="382"/>
      <c r="BB820" s="253" t="str">
        <f t="array" ref="BB820">_xlfn.IFS(AQ820="","",LEN(AQ820)-LEN(SUBSTITUTE(AQ820,".",""))=3,LEFT(AQ820,vitri(".",AQ820,3)-1),LEN(AQ820)-LEN(SUBSTITUTE(AQ820,".",""))=2,LEFT(AQ820,vitri(".",AQ820,2)-1),TRUE,LEFT(AQ820,vitri(".",AQ820,1)-1))</f>
        <v/>
      </c>
    </row>
    <row r="821" spans="13:54" x14ac:dyDescent="0.25">
      <c r="M821" s="382"/>
      <c r="BB821" s="253" t="str">
        <f t="array" ref="BB821">_xlfn.IFS(AQ821="","",LEN(AQ821)-LEN(SUBSTITUTE(AQ821,".",""))=3,LEFT(AQ821,vitri(".",AQ821,3)-1),LEN(AQ821)-LEN(SUBSTITUTE(AQ821,".",""))=2,LEFT(AQ821,vitri(".",AQ821,2)-1),TRUE,LEFT(AQ821,vitri(".",AQ821,1)-1))</f>
        <v/>
      </c>
    </row>
    <row r="822" spans="13:54" x14ac:dyDescent="0.25">
      <c r="M822" s="382"/>
      <c r="BB822" s="253" t="str">
        <f t="array" ref="BB822">_xlfn.IFS(AQ822="","",LEN(AQ822)-LEN(SUBSTITUTE(AQ822,".",""))=3,LEFT(AQ822,vitri(".",AQ822,3)-1),LEN(AQ822)-LEN(SUBSTITUTE(AQ822,".",""))=2,LEFT(AQ822,vitri(".",AQ822,2)-1),TRUE,LEFT(AQ822,vitri(".",AQ822,1)-1))</f>
        <v/>
      </c>
    </row>
    <row r="823" spans="13:54" x14ac:dyDescent="0.25">
      <c r="M823" s="382"/>
      <c r="BB823" s="253" t="str">
        <f t="array" ref="BB823">_xlfn.IFS(AQ823="","",LEN(AQ823)-LEN(SUBSTITUTE(AQ823,".",""))=3,LEFT(AQ823,vitri(".",AQ823,3)-1),LEN(AQ823)-LEN(SUBSTITUTE(AQ823,".",""))=2,LEFT(AQ823,vitri(".",AQ823,2)-1),TRUE,LEFT(AQ823,vitri(".",AQ823,1)-1))</f>
        <v/>
      </c>
    </row>
    <row r="824" spans="13:54" x14ac:dyDescent="0.25">
      <c r="M824" s="382"/>
      <c r="BB824" s="253" t="str">
        <f t="array" ref="BB824">_xlfn.IFS(AQ824="","",LEN(AQ824)-LEN(SUBSTITUTE(AQ824,".",""))=3,LEFT(AQ824,vitri(".",AQ824,3)-1),LEN(AQ824)-LEN(SUBSTITUTE(AQ824,".",""))=2,LEFT(AQ824,vitri(".",AQ824,2)-1),TRUE,LEFT(AQ824,vitri(".",AQ824,1)-1))</f>
        <v/>
      </c>
    </row>
    <row r="825" spans="13:54" x14ac:dyDescent="0.25">
      <c r="M825" s="382"/>
      <c r="BB825" s="253" t="str">
        <f t="array" ref="BB825">_xlfn.IFS(AQ825="","",LEN(AQ825)-LEN(SUBSTITUTE(AQ825,".",""))=3,LEFT(AQ825,vitri(".",AQ825,3)-1),LEN(AQ825)-LEN(SUBSTITUTE(AQ825,".",""))=2,LEFT(AQ825,vitri(".",AQ825,2)-1),TRUE,LEFT(AQ825,vitri(".",AQ825,1)-1))</f>
        <v/>
      </c>
    </row>
    <row r="826" spans="13:54" x14ac:dyDescent="0.25">
      <c r="M826" s="382"/>
      <c r="BB826" s="253" t="str">
        <f t="array" ref="BB826">_xlfn.IFS(AQ826="","",LEN(AQ826)-LEN(SUBSTITUTE(AQ826,".",""))=3,LEFT(AQ826,vitri(".",AQ826,3)-1),LEN(AQ826)-LEN(SUBSTITUTE(AQ826,".",""))=2,LEFT(AQ826,vitri(".",AQ826,2)-1),TRUE,LEFT(AQ826,vitri(".",AQ826,1)-1))</f>
        <v/>
      </c>
    </row>
    <row r="827" spans="13:54" x14ac:dyDescent="0.25">
      <c r="M827" s="382"/>
      <c r="BB827" s="253" t="str">
        <f t="array" ref="BB827">_xlfn.IFS(AQ827="","",LEN(AQ827)-LEN(SUBSTITUTE(AQ827,".",""))=3,LEFT(AQ827,vitri(".",AQ827,3)-1),LEN(AQ827)-LEN(SUBSTITUTE(AQ827,".",""))=2,LEFT(AQ827,vitri(".",AQ827,2)-1),TRUE,LEFT(AQ827,vitri(".",AQ827,1)-1))</f>
        <v/>
      </c>
    </row>
    <row r="828" spans="13:54" x14ac:dyDescent="0.25">
      <c r="M828" s="382"/>
      <c r="BB828" s="253" t="str">
        <f t="array" ref="BB828">_xlfn.IFS(AQ828="","",LEN(AQ828)-LEN(SUBSTITUTE(AQ828,".",""))=3,LEFT(AQ828,vitri(".",AQ828,3)-1),LEN(AQ828)-LEN(SUBSTITUTE(AQ828,".",""))=2,LEFT(AQ828,vitri(".",AQ828,2)-1),TRUE,LEFT(AQ828,vitri(".",AQ828,1)-1))</f>
        <v/>
      </c>
    </row>
    <row r="829" spans="13:54" x14ac:dyDescent="0.25">
      <c r="M829" s="382"/>
      <c r="BB829" s="253" t="str">
        <f t="array" ref="BB829">_xlfn.IFS(AQ829="","",LEN(AQ829)-LEN(SUBSTITUTE(AQ829,".",""))=3,LEFT(AQ829,vitri(".",AQ829,3)-1),LEN(AQ829)-LEN(SUBSTITUTE(AQ829,".",""))=2,LEFT(AQ829,vitri(".",AQ829,2)-1),TRUE,LEFT(AQ829,vitri(".",AQ829,1)-1))</f>
        <v/>
      </c>
    </row>
    <row r="830" spans="13:54" x14ac:dyDescent="0.25">
      <c r="M830" s="382"/>
      <c r="BB830" s="253" t="str">
        <f t="array" ref="BB830">_xlfn.IFS(AQ830="","",LEN(AQ830)-LEN(SUBSTITUTE(AQ830,".",""))=3,LEFT(AQ830,vitri(".",AQ830,3)-1),LEN(AQ830)-LEN(SUBSTITUTE(AQ830,".",""))=2,LEFT(AQ830,vitri(".",AQ830,2)-1),TRUE,LEFT(AQ830,vitri(".",AQ830,1)-1))</f>
        <v/>
      </c>
    </row>
    <row r="831" spans="13:54" x14ac:dyDescent="0.25">
      <c r="M831" s="382"/>
      <c r="BB831" s="253" t="str">
        <f t="array" ref="BB831">_xlfn.IFS(AQ831="","",LEN(AQ831)-LEN(SUBSTITUTE(AQ831,".",""))=3,LEFT(AQ831,vitri(".",AQ831,3)-1),LEN(AQ831)-LEN(SUBSTITUTE(AQ831,".",""))=2,LEFT(AQ831,vitri(".",AQ831,2)-1),TRUE,LEFT(AQ831,vitri(".",AQ831,1)-1))</f>
        <v/>
      </c>
    </row>
    <row r="832" spans="13:54" x14ac:dyDescent="0.25">
      <c r="M832" s="382"/>
      <c r="BB832" s="253" t="str">
        <f t="array" ref="BB832">_xlfn.IFS(AQ832="","",LEN(AQ832)-LEN(SUBSTITUTE(AQ832,".",""))=3,LEFT(AQ832,vitri(".",AQ832,3)-1),LEN(AQ832)-LEN(SUBSTITUTE(AQ832,".",""))=2,LEFT(AQ832,vitri(".",AQ832,2)-1),TRUE,LEFT(AQ832,vitri(".",AQ832,1)-1))</f>
        <v/>
      </c>
    </row>
    <row r="833" spans="13:54" x14ac:dyDescent="0.25">
      <c r="M833" s="382"/>
      <c r="BB833" s="253" t="str">
        <f t="array" ref="BB833">_xlfn.IFS(AQ833="","",LEN(AQ833)-LEN(SUBSTITUTE(AQ833,".",""))=3,LEFT(AQ833,vitri(".",AQ833,3)-1),LEN(AQ833)-LEN(SUBSTITUTE(AQ833,".",""))=2,LEFT(AQ833,vitri(".",AQ833,2)-1),TRUE,LEFT(AQ833,vitri(".",AQ833,1)-1))</f>
        <v/>
      </c>
    </row>
    <row r="834" spans="13:54" x14ac:dyDescent="0.25">
      <c r="M834" s="382"/>
      <c r="BB834" s="253" t="str">
        <f t="array" ref="BB834">_xlfn.IFS(AQ834="","",LEN(AQ834)-LEN(SUBSTITUTE(AQ834,".",""))=3,LEFT(AQ834,vitri(".",AQ834,3)-1),LEN(AQ834)-LEN(SUBSTITUTE(AQ834,".",""))=2,LEFT(AQ834,vitri(".",AQ834,2)-1),TRUE,LEFT(AQ834,vitri(".",AQ834,1)-1))</f>
        <v/>
      </c>
    </row>
    <row r="835" spans="13:54" x14ac:dyDescent="0.25">
      <c r="M835" s="382"/>
      <c r="BB835" s="253" t="str">
        <f t="array" ref="BB835">_xlfn.IFS(AQ835="","",LEN(AQ835)-LEN(SUBSTITUTE(AQ835,".",""))=3,LEFT(AQ835,vitri(".",AQ835,3)-1),LEN(AQ835)-LEN(SUBSTITUTE(AQ835,".",""))=2,LEFT(AQ835,vitri(".",AQ835,2)-1),TRUE,LEFT(AQ835,vitri(".",AQ835,1)-1))</f>
        <v/>
      </c>
    </row>
    <row r="836" spans="13:54" x14ac:dyDescent="0.25">
      <c r="M836" s="382"/>
      <c r="BB836" s="253" t="str">
        <f t="array" ref="BB836">_xlfn.IFS(AQ836="","",LEN(AQ836)-LEN(SUBSTITUTE(AQ836,".",""))=3,LEFT(AQ836,vitri(".",AQ836,3)-1),LEN(AQ836)-LEN(SUBSTITUTE(AQ836,".",""))=2,LEFT(AQ836,vitri(".",AQ836,2)-1),TRUE,LEFT(AQ836,vitri(".",AQ836,1)-1))</f>
        <v/>
      </c>
    </row>
    <row r="837" spans="13:54" x14ac:dyDescent="0.25">
      <c r="M837" s="382"/>
      <c r="BB837" s="253" t="str">
        <f t="array" ref="BB837">_xlfn.IFS(AQ837="","",LEN(AQ837)-LEN(SUBSTITUTE(AQ837,".",""))=3,LEFT(AQ837,vitri(".",AQ837,3)-1),LEN(AQ837)-LEN(SUBSTITUTE(AQ837,".",""))=2,LEFT(AQ837,vitri(".",AQ837,2)-1),TRUE,LEFT(AQ837,vitri(".",AQ837,1)-1))</f>
        <v/>
      </c>
    </row>
    <row r="838" spans="13:54" x14ac:dyDescent="0.25">
      <c r="M838" s="382"/>
      <c r="BB838" s="253" t="str">
        <f t="array" ref="BB838">_xlfn.IFS(AQ838="","",LEN(AQ838)-LEN(SUBSTITUTE(AQ838,".",""))=3,LEFT(AQ838,vitri(".",AQ838,3)-1),LEN(AQ838)-LEN(SUBSTITUTE(AQ838,".",""))=2,LEFT(AQ838,vitri(".",AQ838,2)-1),TRUE,LEFT(AQ838,vitri(".",AQ838,1)-1))</f>
        <v/>
      </c>
    </row>
    <row r="839" spans="13:54" x14ac:dyDescent="0.25">
      <c r="M839" s="382"/>
      <c r="BB839" s="253" t="str">
        <f t="array" ref="BB839">_xlfn.IFS(AQ839="","",LEN(AQ839)-LEN(SUBSTITUTE(AQ839,".",""))=3,LEFT(AQ839,vitri(".",AQ839,3)-1),LEN(AQ839)-LEN(SUBSTITUTE(AQ839,".",""))=2,LEFT(AQ839,vitri(".",AQ839,2)-1),TRUE,LEFT(AQ839,vitri(".",AQ839,1)-1))</f>
        <v/>
      </c>
    </row>
    <row r="840" spans="13:54" x14ac:dyDescent="0.25">
      <c r="M840" s="382"/>
      <c r="BB840" s="253" t="str">
        <f t="array" ref="BB840">_xlfn.IFS(AQ840="","",LEN(AQ840)-LEN(SUBSTITUTE(AQ840,".",""))=3,LEFT(AQ840,vitri(".",AQ840,3)-1),LEN(AQ840)-LEN(SUBSTITUTE(AQ840,".",""))=2,LEFT(AQ840,vitri(".",AQ840,2)-1),TRUE,LEFT(AQ840,vitri(".",AQ840,1)-1))</f>
        <v/>
      </c>
    </row>
    <row r="841" spans="13:54" x14ac:dyDescent="0.25">
      <c r="M841" s="382"/>
      <c r="BB841" s="253" t="str">
        <f t="array" ref="BB841">_xlfn.IFS(AQ841="","",LEN(AQ841)-LEN(SUBSTITUTE(AQ841,".",""))=3,LEFT(AQ841,vitri(".",AQ841,3)-1),LEN(AQ841)-LEN(SUBSTITUTE(AQ841,".",""))=2,LEFT(AQ841,vitri(".",AQ841,2)-1),TRUE,LEFT(AQ841,vitri(".",AQ841,1)-1))</f>
        <v/>
      </c>
    </row>
    <row r="842" spans="13:54" x14ac:dyDescent="0.25">
      <c r="M842" s="382"/>
      <c r="BB842" s="253" t="str">
        <f t="array" ref="BB842">_xlfn.IFS(AQ842="","",LEN(AQ842)-LEN(SUBSTITUTE(AQ842,".",""))=3,LEFT(AQ842,vitri(".",AQ842,3)-1),LEN(AQ842)-LEN(SUBSTITUTE(AQ842,".",""))=2,LEFT(AQ842,vitri(".",AQ842,2)-1),TRUE,LEFT(AQ842,vitri(".",AQ842,1)-1))</f>
        <v/>
      </c>
    </row>
    <row r="843" spans="13:54" x14ac:dyDescent="0.25">
      <c r="M843" s="382"/>
      <c r="BB843" s="253" t="str">
        <f t="array" ref="BB843">_xlfn.IFS(AQ843="","",LEN(AQ843)-LEN(SUBSTITUTE(AQ843,".",""))=3,LEFT(AQ843,vitri(".",AQ843,3)-1),LEN(AQ843)-LEN(SUBSTITUTE(AQ843,".",""))=2,LEFT(AQ843,vitri(".",AQ843,2)-1),TRUE,LEFT(AQ843,vitri(".",AQ843,1)-1))</f>
        <v/>
      </c>
    </row>
    <row r="844" spans="13:54" x14ac:dyDescent="0.25">
      <c r="M844" s="382"/>
      <c r="BB844" s="253" t="str">
        <f t="array" ref="BB844">_xlfn.IFS(AQ844="","",LEN(AQ844)-LEN(SUBSTITUTE(AQ844,".",""))=3,LEFT(AQ844,vitri(".",AQ844,3)-1),LEN(AQ844)-LEN(SUBSTITUTE(AQ844,".",""))=2,LEFT(AQ844,vitri(".",AQ844,2)-1),TRUE,LEFT(AQ844,vitri(".",AQ844,1)-1))</f>
        <v/>
      </c>
    </row>
    <row r="845" spans="13:54" x14ac:dyDescent="0.25">
      <c r="M845" s="382"/>
      <c r="BB845" s="253" t="str">
        <f t="array" ref="BB845">_xlfn.IFS(AQ845="","",LEN(AQ845)-LEN(SUBSTITUTE(AQ845,".",""))=3,LEFT(AQ845,vitri(".",AQ845,3)-1),LEN(AQ845)-LEN(SUBSTITUTE(AQ845,".",""))=2,LEFT(AQ845,vitri(".",AQ845,2)-1),TRUE,LEFT(AQ845,vitri(".",AQ845,1)-1))</f>
        <v/>
      </c>
    </row>
    <row r="846" spans="13:54" x14ac:dyDescent="0.25">
      <c r="M846" s="382"/>
      <c r="BB846" s="253" t="str">
        <f t="array" ref="BB846">_xlfn.IFS(AQ846="","",LEN(AQ846)-LEN(SUBSTITUTE(AQ846,".",""))=3,LEFT(AQ846,vitri(".",AQ846,3)-1),LEN(AQ846)-LEN(SUBSTITUTE(AQ846,".",""))=2,LEFT(AQ846,vitri(".",AQ846,2)-1),TRUE,LEFT(AQ846,vitri(".",AQ846,1)-1))</f>
        <v/>
      </c>
    </row>
    <row r="847" spans="13:54" x14ac:dyDescent="0.25">
      <c r="M847" s="382"/>
      <c r="BB847" s="253" t="str">
        <f t="array" ref="BB847">_xlfn.IFS(AQ847="","",LEN(AQ847)-LEN(SUBSTITUTE(AQ847,".",""))=3,LEFT(AQ847,vitri(".",AQ847,3)-1),LEN(AQ847)-LEN(SUBSTITUTE(AQ847,".",""))=2,LEFT(AQ847,vitri(".",AQ847,2)-1),TRUE,LEFT(AQ847,vitri(".",AQ847,1)-1))</f>
        <v/>
      </c>
    </row>
    <row r="848" spans="13:54" x14ac:dyDescent="0.25">
      <c r="M848" s="382"/>
      <c r="BB848" s="253" t="str">
        <f t="array" ref="BB848">_xlfn.IFS(AQ848="","",LEN(AQ848)-LEN(SUBSTITUTE(AQ848,".",""))=3,LEFT(AQ848,vitri(".",AQ848,3)-1),LEN(AQ848)-LEN(SUBSTITUTE(AQ848,".",""))=2,LEFT(AQ848,vitri(".",AQ848,2)-1),TRUE,LEFT(AQ848,vitri(".",AQ848,1)-1))</f>
        <v/>
      </c>
    </row>
    <row r="849" spans="13:54" x14ac:dyDescent="0.25">
      <c r="M849" s="382"/>
      <c r="BB849" s="253" t="str">
        <f t="array" ref="BB849">_xlfn.IFS(AQ849="","",LEN(AQ849)-LEN(SUBSTITUTE(AQ849,".",""))=3,LEFT(AQ849,vitri(".",AQ849,3)-1),LEN(AQ849)-LEN(SUBSTITUTE(AQ849,".",""))=2,LEFT(AQ849,vitri(".",AQ849,2)-1),TRUE,LEFT(AQ849,vitri(".",AQ849,1)-1))</f>
        <v/>
      </c>
    </row>
    <row r="850" spans="13:54" x14ac:dyDescent="0.25">
      <c r="M850" s="382"/>
      <c r="BB850" s="253" t="str">
        <f t="array" ref="BB850">_xlfn.IFS(AQ850="","",LEN(AQ850)-LEN(SUBSTITUTE(AQ850,".",""))=3,LEFT(AQ850,vitri(".",AQ850,3)-1),LEN(AQ850)-LEN(SUBSTITUTE(AQ850,".",""))=2,LEFT(AQ850,vitri(".",AQ850,2)-1),TRUE,LEFT(AQ850,vitri(".",AQ850,1)-1))</f>
        <v/>
      </c>
    </row>
    <row r="851" spans="13:54" x14ac:dyDescent="0.25">
      <c r="M851" s="382"/>
      <c r="BB851" s="253" t="str">
        <f t="array" ref="BB851">_xlfn.IFS(AQ851="","",LEN(AQ851)-LEN(SUBSTITUTE(AQ851,".",""))=3,LEFT(AQ851,vitri(".",AQ851,3)-1),LEN(AQ851)-LEN(SUBSTITUTE(AQ851,".",""))=2,LEFT(AQ851,vitri(".",AQ851,2)-1),TRUE,LEFT(AQ851,vitri(".",AQ851,1)-1))</f>
        <v/>
      </c>
    </row>
    <row r="852" spans="13:54" x14ac:dyDescent="0.25">
      <c r="M852" s="382"/>
      <c r="BB852" s="253" t="str">
        <f t="array" ref="BB852">_xlfn.IFS(AQ852="","",LEN(AQ852)-LEN(SUBSTITUTE(AQ852,".",""))=3,LEFT(AQ852,vitri(".",AQ852,3)-1),LEN(AQ852)-LEN(SUBSTITUTE(AQ852,".",""))=2,LEFT(AQ852,vitri(".",AQ852,2)-1),TRUE,LEFT(AQ852,vitri(".",AQ852,1)-1))</f>
        <v/>
      </c>
    </row>
    <row r="853" spans="13:54" x14ac:dyDescent="0.25">
      <c r="M853" s="382"/>
      <c r="BB853" s="253" t="str">
        <f t="array" ref="BB853">_xlfn.IFS(AQ853="","",LEN(AQ853)-LEN(SUBSTITUTE(AQ853,".",""))=3,LEFT(AQ853,vitri(".",AQ853,3)-1),LEN(AQ853)-LEN(SUBSTITUTE(AQ853,".",""))=2,LEFT(AQ853,vitri(".",AQ853,2)-1),TRUE,LEFT(AQ853,vitri(".",AQ853,1)-1))</f>
        <v/>
      </c>
    </row>
    <row r="854" spans="13:54" x14ac:dyDescent="0.25">
      <c r="M854" s="382"/>
      <c r="BB854" s="253" t="str">
        <f t="array" ref="BB854">_xlfn.IFS(AQ854="","",LEN(AQ854)-LEN(SUBSTITUTE(AQ854,".",""))=3,LEFT(AQ854,vitri(".",AQ854,3)-1),LEN(AQ854)-LEN(SUBSTITUTE(AQ854,".",""))=2,LEFT(AQ854,vitri(".",AQ854,2)-1),TRUE,LEFT(AQ854,vitri(".",AQ854,1)-1))</f>
        <v/>
      </c>
    </row>
    <row r="855" spans="13:54" x14ac:dyDescent="0.25">
      <c r="M855" s="382"/>
      <c r="BB855" s="253" t="str">
        <f t="array" ref="BB855">_xlfn.IFS(AQ855="","",LEN(AQ855)-LEN(SUBSTITUTE(AQ855,".",""))=3,LEFT(AQ855,vitri(".",AQ855,3)-1),LEN(AQ855)-LEN(SUBSTITUTE(AQ855,".",""))=2,LEFT(AQ855,vitri(".",AQ855,2)-1),TRUE,LEFT(AQ855,vitri(".",AQ855,1)-1))</f>
        <v/>
      </c>
    </row>
    <row r="856" spans="13:54" x14ac:dyDescent="0.25">
      <c r="M856" s="382"/>
      <c r="BB856" s="253" t="str">
        <f t="array" ref="BB856">_xlfn.IFS(AQ856="","",LEN(AQ856)-LEN(SUBSTITUTE(AQ856,".",""))=3,LEFT(AQ856,vitri(".",AQ856,3)-1),LEN(AQ856)-LEN(SUBSTITUTE(AQ856,".",""))=2,LEFT(AQ856,vitri(".",AQ856,2)-1),TRUE,LEFT(AQ856,vitri(".",AQ856,1)-1))</f>
        <v/>
      </c>
    </row>
    <row r="857" spans="13:54" x14ac:dyDescent="0.25">
      <c r="M857" s="382"/>
      <c r="BB857" s="253" t="str">
        <f t="array" ref="BB857">_xlfn.IFS(AQ857="","",LEN(AQ857)-LEN(SUBSTITUTE(AQ857,".",""))=3,LEFT(AQ857,vitri(".",AQ857,3)-1),LEN(AQ857)-LEN(SUBSTITUTE(AQ857,".",""))=2,LEFT(AQ857,vitri(".",AQ857,2)-1),TRUE,LEFT(AQ857,vitri(".",AQ857,1)-1))</f>
        <v/>
      </c>
    </row>
    <row r="858" spans="13:54" x14ac:dyDescent="0.25">
      <c r="M858" s="382"/>
      <c r="BB858" s="253" t="str">
        <f t="array" ref="BB858">_xlfn.IFS(AQ858="","",LEN(AQ858)-LEN(SUBSTITUTE(AQ858,".",""))=3,LEFT(AQ858,vitri(".",AQ858,3)-1),LEN(AQ858)-LEN(SUBSTITUTE(AQ858,".",""))=2,LEFT(AQ858,vitri(".",AQ858,2)-1),TRUE,LEFT(AQ858,vitri(".",AQ858,1)-1))</f>
        <v/>
      </c>
    </row>
    <row r="859" spans="13:54" x14ac:dyDescent="0.25">
      <c r="M859" s="382"/>
      <c r="BB859" s="253" t="str">
        <f t="array" ref="BB859">_xlfn.IFS(AQ859="","",LEN(AQ859)-LEN(SUBSTITUTE(AQ859,".",""))=3,LEFT(AQ859,vitri(".",AQ859,3)-1),LEN(AQ859)-LEN(SUBSTITUTE(AQ859,".",""))=2,LEFT(AQ859,vitri(".",AQ859,2)-1),TRUE,LEFT(AQ859,vitri(".",AQ859,1)-1))</f>
        <v/>
      </c>
    </row>
    <row r="860" spans="13:54" x14ac:dyDescent="0.25">
      <c r="M860" s="382"/>
      <c r="BB860" s="253" t="str">
        <f t="array" ref="BB860">_xlfn.IFS(AQ860="","",LEN(AQ860)-LEN(SUBSTITUTE(AQ860,".",""))=3,LEFT(AQ860,vitri(".",AQ860,3)-1),LEN(AQ860)-LEN(SUBSTITUTE(AQ860,".",""))=2,LEFT(AQ860,vitri(".",AQ860,2)-1),TRUE,LEFT(AQ860,vitri(".",AQ860,1)-1))</f>
        <v/>
      </c>
    </row>
    <row r="861" spans="13:54" x14ac:dyDescent="0.25">
      <c r="M861" s="382"/>
      <c r="BB861" s="253" t="str">
        <f t="array" ref="BB861">_xlfn.IFS(AQ861="","",LEN(AQ861)-LEN(SUBSTITUTE(AQ861,".",""))=3,LEFT(AQ861,vitri(".",AQ861,3)-1),LEN(AQ861)-LEN(SUBSTITUTE(AQ861,".",""))=2,LEFT(AQ861,vitri(".",AQ861,2)-1),TRUE,LEFT(AQ861,vitri(".",AQ861,1)-1))</f>
        <v/>
      </c>
    </row>
    <row r="862" spans="13:54" x14ac:dyDescent="0.25">
      <c r="M862" s="382"/>
      <c r="BB862" s="253" t="str">
        <f t="array" ref="BB862">_xlfn.IFS(AQ862="","",LEN(AQ862)-LEN(SUBSTITUTE(AQ862,".",""))=3,LEFT(AQ862,vitri(".",AQ862,3)-1),LEN(AQ862)-LEN(SUBSTITUTE(AQ862,".",""))=2,LEFT(AQ862,vitri(".",AQ862,2)-1),TRUE,LEFT(AQ862,vitri(".",AQ862,1)-1))</f>
        <v/>
      </c>
    </row>
    <row r="863" spans="13:54" x14ac:dyDescent="0.25">
      <c r="M863" s="382"/>
      <c r="BB863" s="253" t="str">
        <f t="array" ref="BB863">_xlfn.IFS(AQ863="","",LEN(AQ863)-LEN(SUBSTITUTE(AQ863,".",""))=3,LEFT(AQ863,vitri(".",AQ863,3)-1),LEN(AQ863)-LEN(SUBSTITUTE(AQ863,".",""))=2,LEFT(AQ863,vitri(".",AQ863,2)-1),TRUE,LEFT(AQ863,vitri(".",AQ863,1)-1))</f>
        <v/>
      </c>
    </row>
    <row r="864" spans="13:54" x14ac:dyDescent="0.25">
      <c r="M864" s="382"/>
      <c r="BB864" s="253" t="str">
        <f t="array" ref="BB864">_xlfn.IFS(AQ864="","",LEN(AQ864)-LEN(SUBSTITUTE(AQ864,".",""))=3,LEFT(AQ864,vitri(".",AQ864,3)-1),LEN(AQ864)-LEN(SUBSTITUTE(AQ864,".",""))=2,LEFT(AQ864,vitri(".",AQ864,2)-1),TRUE,LEFT(AQ864,vitri(".",AQ864,1)-1))</f>
        <v/>
      </c>
    </row>
    <row r="865" spans="13:54" x14ac:dyDescent="0.25">
      <c r="M865" s="382"/>
      <c r="BB865" s="253" t="str">
        <f t="array" ref="BB865">_xlfn.IFS(AQ865="","",LEN(AQ865)-LEN(SUBSTITUTE(AQ865,".",""))=3,LEFT(AQ865,vitri(".",AQ865,3)-1),LEN(AQ865)-LEN(SUBSTITUTE(AQ865,".",""))=2,LEFT(AQ865,vitri(".",AQ865,2)-1),TRUE,LEFT(AQ865,vitri(".",AQ865,1)-1))</f>
        <v/>
      </c>
    </row>
    <row r="866" spans="13:54" x14ac:dyDescent="0.25">
      <c r="M866" s="382"/>
      <c r="BB866" s="253" t="str">
        <f t="array" ref="BB866">_xlfn.IFS(AQ866="","",LEN(AQ866)-LEN(SUBSTITUTE(AQ866,".",""))=3,LEFT(AQ866,vitri(".",AQ866,3)-1),LEN(AQ866)-LEN(SUBSTITUTE(AQ866,".",""))=2,LEFT(AQ866,vitri(".",AQ866,2)-1),TRUE,LEFT(AQ866,vitri(".",AQ866,1)-1))</f>
        <v/>
      </c>
    </row>
    <row r="867" spans="13:54" x14ac:dyDescent="0.25">
      <c r="M867" s="382"/>
      <c r="BB867" s="253" t="str">
        <f t="array" ref="BB867">_xlfn.IFS(AQ867="","",LEN(AQ867)-LEN(SUBSTITUTE(AQ867,".",""))=3,LEFT(AQ867,vitri(".",AQ867,3)-1),LEN(AQ867)-LEN(SUBSTITUTE(AQ867,".",""))=2,LEFT(AQ867,vitri(".",AQ867,2)-1),TRUE,LEFT(AQ867,vitri(".",AQ867,1)-1))</f>
        <v/>
      </c>
    </row>
    <row r="868" spans="13:54" x14ac:dyDescent="0.25">
      <c r="M868" s="382"/>
      <c r="BB868" s="253" t="str">
        <f t="array" ref="BB868">_xlfn.IFS(AQ868="","",LEN(AQ868)-LEN(SUBSTITUTE(AQ868,".",""))=3,LEFT(AQ868,vitri(".",AQ868,3)-1),LEN(AQ868)-LEN(SUBSTITUTE(AQ868,".",""))=2,LEFT(AQ868,vitri(".",AQ868,2)-1),TRUE,LEFT(AQ868,vitri(".",AQ868,1)-1))</f>
        <v/>
      </c>
    </row>
    <row r="869" spans="13:54" x14ac:dyDescent="0.25">
      <c r="M869" s="382"/>
      <c r="BB869" s="253" t="str">
        <f t="array" ref="BB869">_xlfn.IFS(AQ869="","",LEN(AQ869)-LEN(SUBSTITUTE(AQ869,".",""))=3,LEFT(AQ869,vitri(".",AQ869,3)-1),LEN(AQ869)-LEN(SUBSTITUTE(AQ869,".",""))=2,LEFT(AQ869,vitri(".",AQ869,2)-1),TRUE,LEFT(AQ869,vitri(".",AQ869,1)-1))</f>
        <v/>
      </c>
    </row>
    <row r="870" spans="13:54" x14ac:dyDescent="0.25">
      <c r="M870" s="382"/>
      <c r="BB870" s="253" t="str">
        <f t="array" ref="BB870">_xlfn.IFS(AQ870="","",LEN(AQ870)-LEN(SUBSTITUTE(AQ870,".",""))=3,LEFT(AQ870,vitri(".",AQ870,3)-1),LEN(AQ870)-LEN(SUBSTITUTE(AQ870,".",""))=2,LEFT(AQ870,vitri(".",AQ870,2)-1),TRUE,LEFT(AQ870,vitri(".",AQ870,1)-1))</f>
        <v/>
      </c>
    </row>
    <row r="871" spans="13:54" x14ac:dyDescent="0.25">
      <c r="M871" s="382"/>
      <c r="BB871" s="253" t="str">
        <f t="array" ref="BB871">_xlfn.IFS(AQ871="","",LEN(AQ871)-LEN(SUBSTITUTE(AQ871,".",""))=3,LEFT(AQ871,vitri(".",AQ871,3)-1),LEN(AQ871)-LEN(SUBSTITUTE(AQ871,".",""))=2,LEFT(AQ871,vitri(".",AQ871,2)-1),TRUE,LEFT(AQ871,vitri(".",AQ871,1)-1))</f>
        <v/>
      </c>
    </row>
    <row r="872" spans="13:54" x14ac:dyDescent="0.25">
      <c r="M872" s="382"/>
      <c r="BB872" s="253" t="str">
        <f t="array" ref="BB872">_xlfn.IFS(AQ872="","",LEN(AQ872)-LEN(SUBSTITUTE(AQ872,".",""))=3,LEFT(AQ872,vitri(".",AQ872,3)-1),LEN(AQ872)-LEN(SUBSTITUTE(AQ872,".",""))=2,LEFT(AQ872,vitri(".",AQ872,2)-1),TRUE,LEFT(AQ872,vitri(".",AQ872,1)-1))</f>
        <v/>
      </c>
    </row>
    <row r="873" spans="13:54" x14ac:dyDescent="0.25">
      <c r="M873" s="382"/>
      <c r="BB873" s="253" t="str">
        <f t="array" ref="BB873">_xlfn.IFS(AQ873="","",LEN(AQ873)-LEN(SUBSTITUTE(AQ873,".",""))=3,LEFT(AQ873,vitri(".",AQ873,3)-1),LEN(AQ873)-LEN(SUBSTITUTE(AQ873,".",""))=2,LEFT(AQ873,vitri(".",AQ873,2)-1),TRUE,LEFT(AQ873,vitri(".",AQ873,1)-1))</f>
        <v/>
      </c>
    </row>
    <row r="874" spans="13:54" x14ac:dyDescent="0.25">
      <c r="M874" s="382"/>
      <c r="BB874" s="253" t="str">
        <f t="array" ref="BB874">_xlfn.IFS(AQ874="","",LEN(AQ874)-LEN(SUBSTITUTE(AQ874,".",""))=3,LEFT(AQ874,vitri(".",AQ874,3)-1),LEN(AQ874)-LEN(SUBSTITUTE(AQ874,".",""))=2,LEFT(AQ874,vitri(".",AQ874,2)-1),TRUE,LEFT(AQ874,vitri(".",AQ874,1)-1))</f>
        <v/>
      </c>
    </row>
    <row r="875" spans="13:54" x14ac:dyDescent="0.25">
      <c r="M875" s="382"/>
      <c r="BB875" s="253" t="str">
        <f t="array" ref="BB875">_xlfn.IFS(AQ875="","",LEN(AQ875)-LEN(SUBSTITUTE(AQ875,".",""))=3,LEFT(AQ875,vitri(".",AQ875,3)-1),LEN(AQ875)-LEN(SUBSTITUTE(AQ875,".",""))=2,LEFT(AQ875,vitri(".",AQ875,2)-1),TRUE,LEFT(AQ875,vitri(".",AQ875,1)-1))</f>
        <v/>
      </c>
    </row>
    <row r="876" spans="13:54" x14ac:dyDescent="0.25">
      <c r="M876" s="382"/>
      <c r="BB876" s="253" t="str">
        <f t="array" ref="BB876">_xlfn.IFS(AQ876="","",LEN(AQ876)-LEN(SUBSTITUTE(AQ876,".",""))=3,LEFT(AQ876,vitri(".",AQ876,3)-1),LEN(AQ876)-LEN(SUBSTITUTE(AQ876,".",""))=2,LEFT(AQ876,vitri(".",AQ876,2)-1),TRUE,LEFT(AQ876,vitri(".",AQ876,1)-1))</f>
        <v/>
      </c>
    </row>
    <row r="877" spans="13:54" x14ac:dyDescent="0.25">
      <c r="M877" s="382"/>
      <c r="BB877" s="253" t="str">
        <f t="array" ref="BB877">_xlfn.IFS(AQ877="","",LEN(AQ877)-LEN(SUBSTITUTE(AQ877,".",""))=3,LEFT(AQ877,vitri(".",AQ877,3)-1),LEN(AQ877)-LEN(SUBSTITUTE(AQ877,".",""))=2,LEFT(AQ877,vitri(".",AQ877,2)-1),TRUE,LEFT(AQ877,vitri(".",AQ877,1)-1))</f>
        <v/>
      </c>
    </row>
    <row r="878" spans="13:54" x14ac:dyDescent="0.25">
      <c r="M878" s="382"/>
      <c r="BB878" s="253" t="str">
        <f t="array" ref="BB878">_xlfn.IFS(AQ878="","",LEN(AQ878)-LEN(SUBSTITUTE(AQ878,".",""))=3,LEFT(AQ878,vitri(".",AQ878,3)-1),LEN(AQ878)-LEN(SUBSTITUTE(AQ878,".",""))=2,LEFT(AQ878,vitri(".",AQ878,2)-1),TRUE,LEFT(AQ878,vitri(".",AQ878,1)-1))</f>
        <v/>
      </c>
    </row>
    <row r="879" spans="13:54" x14ac:dyDescent="0.25">
      <c r="M879" s="382"/>
      <c r="BB879" s="253" t="str">
        <f t="array" ref="BB879">_xlfn.IFS(AQ879="","",LEN(AQ879)-LEN(SUBSTITUTE(AQ879,".",""))=3,LEFT(AQ879,vitri(".",AQ879,3)-1),LEN(AQ879)-LEN(SUBSTITUTE(AQ879,".",""))=2,LEFT(AQ879,vitri(".",AQ879,2)-1),TRUE,LEFT(AQ879,vitri(".",AQ879,1)-1))</f>
        <v/>
      </c>
    </row>
    <row r="880" spans="13:54" x14ac:dyDescent="0.25">
      <c r="M880" s="382"/>
      <c r="BB880" s="253" t="str">
        <f t="array" ref="BB880">_xlfn.IFS(AQ880="","",LEN(AQ880)-LEN(SUBSTITUTE(AQ880,".",""))=3,LEFT(AQ880,vitri(".",AQ880,3)-1),LEN(AQ880)-LEN(SUBSTITUTE(AQ880,".",""))=2,LEFT(AQ880,vitri(".",AQ880,2)-1),TRUE,LEFT(AQ880,vitri(".",AQ880,1)-1))</f>
        <v/>
      </c>
    </row>
    <row r="881" spans="13:54" x14ac:dyDescent="0.25">
      <c r="M881" s="382"/>
      <c r="BB881" s="253" t="str">
        <f t="array" ref="BB881">_xlfn.IFS(AQ881="","",LEN(AQ881)-LEN(SUBSTITUTE(AQ881,".",""))=3,LEFT(AQ881,vitri(".",AQ881,3)-1),LEN(AQ881)-LEN(SUBSTITUTE(AQ881,".",""))=2,LEFT(AQ881,vitri(".",AQ881,2)-1),TRUE,LEFT(AQ881,vitri(".",AQ881,1)-1))</f>
        <v/>
      </c>
    </row>
    <row r="882" spans="13:54" x14ac:dyDescent="0.25">
      <c r="M882" s="382"/>
      <c r="BB882" s="253" t="str">
        <f t="array" ref="BB882">_xlfn.IFS(AQ882="","",LEN(AQ882)-LEN(SUBSTITUTE(AQ882,".",""))=3,LEFT(AQ882,vitri(".",AQ882,3)-1),LEN(AQ882)-LEN(SUBSTITUTE(AQ882,".",""))=2,LEFT(AQ882,vitri(".",AQ882,2)-1),TRUE,LEFT(AQ882,vitri(".",AQ882,1)-1))</f>
        <v/>
      </c>
    </row>
    <row r="883" spans="13:54" x14ac:dyDescent="0.25">
      <c r="M883" s="382"/>
      <c r="BB883" s="253" t="str">
        <f t="array" ref="BB883">_xlfn.IFS(AQ883="","",LEN(AQ883)-LEN(SUBSTITUTE(AQ883,".",""))=3,LEFT(AQ883,vitri(".",AQ883,3)-1),LEN(AQ883)-LEN(SUBSTITUTE(AQ883,".",""))=2,LEFT(AQ883,vitri(".",AQ883,2)-1),TRUE,LEFT(AQ883,vitri(".",AQ883,1)-1))</f>
        <v/>
      </c>
    </row>
    <row r="884" spans="13:54" x14ac:dyDescent="0.25">
      <c r="M884" s="382"/>
      <c r="BB884" s="253" t="str">
        <f t="array" ref="BB884">_xlfn.IFS(AQ884="","",LEN(AQ884)-LEN(SUBSTITUTE(AQ884,".",""))=3,LEFT(AQ884,vitri(".",AQ884,3)-1),LEN(AQ884)-LEN(SUBSTITUTE(AQ884,".",""))=2,LEFT(AQ884,vitri(".",AQ884,2)-1),TRUE,LEFT(AQ884,vitri(".",AQ884,1)-1))</f>
        <v/>
      </c>
    </row>
    <row r="885" spans="13:54" x14ac:dyDescent="0.25">
      <c r="M885" s="382"/>
      <c r="BB885" s="253" t="str">
        <f t="array" ref="BB885">_xlfn.IFS(AQ885="","",LEN(AQ885)-LEN(SUBSTITUTE(AQ885,".",""))=3,LEFT(AQ885,vitri(".",AQ885,3)-1),LEN(AQ885)-LEN(SUBSTITUTE(AQ885,".",""))=2,LEFT(AQ885,vitri(".",AQ885,2)-1),TRUE,LEFT(AQ885,vitri(".",AQ885,1)-1))</f>
        <v/>
      </c>
    </row>
    <row r="886" spans="13:54" x14ac:dyDescent="0.25">
      <c r="M886" s="382"/>
      <c r="BB886" s="253" t="str">
        <f t="array" ref="BB886">_xlfn.IFS(AQ886="","",LEN(AQ886)-LEN(SUBSTITUTE(AQ886,".",""))=3,LEFT(AQ886,vitri(".",AQ886,3)-1),LEN(AQ886)-LEN(SUBSTITUTE(AQ886,".",""))=2,LEFT(AQ886,vitri(".",AQ886,2)-1),TRUE,LEFT(AQ886,vitri(".",AQ886,1)-1))</f>
        <v/>
      </c>
    </row>
    <row r="887" spans="13:54" x14ac:dyDescent="0.25">
      <c r="M887" s="382"/>
      <c r="BB887" s="253" t="str">
        <f t="array" ref="BB887">_xlfn.IFS(AQ887="","",LEN(AQ887)-LEN(SUBSTITUTE(AQ887,".",""))=3,LEFT(AQ887,vitri(".",AQ887,3)-1),LEN(AQ887)-LEN(SUBSTITUTE(AQ887,".",""))=2,LEFT(AQ887,vitri(".",AQ887,2)-1),TRUE,LEFT(AQ887,vitri(".",AQ887,1)-1))</f>
        <v/>
      </c>
    </row>
    <row r="888" spans="13:54" x14ac:dyDescent="0.25">
      <c r="M888" s="382"/>
      <c r="BB888" s="253" t="str">
        <f t="array" ref="BB888">_xlfn.IFS(AQ888="","",LEN(AQ888)-LEN(SUBSTITUTE(AQ888,".",""))=3,LEFT(AQ888,vitri(".",AQ888,3)-1),LEN(AQ888)-LEN(SUBSTITUTE(AQ888,".",""))=2,LEFT(AQ888,vitri(".",AQ888,2)-1),TRUE,LEFT(AQ888,vitri(".",AQ888,1)-1))</f>
        <v/>
      </c>
    </row>
    <row r="889" spans="13:54" x14ac:dyDescent="0.25">
      <c r="M889" s="382"/>
      <c r="BB889" s="253" t="str">
        <f t="array" ref="BB889">_xlfn.IFS(AQ889="","",LEN(AQ889)-LEN(SUBSTITUTE(AQ889,".",""))=3,LEFT(AQ889,vitri(".",AQ889,3)-1),LEN(AQ889)-LEN(SUBSTITUTE(AQ889,".",""))=2,LEFT(AQ889,vitri(".",AQ889,2)-1),TRUE,LEFT(AQ889,vitri(".",AQ889,1)-1))</f>
        <v/>
      </c>
    </row>
    <row r="890" spans="13:54" x14ac:dyDescent="0.25">
      <c r="M890" s="382"/>
      <c r="BB890" s="253" t="str">
        <f t="array" ref="BB890">_xlfn.IFS(AQ890="","",LEN(AQ890)-LEN(SUBSTITUTE(AQ890,".",""))=3,LEFT(AQ890,vitri(".",AQ890,3)-1),LEN(AQ890)-LEN(SUBSTITUTE(AQ890,".",""))=2,LEFT(AQ890,vitri(".",AQ890,2)-1),TRUE,LEFT(AQ890,vitri(".",AQ890,1)-1))</f>
        <v/>
      </c>
    </row>
    <row r="891" spans="13:54" x14ac:dyDescent="0.25">
      <c r="M891" s="382"/>
      <c r="BB891" s="253" t="str">
        <f t="array" ref="BB891">_xlfn.IFS(AQ891="","",LEN(AQ891)-LEN(SUBSTITUTE(AQ891,".",""))=3,LEFT(AQ891,vitri(".",AQ891,3)-1),LEN(AQ891)-LEN(SUBSTITUTE(AQ891,".",""))=2,LEFT(AQ891,vitri(".",AQ891,2)-1),TRUE,LEFT(AQ891,vitri(".",AQ891,1)-1))</f>
        <v/>
      </c>
    </row>
    <row r="892" spans="13:54" x14ac:dyDescent="0.25">
      <c r="M892" s="382"/>
      <c r="BB892" s="253" t="str">
        <f t="array" ref="BB892">_xlfn.IFS(AQ892="","",LEN(AQ892)-LEN(SUBSTITUTE(AQ892,".",""))=3,LEFT(AQ892,vitri(".",AQ892,3)-1),LEN(AQ892)-LEN(SUBSTITUTE(AQ892,".",""))=2,LEFT(AQ892,vitri(".",AQ892,2)-1),TRUE,LEFT(AQ892,vitri(".",AQ892,1)-1))</f>
        <v/>
      </c>
    </row>
    <row r="893" spans="13:54" x14ac:dyDescent="0.25">
      <c r="M893" s="382"/>
      <c r="BB893" s="253" t="str">
        <f t="array" ref="BB893">_xlfn.IFS(AQ893="","",LEN(AQ893)-LEN(SUBSTITUTE(AQ893,".",""))=3,LEFT(AQ893,vitri(".",AQ893,3)-1),LEN(AQ893)-LEN(SUBSTITUTE(AQ893,".",""))=2,LEFT(AQ893,vitri(".",AQ893,2)-1),TRUE,LEFT(AQ893,vitri(".",AQ893,1)-1))</f>
        <v/>
      </c>
    </row>
    <row r="894" spans="13:54" x14ac:dyDescent="0.25">
      <c r="M894" s="382"/>
      <c r="BB894" s="253" t="str">
        <f t="array" ref="BB894">_xlfn.IFS(AQ894="","",LEN(AQ894)-LEN(SUBSTITUTE(AQ894,".",""))=3,LEFT(AQ894,vitri(".",AQ894,3)-1),LEN(AQ894)-LEN(SUBSTITUTE(AQ894,".",""))=2,LEFT(AQ894,vitri(".",AQ894,2)-1),TRUE,LEFT(AQ894,vitri(".",AQ894,1)-1))</f>
        <v/>
      </c>
    </row>
    <row r="895" spans="13:54" x14ac:dyDescent="0.25">
      <c r="M895" s="382"/>
      <c r="BB895" s="253" t="str">
        <f t="array" ref="BB895">_xlfn.IFS(AQ895="","",LEN(AQ895)-LEN(SUBSTITUTE(AQ895,".",""))=3,LEFT(AQ895,vitri(".",AQ895,3)-1),LEN(AQ895)-LEN(SUBSTITUTE(AQ895,".",""))=2,LEFT(AQ895,vitri(".",AQ895,2)-1),TRUE,LEFT(AQ895,vitri(".",AQ895,1)-1))</f>
        <v/>
      </c>
    </row>
    <row r="896" spans="13:54" x14ac:dyDescent="0.25">
      <c r="M896" s="382"/>
      <c r="BB896" s="253" t="str">
        <f t="array" ref="BB896">_xlfn.IFS(AQ896="","",LEN(AQ896)-LEN(SUBSTITUTE(AQ896,".",""))=3,LEFT(AQ896,vitri(".",AQ896,3)-1),LEN(AQ896)-LEN(SUBSTITUTE(AQ896,".",""))=2,LEFT(AQ896,vitri(".",AQ896,2)-1),TRUE,LEFT(AQ896,vitri(".",AQ896,1)-1))</f>
        <v/>
      </c>
    </row>
    <row r="897" spans="13:54" x14ac:dyDescent="0.25">
      <c r="M897" s="382"/>
      <c r="BB897" s="253" t="str">
        <f t="array" ref="BB897">_xlfn.IFS(AQ897="","",LEN(AQ897)-LEN(SUBSTITUTE(AQ897,".",""))=3,LEFT(AQ897,vitri(".",AQ897,3)-1),LEN(AQ897)-LEN(SUBSTITUTE(AQ897,".",""))=2,LEFT(AQ897,vitri(".",AQ897,2)-1),TRUE,LEFT(AQ897,vitri(".",AQ897,1)-1))</f>
        <v/>
      </c>
    </row>
    <row r="898" spans="13:54" x14ac:dyDescent="0.25">
      <c r="M898" s="382"/>
      <c r="BB898" s="253" t="str">
        <f t="array" ref="BB898">_xlfn.IFS(AQ898="","",LEN(AQ898)-LEN(SUBSTITUTE(AQ898,".",""))=3,LEFT(AQ898,vitri(".",AQ898,3)-1),LEN(AQ898)-LEN(SUBSTITUTE(AQ898,".",""))=2,LEFT(AQ898,vitri(".",AQ898,2)-1),TRUE,LEFT(AQ898,vitri(".",AQ898,1)-1))</f>
        <v/>
      </c>
    </row>
    <row r="899" spans="13:54" x14ac:dyDescent="0.25">
      <c r="M899" s="382"/>
      <c r="BB899" s="253" t="str">
        <f t="array" ref="BB899">_xlfn.IFS(AQ899="","",LEN(AQ899)-LEN(SUBSTITUTE(AQ899,".",""))=3,LEFT(AQ899,vitri(".",AQ899,3)-1),LEN(AQ899)-LEN(SUBSTITUTE(AQ899,".",""))=2,LEFT(AQ899,vitri(".",AQ899,2)-1),TRUE,LEFT(AQ899,vitri(".",AQ899,1)-1))</f>
        <v/>
      </c>
    </row>
    <row r="900" spans="13:54" x14ac:dyDescent="0.25">
      <c r="M900" s="382"/>
      <c r="BB900" s="253" t="str">
        <f t="array" ref="BB900">_xlfn.IFS(AQ900="","",LEN(AQ900)-LEN(SUBSTITUTE(AQ900,".",""))=3,LEFT(AQ900,vitri(".",AQ900,3)-1),LEN(AQ900)-LEN(SUBSTITUTE(AQ900,".",""))=2,LEFT(AQ900,vitri(".",AQ900,2)-1),TRUE,LEFT(AQ900,vitri(".",AQ900,1)-1))</f>
        <v/>
      </c>
    </row>
    <row r="901" spans="13:54" x14ac:dyDescent="0.25">
      <c r="M901" s="382"/>
      <c r="BB901" s="253" t="str">
        <f t="array" ref="BB901">_xlfn.IFS(AQ901="","",LEN(AQ901)-LEN(SUBSTITUTE(AQ901,".",""))=3,LEFT(AQ901,vitri(".",AQ901,3)-1),LEN(AQ901)-LEN(SUBSTITUTE(AQ901,".",""))=2,LEFT(AQ901,vitri(".",AQ901,2)-1),TRUE,LEFT(AQ901,vitri(".",AQ901,1)-1))</f>
        <v/>
      </c>
    </row>
    <row r="902" spans="13:54" x14ac:dyDescent="0.25">
      <c r="M902" s="382"/>
      <c r="BB902" s="253" t="str">
        <f t="array" ref="BB902">_xlfn.IFS(AQ902="","",LEN(AQ902)-LEN(SUBSTITUTE(AQ902,".",""))=3,LEFT(AQ902,vitri(".",AQ902,3)-1),LEN(AQ902)-LEN(SUBSTITUTE(AQ902,".",""))=2,LEFT(AQ902,vitri(".",AQ902,2)-1),TRUE,LEFT(AQ902,vitri(".",AQ902,1)-1))</f>
        <v/>
      </c>
    </row>
    <row r="903" spans="13:54" x14ac:dyDescent="0.25">
      <c r="M903" s="382"/>
      <c r="BB903" s="253" t="str">
        <f t="array" ref="BB903">_xlfn.IFS(AQ903="","",LEN(AQ903)-LEN(SUBSTITUTE(AQ903,".",""))=3,LEFT(AQ903,vitri(".",AQ903,3)-1),LEN(AQ903)-LEN(SUBSTITUTE(AQ903,".",""))=2,LEFT(AQ903,vitri(".",AQ903,2)-1),TRUE,LEFT(AQ903,vitri(".",AQ903,1)-1))</f>
        <v/>
      </c>
    </row>
    <row r="904" spans="13:54" x14ac:dyDescent="0.25">
      <c r="M904" s="382"/>
      <c r="BB904" s="253" t="str">
        <f t="array" ref="BB904">_xlfn.IFS(AQ904="","",LEN(AQ904)-LEN(SUBSTITUTE(AQ904,".",""))=3,LEFT(AQ904,vitri(".",AQ904,3)-1),LEN(AQ904)-LEN(SUBSTITUTE(AQ904,".",""))=2,LEFT(AQ904,vitri(".",AQ904,2)-1),TRUE,LEFT(AQ904,vitri(".",AQ904,1)-1))</f>
        <v/>
      </c>
    </row>
    <row r="905" spans="13:54" x14ac:dyDescent="0.25">
      <c r="M905" s="382"/>
      <c r="BB905" s="253" t="str">
        <f t="array" ref="BB905">_xlfn.IFS(AQ905="","",LEN(AQ905)-LEN(SUBSTITUTE(AQ905,".",""))=3,LEFT(AQ905,vitri(".",AQ905,3)-1),LEN(AQ905)-LEN(SUBSTITUTE(AQ905,".",""))=2,LEFT(AQ905,vitri(".",AQ905,2)-1),TRUE,LEFT(AQ905,vitri(".",AQ905,1)-1))</f>
        <v/>
      </c>
    </row>
    <row r="906" spans="13:54" x14ac:dyDescent="0.25">
      <c r="M906" s="382"/>
      <c r="BB906" s="253" t="str">
        <f t="array" ref="BB906">_xlfn.IFS(AQ906="","",LEN(AQ906)-LEN(SUBSTITUTE(AQ906,".",""))=3,LEFT(AQ906,vitri(".",AQ906,3)-1),LEN(AQ906)-LEN(SUBSTITUTE(AQ906,".",""))=2,LEFT(AQ906,vitri(".",AQ906,2)-1),TRUE,LEFT(AQ906,vitri(".",AQ906,1)-1))</f>
        <v/>
      </c>
    </row>
    <row r="907" spans="13:54" x14ac:dyDescent="0.25">
      <c r="M907" s="382"/>
      <c r="BB907" s="253" t="str">
        <f t="array" ref="BB907">_xlfn.IFS(AQ907="","",LEN(AQ907)-LEN(SUBSTITUTE(AQ907,".",""))=3,LEFT(AQ907,vitri(".",AQ907,3)-1),LEN(AQ907)-LEN(SUBSTITUTE(AQ907,".",""))=2,LEFT(AQ907,vitri(".",AQ907,2)-1),TRUE,LEFT(AQ907,vitri(".",AQ907,1)-1))</f>
        <v/>
      </c>
    </row>
    <row r="908" spans="13:54" x14ac:dyDescent="0.25">
      <c r="M908" s="382"/>
      <c r="BB908" s="253" t="str">
        <f t="array" ref="BB908">_xlfn.IFS(AQ908="","",LEN(AQ908)-LEN(SUBSTITUTE(AQ908,".",""))=3,LEFT(AQ908,vitri(".",AQ908,3)-1),LEN(AQ908)-LEN(SUBSTITUTE(AQ908,".",""))=2,LEFT(AQ908,vitri(".",AQ908,2)-1),TRUE,LEFT(AQ908,vitri(".",AQ908,1)-1))</f>
        <v/>
      </c>
    </row>
    <row r="909" spans="13:54" x14ac:dyDescent="0.25">
      <c r="M909" s="382"/>
      <c r="BB909" s="253" t="str">
        <f t="array" ref="BB909">_xlfn.IFS(AQ909="","",LEN(AQ909)-LEN(SUBSTITUTE(AQ909,".",""))=3,LEFT(AQ909,vitri(".",AQ909,3)-1),LEN(AQ909)-LEN(SUBSTITUTE(AQ909,".",""))=2,LEFT(AQ909,vitri(".",AQ909,2)-1),TRUE,LEFT(AQ909,vitri(".",AQ909,1)-1))</f>
        <v/>
      </c>
    </row>
    <row r="910" spans="13:54" x14ac:dyDescent="0.25">
      <c r="M910" s="382"/>
      <c r="BB910" s="253" t="str">
        <f t="array" ref="BB910">_xlfn.IFS(AQ910="","",LEN(AQ910)-LEN(SUBSTITUTE(AQ910,".",""))=3,LEFT(AQ910,vitri(".",AQ910,3)-1),LEN(AQ910)-LEN(SUBSTITUTE(AQ910,".",""))=2,LEFT(AQ910,vitri(".",AQ910,2)-1),TRUE,LEFT(AQ910,vitri(".",AQ910,1)-1))</f>
        <v/>
      </c>
    </row>
    <row r="911" spans="13:54" x14ac:dyDescent="0.25">
      <c r="M911" s="382"/>
      <c r="BB911" s="253" t="str">
        <f t="array" ref="BB911">_xlfn.IFS(AQ911="","",LEN(AQ911)-LEN(SUBSTITUTE(AQ911,".",""))=3,LEFT(AQ911,vitri(".",AQ911,3)-1),LEN(AQ911)-LEN(SUBSTITUTE(AQ911,".",""))=2,LEFT(AQ911,vitri(".",AQ911,2)-1),TRUE,LEFT(AQ911,vitri(".",AQ911,1)-1))</f>
        <v/>
      </c>
    </row>
    <row r="912" spans="13:54" x14ac:dyDescent="0.25">
      <c r="M912" s="382"/>
      <c r="BB912" s="253" t="str">
        <f t="array" ref="BB912">_xlfn.IFS(AQ912="","",LEN(AQ912)-LEN(SUBSTITUTE(AQ912,".",""))=3,LEFT(AQ912,vitri(".",AQ912,3)-1),LEN(AQ912)-LEN(SUBSTITUTE(AQ912,".",""))=2,LEFT(AQ912,vitri(".",AQ912,2)-1),TRUE,LEFT(AQ912,vitri(".",AQ912,1)-1))</f>
        <v/>
      </c>
    </row>
    <row r="913" spans="13:54" x14ac:dyDescent="0.25">
      <c r="M913" s="382"/>
      <c r="BB913" s="253" t="str">
        <f t="array" ref="BB913">_xlfn.IFS(AQ913="","",LEN(AQ913)-LEN(SUBSTITUTE(AQ913,".",""))=3,LEFT(AQ913,vitri(".",AQ913,3)-1),LEN(AQ913)-LEN(SUBSTITUTE(AQ913,".",""))=2,LEFT(AQ913,vitri(".",AQ913,2)-1),TRUE,LEFT(AQ913,vitri(".",AQ913,1)-1))</f>
        <v/>
      </c>
    </row>
    <row r="914" spans="13:54" x14ac:dyDescent="0.25">
      <c r="M914" s="382"/>
      <c r="BB914" s="253" t="str">
        <f t="array" ref="BB914">_xlfn.IFS(AQ914="","",LEN(AQ914)-LEN(SUBSTITUTE(AQ914,".",""))=3,LEFT(AQ914,vitri(".",AQ914,3)-1),LEN(AQ914)-LEN(SUBSTITUTE(AQ914,".",""))=2,LEFT(AQ914,vitri(".",AQ914,2)-1),TRUE,LEFT(AQ914,vitri(".",AQ914,1)-1))</f>
        <v/>
      </c>
    </row>
    <row r="915" spans="13:54" x14ac:dyDescent="0.25">
      <c r="M915" s="382"/>
      <c r="BB915" s="253" t="str">
        <f t="array" ref="BB915">_xlfn.IFS(AQ915="","",LEN(AQ915)-LEN(SUBSTITUTE(AQ915,".",""))=3,LEFT(AQ915,vitri(".",AQ915,3)-1),LEN(AQ915)-LEN(SUBSTITUTE(AQ915,".",""))=2,LEFT(AQ915,vitri(".",AQ915,2)-1),TRUE,LEFT(AQ915,vitri(".",AQ915,1)-1))</f>
        <v/>
      </c>
    </row>
    <row r="916" spans="13:54" x14ac:dyDescent="0.25">
      <c r="M916" s="382"/>
      <c r="BB916" s="253" t="str">
        <f t="array" ref="BB916">_xlfn.IFS(AQ916="","",LEN(AQ916)-LEN(SUBSTITUTE(AQ916,".",""))=3,LEFT(AQ916,vitri(".",AQ916,3)-1),LEN(AQ916)-LEN(SUBSTITUTE(AQ916,".",""))=2,LEFT(AQ916,vitri(".",AQ916,2)-1),TRUE,LEFT(AQ916,vitri(".",AQ916,1)-1))</f>
        <v/>
      </c>
    </row>
    <row r="917" spans="13:54" x14ac:dyDescent="0.25">
      <c r="M917" s="382"/>
      <c r="BB917" s="253" t="str">
        <f t="array" ref="BB917">_xlfn.IFS(AQ917="","",LEN(AQ917)-LEN(SUBSTITUTE(AQ917,".",""))=3,LEFT(AQ917,vitri(".",AQ917,3)-1),LEN(AQ917)-LEN(SUBSTITUTE(AQ917,".",""))=2,LEFT(AQ917,vitri(".",AQ917,2)-1),TRUE,LEFT(AQ917,vitri(".",AQ917,1)-1))</f>
        <v/>
      </c>
    </row>
    <row r="918" spans="13:54" x14ac:dyDescent="0.25">
      <c r="M918" s="382"/>
      <c r="BB918" s="253" t="str">
        <f t="array" ref="BB918">_xlfn.IFS(AQ918="","",LEN(AQ918)-LEN(SUBSTITUTE(AQ918,".",""))=3,LEFT(AQ918,vitri(".",AQ918,3)-1),LEN(AQ918)-LEN(SUBSTITUTE(AQ918,".",""))=2,LEFT(AQ918,vitri(".",AQ918,2)-1),TRUE,LEFT(AQ918,vitri(".",AQ918,1)-1))</f>
        <v/>
      </c>
    </row>
    <row r="919" spans="13:54" x14ac:dyDescent="0.25">
      <c r="M919" s="382"/>
      <c r="BB919" s="253" t="str">
        <f t="array" ref="BB919">_xlfn.IFS(AQ919="","",LEN(AQ919)-LEN(SUBSTITUTE(AQ919,".",""))=3,LEFT(AQ919,vitri(".",AQ919,3)-1),LEN(AQ919)-LEN(SUBSTITUTE(AQ919,".",""))=2,LEFT(AQ919,vitri(".",AQ919,2)-1),TRUE,LEFT(AQ919,vitri(".",AQ919,1)-1))</f>
        <v/>
      </c>
    </row>
    <row r="920" spans="13:54" x14ac:dyDescent="0.25">
      <c r="M920" s="382"/>
      <c r="BB920" s="253" t="str">
        <f t="array" ref="BB920">_xlfn.IFS(AQ920="","",LEN(AQ920)-LEN(SUBSTITUTE(AQ920,".",""))=3,LEFT(AQ920,vitri(".",AQ920,3)-1),LEN(AQ920)-LEN(SUBSTITUTE(AQ920,".",""))=2,LEFT(AQ920,vitri(".",AQ920,2)-1),TRUE,LEFT(AQ920,vitri(".",AQ920,1)-1))</f>
        <v/>
      </c>
    </row>
    <row r="921" spans="13:54" x14ac:dyDescent="0.25">
      <c r="M921" s="382"/>
      <c r="BB921" s="253" t="str">
        <f t="array" ref="BB921">_xlfn.IFS(AQ921="","",LEN(AQ921)-LEN(SUBSTITUTE(AQ921,".",""))=3,LEFT(AQ921,vitri(".",AQ921,3)-1),LEN(AQ921)-LEN(SUBSTITUTE(AQ921,".",""))=2,LEFT(AQ921,vitri(".",AQ921,2)-1),TRUE,LEFT(AQ921,vitri(".",AQ921,1)-1))</f>
        <v/>
      </c>
    </row>
    <row r="922" spans="13:54" x14ac:dyDescent="0.25">
      <c r="M922" s="382"/>
      <c r="BB922" s="253" t="str">
        <f t="array" ref="BB922">_xlfn.IFS(AQ922="","",LEN(AQ922)-LEN(SUBSTITUTE(AQ922,".",""))=3,LEFT(AQ922,vitri(".",AQ922,3)-1),LEN(AQ922)-LEN(SUBSTITUTE(AQ922,".",""))=2,LEFT(AQ922,vitri(".",AQ922,2)-1),TRUE,LEFT(AQ922,vitri(".",AQ922,1)-1))</f>
        <v/>
      </c>
    </row>
    <row r="923" spans="13:54" x14ac:dyDescent="0.25">
      <c r="M923" s="382"/>
      <c r="BB923" s="253" t="str">
        <f t="array" ref="BB923">_xlfn.IFS(AQ923="","",LEN(AQ923)-LEN(SUBSTITUTE(AQ923,".",""))=3,LEFT(AQ923,vitri(".",AQ923,3)-1),LEN(AQ923)-LEN(SUBSTITUTE(AQ923,".",""))=2,LEFT(AQ923,vitri(".",AQ923,2)-1),TRUE,LEFT(AQ923,vitri(".",AQ923,1)-1))</f>
        <v/>
      </c>
    </row>
    <row r="924" spans="13:54" x14ac:dyDescent="0.25">
      <c r="M924" s="382"/>
      <c r="BB924" s="253" t="str">
        <f t="array" ref="BB924">_xlfn.IFS(AQ924="","",LEN(AQ924)-LEN(SUBSTITUTE(AQ924,".",""))=3,LEFT(AQ924,vitri(".",AQ924,3)-1),LEN(AQ924)-LEN(SUBSTITUTE(AQ924,".",""))=2,LEFT(AQ924,vitri(".",AQ924,2)-1),TRUE,LEFT(AQ924,vitri(".",AQ924,1)-1))</f>
        <v/>
      </c>
    </row>
    <row r="925" spans="13:54" x14ac:dyDescent="0.25">
      <c r="M925" s="382"/>
      <c r="BB925" s="253" t="str">
        <f t="array" ref="BB925">_xlfn.IFS(AQ925="","",LEN(AQ925)-LEN(SUBSTITUTE(AQ925,".",""))=3,LEFT(AQ925,vitri(".",AQ925,3)-1),LEN(AQ925)-LEN(SUBSTITUTE(AQ925,".",""))=2,LEFT(AQ925,vitri(".",AQ925,2)-1),TRUE,LEFT(AQ925,vitri(".",AQ925,1)-1))</f>
        <v/>
      </c>
    </row>
    <row r="926" spans="13:54" x14ac:dyDescent="0.25">
      <c r="M926" s="382"/>
      <c r="BB926" s="253" t="str">
        <f t="array" ref="BB926">_xlfn.IFS(AQ926="","",LEN(AQ926)-LEN(SUBSTITUTE(AQ926,".",""))=3,LEFT(AQ926,vitri(".",AQ926,3)-1),LEN(AQ926)-LEN(SUBSTITUTE(AQ926,".",""))=2,LEFT(AQ926,vitri(".",AQ926,2)-1),TRUE,LEFT(AQ926,vitri(".",AQ926,1)-1))</f>
        <v/>
      </c>
    </row>
    <row r="927" spans="13:54" x14ac:dyDescent="0.25">
      <c r="M927" s="382"/>
      <c r="BB927" s="253" t="str">
        <f t="array" ref="BB927">_xlfn.IFS(AQ927="","",LEN(AQ927)-LEN(SUBSTITUTE(AQ927,".",""))=3,LEFT(AQ927,vitri(".",AQ927,3)-1),LEN(AQ927)-LEN(SUBSTITUTE(AQ927,".",""))=2,LEFT(AQ927,vitri(".",AQ927,2)-1),TRUE,LEFT(AQ927,vitri(".",AQ927,1)-1))</f>
        <v/>
      </c>
    </row>
    <row r="928" spans="13:54" x14ac:dyDescent="0.25">
      <c r="M928" s="382"/>
      <c r="BB928" s="253" t="str">
        <f t="array" ref="BB928">_xlfn.IFS(AQ928="","",LEN(AQ928)-LEN(SUBSTITUTE(AQ928,".",""))=3,LEFT(AQ928,vitri(".",AQ928,3)-1),LEN(AQ928)-LEN(SUBSTITUTE(AQ928,".",""))=2,LEFT(AQ928,vitri(".",AQ928,2)-1),TRUE,LEFT(AQ928,vitri(".",AQ928,1)-1))</f>
        <v/>
      </c>
    </row>
    <row r="929" spans="13:54" x14ac:dyDescent="0.25">
      <c r="M929" s="382"/>
      <c r="BB929" s="253" t="str">
        <f t="array" ref="BB929">_xlfn.IFS(AQ929="","",LEN(AQ929)-LEN(SUBSTITUTE(AQ929,".",""))=3,LEFT(AQ929,vitri(".",AQ929,3)-1),LEN(AQ929)-LEN(SUBSTITUTE(AQ929,".",""))=2,LEFT(AQ929,vitri(".",AQ929,2)-1),TRUE,LEFT(AQ929,vitri(".",AQ929,1)-1))</f>
        <v/>
      </c>
    </row>
    <row r="930" spans="13:54" x14ac:dyDescent="0.25">
      <c r="M930" s="382"/>
      <c r="BB930" s="253" t="str">
        <f t="array" ref="BB930">_xlfn.IFS(AQ930="","",LEN(AQ930)-LEN(SUBSTITUTE(AQ930,".",""))=3,LEFT(AQ930,vitri(".",AQ930,3)-1),LEN(AQ930)-LEN(SUBSTITUTE(AQ930,".",""))=2,LEFT(AQ930,vitri(".",AQ930,2)-1),TRUE,LEFT(AQ930,vitri(".",AQ930,1)-1))</f>
        <v/>
      </c>
    </row>
    <row r="931" spans="13:54" x14ac:dyDescent="0.25">
      <c r="M931" s="382"/>
      <c r="BB931" s="253" t="str">
        <f t="array" ref="BB931">_xlfn.IFS(AQ931="","",LEN(AQ931)-LEN(SUBSTITUTE(AQ931,".",""))=3,LEFT(AQ931,vitri(".",AQ931,3)-1),LEN(AQ931)-LEN(SUBSTITUTE(AQ931,".",""))=2,LEFT(AQ931,vitri(".",AQ931,2)-1),TRUE,LEFT(AQ931,vitri(".",AQ931,1)-1))</f>
        <v/>
      </c>
    </row>
    <row r="932" spans="13:54" x14ac:dyDescent="0.25">
      <c r="M932" s="382"/>
      <c r="BB932" s="253" t="str">
        <f t="array" ref="BB932">_xlfn.IFS(AQ932="","",LEN(AQ932)-LEN(SUBSTITUTE(AQ932,".",""))=3,LEFT(AQ932,vitri(".",AQ932,3)-1),LEN(AQ932)-LEN(SUBSTITUTE(AQ932,".",""))=2,LEFT(AQ932,vitri(".",AQ932,2)-1),TRUE,LEFT(AQ932,vitri(".",AQ932,1)-1))</f>
        <v/>
      </c>
    </row>
    <row r="933" spans="13:54" x14ac:dyDescent="0.25">
      <c r="M933" s="382"/>
      <c r="BB933" s="253" t="str">
        <f t="array" ref="BB933">_xlfn.IFS(AQ933="","",LEN(AQ933)-LEN(SUBSTITUTE(AQ933,".",""))=3,LEFT(AQ933,vitri(".",AQ933,3)-1),LEN(AQ933)-LEN(SUBSTITUTE(AQ933,".",""))=2,LEFT(AQ933,vitri(".",AQ933,2)-1),TRUE,LEFT(AQ933,vitri(".",AQ933,1)-1))</f>
        <v/>
      </c>
    </row>
    <row r="934" spans="13:54" x14ac:dyDescent="0.25">
      <c r="M934" s="382"/>
      <c r="BB934" s="253" t="str">
        <f t="array" ref="BB934">_xlfn.IFS(AQ934="","",LEN(AQ934)-LEN(SUBSTITUTE(AQ934,".",""))=3,LEFT(AQ934,vitri(".",AQ934,3)-1),LEN(AQ934)-LEN(SUBSTITUTE(AQ934,".",""))=2,LEFT(AQ934,vitri(".",AQ934,2)-1),TRUE,LEFT(AQ934,vitri(".",AQ934,1)-1))</f>
        <v/>
      </c>
    </row>
    <row r="935" spans="13:54" x14ac:dyDescent="0.25">
      <c r="M935" s="382"/>
      <c r="BB935" s="253" t="str">
        <f t="array" ref="BB935">_xlfn.IFS(AQ935="","",LEN(AQ935)-LEN(SUBSTITUTE(AQ935,".",""))=3,LEFT(AQ935,vitri(".",AQ935,3)-1),LEN(AQ935)-LEN(SUBSTITUTE(AQ935,".",""))=2,LEFT(AQ935,vitri(".",AQ935,2)-1),TRUE,LEFT(AQ935,vitri(".",AQ935,1)-1))</f>
        <v/>
      </c>
    </row>
    <row r="936" spans="13:54" x14ac:dyDescent="0.25">
      <c r="M936" s="382"/>
      <c r="BB936" s="253" t="str">
        <f t="array" ref="BB936">_xlfn.IFS(AQ936="","",LEN(AQ936)-LEN(SUBSTITUTE(AQ936,".",""))=3,LEFT(AQ936,vitri(".",AQ936,3)-1),LEN(AQ936)-LEN(SUBSTITUTE(AQ936,".",""))=2,LEFT(AQ936,vitri(".",AQ936,2)-1),TRUE,LEFT(AQ936,vitri(".",AQ936,1)-1))</f>
        <v/>
      </c>
    </row>
    <row r="937" spans="13:54" x14ac:dyDescent="0.25">
      <c r="M937" s="382"/>
      <c r="BB937" s="253" t="str">
        <f t="array" ref="BB937">_xlfn.IFS(AQ937="","",LEN(AQ937)-LEN(SUBSTITUTE(AQ937,".",""))=3,LEFT(AQ937,vitri(".",AQ937,3)-1),LEN(AQ937)-LEN(SUBSTITUTE(AQ937,".",""))=2,LEFT(AQ937,vitri(".",AQ937,2)-1),TRUE,LEFT(AQ937,vitri(".",AQ937,1)-1))</f>
        <v/>
      </c>
    </row>
    <row r="938" spans="13:54" x14ac:dyDescent="0.25">
      <c r="M938" s="382"/>
      <c r="BB938" s="253" t="str">
        <f t="array" ref="BB938">_xlfn.IFS(AQ938="","",LEN(AQ938)-LEN(SUBSTITUTE(AQ938,".",""))=3,LEFT(AQ938,vitri(".",AQ938,3)-1),LEN(AQ938)-LEN(SUBSTITUTE(AQ938,".",""))=2,LEFT(AQ938,vitri(".",AQ938,2)-1),TRUE,LEFT(AQ938,vitri(".",AQ938,1)-1))</f>
        <v/>
      </c>
    </row>
    <row r="939" spans="13:54" x14ac:dyDescent="0.25">
      <c r="M939" s="382"/>
      <c r="BB939" s="253" t="str">
        <f t="array" ref="BB939">_xlfn.IFS(AQ939="","",LEN(AQ939)-LEN(SUBSTITUTE(AQ939,".",""))=3,LEFT(AQ939,vitri(".",AQ939,3)-1),LEN(AQ939)-LEN(SUBSTITUTE(AQ939,".",""))=2,LEFT(AQ939,vitri(".",AQ939,2)-1),TRUE,LEFT(AQ939,vitri(".",AQ939,1)-1))</f>
        <v/>
      </c>
    </row>
    <row r="940" spans="13:54" x14ac:dyDescent="0.25">
      <c r="M940" s="382"/>
      <c r="BB940" s="253" t="str">
        <f t="array" ref="BB940">_xlfn.IFS(AQ940="","",LEN(AQ940)-LEN(SUBSTITUTE(AQ940,".",""))=3,LEFT(AQ940,vitri(".",AQ940,3)-1),LEN(AQ940)-LEN(SUBSTITUTE(AQ940,".",""))=2,LEFT(AQ940,vitri(".",AQ940,2)-1),TRUE,LEFT(AQ940,vitri(".",AQ940,1)-1))</f>
        <v/>
      </c>
    </row>
    <row r="941" spans="13:54" x14ac:dyDescent="0.25">
      <c r="M941" s="382"/>
      <c r="BB941" s="253" t="str">
        <f t="array" ref="BB941">_xlfn.IFS(AQ941="","",LEN(AQ941)-LEN(SUBSTITUTE(AQ941,".",""))=3,LEFT(AQ941,vitri(".",AQ941,3)-1),LEN(AQ941)-LEN(SUBSTITUTE(AQ941,".",""))=2,LEFT(AQ941,vitri(".",AQ941,2)-1),TRUE,LEFT(AQ941,vitri(".",AQ941,1)-1))</f>
        <v/>
      </c>
    </row>
    <row r="942" spans="13:54" x14ac:dyDescent="0.25">
      <c r="M942" s="382"/>
      <c r="BB942" s="253" t="str">
        <f t="array" ref="BB942">_xlfn.IFS(AQ942="","",LEN(AQ942)-LEN(SUBSTITUTE(AQ942,".",""))=3,LEFT(AQ942,vitri(".",AQ942,3)-1),LEN(AQ942)-LEN(SUBSTITUTE(AQ942,".",""))=2,LEFT(AQ942,vitri(".",AQ942,2)-1),TRUE,LEFT(AQ942,vitri(".",AQ942,1)-1))</f>
        <v/>
      </c>
    </row>
    <row r="943" spans="13:54" x14ac:dyDescent="0.25">
      <c r="M943" s="382"/>
      <c r="BB943" s="253" t="str">
        <f t="array" ref="BB943">_xlfn.IFS(AQ943="","",LEN(AQ943)-LEN(SUBSTITUTE(AQ943,".",""))=3,LEFT(AQ943,vitri(".",AQ943,3)-1),LEN(AQ943)-LEN(SUBSTITUTE(AQ943,".",""))=2,LEFT(AQ943,vitri(".",AQ943,2)-1),TRUE,LEFT(AQ943,vitri(".",AQ943,1)-1))</f>
        <v/>
      </c>
    </row>
    <row r="944" spans="13:54" x14ac:dyDescent="0.25">
      <c r="M944" s="382"/>
      <c r="BB944" s="253" t="str">
        <f t="array" ref="BB944">_xlfn.IFS(AQ944="","",LEN(AQ944)-LEN(SUBSTITUTE(AQ944,".",""))=3,LEFT(AQ944,vitri(".",AQ944,3)-1),LEN(AQ944)-LEN(SUBSTITUTE(AQ944,".",""))=2,LEFT(AQ944,vitri(".",AQ944,2)-1),TRUE,LEFT(AQ944,vitri(".",AQ944,1)-1))</f>
        <v/>
      </c>
    </row>
    <row r="945" spans="13:54" x14ac:dyDescent="0.25">
      <c r="M945" s="382"/>
      <c r="BB945" s="253" t="str">
        <f t="array" ref="BB945">_xlfn.IFS(AQ945="","",LEN(AQ945)-LEN(SUBSTITUTE(AQ945,".",""))=3,LEFT(AQ945,vitri(".",AQ945,3)-1),LEN(AQ945)-LEN(SUBSTITUTE(AQ945,".",""))=2,LEFT(AQ945,vitri(".",AQ945,2)-1),TRUE,LEFT(AQ945,vitri(".",AQ945,1)-1))</f>
        <v/>
      </c>
    </row>
    <row r="946" spans="13:54" x14ac:dyDescent="0.25">
      <c r="M946" s="382"/>
      <c r="BB946" s="253" t="str">
        <f t="array" ref="BB946">_xlfn.IFS(AQ946="","",LEN(AQ946)-LEN(SUBSTITUTE(AQ946,".",""))=3,LEFT(AQ946,vitri(".",AQ946,3)-1),LEN(AQ946)-LEN(SUBSTITUTE(AQ946,".",""))=2,LEFT(AQ946,vitri(".",AQ946,2)-1),TRUE,LEFT(AQ946,vitri(".",AQ946,1)-1))</f>
        <v/>
      </c>
    </row>
    <row r="947" spans="13:54" x14ac:dyDescent="0.25">
      <c r="M947" s="382"/>
      <c r="BB947" s="253" t="str">
        <f t="array" ref="BB947">_xlfn.IFS(AQ947="","",LEN(AQ947)-LEN(SUBSTITUTE(AQ947,".",""))=3,LEFT(AQ947,vitri(".",AQ947,3)-1),LEN(AQ947)-LEN(SUBSTITUTE(AQ947,".",""))=2,LEFT(AQ947,vitri(".",AQ947,2)-1),TRUE,LEFT(AQ947,vitri(".",AQ947,1)-1))</f>
        <v/>
      </c>
    </row>
    <row r="948" spans="13:54" x14ac:dyDescent="0.25">
      <c r="M948" s="382"/>
      <c r="BB948" s="253" t="str">
        <f t="array" ref="BB948">_xlfn.IFS(AQ948="","",LEN(AQ948)-LEN(SUBSTITUTE(AQ948,".",""))=3,LEFT(AQ948,vitri(".",AQ948,3)-1),LEN(AQ948)-LEN(SUBSTITUTE(AQ948,".",""))=2,LEFT(AQ948,vitri(".",AQ948,2)-1),TRUE,LEFT(AQ948,vitri(".",AQ948,1)-1))</f>
        <v/>
      </c>
    </row>
    <row r="949" spans="13:54" x14ac:dyDescent="0.25">
      <c r="M949" s="382"/>
      <c r="BB949" s="253" t="str">
        <f t="array" ref="BB949">_xlfn.IFS(AQ949="","",LEN(AQ949)-LEN(SUBSTITUTE(AQ949,".",""))=3,LEFT(AQ949,vitri(".",AQ949,3)-1),LEN(AQ949)-LEN(SUBSTITUTE(AQ949,".",""))=2,LEFT(AQ949,vitri(".",AQ949,2)-1),TRUE,LEFT(AQ949,vitri(".",AQ949,1)-1))</f>
        <v/>
      </c>
    </row>
    <row r="950" spans="13:54" x14ac:dyDescent="0.25">
      <c r="M950" s="382"/>
      <c r="BB950" s="253" t="str">
        <f t="array" ref="BB950">_xlfn.IFS(AQ950="","",LEN(AQ950)-LEN(SUBSTITUTE(AQ950,".",""))=3,LEFT(AQ950,vitri(".",AQ950,3)-1),LEN(AQ950)-LEN(SUBSTITUTE(AQ950,".",""))=2,LEFT(AQ950,vitri(".",AQ950,2)-1),TRUE,LEFT(AQ950,vitri(".",AQ950,1)-1))</f>
        <v/>
      </c>
    </row>
    <row r="951" spans="13:54" x14ac:dyDescent="0.25">
      <c r="M951" s="382"/>
      <c r="BB951" s="253" t="str">
        <f t="array" ref="BB951">_xlfn.IFS(AQ951="","",LEN(AQ951)-LEN(SUBSTITUTE(AQ951,".",""))=3,LEFT(AQ951,vitri(".",AQ951,3)-1),LEN(AQ951)-LEN(SUBSTITUTE(AQ951,".",""))=2,LEFT(AQ951,vitri(".",AQ951,2)-1),TRUE,LEFT(AQ951,vitri(".",AQ951,1)-1))</f>
        <v/>
      </c>
    </row>
    <row r="952" spans="13:54" x14ac:dyDescent="0.25">
      <c r="M952" s="382"/>
      <c r="BB952" s="253" t="str">
        <f t="array" ref="BB952">_xlfn.IFS(AQ952="","",LEN(AQ952)-LEN(SUBSTITUTE(AQ952,".",""))=3,LEFT(AQ952,vitri(".",AQ952,3)-1),LEN(AQ952)-LEN(SUBSTITUTE(AQ952,".",""))=2,LEFT(AQ952,vitri(".",AQ952,2)-1),TRUE,LEFT(AQ952,vitri(".",AQ952,1)-1))</f>
        <v/>
      </c>
    </row>
    <row r="953" spans="13:54" x14ac:dyDescent="0.25">
      <c r="M953" s="382"/>
      <c r="BB953" s="253" t="str">
        <f t="array" ref="BB953">_xlfn.IFS(AQ953="","",LEN(AQ953)-LEN(SUBSTITUTE(AQ953,".",""))=3,LEFT(AQ953,vitri(".",AQ953,3)-1),LEN(AQ953)-LEN(SUBSTITUTE(AQ953,".",""))=2,LEFT(AQ953,vitri(".",AQ953,2)-1),TRUE,LEFT(AQ953,vitri(".",AQ953,1)-1))</f>
        <v/>
      </c>
    </row>
    <row r="954" spans="13:54" x14ac:dyDescent="0.25">
      <c r="M954" s="382"/>
      <c r="BB954" s="253" t="str">
        <f t="array" ref="BB954">_xlfn.IFS(AQ954="","",LEN(AQ954)-LEN(SUBSTITUTE(AQ954,".",""))=3,LEFT(AQ954,vitri(".",AQ954,3)-1),LEN(AQ954)-LEN(SUBSTITUTE(AQ954,".",""))=2,LEFT(AQ954,vitri(".",AQ954,2)-1),TRUE,LEFT(AQ954,vitri(".",AQ954,1)-1))</f>
        <v/>
      </c>
    </row>
    <row r="955" spans="13:54" x14ac:dyDescent="0.25">
      <c r="M955" s="382"/>
      <c r="BB955" s="253" t="str">
        <f t="array" ref="BB955">_xlfn.IFS(AQ955="","",LEN(AQ955)-LEN(SUBSTITUTE(AQ955,".",""))=3,LEFT(AQ955,vitri(".",AQ955,3)-1),LEN(AQ955)-LEN(SUBSTITUTE(AQ955,".",""))=2,LEFT(AQ955,vitri(".",AQ955,2)-1),TRUE,LEFT(AQ955,vitri(".",AQ955,1)-1))</f>
        <v/>
      </c>
    </row>
    <row r="956" spans="13:54" x14ac:dyDescent="0.25">
      <c r="M956" s="382"/>
      <c r="BB956" s="253" t="str">
        <f t="array" ref="BB956">_xlfn.IFS(AQ956="","",LEN(AQ956)-LEN(SUBSTITUTE(AQ956,".",""))=3,LEFT(AQ956,vitri(".",AQ956,3)-1),LEN(AQ956)-LEN(SUBSTITUTE(AQ956,".",""))=2,LEFT(AQ956,vitri(".",AQ956,2)-1),TRUE,LEFT(AQ956,vitri(".",AQ956,1)-1))</f>
        <v/>
      </c>
    </row>
    <row r="957" spans="13:54" x14ac:dyDescent="0.25">
      <c r="M957" s="382"/>
      <c r="BB957" s="253" t="str">
        <f t="array" ref="BB957">_xlfn.IFS(AQ957="","",LEN(AQ957)-LEN(SUBSTITUTE(AQ957,".",""))=3,LEFT(AQ957,vitri(".",AQ957,3)-1),LEN(AQ957)-LEN(SUBSTITUTE(AQ957,".",""))=2,LEFT(AQ957,vitri(".",AQ957,2)-1),TRUE,LEFT(AQ957,vitri(".",AQ957,1)-1))</f>
        <v/>
      </c>
    </row>
    <row r="958" spans="13:54" x14ac:dyDescent="0.25">
      <c r="M958" s="382"/>
      <c r="BB958" s="253" t="str">
        <f t="array" ref="BB958">_xlfn.IFS(AQ958="","",LEN(AQ958)-LEN(SUBSTITUTE(AQ958,".",""))=3,LEFT(AQ958,vitri(".",AQ958,3)-1),LEN(AQ958)-LEN(SUBSTITUTE(AQ958,".",""))=2,LEFT(AQ958,vitri(".",AQ958,2)-1),TRUE,LEFT(AQ958,vitri(".",AQ958,1)-1))</f>
        <v/>
      </c>
    </row>
    <row r="959" spans="13:54" x14ac:dyDescent="0.25">
      <c r="M959" s="382"/>
      <c r="BB959" s="253" t="str">
        <f t="array" ref="BB959">_xlfn.IFS(AQ959="","",LEN(AQ959)-LEN(SUBSTITUTE(AQ959,".",""))=3,LEFT(AQ959,vitri(".",AQ959,3)-1),LEN(AQ959)-LEN(SUBSTITUTE(AQ959,".",""))=2,LEFT(AQ959,vitri(".",AQ959,2)-1),TRUE,LEFT(AQ959,vitri(".",AQ959,1)-1))</f>
        <v/>
      </c>
    </row>
    <row r="960" spans="13:54" x14ac:dyDescent="0.25">
      <c r="M960" s="382"/>
      <c r="BB960" s="253" t="str">
        <f t="array" ref="BB960">_xlfn.IFS(AQ960="","",LEN(AQ960)-LEN(SUBSTITUTE(AQ960,".",""))=3,LEFT(AQ960,vitri(".",AQ960,3)-1),LEN(AQ960)-LEN(SUBSTITUTE(AQ960,".",""))=2,LEFT(AQ960,vitri(".",AQ960,2)-1),TRUE,LEFT(AQ960,vitri(".",AQ960,1)-1))</f>
        <v/>
      </c>
    </row>
    <row r="961" spans="13:54" x14ac:dyDescent="0.25">
      <c r="M961" s="382"/>
      <c r="BB961" s="253" t="str">
        <f t="array" ref="BB961">_xlfn.IFS(AQ961="","",LEN(AQ961)-LEN(SUBSTITUTE(AQ961,".",""))=3,LEFT(AQ961,vitri(".",AQ961,3)-1),LEN(AQ961)-LEN(SUBSTITUTE(AQ961,".",""))=2,LEFT(AQ961,vitri(".",AQ961,2)-1),TRUE,LEFT(AQ961,vitri(".",AQ961,1)-1))</f>
        <v/>
      </c>
    </row>
    <row r="962" spans="13:54" x14ac:dyDescent="0.25">
      <c r="M962" s="382"/>
      <c r="BB962" s="253" t="str">
        <f t="array" ref="BB962">_xlfn.IFS(AQ962="","",LEN(AQ962)-LEN(SUBSTITUTE(AQ962,".",""))=3,LEFT(AQ962,vitri(".",AQ962,3)-1),LEN(AQ962)-LEN(SUBSTITUTE(AQ962,".",""))=2,LEFT(AQ962,vitri(".",AQ962,2)-1),TRUE,LEFT(AQ962,vitri(".",AQ962,1)-1))</f>
        <v/>
      </c>
    </row>
    <row r="963" spans="13:54" x14ac:dyDescent="0.25">
      <c r="M963" s="382"/>
      <c r="BB963" s="253" t="str">
        <f t="array" ref="BB963">_xlfn.IFS(AQ963="","",LEN(AQ963)-LEN(SUBSTITUTE(AQ963,".",""))=3,LEFT(AQ963,vitri(".",AQ963,3)-1),LEN(AQ963)-LEN(SUBSTITUTE(AQ963,".",""))=2,LEFT(AQ963,vitri(".",AQ963,2)-1),TRUE,LEFT(AQ963,vitri(".",AQ963,1)-1))</f>
        <v/>
      </c>
    </row>
    <row r="964" spans="13:54" x14ac:dyDescent="0.25">
      <c r="M964" s="382"/>
      <c r="BB964" s="253" t="str">
        <f t="array" ref="BB964">_xlfn.IFS(AQ964="","",LEN(AQ964)-LEN(SUBSTITUTE(AQ964,".",""))=3,LEFT(AQ964,vitri(".",AQ964,3)-1),LEN(AQ964)-LEN(SUBSTITUTE(AQ964,".",""))=2,LEFT(AQ964,vitri(".",AQ964,2)-1),TRUE,LEFT(AQ964,vitri(".",AQ964,1)-1))</f>
        <v/>
      </c>
    </row>
    <row r="965" spans="13:54" x14ac:dyDescent="0.25">
      <c r="M965" s="382"/>
      <c r="BB965" s="253" t="str">
        <f t="array" ref="BB965">_xlfn.IFS(AQ965="","",LEN(AQ965)-LEN(SUBSTITUTE(AQ965,".",""))=3,LEFT(AQ965,vitri(".",AQ965,3)-1),LEN(AQ965)-LEN(SUBSTITUTE(AQ965,".",""))=2,LEFT(AQ965,vitri(".",AQ965,2)-1),TRUE,LEFT(AQ965,vitri(".",AQ965,1)-1))</f>
        <v/>
      </c>
    </row>
    <row r="966" spans="13:54" x14ac:dyDescent="0.25">
      <c r="M966" s="382"/>
      <c r="BB966" s="253" t="str">
        <f t="array" ref="BB966">_xlfn.IFS(AQ966="","",LEN(AQ966)-LEN(SUBSTITUTE(AQ966,".",""))=3,LEFT(AQ966,vitri(".",AQ966,3)-1),LEN(AQ966)-LEN(SUBSTITUTE(AQ966,".",""))=2,LEFT(AQ966,vitri(".",AQ966,2)-1),TRUE,LEFT(AQ966,vitri(".",AQ966,1)-1))</f>
        <v/>
      </c>
    </row>
    <row r="967" spans="13:54" x14ac:dyDescent="0.25">
      <c r="M967" s="382"/>
      <c r="BB967" s="253" t="str">
        <f t="array" ref="BB967">_xlfn.IFS(AQ967="","",LEN(AQ967)-LEN(SUBSTITUTE(AQ967,".",""))=3,LEFT(AQ967,vitri(".",AQ967,3)-1),LEN(AQ967)-LEN(SUBSTITUTE(AQ967,".",""))=2,LEFT(AQ967,vitri(".",AQ967,2)-1),TRUE,LEFT(AQ967,vitri(".",AQ967,1)-1))</f>
        <v/>
      </c>
    </row>
    <row r="968" spans="13:54" x14ac:dyDescent="0.25">
      <c r="M968" s="382"/>
      <c r="BB968" s="253" t="str">
        <f t="array" ref="BB968">_xlfn.IFS(AQ968="","",LEN(AQ968)-LEN(SUBSTITUTE(AQ968,".",""))=3,LEFT(AQ968,vitri(".",AQ968,3)-1),LEN(AQ968)-LEN(SUBSTITUTE(AQ968,".",""))=2,LEFT(AQ968,vitri(".",AQ968,2)-1),TRUE,LEFT(AQ968,vitri(".",AQ968,1)-1))</f>
        <v/>
      </c>
    </row>
    <row r="969" spans="13:54" x14ac:dyDescent="0.25">
      <c r="M969" s="382"/>
      <c r="BB969" s="253" t="str">
        <f t="array" ref="BB969">_xlfn.IFS(AQ969="","",LEN(AQ969)-LEN(SUBSTITUTE(AQ969,".",""))=3,LEFT(AQ969,vitri(".",AQ969,3)-1),LEN(AQ969)-LEN(SUBSTITUTE(AQ969,".",""))=2,LEFT(AQ969,vitri(".",AQ969,2)-1),TRUE,LEFT(AQ969,vitri(".",AQ969,1)-1))</f>
        <v/>
      </c>
    </row>
    <row r="970" spans="13:54" x14ac:dyDescent="0.25">
      <c r="M970" s="382"/>
      <c r="BB970" s="253" t="str">
        <f t="array" ref="BB970">_xlfn.IFS(AQ970="","",LEN(AQ970)-LEN(SUBSTITUTE(AQ970,".",""))=3,LEFT(AQ970,vitri(".",AQ970,3)-1),LEN(AQ970)-LEN(SUBSTITUTE(AQ970,".",""))=2,LEFT(AQ970,vitri(".",AQ970,2)-1),TRUE,LEFT(AQ970,vitri(".",AQ970,1)-1))</f>
        <v/>
      </c>
    </row>
    <row r="971" spans="13:54" x14ac:dyDescent="0.25">
      <c r="M971" s="382"/>
      <c r="BB971" s="253" t="str">
        <f t="array" ref="BB971">_xlfn.IFS(AQ971="","",LEN(AQ971)-LEN(SUBSTITUTE(AQ971,".",""))=3,LEFT(AQ971,vitri(".",AQ971,3)-1),LEN(AQ971)-LEN(SUBSTITUTE(AQ971,".",""))=2,LEFT(AQ971,vitri(".",AQ971,2)-1),TRUE,LEFT(AQ971,vitri(".",AQ971,1)-1))</f>
        <v/>
      </c>
    </row>
    <row r="972" spans="13:54" x14ac:dyDescent="0.25">
      <c r="M972" s="382"/>
      <c r="BB972" s="253" t="str">
        <f t="array" ref="BB972">_xlfn.IFS(AQ972="","",LEN(AQ972)-LEN(SUBSTITUTE(AQ972,".",""))=3,LEFT(AQ972,vitri(".",AQ972,3)-1),LEN(AQ972)-LEN(SUBSTITUTE(AQ972,".",""))=2,LEFT(AQ972,vitri(".",AQ972,2)-1),TRUE,LEFT(AQ972,vitri(".",AQ972,1)-1))</f>
        <v/>
      </c>
    </row>
    <row r="973" spans="13:54" x14ac:dyDescent="0.25">
      <c r="M973" s="382"/>
      <c r="BB973" s="253" t="str">
        <f t="array" ref="BB973">_xlfn.IFS(AQ973="","",LEN(AQ973)-LEN(SUBSTITUTE(AQ973,".",""))=3,LEFT(AQ973,vitri(".",AQ973,3)-1),LEN(AQ973)-LEN(SUBSTITUTE(AQ973,".",""))=2,LEFT(AQ973,vitri(".",AQ973,2)-1),TRUE,LEFT(AQ973,vitri(".",AQ973,1)-1))</f>
        <v/>
      </c>
    </row>
    <row r="974" spans="13:54" x14ac:dyDescent="0.25">
      <c r="M974" s="382"/>
      <c r="BB974" s="253" t="str">
        <f t="array" ref="BB974">_xlfn.IFS(AQ974="","",LEN(AQ974)-LEN(SUBSTITUTE(AQ974,".",""))=3,LEFT(AQ974,vitri(".",AQ974,3)-1),LEN(AQ974)-LEN(SUBSTITUTE(AQ974,".",""))=2,LEFT(AQ974,vitri(".",AQ974,2)-1),TRUE,LEFT(AQ974,vitri(".",AQ974,1)-1))</f>
        <v/>
      </c>
    </row>
    <row r="975" spans="13:54" x14ac:dyDescent="0.25">
      <c r="M975" s="382"/>
      <c r="BB975" s="253" t="str">
        <f t="array" ref="BB975">_xlfn.IFS(AQ975="","",LEN(AQ975)-LEN(SUBSTITUTE(AQ975,".",""))=3,LEFT(AQ975,vitri(".",AQ975,3)-1),LEN(AQ975)-LEN(SUBSTITUTE(AQ975,".",""))=2,LEFT(AQ975,vitri(".",AQ975,2)-1),TRUE,LEFT(AQ975,vitri(".",AQ975,1)-1))</f>
        <v/>
      </c>
    </row>
    <row r="976" spans="13:54" x14ac:dyDescent="0.25">
      <c r="M976" s="382"/>
      <c r="BB976" s="253" t="str">
        <f t="array" ref="BB976">_xlfn.IFS(AQ976="","",LEN(AQ976)-LEN(SUBSTITUTE(AQ976,".",""))=3,LEFT(AQ976,vitri(".",AQ976,3)-1),LEN(AQ976)-LEN(SUBSTITUTE(AQ976,".",""))=2,LEFT(AQ976,vitri(".",AQ976,2)-1),TRUE,LEFT(AQ976,vitri(".",AQ976,1)-1))</f>
        <v/>
      </c>
    </row>
    <row r="977" spans="13:54" x14ac:dyDescent="0.25">
      <c r="M977" s="382"/>
      <c r="BB977" s="253" t="str">
        <f t="array" ref="BB977">_xlfn.IFS(AQ977="","",LEN(AQ977)-LEN(SUBSTITUTE(AQ977,".",""))=3,LEFT(AQ977,vitri(".",AQ977,3)-1),LEN(AQ977)-LEN(SUBSTITUTE(AQ977,".",""))=2,LEFT(AQ977,vitri(".",AQ977,2)-1),TRUE,LEFT(AQ977,vitri(".",AQ977,1)-1))</f>
        <v/>
      </c>
    </row>
    <row r="978" spans="13:54" x14ac:dyDescent="0.25">
      <c r="M978" s="382"/>
      <c r="BB978" s="253" t="str">
        <f t="array" ref="BB978">_xlfn.IFS(AQ978="","",LEN(AQ978)-LEN(SUBSTITUTE(AQ978,".",""))=3,LEFT(AQ978,vitri(".",AQ978,3)-1),LEN(AQ978)-LEN(SUBSTITUTE(AQ978,".",""))=2,LEFT(AQ978,vitri(".",AQ978,2)-1),TRUE,LEFT(AQ978,vitri(".",AQ978,1)-1))</f>
        <v/>
      </c>
    </row>
    <row r="979" spans="13:54" x14ac:dyDescent="0.25">
      <c r="M979" s="382"/>
      <c r="BB979" s="253" t="str">
        <f t="array" ref="BB979">_xlfn.IFS(AQ979="","",LEN(AQ979)-LEN(SUBSTITUTE(AQ979,".",""))=3,LEFT(AQ979,vitri(".",AQ979,3)-1),LEN(AQ979)-LEN(SUBSTITUTE(AQ979,".",""))=2,LEFT(AQ979,vitri(".",AQ979,2)-1),TRUE,LEFT(AQ979,vitri(".",AQ979,1)-1))</f>
        <v/>
      </c>
    </row>
    <row r="980" spans="13:54" x14ac:dyDescent="0.25">
      <c r="M980" s="382"/>
      <c r="BB980" s="253" t="str">
        <f t="array" ref="BB980">_xlfn.IFS(AQ980="","",LEN(AQ980)-LEN(SUBSTITUTE(AQ980,".",""))=3,LEFT(AQ980,vitri(".",AQ980,3)-1),LEN(AQ980)-LEN(SUBSTITUTE(AQ980,".",""))=2,LEFT(AQ980,vitri(".",AQ980,2)-1),TRUE,LEFT(AQ980,vitri(".",AQ980,1)-1))</f>
        <v/>
      </c>
    </row>
    <row r="981" spans="13:54" x14ac:dyDescent="0.25">
      <c r="M981" s="382"/>
      <c r="BB981" s="253" t="str">
        <f t="array" ref="BB981">_xlfn.IFS(AQ981="","",LEN(AQ981)-LEN(SUBSTITUTE(AQ981,".",""))=3,LEFT(AQ981,vitri(".",AQ981,3)-1),LEN(AQ981)-LEN(SUBSTITUTE(AQ981,".",""))=2,LEFT(AQ981,vitri(".",AQ981,2)-1),TRUE,LEFT(AQ981,vitri(".",AQ981,1)-1))</f>
        <v/>
      </c>
    </row>
    <row r="982" spans="13:54" x14ac:dyDescent="0.25">
      <c r="M982" s="382"/>
      <c r="BB982" s="253" t="str">
        <f t="array" ref="BB982">_xlfn.IFS(AQ982="","",LEN(AQ982)-LEN(SUBSTITUTE(AQ982,".",""))=3,LEFT(AQ982,vitri(".",AQ982,3)-1),LEN(AQ982)-LEN(SUBSTITUTE(AQ982,".",""))=2,LEFT(AQ982,vitri(".",AQ982,2)-1),TRUE,LEFT(AQ982,vitri(".",AQ982,1)-1))</f>
        <v/>
      </c>
    </row>
    <row r="983" spans="13:54" x14ac:dyDescent="0.25">
      <c r="M983" s="382"/>
      <c r="BB983" s="253" t="str">
        <f t="array" ref="BB983">_xlfn.IFS(AQ983="","",LEN(AQ983)-LEN(SUBSTITUTE(AQ983,".",""))=3,LEFT(AQ983,vitri(".",AQ983,3)-1),LEN(AQ983)-LEN(SUBSTITUTE(AQ983,".",""))=2,LEFT(AQ983,vitri(".",AQ983,2)-1),TRUE,LEFT(AQ983,vitri(".",AQ983,1)-1))</f>
        <v/>
      </c>
    </row>
    <row r="984" spans="13:54" x14ac:dyDescent="0.25">
      <c r="M984" s="382"/>
      <c r="BB984" s="253" t="str">
        <f t="array" ref="BB984">_xlfn.IFS(AQ984="","",LEN(AQ984)-LEN(SUBSTITUTE(AQ984,".",""))=3,LEFT(AQ984,vitri(".",AQ984,3)-1),LEN(AQ984)-LEN(SUBSTITUTE(AQ984,".",""))=2,LEFT(AQ984,vitri(".",AQ984,2)-1),TRUE,LEFT(AQ984,vitri(".",AQ984,1)-1))</f>
        <v/>
      </c>
    </row>
    <row r="985" spans="13:54" x14ac:dyDescent="0.25">
      <c r="M985" s="382"/>
      <c r="BB985" s="253" t="str">
        <f t="array" ref="BB985">_xlfn.IFS(AQ985="","",LEN(AQ985)-LEN(SUBSTITUTE(AQ985,".",""))=3,LEFT(AQ985,vitri(".",AQ985,3)-1),LEN(AQ985)-LEN(SUBSTITUTE(AQ985,".",""))=2,LEFT(AQ985,vitri(".",AQ985,2)-1),TRUE,LEFT(AQ985,vitri(".",AQ985,1)-1))</f>
        <v/>
      </c>
    </row>
    <row r="986" spans="13:54" x14ac:dyDescent="0.25">
      <c r="M986" s="382"/>
      <c r="BB986" s="253" t="str">
        <f t="array" ref="BB986">_xlfn.IFS(AQ986="","",LEN(AQ986)-LEN(SUBSTITUTE(AQ986,".",""))=3,LEFT(AQ986,vitri(".",AQ986,3)-1),LEN(AQ986)-LEN(SUBSTITUTE(AQ986,".",""))=2,LEFT(AQ986,vitri(".",AQ986,2)-1),TRUE,LEFT(AQ986,vitri(".",AQ986,1)-1))</f>
        <v/>
      </c>
    </row>
    <row r="987" spans="13:54" x14ac:dyDescent="0.25">
      <c r="M987" s="382"/>
      <c r="BB987" s="253" t="str">
        <f t="array" ref="BB987">_xlfn.IFS(AQ987="","",LEN(AQ987)-LEN(SUBSTITUTE(AQ987,".",""))=3,LEFT(AQ987,vitri(".",AQ987,3)-1),LEN(AQ987)-LEN(SUBSTITUTE(AQ987,".",""))=2,LEFT(AQ987,vitri(".",AQ987,2)-1),TRUE,LEFT(AQ987,vitri(".",AQ987,1)-1))</f>
        <v/>
      </c>
    </row>
    <row r="988" spans="13:54" x14ac:dyDescent="0.25">
      <c r="M988" s="382"/>
      <c r="BB988" s="253" t="str">
        <f t="array" ref="BB988">_xlfn.IFS(AQ988="","",LEN(AQ988)-LEN(SUBSTITUTE(AQ988,".",""))=3,LEFT(AQ988,vitri(".",AQ988,3)-1),LEN(AQ988)-LEN(SUBSTITUTE(AQ988,".",""))=2,LEFT(AQ988,vitri(".",AQ988,2)-1),TRUE,LEFT(AQ988,vitri(".",AQ988,1)-1))</f>
        <v/>
      </c>
    </row>
    <row r="989" spans="13:54" x14ac:dyDescent="0.25">
      <c r="M989" s="382"/>
      <c r="BB989" s="253" t="str">
        <f t="array" ref="BB989">_xlfn.IFS(AQ989="","",LEN(AQ989)-LEN(SUBSTITUTE(AQ989,".",""))=3,LEFT(AQ989,vitri(".",AQ989,3)-1),LEN(AQ989)-LEN(SUBSTITUTE(AQ989,".",""))=2,LEFT(AQ989,vitri(".",AQ989,2)-1),TRUE,LEFT(AQ989,vitri(".",AQ989,1)-1))</f>
        <v/>
      </c>
    </row>
    <row r="990" spans="13:54" x14ac:dyDescent="0.25">
      <c r="M990" s="382"/>
      <c r="BB990" s="253" t="str">
        <f t="array" ref="BB990">_xlfn.IFS(AQ990="","",LEN(AQ990)-LEN(SUBSTITUTE(AQ990,".",""))=3,LEFT(AQ990,vitri(".",AQ990,3)-1),LEN(AQ990)-LEN(SUBSTITUTE(AQ990,".",""))=2,LEFT(AQ990,vitri(".",AQ990,2)-1),TRUE,LEFT(AQ990,vitri(".",AQ990,1)-1))</f>
        <v/>
      </c>
    </row>
    <row r="991" spans="13:54" x14ac:dyDescent="0.25">
      <c r="M991" s="382"/>
      <c r="BB991" s="253" t="str">
        <f t="array" ref="BB991">_xlfn.IFS(AQ991="","",LEN(AQ991)-LEN(SUBSTITUTE(AQ991,".",""))=3,LEFT(AQ991,vitri(".",AQ991,3)-1),LEN(AQ991)-LEN(SUBSTITUTE(AQ991,".",""))=2,LEFT(AQ991,vitri(".",AQ991,2)-1),TRUE,LEFT(AQ991,vitri(".",AQ991,1)-1))</f>
        <v/>
      </c>
    </row>
    <row r="992" spans="13:54" x14ac:dyDescent="0.25">
      <c r="M992" s="382"/>
      <c r="BB992" s="253" t="str">
        <f t="array" ref="BB992">_xlfn.IFS(AQ992="","",LEN(AQ992)-LEN(SUBSTITUTE(AQ992,".",""))=3,LEFT(AQ992,vitri(".",AQ992,3)-1),LEN(AQ992)-LEN(SUBSTITUTE(AQ992,".",""))=2,LEFT(AQ992,vitri(".",AQ992,2)-1),TRUE,LEFT(AQ992,vitri(".",AQ992,1)-1))</f>
        <v/>
      </c>
    </row>
    <row r="993" spans="13:54" x14ac:dyDescent="0.25">
      <c r="M993" s="382"/>
      <c r="BB993" s="253" t="str">
        <f t="array" ref="BB993">_xlfn.IFS(AQ993="","",LEN(AQ993)-LEN(SUBSTITUTE(AQ993,".",""))=3,LEFT(AQ993,vitri(".",AQ993,3)-1),LEN(AQ993)-LEN(SUBSTITUTE(AQ993,".",""))=2,LEFT(AQ993,vitri(".",AQ993,2)-1),TRUE,LEFT(AQ993,vitri(".",AQ993,1)-1))</f>
        <v/>
      </c>
    </row>
    <row r="994" spans="13:54" x14ac:dyDescent="0.25">
      <c r="M994" s="382"/>
      <c r="BB994" s="253" t="str">
        <f t="array" ref="BB994">_xlfn.IFS(AQ994="","",LEN(AQ994)-LEN(SUBSTITUTE(AQ994,".",""))=3,LEFT(AQ994,vitri(".",AQ994,3)-1),LEN(AQ994)-LEN(SUBSTITUTE(AQ994,".",""))=2,LEFT(AQ994,vitri(".",AQ994,2)-1),TRUE,LEFT(AQ994,vitri(".",AQ994,1)-1))</f>
        <v/>
      </c>
    </row>
    <row r="995" spans="13:54" x14ac:dyDescent="0.25">
      <c r="M995" s="382"/>
      <c r="BB995" s="253" t="str">
        <f t="array" ref="BB995">_xlfn.IFS(AQ995="","",LEN(AQ995)-LEN(SUBSTITUTE(AQ995,".",""))=3,LEFT(AQ995,vitri(".",AQ995,3)-1),LEN(AQ995)-LEN(SUBSTITUTE(AQ995,".",""))=2,LEFT(AQ995,vitri(".",AQ995,2)-1),TRUE,LEFT(AQ995,vitri(".",AQ995,1)-1))</f>
        <v/>
      </c>
    </row>
    <row r="996" spans="13:54" x14ac:dyDescent="0.25">
      <c r="M996" s="382"/>
      <c r="BB996" s="253" t="str">
        <f t="array" ref="BB996">_xlfn.IFS(AQ996="","",LEN(AQ996)-LEN(SUBSTITUTE(AQ996,".",""))=3,LEFT(AQ996,vitri(".",AQ996,3)-1),LEN(AQ996)-LEN(SUBSTITUTE(AQ996,".",""))=2,LEFT(AQ996,vitri(".",AQ996,2)-1),TRUE,LEFT(AQ996,vitri(".",AQ996,1)-1))</f>
        <v/>
      </c>
    </row>
    <row r="997" spans="13:54" x14ac:dyDescent="0.25">
      <c r="M997" s="382"/>
      <c r="BB997" s="253" t="str">
        <f t="array" ref="BB997">_xlfn.IFS(AQ997="","",LEN(AQ997)-LEN(SUBSTITUTE(AQ997,".",""))=3,LEFT(AQ997,vitri(".",AQ997,3)-1),LEN(AQ997)-LEN(SUBSTITUTE(AQ997,".",""))=2,LEFT(AQ997,vitri(".",AQ997,2)-1),TRUE,LEFT(AQ997,vitri(".",AQ997,1)-1))</f>
        <v/>
      </c>
    </row>
    <row r="998" spans="13:54" x14ac:dyDescent="0.25">
      <c r="M998" s="382"/>
      <c r="BB998" s="253" t="str">
        <f t="array" ref="BB998">_xlfn.IFS(AQ998="","",LEN(AQ998)-LEN(SUBSTITUTE(AQ998,".",""))=3,LEFT(AQ998,vitri(".",AQ998,3)-1),LEN(AQ998)-LEN(SUBSTITUTE(AQ998,".",""))=2,LEFT(AQ998,vitri(".",AQ998,2)-1),TRUE,LEFT(AQ998,vitri(".",AQ998,1)-1))</f>
        <v/>
      </c>
    </row>
    <row r="999" spans="13:54" x14ac:dyDescent="0.25">
      <c r="M999" s="382"/>
      <c r="BB999" s="253" t="str">
        <f t="array" ref="BB999">_xlfn.IFS(AQ999="","",LEN(AQ999)-LEN(SUBSTITUTE(AQ999,".",""))=3,LEFT(AQ999,vitri(".",AQ999,3)-1),LEN(AQ999)-LEN(SUBSTITUTE(AQ999,".",""))=2,LEFT(AQ999,vitri(".",AQ999,2)-1),TRUE,LEFT(AQ999,vitri(".",AQ999,1)-1))</f>
        <v/>
      </c>
    </row>
    <row r="1000" spans="13:54" x14ac:dyDescent="0.25">
      <c r="M1000" s="382"/>
      <c r="BB1000" s="253" t="str">
        <f t="array" ref="BB1000">_xlfn.IFS(AQ1000="","",LEN(AQ1000)-LEN(SUBSTITUTE(AQ1000,".",""))=3,LEFT(AQ1000,vitri(".",AQ1000,3)-1),LEN(AQ1000)-LEN(SUBSTITUTE(AQ1000,".",""))=2,LEFT(AQ1000,vitri(".",AQ1000,2)-1),TRUE,LEFT(AQ1000,vitri(".",AQ1000,1)-1))</f>
        <v/>
      </c>
    </row>
    <row r="1001" spans="13:54" x14ac:dyDescent="0.25">
      <c r="M1001" s="382"/>
      <c r="BB1001" s="253" t="str">
        <f t="array" ref="BB1001">_xlfn.IFS(AQ1001="","",LEN(AQ1001)-LEN(SUBSTITUTE(AQ1001,".",""))=3,LEFT(AQ1001,vitri(".",AQ1001,3)-1),LEN(AQ1001)-LEN(SUBSTITUTE(AQ1001,".",""))=2,LEFT(AQ1001,vitri(".",AQ1001,2)-1),TRUE,LEFT(AQ1001,vitri(".",AQ1001,1)-1))</f>
        <v/>
      </c>
    </row>
    <row r="1002" spans="13:54" x14ac:dyDescent="0.25">
      <c r="M1002" s="382"/>
      <c r="BB1002" s="253" t="str">
        <f t="array" ref="BB1002">_xlfn.IFS(AQ1002="","",LEN(AQ1002)-LEN(SUBSTITUTE(AQ1002,".",""))=3,LEFT(AQ1002,vitri(".",AQ1002,3)-1),LEN(AQ1002)-LEN(SUBSTITUTE(AQ1002,".",""))=2,LEFT(AQ1002,vitri(".",AQ1002,2)-1),TRUE,LEFT(AQ1002,vitri(".",AQ1002,1)-1))</f>
        <v/>
      </c>
    </row>
    <row r="1003" spans="13:54" x14ac:dyDescent="0.25">
      <c r="M1003" s="382"/>
      <c r="BB1003" s="253" t="str">
        <f t="array" ref="BB1003">_xlfn.IFS(AQ1003="","",LEN(AQ1003)-LEN(SUBSTITUTE(AQ1003,".",""))=3,LEFT(AQ1003,vitri(".",AQ1003,3)-1),LEN(AQ1003)-LEN(SUBSTITUTE(AQ1003,".",""))=2,LEFT(AQ1003,vitri(".",AQ1003,2)-1),TRUE,LEFT(AQ1003,vitri(".",AQ1003,1)-1))</f>
        <v/>
      </c>
    </row>
    <row r="1004" spans="13:54" x14ac:dyDescent="0.25">
      <c r="M1004" s="382"/>
      <c r="BB1004" s="253" t="str">
        <f t="array" ref="BB1004">_xlfn.IFS(AQ1004="","",LEN(AQ1004)-LEN(SUBSTITUTE(AQ1004,".",""))=3,LEFT(AQ1004,vitri(".",AQ1004,3)-1),LEN(AQ1004)-LEN(SUBSTITUTE(AQ1004,".",""))=2,LEFT(AQ1004,vitri(".",AQ1004,2)-1),TRUE,LEFT(AQ1004,vitri(".",AQ1004,1)-1))</f>
        <v/>
      </c>
    </row>
    <row r="1005" spans="13:54" x14ac:dyDescent="0.25">
      <c r="M1005" s="382"/>
      <c r="BB1005" s="253" t="str">
        <f t="array" ref="BB1005">_xlfn.IFS(AQ1005="","",LEN(AQ1005)-LEN(SUBSTITUTE(AQ1005,".",""))=3,LEFT(AQ1005,vitri(".",AQ1005,3)-1),LEN(AQ1005)-LEN(SUBSTITUTE(AQ1005,".",""))=2,LEFT(AQ1005,vitri(".",AQ1005,2)-1),TRUE,LEFT(AQ1005,vitri(".",AQ1005,1)-1))</f>
        <v/>
      </c>
    </row>
    <row r="1006" spans="13:54" x14ac:dyDescent="0.25">
      <c r="M1006" s="382"/>
      <c r="BB1006" s="253" t="str">
        <f t="array" ref="BB1006">_xlfn.IFS(AQ1006="","",LEN(AQ1006)-LEN(SUBSTITUTE(AQ1006,".",""))=3,LEFT(AQ1006,vitri(".",AQ1006,3)-1),LEN(AQ1006)-LEN(SUBSTITUTE(AQ1006,".",""))=2,LEFT(AQ1006,vitri(".",AQ1006,2)-1),TRUE,LEFT(AQ1006,vitri(".",AQ1006,1)-1))</f>
        <v/>
      </c>
    </row>
    <row r="1007" spans="13:54" x14ac:dyDescent="0.25">
      <c r="M1007" s="382"/>
      <c r="BB1007" s="253" t="str">
        <f t="array" ref="BB1007">_xlfn.IFS(AQ1007="","",LEN(AQ1007)-LEN(SUBSTITUTE(AQ1007,".",""))=3,LEFT(AQ1007,vitri(".",AQ1007,3)-1),LEN(AQ1007)-LEN(SUBSTITUTE(AQ1007,".",""))=2,LEFT(AQ1007,vitri(".",AQ1007,2)-1),TRUE,LEFT(AQ1007,vitri(".",AQ1007,1)-1))</f>
        <v/>
      </c>
    </row>
    <row r="1008" spans="13:54" x14ac:dyDescent="0.25">
      <c r="M1008" s="382"/>
      <c r="BB1008" s="253" t="str">
        <f t="array" ref="BB1008">_xlfn.IFS(AQ1008="","",LEN(AQ1008)-LEN(SUBSTITUTE(AQ1008,".",""))=3,LEFT(AQ1008,vitri(".",AQ1008,3)-1),LEN(AQ1008)-LEN(SUBSTITUTE(AQ1008,".",""))=2,LEFT(AQ1008,vitri(".",AQ1008,2)-1),TRUE,LEFT(AQ1008,vitri(".",AQ1008,1)-1))</f>
        <v/>
      </c>
    </row>
    <row r="1009" spans="13:54" x14ac:dyDescent="0.25">
      <c r="M1009" s="382"/>
      <c r="BB1009" s="253" t="str">
        <f t="array" ref="BB1009">_xlfn.IFS(AQ1009="","",LEN(AQ1009)-LEN(SUBSTITUTE(AQ1009,".",""))=3,LEFT(AQ1009,vitri(".",AQ1009,3)-1),LEN(AQ1009)-LEN(SUBSTITUTE(AQ1009,".",""))=2,LEFT(AQ1009,vitri(".",AQ1009,2)-1),TRUE,LEFT(AQ1009,vitri(".",AQ1009,1)-1))</f>
        <v/>
      </c>
    </row>
    <row r="1010" spans="13:54" x14ac:dyDescent="0.25">
      <c r="M1010" s="382"/>
      <c r="BB1010" s="253" t="str">
        <f t="array" ref="BB1010">_xlfn.IFS(AQ1010="","",LEN(AQ1010)-LEN(SUBSTITUTE(AQ1010,".",""))=3,LEFT(AQ1010,vitri(".",AQ1010,3)-1),LEN(AQ1010)-LEN(SUBSTITUTE(AQ1010,".",""))=2,LEFT(AQ1010,vitri(".",AQ1010,2)-1),TRUE,LEFT(AQ1010,vitri(".",AQ1010,1)-1))</f>
        <v/>
      </c>
    </row>
    <row r="1011" spans="13:54" x14ac:dyDescent="0.25">
      <c r="M1011" s="382"/>
      <c r="BB1011" s="253" t="str">
        <f t="array" ref="BB1011">_xlfn.IFS(AQ1011="","",LEN(AQ1011)-LEN(SUBSTITUTE(AQ1011,".",""))=3,LEFT(AQ1011,vitri(".",AQ1011,3)-1),LEN(AQ1011)-LEN(SUBSTITUTE(AQ1011,".",""))=2,LEFT(AQ1011,vitri(".",AQ1011,2)-1),TRUE,LEFT(AQ1011,vitri(".",AQ1011,1)-1))</f>
        <v/>
      </c>
    </row>
    <row r="1012" spans="13:54" x14ac:dyDescent="0.25">
      <c r="M1012" s="382"/>
      <c r="BB1012" s="253" t="str">
        <f t="array" ref="BB1012">_xlfn.IFS(AQ1012="","",LEN(AQ1012)-LEN(SUBSTITUTE(AQ1012,".",""))=3,LEFT(AQ1012,vitri(".",AQ1012,3)-1),LEN(AQ1012)-LEN(SUBSTITUTE(AQ1012,".",""))=2,LEFT(AQ1012,vitri(".",AQ1012,2)-1),TRUE,LEFT(AQ1012,vitri(".",AQ1012,1)-1))</f>
        <v/>
      </c>
    </row>
    <row r="1013" spans="13:54" x14ac:dyDescent="0.25">
      <c r="M1013" s="382"/>
      <c r="BB1013" s="253" t="str">
        <f t="array" ref="BB1013">_xlfn.IFS(AQ1013="","",LEN(AQ1013)-LEN(SUBSTITUTE(AQ1013,".",""))=3,LEFT(AQ1013,vitri(".",AQ1013,3)-1),LEN(AQ1013)-LEN(SUBSTITUTE(AQ1013,".",""))=2,LEFT(AQ1013,vitri(".",AQ1013,2)-1),TRUE,LEFT(AQ1013,vitri(".",AQ1013,1)-1))</f>
        <v/>
      </c>
    </row>
    <row r="1014" spans="13:54" x14ac:dyDescent="0.25">
      <c r="M1014" s="382"/>
      <c r="BB1014" s="253" t="str">
        <f t="array" ref="BB1014">_xlfn.IFS(AQ1014="","",LEN(AQ1014)-LEN(SUBSTITUTE(AQ1014,".",""))=3,LEFT(AQ1014,vitri(".",AQ1014,3)-1),LEN(AQ1014)-LEN(SUBSTITUTE(AQ1014,".",""))=2,LEFT(AQ1014,vitri(".",AQ1014,2)-1),TRUE,LEFT(AQ1014,vitri(".",AQ1014,1)-1))</f>
        <v/>
      </c>
    </row>
    <row r="1015" spans="13:54" x14ac:dyDescent="0.25">
      <c r="M1015" s="382"/>
      <c r="BB1015" s="253" t="str">
        <f t="array" ref="BB1015">_xlfn.IFS(AQ1015="","",LEN(AQ1015)-LEN(SUBSTITUTE(AQ1015,".",""))=3,LEFT(AQ1015,vitri(".",AQ1015,3)-1),LEN(AQ1015)-LEN(SUBSTITUTE(AQ1015,".",""))=2,LEFT(AQ1015,vitri(".",AQ1015,2)-1),TRUE,LEFT(AQ1015,vitri(".",AQ1015,1)-1))</f>
        <v/>
      </c>
    </row>
    <row r="1016" spans="13:54" x14ac:dyDescent="0.25">
      <c r="M1016" s="382"/>
      <c r="BB1016" s="253" t="str">
        <f t="array" ref="BB1016">_xlfn.IFS(AQ1016="","",LEN(AQ1016)-LEN(SUBSTITUTE(AQ1016,".",""))=3,LEFT(AQ1016,vitri(".",AQ1016,3)-1),LEN(AQ1016)-LEN(SUBSTITUTE(AQ1016,".",""))=2,LEFT(AQ1016,vitri(".",AQ1016,2)-1),TRUE,LEFT(AQ1016,vitri(".",AQ1016,1)-1))</f>
        <v/>
      </c>
    </row>
    <row r="1017" spans="13:54" x14ac:dyDescent="0.25">
      <c r="M1017" s="382"/>
      <c r="BB1017" s="253" t="str">
        <f t="array" ref="BB1017">_xlfn.IFS(AQ1017="","",LEN(AQ1017)-LEN(SUBSTITUTE(AQ1017,".",""))=3,LEFT(AQ1017,vitri(".",AQ1017,3)-1),LEN(AQ1017)-LEN(SUBSTITUTE(AQ1017,".",""))=2,LEFT(AQ1017,vitri(".",AQ1017,2)-1),TRUE,LEFT(AQ1017,vitri(".",AQ1017,1)-1))</f>
        <v/>
      </c>
    </row>
    <row r="1018" spans="13:54" x14ac:dyDescent="0.25">
      <c r="M1018" s="382"/>
      <c r="BB1018" s="253" t="str">
        <f t="array" ref="BB1018">_xlfn.IFS(AQ1018="","",LEN(AQ1018)-LEN(SUBSTITUTE(AQ1018,".",""))=3,LEFT(AQ1018,vitri(".",AQ1018,3)-1),LEN(AQ1018)-LEN(SUBSTITUTE(AQ1018,".",""))=2,LEFT(AQ1018,vitri(".",AQ1018,2)-1),TRUE,LEFT(AQ1018,vitri(".",AQ1018,1)-1))</f>
        <v/>
      </c>
    </row>
    <row r="1019" spans="13:54" x14ac:dyDescent="0.25">
      <c r="M1019" s="382"/>
      <c r="BB1019" s="253" t="str">
        <f t="array" ref="BB1019">_xlfn.IFS(AQ1019="","",LEN(AQ1019)-LEN(SUBSTITUTE(AQ1019,".",""))=3,LEFT(AQ1019,vitri(".",AQ1019,3)-1),LEN(AQ1019)-LEN(SUBSTITUTE(AQ1019,".",""))=2,LEFT(AQ1019,vitri(".",AQ1019,2)-1),TRUE,LEFT(AQ1019,vitri(".",AQ1019,1)-1))</f>
        <v/>
      </c>
    </row>
    <row r="1020" spans="13:54" x14ac:dyDescent="0.25">
      <c r="M1020" s="382"/>
      <c r="BB1020" s="253" t="str">
        <f t="array" ref="BB1020">_xlfn.IFS(AQ1020="","",LEN(AQ1020)-LEN(SUBSTITUTE(AQ1020,".",""))=3,LEFT(AQ1020,vitri(".",AQ1020,3)-1),LEN(AQ1020)-LEN(SUBSTITUTE(AQ1020,".",""))=2,LEFT(AQ1020,vitri(".",AQ1020,2)-1),TRUE,LEFT(AQ1020,vitri(".",AQ1020,1)-1))</f>
        <v/>
      </c>
    </row>
    <row r="1021" spans="13:54" x14ac:dyDescent="0.25">
      <c r="M1021" s="382"/>
      <c r="BB1021" s="253" t="str">
        <f t="array" ref="BB1021">_xlfn.IFS(AQ1021="","",LEN(AQ1021)-LEN(SUBSTITUTE(AQ1021,".",""))=3,LEFT(AQ1021,vitri(".",AQ1021,3)-1),LEN(AQ1021)-LEN(SUBSTITUTE(AQ1021,".",""))=2,LEFT(AQ1021,vitri(".",AQ1021,2)-1),TRUE,LEFT(AQ1021,vitri(".",AQ1021,1)-1))</f>
        <v/>
      </c>
    </row>
    <row r="1022" spans="13:54" x14ac:dyDescent="0.25">
      <c r="M1022" s="382"/>
      <c r="BB1022" s="253" t="str">
        <f t="array" ref="BB1022">_xlfn.IFS(AQ1022="","",LEN(AQ1022)-LEN(SUBSTITUTE(AQ1022,".",""))=3,LEFT(AQ1022,vitri(".",AQ1022,3)-1),LEN(AQ1022)-LEN(SUBSTITUTE(AQ1022,".",""))=2,LEFT(AQ1022,vitri(".",AQ1022,2)-1),TRUE,LEFT(AQ1022,vitri(".",AQ1022,1)-1))</f>
        <v/>
      </c>
    </row>
    <row r="1023" spans="13:54" x14ac:dyDescent="0.25">
      <c r="M1023" s="382"/>
      <c r="BB1023" s="253" t="str">
        <f t="array" ref="BB1023">_xlfn.IFS(AQ1023="","",LEN(AQ1023)-LEN(SUBSTITUTE(AQ1023,".",""))=3,LEFT(AQ1023,vitri(".",AQ1023,3)-1),LEN(AQ1023)-LEN(SUBSTITUTE(AQ1023,".",""))=2,LEFT(AQ1023,vitri(".",AQ1023,2)-1),TRUE,LEFT(AQ1023,vitri(".",AQ1023,1)-1))</f>
        <v/>
      </c>
    </row>
    <row r="1024" spans="13:54" x14ac:dyDescent="0.25">
      <c r="M1024" s="382"/>
      <c r="BB1024" s="253" t="str">
        <f t="array" ref="BB1024">_xlfn.IFS(AQ1024="","",LEN(AQ1024)-LEN(SUBSTITUTE(AQ1024,".",""))=3,LEFT(AQ1024,vitri(".",AQ1024,3)-1),LEN(AQ1024)-LEN(SUBSTITUTE(AQ1024,".",""))=2,LEFT(AQ1024,vitri(".",AQ1024,2)-1),TRUE,LEFT(AQ1024,vitri(".",AQ1024,1)-1))</f>
        <v/>
      </c>
    </row>
    <row r="1025" spans="13:54" x14ac:dyDescent="0.25">
      <c r="M1025" s="382"/>
      <c r="BB1025" s="253" t="str">
        <f t="array" ref="BB1025">_xlfn.IFS(AQ1025="","",LEN(AQ1025)-LEN(SUBSTITUTE(AQ1025,".",""))=3,LEFT(AQ1025,vitri(".",AQ1025,3)-1),LEN(AQ1025)-LEN(SUBSTITUTE(AQ1025,".",""))=2,LEFT(AQ1025,vitri(".",AQ1025,2)-1),TRUE,LEFT(AQ1025,vitri(".",AQ1025,1)-1))</f>
        <v/>
      </c>
    </row>
    <row r="1026" spans="13:54" x14ac:dyDescent="0.25">
      <c r="M1026" s="382"/>
      <c r="BB1026" s="253" t="str">
        <f t="array" ref="BB1026">_xlfn.IFS(AQ1026="","",LEN(AQ1026)-LEN(SUBSTITUTE(AQ1026,".",""))=3,LEFT(AQ1026,vitri(".",AQ1026,3)-1),LEN(AQ1026)-LEN(SUBSTITUTE(AQ1026,".",""))=2,LEFT(AQ1026,vitri(".",AQ1026,2)-1),TRUE,LEFT(AQ1026,vitri(".",AQ1026,1)-1))</f>
        <v/>
      </c>
    </row>
    <row r="1027" spans="13:54" x14ac:dyDescent="0.25">
      <c r="M1027" s="382"/>
      <c r="BB1027" s="253" t="str">
        <f t="array" ref="BB1027">_xlfn.IFS(AQ1027="","",LEN(AQ1027)-LEN(SUBSTITUTE(AQ1027,".",""))=3,LEFT(AQ1027,vitri(".",AQ1027,3)-1),LEN(AQ1027)-LEN(SUBSTITUTE(AQ1027,".",""))=2,LEFT(AQ1027,vitri(".",AQ1027,2)-1),TRUE,LEFT(AQ1027,vitri(".",AQ1027,1)-1))</f>
        <v/>
      </c>
    </row>
    <row r="1028" spans="13:54" x14ac:dyDescent="0.25">
      <c r="M1028" s="382"/>
      <c r="BB1028" s="253" t="str">
        <f t="array" ref="BB1028">_xlfn.IFS(AQ1028="","",LEN(AQ1028)-LEN(SUBSTITUTE(AQ1028,".",""))=3,LEFT(AQ1028,vitri(".",AQ1028,3)-1),LEN(AQ1028)-LEN(SUBSTITUTE(AQ1028,".",""))=2,LEFT(AQ1028,vitri(".",AQ1028,2)-1),TRUE,LEFT(AQ1028,vitri(".",AQ1028,1)-1))</f>
        <v/>
      </c>
    </row>
    <row r="1029" spans="13:54" x14ac:dyDescent="0.25">
      <c r="M1029" s="382"/>
      <c r="BB1029" s="253" t="str">
        <f t="array" ref="BB1029">_xlfn.IFS(AQ1029="","",LEN(AQ1029)-LEN(SUBSTITUTE(AQ1029,".",""))=3,LEFT(AQ1029,vitri(".",AQ1029,3)-1),LEN(AQ1029)-LEN(SUBSTITUTE(AQ1029,".",""))=2,LEFT(AQ1029,vitri(".",AQ1029,2)-1),TRUE,LEFT(AQ1029,vitri(".",AQ1029,1)-1))</f>
        <v/>
      </c>
    </row>
    <row r="1030" spans="13:54" x14ac:dyDescent="0.25">
      <c r="M1030" s="382"/>
      <c r="BB1030" s="253" t="str">
        <f t="array" ref="BB1030">_xlfn.IFS(AQ1030="","",LEN(AQ1030)-LEN(SUBSTITUTE(AQ1030,".",""))=3,LEFT(AQ1030,vitri(".",AQ1030,3)-1),LEN(AQ1030)-LEN(SUBSTITUTE(AQ1030,".",""))=2,LEFT(AQ1030,vitri(".",AQ1030,2)-1),TRUE,LEFT(AQ1030,vitri(".",AQ1030,1)-1))</f>
        <v/>
      </c>
    </row>
    <row r="1031" spans="13:54" x14ac:dyDescent="0.25">
      <c r="M1031" s="382"/>
      <c r="BB1031" s="253" t="str">
        <f t="array" ref="BB1031">_xlfn.IFS(AQ1031="","",LEN(AQ1031)-LEN(SUBSTITUTE(AQ1031,".",""))=3,LEFT(AQ1031,vitri(".",AQ1031,3)-1),LEN(AQ1031)-LEN(SUBSTITUTE(AQ1031,".",""))=2,LEFT(AQ1031,vitri(".",AQ1031,2)-1),TRUE,LEFT(AQ1031,vitri(".",AQ1031,1)-1))</f>
        <v/>
      </c>
    </row>
    <row r="1032" spans="13:54" x14ac:dyDescent="0.25">
      <c r="M1032" s="382"/>
      <c r="BB1032" s="253" t="str">
        <f t="array" ref="BB1032">_xlfn.IFS(AQ1032="","",LEN(AQ1032)-LEN(SUBSTITUTE(AQ1032,".",""))=3,LEFT(AQ1032,vitri(".",AQ1032,3)-1),LEN(AQ1032)-LEN(SUBSTITUTE(AQ1032,".",""))=2,LEFT(AQ1032,vitri(".",AQ1032,2)-1),TRUE,LEFT(AQ1032,vitri(".",AQ1032,1)-1))</f>
        <v/>
      </c>
    </row>
    <row r="1033" spans="13:54" x14ac:dyDescent="0.25">
      <c r="M1033" s="382"/>
      <c r="BB1033" s="253" t="str">
        <f t="array" ref="BB1033">_xlfn.IFS(AQ1033="","",LEN(AQ1033)-LEN(SUBSTITUTE(AQ1033,".",""))=3,LEFT(AQ1033,vitri(".",AQ1033,3)-1),LEN(AQ1033)-LEN(SUBSTITUTE(AQ1033,".",""))=2,LEFT(AQ1033,vitri(".",AQ1033,2)-1),TRUE,LEFT(AQ1033,vitri(".",AQ1033,1)-1))</f>
        <v/>
      </c>
    </row>
    <row r="1034" spans="13:54" x14ac:dyDescent="0.25">
      <c r="M1034" s="382"/>
      <c r="BB1034" s="253" t="str">
        <f t="array" ref="BB1034">_xlfn.IFS(AQ1034="","",LEN(AQ1034)-LEN(SUBSTITUTE(AQ1034,".",""))=3,LEFT(AQ1034,vitri(".",AQ1034,3)-1),LEN(AQ1034)-LEN(SUBSTITUTE(AQ1034,".",""))=2,LEFT(AQ1034,vitri(".",AQ1034,2)-1),TRUE,LEFT(AQ1034,vitri(".",AQ1034,1)-1))</f>
        <v/>
      </c>
    </row>
    <row r="1035" spans="13:54" x14ac:dyDescent="0.25">
      <c r="M1035" s="382"/>
      <c r="BB1035" s="253" t="str">
        <f t="array" ref="BB1035">_xlfn.IFS(AQ1035="","",LEN(AQ1035)-LEN(SUBSTITUTE(AQ1035,".",""))=3,LEFT(AQ1035,vitri(".",AQ1035,3)-1),LEN(AQ1035)-LEN(SUBSTITUTE(AQ1035,".",""))=2,LEFT(AQ1035,vitri(".",AQ1035,2)-1),TRUE,LEFT(AQ1035,vitri(".",AQ1035,1)-1))</f>
        <v/>
      </c>
    </row>
    <row r="1036" spans="13:54" x14ac:dyDescent="0.25">
      <c r="M1036" s="382"/>
      <c r="BB1036" s="253" t="str">
        <f t="array" ref="BB1036">_xlfn.IFS(AQ1036="","",LEN(AQ1036)-LEN(SUBSTITUTE(AQ1036,".",""))=3,LEFT(AQ1036,vitri(".",AQ1036,3)-1),LEN(AQ1036)-LEN(SUBSTITUTE(AQ1036,".",""))=2,LEFT(AQ1036,vitri(".",AQ1036,2)-1),TRUE,LEFT(AQ1036,vitri(".",AQ1036,1)-1))</f>
        <v/>
      </c>
    </row>
    <row r="1037" spans="13:54" x14ac:dyDescent="0.25">
      <c r="M1037" s="382"/>
      <c r="BB1037" s="253" t="str">
        <f t="array" ref="BB1037">_xlfn.IFS(AQ1037="","",LEN(AQ1037)-LEN(SUBSTITUTE(AQ1037,".",""))=3,LEFT(AQ1037,vitri(".",AQ1037,3)-1),LEN(AQ1037)-LEN(SUBSTITUTE(AQ1037,".",""))=2,LEFT(AQ1037,vitri(".",AQ1037,2)-1),TRUE,LEFT(AQ1037,vitri(".",AQ1037,1)-1))</f>
        <v/>
      </c>
    </row>
    <row r="1038" spans="13:54" x14ac:dyDescent="0.25">
      <c r="M1038" s="382"/>
      <c r="BB1038" s="253" t="str">
        <f t="array" ref="BB1038">_xlfn.IFS(AQ1038="","",LEN(AQ1038)-LEN(SUBSTITUTE(AQ1038,".",""))=3,LEFT(AQ1038,vitri(".",AQ1038,3)-1),LEN(AQ1038)-LEN(SUBSTITUTE(AQ1038,".",""))=2,LEFT(AQ1038,vitri(".",AQ1038,2)-1),TRUE,LEFT(AQ1038,vitri(".",AQ1038,1)-1))</f>
        <v/>
      </c>
    </row>
    <row r="1039" spans="13:54" x14ac:dyDescent="0.25">
      <c r="M1039" s="382"/>
      <c r="BB1039" s="253" t="str">
        <f t="array" ref="BB1039">_xlfn.IFS(AQ1039="","",LEN(AQ1039)-LEN(SUBSTITUTE(AQ1039,".",""))=3,LEFT(AQ1039,vitri(".",AQ1039,3)-1),LEN(AQ1039)-LEN(SUBSTITUTE(AQ1039,".",""))=2,LEFT(AQ1039,vitri(".",AQ1039,2)-1),TRUE,LEFT(AQ1039,vitri(".",AQ1039,1)-1))</f>
        <v/>
      </c>
    </row>
    <row r="1040" spans="13:54" x14ac:dyDescent="0.25">
      <c r="M1040" s="382"/>
      <c r="BB1040" s="253" t="str">
        <f t="array" ref="BB1040">_xlfn.IFS(AQ1040="","",LEN(AQ1040)-LEN(SUBSTITUTE(AQ1040,".",""))=3,LEFT(AQ1040,vitri(".",AQ1040,3)-1),LEN(AQ1040)-LEN(SUBSTITUTE(AQ1040,".",""))=2,LEFT(AQ1040,vitri(".",AQ1040,2)-1),TRUE,LEFT(AQ1040,vitri(".",AQ1040,1)-1))</f>
        <v/>
      </c>
    </row>
    <row r="1041" spans="13:54" x14ac:dyDescent="0.25">
      <c r="M1041" s="382"/>
      <c r="BB1041" s="253" t="str">
        <f t="array" ref="BB1041">_xlfn.IFS(AQ1041="","",LEN(AQ1041)-LEN(SUBSTITUTE(AQ1041,".",""))=3,LEFT(AQ1041,vitri(".",AQ1041,3)-1),LEN(AQ1041)-LEN(SUBSTITUTE(AQ1041,".",""))=2,LEFT(AQ1041,vitri(".",AQ1041,2)-1),TRUE,LEFT(AQ1041,vitri(".",AQ1041,1)-1))</f>
        <v/>
      </c>
    </row>
    <row r="1042" spans="13:54" x14ac:dyDescent="0.25">
      <c r="M1042" s="382"/>
      <c r="BB1042" s="253" t="str">
        <f t="array" ref="BB1042">_xlfn.IFS(AQ1042="","",LEN(AQ1042)-LEN(SUBSTITUTE(AQ1042,".",""))=3,LEFT(AQ1042,vitri(".",AQ1042,3)-1),LEN(AQ1042)-LEN(SUBSTITUTE(AQ1042,".",""))=2,LEFT(AQ1042,vitri(".",AQ1042,2)-1),TRUE,LEFT(AQ1042,vitri(".",AQ1042,1)-1))</f>
        <v/>
      </c>
    </row>
    <row r="1043" spans="13:54" x14ac:dyDescent="0.25">
      <c r="M1043" s="382"/>
      <c r="BB1043" s="253" t="str">
        <f t="array" ref="BB1043">_xlfn.IFS(AQ1043="","",LEN(AQ1043)-LEN(SUBSTITUTE(AQ1043,".",""))=3,LEFT(AQ1043,vitri(".",AQ1043,3)-1),LEN(AQ1043)-LEN(SUBSTITUTE(AQ1043,".",""))=2,LEFT(AQ1043,vitri(".",AQ1043,2)-1),TRUE,LEFT(AQ1043,vitri(".",AQ1043,1)-1))</f>
        <v/>
      </c>
    </row>
    <row r="1044" spans="13:54" x14ac:dyDescent="0.25">
      <c r="M1044" s="382"/>
      <c r="BB1044" s="253" t="str">
        <f t="array" ref="BB1044">_xlfn.IFS(AQ1044="","",LEN(AQ1044)-LEN(SUBSTITUTE(AQ1044,".",""))=3,LEFT(AQ1044,vitri(".",AQ1044,3)-1),LEN(AQ1044)-LEN(SUBSTITUTE(AQ1044,".",""))=2,LEFT(AQ1044,vitri(".",AQ1044,2)-1),TRUE,LEFT(AQ1044,vitri(".",AQ1044,1)-1))</f>
        <v/>
      </c>
    </row>
    <row r="1045" spans="13:54" x14ac:dyDescent="0.25">
      <c r="M1045" s="382"/>
      <c r="BB1045" s="253" t="str">
        <f t="array" ref="BB1045">_xlfn.IFS(AQ1045="","",LEN(AQ1045)-LEN(SUBSTITUTE(AQ1045,".",""))=3,LEFT(AQ1045,vitri(".",AQ1045,3)-1),LEN(AQ1045)-LEN(SUBSTITUTE(AQ1045,".",""))=2,LEFT(AQ1045,vitri(".",AQ1045,2)-1),TRUE,LEFT(AQ1045,vitri(".",AQ1045,1)-1))</f>
        <v/>
      </c>
    </row>
    <row r="1046" spans="13:54" x14ac:dyDescent="0.25">
      <c r="M1046" s="382"/>
      <c r="BB1046" s="253" t="str">
        <f t="array" ref="BB1046">_xlfn.IFS(AQ1046="","",LEN(AQ1046)-LEN(SUBSTITUTE(AQ1046,".",""))=3,LEFT(AQ1046,vitri(".",AQ1046,3)-1),LEN(AQ1046)-LEN(SUBSTITUTE(AQ1046,".",""))=2,LEFT(AQ1046,vitri(".",AQ1046,2)-1),TRUE,LEFT(AQ1046,vitri(".",AQ1046,1)-1))</f>
        <v/>
      </c>
    </row>
    <row r="1047" spans="13:54" x14ac:dyDescent="0.25">
      <c r="M1047" s="382"/>
      <c r="BB1047" s="253" t="str">
        <f t="array" ref="BB1047">_xlfn.IFS(AQ1047="","",LEN(AQ1047)-LEN(SUBSTITUTE(AQ1047,".",""))=3,LEFT(AQ1047,vitri(".",AQ1047,3)-1),LEN(AQ1047)-LEN(SUBSTITUTE(AQ1047,".",""))=2,LEFT(AQ1047,vitri(".",AQ1047,2)-1),TRUE,LEFT(AQ1047,vitri(".",AQ1047,1)-1))</f>
        <v/>
      </c>
    </row>
    <row r="1048" spans="13:54" x14ac:dyDescent="0.25">
      <c r="M1048" s="382"/>
      <c r="BB1048" s="253" t="str">
        <f t="array" ref="BB1048">_xlfn.IFS(AQ1048="","",LEN(AQ1048)-LEN(SUBSTITUTE(AQ1048,".",""))=3,LEFT(AQ1048,vitri(".",AQ1048,3)-1),LEN(AQ1048)-LEN(SUBSTITUTE(AQ1048,".",""))=2,LEFT(AQ1048,vitri(".",AQ1048,2)-1),TRUE,LEFT(AQ1048,vitri(".",AQ1048,1)-1))</f>
        <v/>
      </c>
    </row>
    <row r="1049" spans="13:54" x14ac:dyDescent="0.25">
      <c r="M1049" s="382"/>
      <c r="BB1049" s="253" t="str">
        <f t="array" ref="BB1049">_xlfn.IFS(AQ1049="","",LEN(AQ1049)-LEN(SUBSTITUTE(AQ1049,".",""))=3,LEFT(AQ1049,vitri(".",AQ1049,3)-1),LEN(AQ1049)-LEN(SUBSTITUTE(AQ1049,".",""))=2,LEFT(AQ1049,vitri(".",AQ1049,2)-1),TRUE,LEFT(AQ1049,vitri(".",AQ1049,1)-1))</f>
        <v/>
      </c>
    </row>
    <row r="1050" spans="13:54" x14ac:dyDescent="0.25">
      <c r="M1050" s="382"/>
      <c r="BB1050" s="253" t="str">
        <f t="array" ref="BB1050">_xlfn.IFS(AQ1050="","",LEN(AQ1050)-LEN(SUBSTITUTE(AQ1050,".",""))=3,LEFT(AQ1050,vitri(".",AQ1050,3)-1),LEN(AQ1050)-LEN(SUBSTITUTE(AQ1050,".",""))=2,LEFT(AQ1050,vitri(".",AQ1050,2)-1),TRUE,LEFT(AQ1050,vitri(".",AQ1050,1)-1))</f>
        <v/>
      </c>
    </row>
    <row r="1051" spans="13:54" x14ac:dyDescent="0.25">
      <c r="M1051" s="382"/>
      <c r="BB1051" s="253" t="str">
        <f t="array" ref="BB1051">_xlfn.IFS(AQ1051="","",LEN(AQ1051)-LEN(SUBSTITUTE(AQ1051,".",""))=3,LEFT(AQ1051,vitri(".",AQ1051,3)-1),LEN(AQ1051)-LEN(SUBSTITUTE(AQ1051,".",""))=2,LEFT(AQ1051,vitri(".",AQ1051,2)-1),TRUE,LEFT(AQ1051,vitri(".",AQ1051,1)-1))</f>
        <v/>
      </c>
    </row>
    <row r="1052" spans="13:54" x14ac:dyDescent="0.25">
      <c r="M1052" s="382"/>
      <c r="BB1052" s="253" t="str">
        <f t="array" ref="BB1052">_xlfn.IFS(AQ1052="","",LEN(AQ1052)-LEN(SUBSTITUTE(AQ1052,".",""))=3,LEFT(AQ1052,vitri(".",AQ1052,3)-1),LEN(AQ1052)-LEN(SUBSTITUTE(AQ1052,".",""))=2,LEFT(AQ1052,vitri(".",AQ1052,2)-1),TRUE,LEFT(AQ1052,vitri(".",AQ1052,1)-1))</f>
        <v/>
      </c>
    </row>
    <row r="1053" spans="13:54" x14ac:dyDescent="0.25">
      <c r="M1053" s="382"/>
      <c r="BB1053" s="253" t="str">
        <f t="array" ref="BB1053">_xlfn.IFS(AQ1053="","",LEN(AQ1053)-LEN(SUBSTITUTE(AQ1053,".",""))=3,LEFT(AQ1053,vitri(".",AQ1053,3)-1),LEN(AQ1053)-LEN(SUBSTITUTE(AQ1053,".",""))=2,LEFT(AQ1053,vitri(".",AQ1053,2)-1),TRUE,LEFT(AQ1053,vitri(".",AQ1053,1)-1))</f>
        <v/>
      </c>
    </row>
    <row r="1054" spans="13:54" x14ac:dyDescent="0.25">
      <c r="M1054" s="382"/>
      <c r="BB1054" s="253" t="str">
        <f t="array" ref="BB1054">_xlfn.IFS(AQ1054="","",LEN(AQ1054)-LEN(SUBSTITUTE(AQ1054,".",""))=3,LEFT(AQ1054,vitri(".",AQ1054,3)-1),LEN(AQ1054)-LEN(SUBSTITUTE(AQ1054,".",""))=2,LEFT(AQ1054,vitri(".",AQ1054,2)-1),TRUE,LEFT(AQ1054,vitri(".",AQ1054,1)-1))</f>
        <v/>
      </c>
    </row>
    <row r="1055" spans="13:54" x14ac:dyDescent="0.25">
      <c r="M1055" s="382"/>
      <c r="BB1055" s="253" t="str">
        <f t="array" ref="BB1055">_xlfn.IFS(AQ1055="","",LEN(AQ1055)-LEN(SUBSTITUTE(AQ1055,".",""))=3,LEFT(AQ1055,vitri(".",AQ1055,3)-1),LEN(AQ1055)-LEN(SUBSTITUTE(AQ1055,".",""))=2,LEFT(AQ1055,vitri(".",AQ1055,2)-1),TRUE,LEFT(AQ1055,vitri(".",AQ1055,1)-1))</f>
        <v/>
      </c>
    </row>
    <row r="1056" spans="13:54" x14ac:dyDescent="0.25">
      <c r="M1056" s="382"/>
      <c r="BB1056" s="253" t="str">
        <f t="array" ref="BB1056">_xlfn.IFS(AQ1056="","",LEN(AQ1056)-LEN(SUBSTITUTE(AQ1056,".",""))=3,LEFT(AQ1056,vitri(".",AQ1056,3)-1),LEN(AQ1056)-LEN(SUBSTITUTE(AQ1056,".",""))=2,LEFT(AQ1056,vitri(".",AQ1056,2)-1),TRUE,LEFT(AQ1056,vitri(".",AQ1056,1)-1))</f>
        <v/>
      </c>
    </row>
    <row r="1057" spans="13:54" x14ac:dyDescent="0.25">
      <c r="M1057" s="382"/>
      <c r="BB1057" s="253" t="str">
        <f t="array" ref="BB1057">_xlfn.IFS(AQ1057="","",LEN(AQ1057)-LEN(SUBSTITUTE(AQ1057,".",""))=3,LEFT(AQ1057,vitri(".",AQ1057,3)-1),LEN(AQ1057)-LEN(SUBSTITUTE(AQ1057,".",""))=2,LEFT(AQ1057,vitri(".",AQ1057,2)-1),TRUE,LEFT(AQ1057,vitri(".",AQ1057,1)-1))</f>
        <v/>
      </c>
    </row>
    <row r="1058" spans="13:54" x14ac:dyDescent="0.25">
      <c r="M1058" s="382"/>
      <c r="BB1058" s="253" t="str">
        <f t="array" ref="BB1058">_xlfn.IFS(AQ1058="","",LEN(AQ1058)-LEN(SUBSTITUTE(AQ1058,".",""))=3,LEFT(AQ1058,vitri(".",AQ1058,3)-1),LEN(AQ1058)-LEN(SUBSTITUTE(AQ1058,".",""))=2,LEFT(AQ1058,vitri(".",AQ1058,2)-1),TRUE,LEFT(AQ1058,vitri(".",AQ1058,1)-1))</f>
        <v/>
      </c>
    </row>
    <row r="1059" spans="13:54" x14ac:dyDescent="0.25">
      <c r="M1059" s="382"/>
      <c r="BB1059" s="253" t="str">
        <f t="array" ref="BB1059">_xlfn.IFS(AQ1059="","",LEN(AQ1059)-LEN(SUBSTITUTE(AQ1059,".",""))=3,LEFT(AQ1059,vitri(".",AQ1059,3)-1),LEN(AQ1059)-LEN(SUBSTITUTE(AQ1059,".",""))=2,LEFT(AQ1059,vitri(".",AQ1059,2)-1),TRUE,LEFT(AQ1059,vitri(".",AQ1059,1)-1))</f>
        <v/>
      </c>
    </row>
    <row r="1060" spans="13:54" x14ac:dyDescent="0.25">
      <c r="M1060" s="382"/>
      <c r="BB1060" s="253" t="str">
        <f t="array" ref="BB1060">_xlfn.IFS(AQ1060="","",LEN(AQ1060)-LEN(SUBSTITUTE(AQ1060,".",""))=3,LEFT(AQ1060,vitri(".",AQ1060,3)-1),LEN(AQ1060)-LEN(SUBSTITUTE(AQ1060,".",""))=2,LEFT(AQ1060,vitri(".",AQ1060,2)-1),TRUE,LEFT(AQ1060,vitri(".",AQ1060,1)-1))</f>
        <v/>
      </c>
    </row>
    <row r="1061" spans="13:54" x14ac:dyDescent="0.25">
      <c r="M1061" s="382"/>
      <c r="BB1061" s="253" t="str">
        <f t="array" ref="BB1061">_xlfn.IFS(AQ1061="","",LEN(AQ1061)-LEN(SUBSTITUTE(AQ1061,".",""))=3,LEFT(AQ1061,vitri(".",AQ1061,3)-1),LEN(AQ1061)-LEN(SUBSTITUTE(AQ1061,".",""))=2,LEFT(AQ1061,vitri(".",AQ1061,2)-1),TRUE,LEFT(AQ1061,vitri(".",AQ1061,1)-1))</f>
        <v/>
      </c>
    </row>
    <row r="1062" spans="13:54" x14ac:dyDescent="0.25">
      <c r="M1062" s="382"/>
      <c r="BB1062" s="253" t="str">
        <f t="array" ref="BB1062">_xlfn.IFS(AQ1062="","",LEN(AQ1062)-LEN(SUBSTITUTE(AQ1062,".",""))=3,LEFT(AQ1062,vitri(".",AQ1062,3)-1),LEN(AQ1062)-LEN(SUBSTITUTE(AQ1062,".",""))=2,LEFT(AQ1062,vitri(".",AQ1062,2)-1),TRUE,LEFT(AQ1062,vitri(".",AQ1062,1)-1))</f>
        <v/>
      </c>
    </row>
    <row r="1063" spans="13:54" x14ac:dyDescent="0.25">
      <c r="M1063" s="382"/>
      <c r="BB1063" s="253" t="str">
        <f t="array" ref="BB1063">_xlfn.IFS(AQ1063="","",LEN(AQ1063)-LEN(SUBSTITUTE(AQ1063,".",""))=3,LEFT(AQ1063,vitri(".",AQ1063,3)-1),LEN(AQ1063)-LEN(SUBSTITUTE(AQ1063,".",""))=2,LEFT(AQ1063,vitri(".",AQ1063,2)-1),TRUE,LEFT(AQ1063,vitri(".",AQ1063,1)-1))</f>
        <v/>
      </c>
    </row>
    <row r="1064" spans="13:54" x14ac:dyDescent="0.25">
      <c r="M1064" s="382"/>
      <c r="BB1064" s="253" t="str">
        <f t="array" ref="BB1064">_xlfn.IFS(AQ1064="","",LEN(AQ1064)-LEN(SUBSTITUTE(AQ1064,".",""))=3,LEFT(AQ1064,vitri(".",AQ1064,3)-1),LEN(AQ1064)-LEN(SUBSTITUTE(AQ1064,".",""))=2,LEFT(AQ1064,vitri(".",AQ1064,2)-1),TRUE,LEFT(AQ1064,vitri(".",AQ1064,1)-1))</f>
        <v/>
      </c>
    </row>
    <row r="1065" spans="13:54" x14ac:dyDescent="0.25">
      <c r="M1065" s="382"/>
      <c r="BB1065" s="253" t="str">
        <f t="array" ref="BB1065">_xlfn.IFS(AQ1065="","",LEN(AQ1065)-LEN(SUBSTITUTE(AQ1065,".",""))=3,LEFT(AQ1065,vitri(".",AQ1065,3)-1),LEN(AQ1065)-LEN(SUBSTITUTE(AQ1065,".",""))=2,LEFT(AQ1065,vitri(".",AQ1065,2)-1),TRUE,LEFT(AQ1065,vitri(".",AQ1065,1)-1))</f>
        <v/>
      </c>
    </row>
    <row r="1066" spans="13:54" x14ac:dyDescent="0.25">
      <c r="M1066" s="382"/>
      <c r="BB1066" s="253" t="str">
        <f t="array" ref="BB1066">_xlfn.IFS(AQ1066="","",LEN(AQ1066)-LEN(SUBSTITUTE(AQ1066,".",""))=3,LEFT(AQ1066,vitri(".",AQ1066,3)-1),LEN(AQ1066)-LEN(SUBSTITUTE(AQ1066,".",""))=2,LEFT(AQ1066,vitri(".",AQ1066,2)-1),TRUE,LEFT(AQ1066,vitri(".",AQ1066,1)-1))</f>
        <v/>
      </c>
    </row>
    <row r="1067" spans="13:54" x14ac:dyDescent="0.25">
      <c r="M1067" s="382"/>
      <c r="BB1067" s="253" t="str">
        <f t="array" ref="BB1067">_xlfn.IFS(AQ1067="","",LEN(AQ1067)-LEN(SUBSTITUTE(AQ1067,".",""))=3,LEFT(AQ1067,vitri(".",AQ1067,3)-1),LEN(AQ1067)-LEN(SUBSTITUTE(AQ1067,".",""))=2,LEFT(AQ1067,vitri(".",AQ1067,2)-1),TRUE,LEFT(AQ1067,vitri(".",AQ1067,1)-1))</f>
        <v/>
      </c>
    </row>
    <row r="1068" spans="13:54" x14ac:dyDescent="0.25">
      <c r="M1068" s="382"/>
      <c r="BB1068" s="253" t="str">
        <f t="array" ref="BB1068">_xlfn.IFS(AQ1068="","",LEN(AQ1068)-LEN(SUBSTITUTE(AQ1068,".",""))=3,LEFT(AQ1068,vitri(".",AQ1068,3)-1),LEN(AQ1068)-LEN(SUBSTITUTE(AQ1068,".",""))=2,LEFT(AQ1068,vitri(".",AQ1068,2)-1),TRUE,LEFT(AQ1068,vitri(".",AQ1068,1)-1))</f>
        <v/>
      </c>
    </row>
    <row r="1069" spans="13:54" x14ac:dyDescent="0.25">
      <c r="M1069" s="382"/>
      <c r="BB1069" s="253" t="str">
        <f t="array" ref="BB1069">_xlfn.IFS(AQ1069="","",LEN(AQ1069)-LEN(SUBSTITUTE(AQ1069,".",""))=3,LEFT(AQ1069,vitri(".",AQ1069,3)-1),LEN(AQ1069)-LEN(SUBSTITUTE(AQ1069,".",""))=2,LEFT(AQ1069,vitri(".",AQ1069,2)-1),TRUE,LEFT(AQ1069,vitri(".",AQ1069,1)-1))</f>
        <v/>
      </c>
    </row>
    <row r="1070" spans="13:54" x14ac:dyDescent="0.25">
      <c r="M1070" s="382"/>
      <c r="BB1070" s="253" t="str">
        <f t="array" ref="BB1070">_xlfn.IFS(AQ1070="","",LEN(AQ1070)-LEN(SUBSTITUTE(AQ1070,".",""))=3,LEFT(AQ1070,vitri(".",AQ1070,3)-1),LEN(AQ1070)-LEN(SUBSTITUTE(AQ1070,".",""))=2,LEFT(AQ1070,vitri(".",AQ1070,2)-1),TRUE,LEFT(AQ1070,vitri(".",AQ1070,1)-1))</f>
        <v/>
      </c>
    </row>
    <row r="1071" spans="13:54" x14ac:dyDescent="0.25">
      <c r="M1071" s="382"/>
      <c r="BB1071" s="253" t="str">
        <f t="array" ref="BB1071">_xlfn.IFS(AQ1071="","",LEN(AQ1071)-LEN(SUBSTITUTE(AQ1071,".",""))=3,LEFT(AQ1071,vitri(".",AQ1071,3)-1),LEN(AQ1071)-LEN(SUBSTITUTE(AQ1071,".",""))=2,LEFT(AQ1071,vitri(".",AQ1071,2)-1),TRUE,LEFT(AQ1071,vitri(".",AQ1071,1)-1))</f>
        <v/>
      </c>
    </row>
    <row r="1072" spans="13:54" x14ac:dyDescent="0.25">
      <c r="M1072" s="382"/>
      <c r="BB1072" s="253" t="str">
        <f t="array" ref="BB1072">_xlfn.IFS(AQ1072="","",LEN(AQ1072)-LEN(SUBSTITUTE(AQ1072,".",""))=3,LEFT(AQ1072,vitri(".",AQ1072,3)-1),LEN(AQ1072)-LEN(SUBSTITUTE(AQ1072,".",""))=2,LEFT(AQ1072,vitri(".",AQ1072,2)-1),TRUE,LEFT(AQ1072,vitri(".",AQ1072,1)-1))</f>
        <v/>
      </c>
    </row>
    <row r="1073" spans="13:54" x14ac:dyDescent="0.25">
      <c r="M1073" s="382"/>
      <c r="BB1073" s="253" t="str">
        <f t="array" ref="BB1073">_xlfn.IFS(AQ1073="","",LEN(AQ1073)-LEN(SUBSTITUTE(AQ1073,".",""))=3,LEFT(AQ1073,vitri(".",AQ1073,3)-1),LEN(AQ1073)-LEN(SUBSTITUTE(AQ1073,".",""))=2,LEFT(AQ1073,vitri(".",AQ1073,2)-1),TRUE,LEFT(AQ1073,vitri(".",AQ1073,1)-1))</f>
        <v/>
      </c>
    </row>
    <row r="1074" spans="13:54" x14ac:dyDescent="0.25">
      <c r="M1074" s="382"/>
      <c r="BB1074" s="253" t="str">
        <f t="array" ref="BB1074">_xlfn.IFS(AQ1074="","",LEN(AQ1074)-LEN(SUBSTITUTE(AQ1074,".",""))=3,LEFT(AQ1074,vitri(".",AQ1074,3)-1),LEN(AQ1074)-LEN(SUBSTITUTE(AQ1074,".",""))=2,LEFT(AQ1074,vitri(".",AQ1074,2)-1),TRUE,LEFT(AQ1074,vitri(".",AQ1074,1)-1))</f>
        <v/>
      </c>
    </row>
    <row r="1075" spans="13:54" x14ac:dyDescent="0.25">
      <c r="M1075" s="382"/>
      <c r="BB1075" s="253" t="str">
        <f t="array" ref="BB1075">_xlfn.IFS(AQ1075="","",LEN(AQ1075)-LEN(SUBSTITUTE(AQ1075,".",""))=3,LEFT(AQ1075,vitri(".",AQ1075,3)-1),LEN(AQ1075)-LEN(SUBSTITUTE(AQ1075,".",""))=2,LEFT(AQ1075,vitri(".",AQ1075,2)-1),TRUE,LEFT(AQ1075,vitri(".",AQ1075,1)-1))</f>
        <v/>
      </c>
    </row>
    <row r="1076" spans="13:54" x14ac:dyDescent="0.25">
      <c r="M1076" s="382"/>
      <c r="BB1076" s="253" t="str">
        <f t="array" ref="BB1076">_xlfn.IFS(AQ1076="","",LEN(AQ1076)-LEN(SUBSTITUTE(AQ1076,".",""))=3,LEFT(AQ1076,vitri(".",AQ1076,3)-1),LEN(AQ1076)-LEN(SUBSTITUTE(AQ1076,".",""))=2,LEFT(AQ1076,vitri(".",AQ1076,2)-1),TRUE,LEFT(AQ1076,vitri(".",AQ1076,1)-1))</f>
        <v/>
      </c>
    </row>
    <row r="1077" spans="13:54" x14ac:dyDescent="0.25">
      <c r="M1077" s="382"/>
      <c r="BB1077" s="253" t="str">
        <f t="array" ref="BB1077">_xlfn.IFS(AQ1077="","",LEN(AQ1077)-LEN(SUBSTITUTE(AQ1077,".",""))=3,LEFT(AQ1077,vitri(".",AQ1077,3)-1),LEN(AQ1077)-LEN(SUBSTITUTE(AQ1077,".",""))=2,LEFT(AQ1077,vitri(".",AQ1077,2)-1),TRUE,LEFT(AQ1077,vitri(".",AQ1077,1)-1))</f>
        <v/>
      </c>
    </row>
    <row r="1078" spans="13:54" x14ac:dyDescent="0.25">
      <c r="M1078" s="382"/>
      <c r="BB1078" s="253" t="str">
        <f t="array" ref="BB1078">_xlfn.IFS(AQ1078="","",LEN(AQ1078)-LEN(SUBSTITUTE(AQ1078,".",""))=3,LEFT(AQ1078,vitri(".",AQ1078,3)-1),LEN(AQ1078)-LEN(SUBSTITUTE(AQ1078,".",""))=2,LEFT(AQ1078,vitri(".",AQ1078,2)-1),TRUE,LEFT(AQ1078,vitri(".",AQ1078,1)-1))</f>
        <v/>
      </c>
    </row>
    <row r="1079" spans="13:54" x14ac:dyDescent="0.25">
      <c r="M1079" s="382"/>
      <c r="BB1079" s="253" t="str">
        <f t="array" ref="BB1079">_xlfn.IFS(AQ1079="","",LEN(AQ1079)-LEN(SUBSTITUTE(AQ1079,".",""))=3,LEFT(AQ1079,vitri(".",AQ1079,3)-1),LEN(AQ1079)-LEN(SUBSTITUTE(AQ1079,".",""))=2,LEFT(AQ1079,vitri(".",AQ1079,2)-1),TRUE,LEFT(AQ1079,vitri(".",AQ1079,1)-1))</f>
        <v/>
      </c>
    </row>
    <row r="1080" spans="13:54" x14ac:dyDescent="0.25">
      <c r="M1080" s="382"/>
      <c r="BB1080" s="253" t="str">
        <f t="array" ref="BB1080">_xlfn.IFS(AQ1080="","",LEN(AQ1080)-LEN(SUBSTITUTE(AQ1080,".",""))=3,LEFT(AQ1080,vitri(".",AQ1080,3)-1),LEN(AQ1080)-LEN(SUBSTITUTE(AQ1080,".",""))=2,LEFT(AQ1080,vitri(".",AQ1080,2)-1),TRUE,LEFT(AQ1080,vitri(".",AQ1080,1)-1))</f>
        <v/>
      </c>
    </row>
    <row r="1081" spans="13:54" x14ac:dyDescent="0.25">
      <c r="M1081" s="382"/>
      <c r="BB1081" s="253" t="str">
        <f t="array" ref="BB1081">_xlfn.IFS(AQ1081="","",LEN(AQ1081)-LEN(SUBSTITUTE(AQ1081,".",""))=3,LEFT(AQ1081,vitri(".",AQ1081,3)-1),LEN(AQ1081)-LEN(SUBSTITUTE(AQ1081,".",""))=2,LEFT(AQ1081,vitri(".",AQ1081,2)-1),TRUE,LEFT(AQ1081,vitri(".",AQ1081,1)-1))</f>
        <v/>
      </c>
    </row>
    <row r="1082" spans="13:54" x14ac:dyDescent="0.25">
      <c r="M1082" s="382"/>
      <c r="BB1082" s="253" t="str">
        <f t="array" ref="BB1082">_xlfn.IFS(AQ1082="","",LEN(AQ1082)-LEN(SUBSTITUTE(AQ1082,".",""))=3,LEFT(AQ1082,vitri(".",AQ1082,3)-1),LEN(AQ1082)-LEN(SUBSTITUTE(AQ1082,".",""))=2,LEFT(AQ1082,vitri(".",AQ1082,2)-1),TRUE,LEFT(AQ1082,vitri(".",AQ1082,1)-1))</f>
        <v/>
      </c>
    </row>
    <row r="1083" spans="13:54" x14ac:dyDescent="0.25">
      <c r="M1083" s="382"/>
      <c r="BB1083" s="253" t="str">
        <f t="array" ref="BB1083">_xlfn.IFS(AQ1083="","",LEN(AQ1083)-LEN(SUBSTITUTE(AQ1083,".",""))=3,LEFT(AQ1083,vitri(".",AQ1083,3)-1),LEN(AQ1083)-LEN(SUBSTITUTE(AQ1083,".",""))=2,LEFT(AQ1083,vitri(".",AQ1083,2)-1),TRUE,LEFT(AQ1083,vitri(".",AQ1083,1)-1))</f>
        <v/>
      </c>
    </row>
    <row r="1084" spans="13:54" x14ac:dyDescent="0.25">
      <c r="M1084" s="382"/>
      <c r="BB1084" s="253" t="str">
        <f t="array" ref="BB1084">_xlfn.IFS(AQ1084="","",LEN(AQ1084)-LEN(SUBSTITUTE(AQ1084,".",""))=3,LEFT(AQ1084,vitri(".",AQ1084,3)-1),LEN(AQ1084)-LEN(SUBSTITUTE(AQ1084,".",""))=2,LEFT(AQ1084,vitri(".",AQ1084,2)-1),TRUE,LEFT(AQ1084,vitri(".",AQ1084,1)-1))</f>
        <v/>
      </c>
    </row>
    <row r="1085" spans="13:54" x14ac:dyDescent="0.25">
      <c r="M1085" s="382"/>
      <c r="BB1085" s="253" t="str">
        <f t="array" ref="BB1085">_xlfn.IFS(AQ1085="","",LEN(AQ1085)-LEN(SUBSTITUTE(AQ1085,".",""))=3,LEFT(AQ1085,vitri(".",AQ1085,3)-1),LEN(AQ1085)-LEN(SUBSTITUTE(AQ1085,".",""))=2,LEFT(AQ1085,vitri(".",AQ1085,2)-1),TRUE,LEFT(AQ1085,vitri(".",AQ1085,1)-1))</f>
        <v/>
      </c>
    </row>
    <row r="1086" spans="13:54" x14ac:dyDescent="0.25">
      <c r="M1086" s="382"/>
      <c r="BB1086" s="253" t="str">
        <f t="array" ref="BB1086">_xlfn.IFS(AQ1086="","",LEN(AQ1086)-LEN(SUBSTITUTE(AQ1086,".",""))=3,LEFT(AQ1086,vitri(".",AQ1086,3)-1),LEN(AQ1086)-LEN(SUBSTITUTE(AQ1086,".",""))=2,LEFT(AQ1086,vitri(".",AQ1086,2)-1),TRUE,LEFT(AQ1086,vitri(".",AQ1086,1)-1))</f>
        <v/>
      </c>
    </row>
    <row r="1087" spans="13:54" x14ac:dyDescent="0.25">
      <c r="M1087" s="382"/>
      <c r="BB1087" s="253" t="str">
        <f t="array" ref="BB1087">_xlfn.IFS(AQ1087="","",LEN(AQ1087)-LEN(SUBSTITUTE(AQ1087,".",""))=3,LEFT(AQ1087,vitri(".",AQ1087,3)-1),LEN(AQ1087)-LEN(SUBSTITUTE(AQ1087,".",""))=2,LEFT(AQ1087,vitri(".",AQ1087,2)-1),TRUE,LEFT(AQ1087,vitri(".",AQ1087,1)-1))</f>
        <v/>
      </c>
    </row>
    <row r="1088" spans="13:54" x14ac:dyDescent="0.25">
      <c r="M1088" s="382"/>
      <c r="BB1088" s="253" t="str">
        <f t="array" ref="BB1088">_xlfn.IFS(AQ1088="","",LEN(AQ1088)-LEN(SUBSTITUTE(AQ1088,".",""))=3,LEFT(AQ1088,vitri(".",AQ1088,3)-1),LEN(AQ1088)-LEN(SUBSTITUTE(AQ1088,".",""))=2,LEFT(AQ1088,vitri(".",AQ1088,2)-1),TRUE,LEFT(AQ1088,vitri(".",AQ1088,1)-1))</f>
        <v/>
      </c>
    </row>
    <row r="1089" spans="13:54" x14ac:dyDescent="0.25">
      <c r="M1089" s="382"/>
      <c r="BB1089" s="253" t="str">
        <f t="array" ref="BB1089">_xlfn.IFS(AQ1089="","",LEN(AQ1089)-LEN(SUBSTITUTE(AQ1089,".",""))=3,LEFT(AQ1089,vitri(".",AQ1089,3)-1),LEN(AQ1089)-LEN(SUBSTITUTE(AQ1089,".",""))=2,LEFT(AQ1089,vitri(".",AQ1089,2)-1),TRUE,LEFT(AQ1089,vitri(".",AQ1089,1)-1))</f>
        <v/>
      </c>
    </row>
    <row r="1090" spans="13:54" x14ac:dyDescent="0.25">
      <c r="M1090" s="382"/>
      <c r="BB1090" s="253" t="str">
        <f t="array" ref="BB1090">_xlfn.IFS(AQ1090="","",LEN(AQ1090)-LEN(SUBSTITUTE(AQ1090,".",""))=3,LEFT(AQ1090,vitri(".",AQ1090,3)-1),LEN(AQ1090)-LEN(SUBSTITUTE(AQ1090,".",""))=2,LEFT(AQ1090,vitri(".",AQ1090,2)-1),TRUE,LEFT(AQ1090,vitri(".",AQ1090,1)-1))</f>
        <v/>
      </c>
    </row>
    <row r="1091" spans="13:54" x14ac:dyDescent="0.25">
      <c r="M1091" s="382"/>
      <c r="BB1091" s="253" t="str">
        <f t="array" ref="BB1091">_xlfn.IFS(AQ1091="","",LEN(AQ1091)-LEN(SUBSTITUTE(AQ1091,".",""))=3,LEFT(AQ1091,vitri(".",AQ1091,3)-1),LEN(AQ1091)-LEN(SUBSTITUTE(AQ1091,".",""))=2,LEFT(AQ1091,vitri(".",AQ1091,2)-1),TRUE,LEFT(AQ1091,vitri(".",AQ1091,1)-1))</f>
        <v/>
      </c>
    </row>
    <row r="1092" spans="13:54" x14ac:dyDescent="0.25">
      <c r="M1092" s="382"/>
      <c r="BB1092" s="253" t="str">
        <f t="array" ref="BB1092">_xlfn.IFS(AQ1092="","",LEN(AQ1092)-LEN(SUBSTITUTE(AQ1092,".",""))=3,LEFT(AQ1092,vitri(".",AQ1092,3)-1),LEN(AQ1092)-LEN(SUBSTITUTE(AQ1092,".",""))=2,LEFT(AQ1092,vitri(".",AQ1092,2)-1),TRUE,LEFT(AQ1092,vitri(".",AQ1092,1)-1))</f>
        <v/>
      </c>
    </row>
    <row r="1093" spans="13:54" x14ac:dyDescent="0.25">
      <c r="M1093" s="382"/>
      <c r="BB1093" s="253" t="str">
        <f t="array" ref="BB1093">_xlfn.IFS(AQ1093="","",LEN(AQ1093)-LEN(SUBSTITUTE(AQ1093,".",""))=3,LEFT(AQ1093,vitri(".",AQ1093,3)-1),LEN(AQ1093)-LEN(SUBSTITUTE(AQ1093,".",""))=2,LEFT(AQ1093,vitri(".",AQ1093,2)-1),TRUE,LEFT(AQ1093,vitri(".",AQ1093,1)-1))</f>
        <v/>
      </c>
    </row>
    <row r="1094" spans="13:54" x14ac:dyDescent="0.25">
      <c r="M1094" s="382"/>
      <c r="BB1094" s="253" t="str">
        <f t="array" ref="BB1094">_xlfn.IFS(AQ1094="","",LEN(AQ1094)-LEN(SUBSTITUTE(AQ1094,".",""))=3,LEFT(AQ1094,vitri(".",AQ1094,3)-1),LEN(AQ1094)-LEN(SUBSTITUTE(AQ1094,".",""))=2,LEFT(AQ1094,vitri(".",AQ1094,2)-1),TRUE,LEFT(AQ1094,vitri(".",AQ1094,1)-1))</f>
        <v/>
      </c>
    </row>
    <row r="1095" spans="13:54" x14ac:dyDescent="0.25">
      <c r="M1095" s="382"/>
      <c r="BB1095" s="253" t="str">
        <f t="array" ref="BB1095">_xlfn.IFS(AQ1095="","",LEN(AQ1095)-LEN(SUBSTITUTE(AQ1095,".",""))=3,LEFT(AQ1095,vitri(".",AQ1095,3)-1),LEN(AQ1095)-LEN(SUBSTITUTE(AQ1095,".",""))=2,LEFT(AQ1095,vitri(".",AQ1095,2)-1),TRUE,LEFT(AQ1095,vitri(".",AQ1095,1)-1))</f>
        <v/>
      </c>
    </row>
    <row r="1096" spans="13:54" x14ac:dyDescent="0.25">
      <c r="M1096" s="382"/>
      <c r="BB1096" s="253" t="str">
        <f t="array" ref="BB1096">_xlfn.IFS(AQ1096="","",LEN(AQ1096)-LEN(SUBSTITUTE(AQ1096,".",""))=3,LEFT(AQ1096,vitri(".",AQ1096,3)-1),LEN(AQ1096)-LEN(SUBSTITUTE(AQ1096,".",""))=2,LEFT(AQ1096,vitri(".",AQ1096,2)-1),TRUE,LEFT(AQ1096,vitri(".",AQ1096,1)-1))</f>
        <v/>
      </c>
    </row>
    <row r="1097" spans="13:54" x14ac:dyDescent="0.25">
      <c r="M1097" s="382"/>
      <c r="BB1097" s="253" t="str">
        <f t="array" ref="BB1097">_xlfn.IFS(AQ1097="","",LEN(AQ1097)-LEN(SUBSTITUTE(AQ1097,".",""))=3,LEFT(AQ1097,vitri(".",AQ1097,3)-1),LEN(AQ1097)-LEN(SUBSTITUTE(AQ1097,".",""))=2,LEFT(AQ1097,vitri(".",AQ1097,2)-1),TRUE,LEFT(AQ1097,vitri(".",AQ1097,1)-1))</f>
        <v/>
      </c>
    </row>
    <row r="1098" spans="13:54" x14ac:dyDescent="0.25">
      <c r="M1098" s="382"/>
      <c r="BB1098" s="253" t="str">
        <f t="array" ref="BB1098">_xlfn.IFS(AQ1098="","",LEN(AQ1098)-LEN(SUBSTITUTE(AQ1098,".",""))=3,LEFT(AQ1098,vitri(".",AQ1098,3)-1),LEN(AQ1098)-LEN(SUBSTITUTE(AQ1098,".",""))=2,LEFT(AQ1098,vitri(".",AQ1098,2)-1),TRUE,LEFT(AQ1098,vitri(".",AQ1098,1)-1))</f>
        <v/>
      </c>
    </row>
    <row r="1099" spans="13:54" x14ac:dyDescent="0.25">
      <c r="M1099" s="382"/>
      <c r="BB1099" s="253" t="str">
        <f t="array" ref="BB1099">_xlfn.IFS(AQ1099="","",LEN(AQ1099)-LEN(SUBSTITUTE(AQ1099,".",""))=3,LEFT(AQ1099,vitri(".",AQ1099,3)-1),LEN(AQ1099)-LEN(SUBSTITUTE(AQ1099,".",""))=2,LEFT(AQ1099,vitri(".",AQ1099,2)-1),TRUE,LEFT(AQ1099,vitri(".",AQ1099,1)-1))</f>
        <v/>
      </c>
    </row>
    <row r="1100" spans="13:54" x14ac:dyDescent="0.25">
      <c r="M1100" s="382"/>
      <c r="BB1100" s="253" t="str">
        <f t="array" ref="BB1100">_xlfn.IFS(AQ1100="","",LEN(AQ1100)-LEN(SUBSTITUTE(AQ1100,".",""))=3,LEFT(AQ1100,vitri(".",AQ1100,3)-1),LEN(AQ1100)-LEN(SUBSTITUTE(AQ1100,".",""))=2,LEFT(AQ1100,vitri(".",AQ1100,2)-1),TRUE,LEFT(AQ1100,vitri(".",AQ1100,1)-1))</f>
        <v/>
      </c>
    </row>
    <row r="1101" spans="13:54" x14ac:dyDescent="0.25">
      <c r="M1101" s="382"/>
      <c r="BB1101" s="253" t="str">
        <f t="array" ref="BB1101">_xlfn.IFS(AQ1101="","",LEN(AQ1101)-LEN(SUBSTITUTE(AQ1101,".",""))=3,LEFT(AQ1101,vitri(".",AQ1101,3)-1),LEN(AQ1101)-LEN(SUBSTITUTE(AQ1101,".",""))=2,LEFT(AQ1101,vitri(".",AQ1101,2)-1),TRUE,LEFT(AQ1101,vitri(".",AQ1101,1)-1))</f>
        <v/>
      </c>
    </row>
    <row r="1102" spans="13:54" x14ac:dyDescent="0.25">
      <c r="M1102" s="382"/>
      <c r="BB1102" s="253" t="str">
        <f t="array" ref="BB1102">_xlfn.IFS(AQ1102="","",LEN(AQ1102)-LEN(SUBSTITUTE(AQ1102,".",""))=3,LEFT(AQ1102,vitri(".",AQ1102,3)-1),LEN(AQ1102)-LEN(SUBSTITUTE(AQ1102,".",""))=2,LEFT(AQ1102,vitri(".",AQ1102,2)-1),TRUE,LEFT(AQ1102,vitri(".",AQ1102,1)-1))</f>
        <v/>
      </c>
    </row>
    <row r="1103" spans="13:54" x14ac:dyDescent="0.25">
      <c r="M1103" s="382"/>
      <c r="BB1103" s="253" t="str">
        <f t="array" ref="BB1103">_xlfn.IFS(AQ1103="","",LEN(AQ1103)-LEN(SUBSTITUTE(AQ1103,".",""))=3,LEFT(AQ1103,vitri(".",AQ1103,3)-1),LEN(AQ1103)-LEN(SUBSTITUTE(AQ1103,".",""))=2,LEFT(AQ1103,vitri(".",AQ1103,2)-1),TRUE,LEFT(AQ1103,vitri(".",AQ1103,1)-1))</f>
        <v/>
      </c>
    </row>
    <row r="1104" spans="13:54" x14ac:dyDescent="0.25">
      <c r="M1104" s="382"/>
      <c r="BB1104" s="253" t="str">
        <f t="array" ref="BB1104">_xlfn.IFS(AQ1104="","",LEN(AQ1104)-LEN(SUBSTITUTE(AQ1104,".",""))=3,LEFT(AQ1104,vitri(".",AQ1104,3)-1),LEN(AQ1104)-LEN(SUBSTITUTE(AQ1104,".",""))=2,LEFT(AQ1104,vitri(".",AQ1104,2)-1),TRUE,LEFT(AQ1104,vitri(".",AQ1104,1)-1))</f>
        <v/>
      </c>
    </row>
    <row r="1105" spans="13:54" x14ac:dyDescent="0.25">
      <c r="M1105" s="382"/>
      <c r="BB1105" s="253" t="str">
        <f t="array" ref="BB1105">_xlfn.IFS(AQ1105="","",LEN(AQ1105)-LEN(SUBSTITUTE(AQ1105,".",""))=3,LEFT(AQ1105,vitri(".",AQ1105,3)-1),LEN(AQ1105)-LEN(SUBSTITUTE(AQ1105,".",""))=2,LEFT(AQ1105,vitri(".",AQ1105,2)-1),TRUE,LEFT(AQ1105,vitri(".",AQ1105,1)-1))</f>
        <v/>
      </c>
    </row>
    <row r="1106" spans="13:54" x14ac:dyDescent="0.25">
      <c r="M1106" s="382"/>
      <c r="BB1106" s="253" t="str">
        <f t="array" ref="BB1106">_xlfn.IFS(AQ1106="","",LEN(AQ1106)-LEN(SUBSTITUTE(AQ1106,".",""))=3,LEFT(AQ1106,vitri(".",AQ1106,3)-1),LEN(AQ1106)-LEN(SUBSTITUTE(AQ1106,".",""))=2,LEFT(AQ1106,vitri(".",AQ1106,2)-1),TRUE,LEFT(AQ1106,vitri(".",AQ1106,1)-1))</f>
        <v/>
      </c>
    </row>
    <row r="1107" spans="13:54" x14ac:dyDescent="0.25">
      <c r="M1107" s="382"/>
      <c r="BB1107" s="253" t="str">
        <f t="array" ref="BB1107">_xlfn.IFS(AQ1107="","",LEN(AQ1107)-LEN(SUBSTITUTE(AQ1107,".",""))=3,LEFT(AQ1107,vitri(".",AQ1107,3)-1),LEN(AQ1107)-LEN(SUBSTITUTE(AQ1107,".",""))=2,LEFT(AQ1107,vitri(".",AQ1107,2)-1),TRUE,LEFT(AQ1107,vitri(".",AQ1107,1)-1))</f>
        <v/>
      </c>
    </row>
    <row r="1108" spans="13:54" x14ac:dyDescent="0.25">
      <c r="M1108" s="382"/>
      <c r="BB1108" s="253" t="str">
        <f t="array" ref="BB1108">_xlfn.IFS(AQ1108="","",LEN(AQ1108)-LEN(SUBSTITUTE(AQ1108,".",""))=3,LEFT(AQ1108,vitri(".",AQ1108,3)-1),LEN(AQ1108)-LEN(SUBSTITUTE(AQ1108,".",""))=2,LEFT(AQ1108,vitri(".",AQ1108,2)-1),TRUE,LEFT(AQ1108,vitri(".",AQ1108,1)-1))</f>
        <v/>
      </c>
    </row>
    <row r="1109" spans="13:54" x14ac:dyDescent="0.25">
      <c r="M1109" s="382"/>
      <c r="BB1109" s="253" t="str">
        <f t="array" ref="BB1109">_xlfn.IFS(AQ1109="","",LEN(AQ1109)-LEN(SUBSTITUTE(AQ1109,".",""))=3,LEFT(AQ1109,vitri(".",AQ1109,3)-1),LEN(AQ1109)-LEN(SUBSTITUTE(AQ1109,".",""))=2,LEFT(AQ1109,vitri(".",AQ1109,2)-1),TRUE,LEFT(AQ1109,vitri(".",AQ1109,1)-1))</f>
        <v/>
      </c>
    </row>
    <row r="1110" spans="13:54" x14ac:dyDescent="0.25">
      <c r="M1110" s="382"/>
      <c r="BB1110" s="253" t="str">
        <f t="array" ref="BB1110">_xlfn.IFS(AQ1110="","",LEN(AQ1110)-LEN(SUBSTITUTE(AQ1110,".",""))=3,LEFT(AQ1110,vitri(".",AQ1110,3)-1),LEN(AQ1110)-LEN(SUBSTITUTE(AQ1110,".",""))=2,LEFT(AQ1110,vitri(".",AQ1110,2)-1),TRUE,LEFT(AQ1110,vitri(".",AQ1110,1)-1))</f>
        <v/>
      </c>
    </row>
    <row r="1111" spans="13:54" x14ac:dyDescent="0.25">
      <c r="M1111" s="382"/>
      <c r="BB1111" s="253" t="str">
        <f t="array" ref="BB1111">_xlfn.IFS(AQ1111="","",LEN(AQ1111)-LEN(SUBSTITUTE(AQ1111,".",""))=3,LEFT(AQ1111,vitri(".",AQ1111,3)-1),LEN(AQ1111)-LEN(SUBSTITUTE(AQ1111,".",""))=2,LEFT(AQ1111,vitri(".",AQ1111,2)-1),TRUE,LEFT(AQ1111,vitri(".",AQ1111,1)-1))</f>
        <v/>
      </c>
    </row>
    <row r="1112" spans="13:54" x14ac:dyDescent="0.25">
      <c r="M1112" s="382"/>
      <c r="BB1112" s="253" t="str">
        <f t="array" ref="BB1112">_xlfn.IFS(AQ1112="","",LEN(AQ1112)-LEN(SUBSTITUTE(AQ1112,".",""))=3,LEFT(AQ1112,vitri(".",AQ1112,3)-1),LEN(AQ1112)-LEN(SUBSTITUTE(AQ1112,".",""))=2,LEFT(AQ1112,vitri(".",AQ1112,2)-1),TRUE,LEFT(AQ1112,vitri(".",AQ1112,1)-1))</f>
        <v/>
      </c>
    </row>
    <row r="1113" spans="13:54" x14ac:dyDescent="0.25">
      <c r="M1113" s="382"/>
      <c r="BB1113" s="253" t="str">
        <f t="array" ref="BB1113">_xlfn.IFS(AQ1113="","",LEN(AQ1113)-LEN(SUBSTITUTE(AQ1113,".",""))=3,LEFT(AQ1113,vitri(".",AQ1113,3)-1),LEN(AQ1113)-LEN(SUBSTITUTE(AQ1113,".",""))=2,LEFT(AQ1113,vitri(".",AQ1113,2)-1),TRUE,LEFT(AQ1113,vitri(".",AQ1113,1)-1))</f>
        <v/>
      </c>
    </row>
    <row r="1114" spans="13:54" x14ac:dyDescent="0.25">
      <c r="M1114" s="382"/>
      <c r="BB1114" s="253" t="str">
        <f t="array" ref="BB1114">_xlfn.IFS(AQ1114="","",LEN(AQ1114)-LEN(SUBSTITUTE(AQ1114,".",""))=3,LEFT(AQ1114,vitri(".",AQ1114,3)-1),LEN(AQ1114)-LEN(SUBSTITUTE(AQ1114,".",""))=2,LEFT(AQ1114,vitri(".",AQ1114,2)-1),TRUE,LEFT(AQ1114,vitri(".",AQ1114,1)-1))</f>
        <v/>
      </c>
    </row>
    <row r="1115" spans="13:54" x14ac:dyDescent="0.25">
      <c r="M1115" s="382"/>
      <c r="BB1115" s="253" t="str">
        <f t="array" ref="BB1115">_xlfn.IFS(AQ1115="","",LEN(AQ1115)-LEN(SUBSTITUTE(AQ1115,".",""))=3,LEFT(AQ1115,vitri(".",AQ1115,3)-1),LEN(AQ1115)-LEN(SUBSTITUTE(AQ1115,".",""))=2,LEFT(AQ1115,vitri(".",AQ1115,2)-1),TRUE,LEFT(AQ1115,vitri(".",AQ1115,1)-1))</f>
        <v/>
      </c>
    </row>
    <row r="1116" spans="13:54" x14ac:dyDescent="0.25">
      <c r="M1116" s="382"/>
      <c r="BB1116" s="253" t="str">
        <f t="array" ref="BB1116">_xlfn.IFS(AQ1116="","",LEN(AQ1116)-LEN(SUBSTITUTE(AQ1116,".",""))=3,LEFT(AQ1116,vitri(".",AQ1116,3)-1),LEN(AQ1116)-LEN(SUBSTITUTE(AQ1116,".",""))=2,LEFT(AQ1116,vitri(".",AQ1116,2)-1),TRUE,LEFT(AQ1116,vitri(".",AQ1116,1)-1))</f>
        <v/>
      </c>
    </row>
    <row r="1117" spans="13:54" x14ac:dyDescent="0.25">
      <c r="M1117" s="382"/>
      <c r="BB1117" s="253" t="str">
        <f t="array" ref="BB1117">_xlfn.IFS(AQ1117="","",LEN(AQ1117)-LEN(SUBSTITUTE(AQ1117,".",""))=3,LEFT(AQ1117,vitri(".",AQ1117,3)-1),LEN(AQ1117)-LEN(SUBSTITUTE(AQ1117,".",""))=2,LEFT(AQ1117,vitri(".",AQ1117,2)-1),TRUE,LEFT(AQ1117,vitri(".",AQ1117,1)-1))</f>
        <v/>
      </c>
    </row>
    <row r="1118" spans="13:54" x14ac:dyDescent="0.25">
      <c r="M1118" s="382"/>
      <c r="BB1118" s="253" t="str">
        <f t="array" ref="BB1118">_xlfn.IFS(AQ1118="","",LEN(AQ1118)-LEN(SUBSTITUTE(AQ1118,".",""))=3,LEFT(AQ1118,vitri(".",AQ1118,3)-1),LEN(AQ1118)-LEN(SUBSTITUTE(AQ1118,".",""))=2,LEFT(AQ1118,vitri(".",AQ1118,2)-1),TRUE,LEFT(AQ1118,vitri(".",AQ1118,1)-1))</f>
        <v/>
      </c>
    </row>
    <row r="1119" spans="13:54" x14ac:dyDescent="0.25">
      <c r="M1119" s="382"/>
      <c r="BB1119" s="253" t="str">
        <f t="array" ref="BB1119">_xlfn.IFS(AQ1119="","",LEN(AQ1119)-LEN(SUBSTITUTE(AQ1119,".",""))=3,LEFT(AQ1119,vitri(".",AQ1119,3)-1),LEN(AQ1119)-LEN(SUBSTITUTE(AQ1119,".",""))=2,LEFT(AQ1119,vitri(".",AQ1119,2)-1),TRUE,LEFT(AQ1119,vitri(".",AQ1119,1)-1))</f>
        <v/>
      </c>
    </row>
    <row r="1120" spans="13:54" x14ac:dyDescent="0.25">
      <c r="M1120" s="382"/>
      <c r="BB1120" s="253" t="str">
        <f t="array" ref="BB1120">_xlfn.IFS(AQ1120="","",LEN(AQ1120)-LEN(SUBSTITUTE(AQ1120,".",""))=3,LEFT(AQ1120,vitri(".",AQ1120,3)-1),LEN(AQ1120)-LEN(SUBSTITUTE(AQ1120,".",""))=2,LEFT(AQ1120,vitri(".",AQ1120,2)-1),TRUE,LEFT(AQ1120,vitri(".",AQ1120,1)-1))</f>
        <v/>
      </c>
    </row>
    <row r="1121" spans="13:54" x14ac:dyDescent="0.25">
      <c r="M1121" s="382"/>
      <c r="BB1121" s="253" t="str">
        <f t="array" ref="BB1121">_xlfn.IFS(AQ1121="","",LEN(AQ1121)-LEN(SUBSTITUTE(AQ1121,".",""))=3,LEFT(AQ1121,vitri(".",AQ1121,3)-1),LEN(AQ1121)-LEN(SUBSTITUTE(AQ1121,".",""))=2,LEFT(AQ1121,vitri(".",AQ1121,2)-1),TRUE,LEFT(AQ1121,vitri(".",AQ1121,1)-1))</f>
        <v/>
      </c>
    </row>
    <row r="1122" spans="13:54" x14ac:dyDescent="0.25">
      <c r="M1122" s="382"/>
      <c r="BB1122" s="253" t="str">
        <f t="array" ref="BB1122">_xlfn.IFS(AQ1122="","",LEN(AQ1122)-LEN(SUBSTITUTE(AQ1122,".",""))=3,LEFT(AQ1122,vitri(".",AQ1122,3)-1),LEN(AQ1122)-LEN(SUBSTITUTE(AQ1122,".",""))=2,LEFT(AQ1122,vitri(".",AQ1122,2)-1),TRUE,LEFT(AQ1122,vitri(".",AQ1122,1)-1))</f>
        <v/>
      </c>
    </row>
    <row r="1123" spans="13:54" x14ac:dyDescent="0.25">
      <c r="M1123" s="382"/>
      <c r="BB1123" s="253" t="str">
        <f t="array" ref="BB1123">_xlfn.IFS(AQ1123="","",LEN(AQ1123)-LEN(SUBSTITUTE(AQ1123,".",""))=3,LEFT(AQ1123,vitri(".",AQ1123,3)-1),LEN(AQ1123)-LEN(SUBSTITUTE(AQ1123,".",""))=2,LEFT(AQ1123,vitri(".",AQ1123,2)-1),TRUE,LEFT(AQ1123,vitri(".",AQ1123,1)-1))</f>
        <v/>
      </c>
    </row>
    <row r="1124" spans="13:54" x14ac:dyDescent="0.25">
      <c r="M1124" s="382"/>
      <c r="BB1124" s="253" t="str">
        <f t="array" ref="BB1124">_xlfn.IFS(AQ1124="","",LEN(AQ1124)-LEN(SUBSTITUTE(AQ1124,".",""))=3,LEFT(AQ1124,vitri(".",AQ1124,3)-1),LEN(AQ1124)-LEN(SUBSTITUTE(AQ1124,".",""))=2,LEFT(AQ1124,vitri(".",AQ1124,2)-1),TRUE,LEFT(AQ1124,vitri(".",AQ1124,1)-1))</f>
        <v/>
      </c>
    </row>
    <row r="1125" spans="13:54" x14ac:dyDescent="0.25">
      <c r="M1125" s="382"/>
      <c r="BB1125" s="253" t="str">
        <f t="array" ref="BB1125">_xlfn.IFS(AQ1125="","",LEN(AQ1125)-LEN(SUBSTITUTE(AQ1125,".",""))=3,LEFT(AQ1125,vitri(".",AQ1125,3)-1),LEN(AQ1125)-LEN(SUBSTITUTE(AQ1125,".",""))=2,LEFT(AQ1125,vitri(".",AQ1125,2)-1),TRUE,LEFT(AQ1125,vitri(".",AQ1125,1)-1))</f>
        <v/>
      </c>
    </row>
    <row r="1126" spans="13:54" x14ac:dyDescent="0.25">
      <c r="M1126" s="382"/>
      <c r="BB1126" s="253" t="str">
        <f t="array" ref="BB1126">_xlfn.IFS(AQ1126="","",LEN(AQ1126)-LEN(SUBSTITUTE(AQ1126,".",""))=3,LEFT(AQ1126,vitri(".",AQ1126,3)-1),LEN(AQ1126)-LEN(SUBSTITUTE(AQ1126,".",""))=2,LEFT(AQ1126,vitri(".",AQ1126,2)-1),TRUE,LEFT(AQ1126,vitri(".",AQ1126,1)-1))</f>
        <v/>
      </c>
    </row>
    <row r="1127" spans="13:54" x14ac:dyDescent="0.25">
      <c r="M1127" s="382"/>
      <c r="BB1127" s="253" t="str">
        <f t="array" ref="BB1127">_xlfn.IFS(AQ1127="","",LEN(AQ1127)-LEN(SUBSTITUTE(AQ1127,".",""))=3,LEFT(AQ1127,vitri(".",AQ1127,3)-1),LEN(AQ1127)-LEN(SUBSTITUTE(AQ1127,".",""))=2,LEFT(AQ1127,vitri(".",AQ1127,2)-1),TRUE,LEFT(AQ1127,vitri(".",AQ1127,1)-1))</f>
        <v/>
      </c>
    </row>
    <row r="1128" spans="13:54" x14ac:dyDescent="0.25">
      <c r="M1128" s="382"/>
      <c r="BB1128" s="253" t="str">
        <f t="array" ref="BB1128">_xlfn.IFS(AQ1128="","",LEN(AQ1128)-LEN(SUBSTITUTE(AQ1128,".",""))=3,LEFT(AQ1128,vitri(".",AQ1128,3)-1),LEN(AQ1128)-LEN(SUBSTITUTE(AQ1128,".",""))=2,LEFT(AQ1128,vitri(".",AQ1128,2)-1),TRUE,LEFT(AQ1128,vitri(".",AQ1128,1)-1))</f>
        <v/>
      </c>
    </row>
    <row r="1129" spans="13:54" x14ac:dyDescent="0.25">
      <c r="M1129" s="382"/>
      <c r="BB1129" s="253" t="str">
        <f t="array" ref="BB1129">_xlfn.IFS(AQ1129="","",LEN(AQ1129)-LEN(SUBSTITUTE(AQ1129,".",""))=3,LEFT(AQ1129,vitri(".",AQ1129,3)-1),LEN(AQ1129)-LEN(SUBSTITUTE(AQ1129,".",""))=2,LEFT(AQ1129,vitri(".",AQ1129,2)-1),TRUE,LEFT(AQ1129,vitri(".",AQ1129,1)-1))</f>
        <v/>
      </c>
    </row>
    <row r="1130" spans="13:54" x14ac:dyDescent="0.25">
      <c r="M1130" s="382"/>
      <c r="BB1130" s="253" t="str">
        <f t="array" ref="BB1130">_xlfn.IFS(AQ1130="","",LEN(AQ1130)-LEN(SUBSTITUTE(AQ1130,".",""))=3,LEFT(AQ1130,vitri(".",AQ1130,3)-1),LEN(AQ1130)-LEN(SUBSTITUTE(AQ1130,".",""))=2,LEFT(AQ1130,vitri(".",AQ1130,2)-1),TRUE,LEFT(AQ1130,vitri(".",AQ1130,1)-1))</f>
        <v/>
      </c>
    </row>
    <row r="1131" spans="13:54" x14ac:dyDescent="0.25">
      <c r="M1131" s="382"/>
      <c r="BB1131" s="253" t="str">
        <f t="array" ref="BB1131">_xlfn.IFS(AQ1131="","",LEN(AQ1131)-LEN(SUBSTITUTE(AQ1131,".",""))=3,LEFT(AQ1131,vitri(".",AQ1131,3)-1),LEN(AQ1131)-LEN(SUBSTITUTE(AQ1131,".",""))=2,LEFT(AQ1131,vitri(".",AQ1131,2)-1),TRUE,LEFT(AQ1131,vitri(".",AQ1131,1)-1))</f>
        <v/>
      </c>
    </row>
    <row r="1132" spans="13:54" x14ac:dyDescent="0.25">
      <c r="M1132" s="382"/>
      <c r="BB1132" s="253" t="str">
        <f t="array" ref="BB1132">_xlfn.IFS(AQ1132="","",LEN(AQ1132)-LEN(SUBSTITUTE(AQ1132,".",""))=3,LEFT(AQ1132,vitri(".",AQ1132,3)-1),LEN(AQ1132)-LEN(SUBSTITUTE(AQ1132,".",""))=2,LEFT(AQ1132,vitri(".",AQ1132,2)-1),TRUE,LEFT(AQ1132,vitri(".",AQ1132,1)-1))</f>
        <v/>
      </c>
    </row>
    <row r="1133" spans="13:54" x14ac:dyDescent="0.25">
      <c r="M1133" s="382"/>
      <c r="BB1133" s="253" t="str">
        <f t="array" ref="BB1133">_xlfn.IFS(AQ1133="","",LEN(AQ1133)-LEN(SUBSTITUTE(AQ1133,".",""))=3,LEFT(AQ1133,vitri(".",AQ1133,3)-1),LEN(AQ1133)-LEN(SUBSTITUTE(AQ1133,".",""))=2,LEFT(AQ1133,vitri(".",AQ1133,2)-1),TRUE,LEFT(AQ1133,vitri(".",AQ1133,1)-1))</f>
        <v/>
      </c>
    </row>
    <row r="1134" spans="13:54" x14ac:dyDescent="0.25">
      <c r="M1134" s="382"/>
      <c r="BB1134" s="253" t="str">
        <f t="array" ref="BB1134">_xlfn.IFS(AQ1134="","",LEN(AQ1134)-LEN(SUBSTITUTE(AQ1134,".",""))=3,LEFT(AQ1134,vitri(".",AQ1134,3)-1),LEN(AQ1134)-LEN(SUBSTITUTE(AQ1134,".",""))=2,LEFT(AQ1134,vitri(".",AQ1134,2)-1),TRUE,LEFT(AQ1134,vitri(".",AQ1134,1)-1))</f>
        <v/>
      </c>
    </row>
    <row r="1135" spans="13:54" x14ac:dyDescent="0.25">
      <c r="M1135" s="382"/>
      <c r="BB1135" s="253" t="str">
        <f t="array" ref="BB1135">_xlfn.IFS(AQ1135="","",LEN(AQ1135)-LEN(SUBSTITUTE(AQ1135,".",""))=3,LEFT(AQ1135,vitri(".",AQ1135,3)-1),LEN(AQ1135)-LEN(SUBSTITUTE(AQ1135,".",""))=2,LEFT(AQ1135,vitri(".",AQ1135,2)-1),TRUE,LEFT(AQ1135,vitri(".",AQ1135,1)-1))</f>
        <v/>
      </c>
    </row>
    <row r="1136" spans="13:54" x14ac:dyDescent="0.25">
      <c r="M1136" s="382"/>
      <c r="BB1136" s="253" t="str">
        <f t="array" ref="BB1136">_xlfn.IFS(AQ1136="","",LEN(AQ1136)-LEN(SUBSTITUTE(AQ1136,".",""))=3,LEFT(AQ1136,vitri(".",AQ1136,3)-1),LEN(AQ1136)-LEN(SUBSTITUTE(AQ1136,".",""))=2,LEFT(AQ1136,vitri(".",AQ1136,2)-1),TRUE,LEFT(AQ1136,vitri(".",AQ1136,1)-1))</f>
        <v/>
      </c>
    </row>
    <row r="1137" spans="13:54" x14ac:dyDescent="0.25">
      <c r="M1137" s="382"/>
      <c r="BB1137" s="253" t="str">
        <f t="array" ref="BB1137">_xlfn.IFS(AQ1137="","",LEN(AQ1137)-LEN(SUBSTITUTE(AQ1137,".",""))=3,LEFT(AQ1137,vitri(".",AQ1137,3)-1),LEN(AQ1137)-LEN(SUBSTITUTE(AQ1137,".",""))=2,LEFT(AQ1137,vitri(".",AQ1137,2)-1),TRUE,LEFT(AQ1137,vitri(".",AQ1137,1)-1))</f>
        <v/>
      </c>
    </row>
    <row r="1138" spans="13:54" x14ac:dyDescent="0.25">
      <c r="M1138" s="382"/>
      <c r="BB1138" s="253" t="str">
        <f t="array" ref="BB1138">_xlfn.IFS(AQ1138="","",LEN(AQ1138)-LEN(SUBSTITUTE(AQ1138,".",""))=3,LEFT(AQ1138,vitri(".",AQ1138,3)-1),LEN(AQ1138)-LEN(SUBSTITUTE(AQ1138,".",""))=2,LEFT(AQ1138,vitri(".",AQ1138,2)-1),TRUE,LEFT(AQ1138,vitri(".",AQ1138,1)-1))</f>
        <v/>
      </c>
    </row>
    <row r="1139" spans="13:54" x14ac:dyDescent="0.25">
      <c r="M1139" s="382"/>
      <c r="BB1139" s="253" t="str">
        <f t="array" ref="BB1139">_xlfn.IFS(AQ1139="","",LEN(AQ1139)-LEN(SUBSTITUTE(AQ1139,".",""))=3,LEFT(AQ1139,vitri(".",AQ1139,3)-1),LEN(AQ1139)-LEN(SUBSTITUTE(AQ1139,".",""))=2,LEFT(AQ1139,vitri(".",AQ1139,2)-1),TRUE,LEFT(AQ1139,vitri(".",AQ1139,1)-1))</f>
        <v/>
      </c>
    </row>
    <row r="1140" spans="13:54" x14ac:dyDescent="0.25">
      <c r="M1140" s="382"/>
      <c r="BB1140" s="253" t="str">
        <f t="array" ref="BB1140">_xlfn.IFS(AQ1140="","",LEN(AQ1140)-LEN(SUBSTITUTE(AQ1140,".",""))=3,LEFT(AQ1140,vitri(".",AQ1140,3)-1),LEN(AQ1140)-LEN(SUBSTITUTE(AQ1140,".",""))=2,LEFT(AQ1140,vitri(".",AQ1140,2)-1),TRUE,LEFT(AQ1140,vitri(".",AQ1140,1)-1))</f>
        <v/>
      </c>
    </row>
    <row r="1141" spans="13:54" x14ac:dyDescent="0.25">
      <c r="M1141" s="382"/>
      <c r="BB1141" s="253" t="str">
        <f t="array" ref="BB1141">_xlfn.IFS(AQ1141="","",LEN(AQ1141)-LEN(SUBSTITUTE(AQ1141,".",""))=3,LEFT(AQ1141,vitri(".",AQ1141,3)-1),LEN(AQ1141)-LEN(SUBSTITUTE(AQ1141,".",""))=2,LEFT(AQ1141,vitri(".",AQ1141,2)-1),TRUE,LEFT(AQ1141,vitri(".",AQ1141,1)-1))</f>
        <v/>
      </c>
    </row>
    <row r="1142" spans="13:54" x14ac:dyDescent="0.25">
      <c r="M1142" s="382"/>
      <c r="BB1142" s="253" t="str">
        <f t="array" ref="BB1142">_xlfn.IFS(AQ1142="","",LEN(AQ1142)-LEN(SUBSTITUTE(AQ1142,".",""))=3,LEFT(AQ1142,vitri(".",AQ1142,3)-1),LEN(AQ1142)-LEN(SUBSTITUTE(AQ1142,".",""))=2,LEFT(AQ1142,vitri(".",AQ1142,2)-1),TRUE,LEFT(AQ1142,vitri(".",AQ1142,1)-1))</f>
        <v/>
      </c>
    </row>
    <row r="1143" spans="13:54" x14ac:dyDescent="0.25">
      <c r="M1143" s="382"/>
      <c r="BB1143" s="253" t="str">
        <f t="array" ref="BB1143">_xlfn.IFS(AQ1143="","",LEN(AQ1143)-LEN(SUBSTITUTE(AQ1143,".",""))=3,LEFT(AQ1143,vitri(".",AQ1143,3)-1),LEN(AQ1143)-LEN(SUBSTITUTE(AQ1143,".",""))=2,LEFT(AQ1143,vitri(".",AQ1143,2)-1),TRUE,LEFT(AQ1143,vitri(".",AQ1143,1)-1))</f>
        <v/>
      </c>
    </row>
    <row r="1144" spans="13:54" x14ac:dyDescent="0.25">
      <c r="M1144" s="382"/>
      <c r="BB1144" s="253" t="str">
        <f t="array" ref="BB1144">_xlfn.IFS(AQ1144="","",LEN(AQ1144)-LEN(SUBSTITUTE(AQ1144,".",""))=3,LEFT(AQ1144,vitri(".",AQ1144,3)-1),LEN(AQ1144)-LEN(SUBSTITUTE(AQ1144,".",""))=2,LEFT(AQ1144,vitri(".",AQ1144,2)-1),TRUE,LEFT(AQ1144,vitri(".",AQ1144,1)-1))</f>
        <v/>
      </c>
    </row>
    <row r="1145" spans="13:54" x14ac:dyDescent="0.25">
      <c r="M1145" s="382"/>
      <c r="BB1145" s="253" t="str">
        <f t="array" ref="BB1145">_xlfn.IFS(AQ1145="","",LEN(AQ1145)-LEN(SUBSTITUTE(AQ1145,".",""))=3,LEFT(AQ1145,vitri(".",AQ1145,3)-1),LEN(AQ1145)-LEN(SUBSTITUTE(AQ1145,".",""))=2,LEFT(AQ1145,vitri(".",AQ1145,2)-1),TRUE,LEFT(AQ1145,vitri(".",AQ1145,1)-1))</f>
        <v/>
      </c>
    </row>
    <row r="1146" spans="13:54" x14ac:dyDescent="0.25">
      <c r="M1146" s="382"/>
      <c r="BB1146" s="253" t="str">
        <f t="array" ref="BB1146">_xlfn.IFS(AQ1146="","",LEN(AQ1146)-LEN(SUBSTITUTE(AQ1146,".",""))=3,LEFT(AQ1146,vitri(".",AQ1146,3)-1),LEN(AQ1146)-LEN(SUBSTITUTE(AQ1146,".",""))=2,LEFT(AQ1146,vitri(".",AQ1146,2)-1),TRUE,LEFT(AQ1146,vitri(".",AQ1146,1)-1))</f>
        <v/>
      </c>
    </row>
    <row r="1147" spans="13:54" x14ac:dyDescent="0.25">
      <c r="M1147" s="382"/>
      <c r="BB1147" s="253" t="str">
        <f t="array" ref="BB1147">_xlfn.IFS(AQ1147="","",LEN(AQ1147)-LEN(SUBSTITUTE(AQ1147,".",""))=3,LEFT(AQ1147,vitri(".",AQ1147,3)-1),LEN(AQ1147)-LEN(SUBSTITUTE(AQ1147,".",""))=2,LEFT(AQ1147,vitri(".",AQ1147,2)-1),TRUE,LEFT(AQ1147,vitri(".",AQ1147,1)-1))</f>
        <v/>
      </c>
    </row>
    <row r="1148" spans="13:54" x14ac:dyDescent="0.25">
      <c r="M1148" s="382"/>
      <c r="BB1148" s="253" t="str">
        <f t="array" ref="BB1148">_xlfn.IFS(AQ1148="","",LEN(AQ1148)-LEN(SUBSTITUTE(AQ1148,".",""))=3,LEFT(AQ1148,vitri(".",AQ1148,3)-1),LEN(AQ1148)-LEN(SUBSTITUTE(AQ1148,".",""))=2,LEFT(AQ1148,vitri(".",AQ1148,2)-1),TRUE,LEFT(AQ1148,vitri(".",AQ1148,1)-1))</f>
        <v/>
      </c>
    </row>
    <row r="1149" spans="13:54" x14ac:dyDescent="0.25">
      <c r="M1149" s="382"/>
      <c r="BB1149" s="253" t="str">
        <f t="array" ref="BB1149">_xlfn.IFS(AQ1149="","",LEN(AQ1149)-LEN(SUBSTITUTE(AQ1149,".",""))=3,LEFT(AQ1149,vitri(".",AQ1149,3)-1),LEN(AQ1149)-LEN(SUBSTITUTE(AQ1149,".",""))=2,LEFT(AQ1149,vitri(".",AQ1149,2)-1),TRUE,LEFT(AQ1149,vitri(".",AQ1149,1)-1))</f>
        <v/>
      </c>
    </row>
    <row r="1150" spans="13:54" x14ac:dyDescent="0.25">
      <c r="M1150" s="382"/>
      <c r="BB1150" s="253" t="str">
        <f t="array" ref="BB1150">_xlfn.IFS(AQ1150="","",LEN(AQ1150)-LEN(SUBSTITUTE(AQ1150,".",""))=3,LEFT(AQ1150,vitri(".",AQ1150,3)-1),LEN(AQ1150)-LEN(SUBSTITUTE(AQ1150,".",""))=2,LEFT(AQ1150,vitri(".",AQ1150,2)-1),TRUE,LEFT(AQ1150,vitri(".",AQ1150,1)-1))</f>
        <v/>
      </c>
    </row>
    <row r="1151" spans="13:54" x14ac:dyDescent="0.25">
      <c r="M1151" s="382"/>
      <c r="BB1151" s="253" t="str">
        <f t="array" ref="BB1151">_xlfn.IFS(AQ1151="","",LEN(AQ1151)-LEN(SUBSTITUTE(AQ1151,".",""))=3,LEFT(AQ1151,vitri(".",AQ1151,3)-1),LEN(AQ1151)-LEN(SUBSTITUTE(AQ1151,".",""))=2,LEFT(AQ1151,vitri(".",AQ1151,2)-1),TRUE,LEFT(AQ1151,vitri(".",AQ1151,1)-1))</f>
        <v/>
      </c>
    </row>
    <row r="1152" spans="13:54" x14ac:dyDescent="0.25">
      <c r="M1152" s="382"/>
      <c r="BB1152" s="253" t="str">
        <f t="array" ref="BB1152">_xlfn.IFS(AQ1152="","",LEN(AQ1152)-LEN(SUBSTITUTE(AQ1152,".",""))=3,LEFT(AQ1152,vitri(".",AQ1152,3)-1),LEN(AQ1152)-LEN(SUBSTITUTE(AQ1152,".",""))=2,LEFT(AQ1152,vitri(".",AQ1152,2)-1),TRUE,LEFT(AQ1152,vitri(".",AQ1152,1)-1))</f>
        <v/>
      </c>
    </row>
    <row r="1153" spans="13:54" x14ac:dyDescent="0.25">
      <c r="M1153" s="382"/>
      <c r="BB1153" s="253" t="str">
        <f t="array" ref="BB1153">_xlfn.IFS(AQ1153="","",LEN(AQ1153)-LEN(SUBSTITUTE(AQ1153,".",""))=3,LEFT(AQ1153,vitri(".",AQ1153,3)-1),LEN(AQ1153)-LEN(SUBSTITUTE(AQ1153,".",""))=2,LEFT(AQ1153,vitri(".",AQ1153,2)-1),TRUE,LEFT(AQ1153,vitri(".",AQ1153,1)-1))</f>
        <v/>
      </c>
    </row>
    <row r="1154" spans="13:54" x14ac:dyDescent="0.25">
      <c r="M1154" s="382"/>
      <c r="BB1154" s="253" t="str">
        <f t="array" ref="BB1154">_xlfn.IFS(AQ1154="","",LEN(AQ1154)-LEN(SUBSTITUTE(AQ1154,".",""))=3,LEFT(AQ1154,vitri(".",AQ1154,3)-1),LEN(AQ1154)-LEN(SUBSTITUTE(AQ1154,".",""))=2,LEFT(AQ1154,vitri(".",AQ1154,2)-1),TRUE,LEFT(AQ1154,vitri(".",AQ1154,1)-1))</f>
        <v/>
      </c>
    </row>
    <row r="1155" spans="13:54" x14ac:dyDescent="0.25">
      <c r="M1155" s="382"/>
      <c r="BB1155" s="253" t="str">
        <f t="array" ref="BB1155">_xlfn.IFS(AQ1155="","",LEN(AQ1155)-LEN(SUBSTITUTE(AQ1155,".",""))=3,LEFT(AQ1155,vitri(".",AQ1155,3)-1),LEN(AQ1155)-LEN(SUBSTITUTE(AQ1155,".",""))=2,LEFT(AQ1155,vitri(".",AQ1155,2)-1),TRUE,LEFT(AQ1155,vitri(".",AQ1155,1)-1))</f>
        <v/>
      </c>
    </row>
    <row r="1156" spans="13:54" x14ac:dyDescent="0.25">
      <c r="M1156" s="382"/>
      <c r="BB1156" s="253" t="str">
        <f t="array" ref="BB1156">_xlfn.IFS(AQ1156="","",LEN(AQ1156)-LEN(SUBSTITUTE(AQ1156,".",""))=3,LEFT(AQ1156,vitri(".",AQ1156,3)-1),LEN(AQ1156)-LEN(SUBSTITUTE(AQ1156,".",""))=2,LEFT(AQ1156,vitri(".",AQ1156,2)-1),TRUE,LEFT(AQ1156,vitri(".",AQ1156,1)-1))</f>
        <v/>
      </c>
    </row>
    <row r="1157" spans="13:54" x14ac:dyDescent="0.25">
      <c r="M1157" s="382"/>
      <c r="BB1157" s="253" t="str">
        <f t="array" ref="BB1157">_xlfn.IFS(AQ1157="","",LEN(AQ1157)-LEN(SUBSTITUTE(AQ1157,".",""))=3,LEFT(AQ1157,vitri(".",AQ1157,3)-1),LEN(AQ1157)-LEN(SUBSTITUTE(AQ1157,".",""))=2,LEFT(AQ1157,vitri(".",AQ1157,2)-1),TRUE,LEFT(AQ1157,vitri(".",AQ1157,1)-1))</f>
        <v/>
      </c>
    </row>
    <row r="1158" spans="13:54" x14ac:dyDescent="0.25">
      <c r="M1158" s="382"/>
      <c r="BB1158" s="253" t="str">
        <f t="array" ref="BB1158">_xlfn.IFS(AQ1158="","",LEN(AQ1158)-LEN(SUBSTITUTE(AQ1158,".",""))=3,LEFT(AQ1158,vitri(".",AQ1158,3)-1),LEN(AQ1158)-LEN(SUBSTITUTE(AQ1158,".",""))=2,LEFT(AQ1158,vitri(".",AQ1158,2)-1),TRUE,LEFT(AQ1158,vitri(".",AQ1158,1)-1))</f>
        <v/>
      </c>
    </row>
    <row r="1159" spans="13:54" x14ac:dyDescent="0.25">
      <c r="M1159" s="382"/>
      <c r="BB1159" s="253" t="str">
        <f t="array" ref="BB1159">_xlfn.IFS(AQ1159="","",LEN(AQ1159)-LEN(SUBSTITUTE(AQ1159,".",""))=3,LEFT(AQ1159,vitri(".",AQ1159,3)-1),LEN(AQ1159)-LEN(SUBSTITUTE(AQ1159,".",""))=2,LEFT(AQ1159,vitri(".",AQ1159,2)-1),TRUE,LEFT(AQ1159,vitri(".",AQ1159,1)-1))</f>
        <v/>
      </c>
    </row>
    <row r="1160" spans="13:54" x14ac:dyDescent="0.25">
      <c r="M1160" s="382"/>
      <c r="BB1160" s="253" t="str">
        <f t="array" ref="BB1160">_xlfn.IFS(AQ1160="","",LEN(AQ1160)-LEN(SUBSTITUTE(AQ1160,".",""))=3,LEFT(AQ1160,vitri(".",AQ1160,3)-1),LEN(AQ1160)-LEN(SUBSTITUTE(AQ1160,".",""))=2,LEFT(AQ1160,vitri(".",AQ1160,2)-1),TRUE,LEFT(AQ1160,vitri(".",AQ1160,1)-1))</f>
        <v/>
      </c>
    </row>
    <row r="1161" spans="13:54" x14ac:dyDescent="0.25">
      <c r="M1161" s="382"/>
      <c r="BB1161" s="253" t="str">
        <f t="array" ref="BB1161">_xlfn.IFS(AQ1161="","",LEN(AQ1161)-LEN(SUBSTITUTE(AQ1161,".",""))=3,LEFT(AQ1161,vitri(".",AQ1161,3)-1),LEN(AQ1161)-LEN(SUBSTITUTE(AQ1161,".",""))=2,LEFT(AQ1161,vitri(".",AQ1161,2)-1),TRUE,LEFT(AQ1161,vitri(".",AQ1161,1)-1))</f>
        <v/>
      </c>
    </row>
    <row r="1162" spans="13:54" x14ac:dyDescent="0.25">
      <c r="M1162" s="382"/>
      <c r="BB1162" s="253" t="str">
        <f t="array" ref="BB1162">_xlfn.IFS(AQ1162="","",LEN(AQ1162)-LEN(SUBSTITUTE(AQ1162,".",""))=3,LEFT(AQ1162,vitri(".",AQ1162,3)-1),LEN(AQ1162)-LEN(SUBSTITUTE(AQ1162,".",""))=2,LEFT(AQ1162,vitri(".",AQ1162,2)-1),TRUE,LEFT(AQ1162,vitri(".",AQ1162,1)-1))</f>
        <v/>
      </c>
    </row>
    <row r="1163" spans="13:54" x14ac:dyDescent="0.25">
      <c r="M1163" s="382"/>
      <c r="BB1163" s="253" t="str">
        <f t="array" ref="BB1163">_xlfn.IFS(AQ1163="","",LEN(AQ1163)-LEN(SUBSTITUTE(AQ1163,".",""))=3,LEFT(AQ1163,vitri(".",AQ1163,3)-1),LEN(AQ1163)-LEN(SUBSTITUTE(AQ1163,".",""))=2,LEFT(AQ1163,vitri(".",AQ1163,2)-1),TRUE,LEFT(AQ1163,vitri(".",AQ1163,1)-1))</f>
        <v/>
      </c>
    </row>
    <row r="1164" spans="13:54" x14ac:dyDescent="0.25">
      <c r="M1164" s="382"/>
      <c r="BB1164" s="253" t="str">
        <f t="array" ref="BB1164">_xlfn.IFS(AQ1164="","",LEN(AQ1164)-LEN(SUBSTITUTE(AQ1164,".",""))=3,LEFT(AQ1164,vitri(".",AQ1164,3)-1),LEN(AQ1164)-LEN(SUBSTITUTE(AQ1164,".",""))=2,LEFT(AQ1164,vitri(".",AQ1164,2)-1),TRUE,LEFT(AQ1164,vitri(".",AQ1164,1)-1))</f>
        <v/>
      </c>
    </row>
    <row r="1165" spans="13:54" x14ac:dyDescent="0.25">
      <c r="M1165" s="382"/>
      <c r="BB1165" s="253" t="str">
        <f t="array" ref="BB1165">_xlfn.IFS(AQ1165="","",LEN(AQ1165)-LEN(SUBSTITUTE(AQ1165,".",""))=3,LEFT(AQ1165,vitri(".",AQ1165,3)-1),LEN(AQ1165)-LEN(SUBSTITUTE(AQ1165,".",""))=2,LEFT(AQ1165,vitri(".",AQ1165,2)-1),TRUE,LEFT(AQ1165,vitri(".",AQ1165,1)-1))</f>
        <v/>
      </c>
    </row>
    <row r="1166" spans="13:54" x14ac:dyDescent="0.25">
      <c r="M1166" s="382"/>
      <c r="BB1166" s="253" t="str">
        <f t="array" ref="BB1166">_xlfn.IFS(AQ1166="","",LEN(AQ1166)-LEN(SUBSTITUTE(AQ1166,".",""))=3,LEFT(AQ1166,vitri(".",AQ1166,3)-1),LEN(AQ1166)-LEN(SUBSTITUTE(AQ1166,".",""))=2,LEFT(AQ1166,vitri(".",AQ1166,2)-1),TRUE,LEFT(AQ1166,vitri(".",AQ1166,1)-1))</f>
        <v/>
      </c>
    </row>
    <row r="1167" spans="13:54" x14ac:dyDescent="0.25">
      <c r="M1167" s="382"/>
      <c r="BB1167" s="253" t="str">
        <f t="array" ref="BB1167">_xlfn.IFS(AQ1167="","",LEN(AQ1167)-LEN(SUBSTITUTE(AQ1167,".",""))=3,LEFT(AQ1167,vitri(".",AQ1167,3)-1),LEN(AQ1167)-LEN(SUBSTITUTE(AQ1167,".",""))=2,LEFT(AQ1167,vitri(".",AQ1167,2)-1),TRUE,LEFT(AQ1167,vitri(".",AQ1167,1)-1))</f>
        <v/>
      </c>
    </row>
    <row r="1168" spans="13:54" x14ac:dyDescent="0.25">
      <c r="M1168" s="382"/>
      <c r="BB1168" s="253" t="str">
        <f t="array" ref="BB1168">_xlfn.IFS(AQ1168="","",LEN(AQ1168)-LEN(SUBSTITUTE(AQ1168,".",""))=3,LEFT(AQ1168,vitri(".",AQ1168,3)-1),LEN(AQ1168)-LEN(SUBSTITUTE(AQ1168,".",""))=2,LEFT(AQ1168,vitri(".",AQ1168,2)-1),TRUE,LEFT(AQ1168,vitri(".",AQ1168,1)-1))</f>
        <v/>
      </c>
    </row>
    <row r="1169" spans="13:54" x14ac:dyDescent="0.25">
      <c r="M1169" s="382"/>
      <c r="BB1169" s="253" t="str">
        <f t="array" ref="BB1169">_xlfn.IFS(AQ1169="","",LEN(AQ1169)-LEN(SUBSTITUTE(AQ1169,".",""))=3,LEFT(AQ1169,vitri(".",AQ1169,3)-1),LEN(AQ1169)-LEN(SUBSTITUTE(AQ1169,".",""))=2,LEFT(AQ1169,vitri(".",AQ1169,2)-1),TRUE,LEFT(AQ1169,vitri(".",AQ1169,1)-1))</f>
        <v/>
      </c>
    </row>
    <row r="1170" spans="13:54" x14ac:dyDescent="0.25">
      <c r="M1170" s="382"/>
      <c r="BB1170" s="253" t="str">
        <f t="array" ref="BB1170">_xlfn.IFS(AQ1170="","",LEN(AQ1170)-LEN(SUBSTITUTE(AQ1170,".",""))=3,LEFT(AQ1170,vitri(".",AQ1170,3)-1),LEN(AQ1170)-LEN(SUBSTITUTE(AQ1170,".",""))=2,LEFT(AQ1170,vitri(".",AQ1170,2)-1),TRUE,LEFT(AQ1170,vitri(".",AQ1170,1)-1))</f>
        <v/>
      </c>
    </row>
    <row r="1171" spans="13:54" x14ac:dyDescent="0.25">
      <c r="M1171" s="382"/>
      <c r="BB1171" s="253" t="str">
        <f t="array" ref="BB1171">_xlfn.IFS(AQ1171="","",LEN(AQ1171)-LEN(SUBSTITUTE(AQ1171,".",""))=3,LEFT(AQ1171,vitri(".",AQ1171,3)-1),LEN(AQ1171)-LEN(SUBSTITUTE(AQ1171,".",""))=2,LEFT(AQ1171,vitri(".",AQ1171,2)-1),TRUE,LEFT(AQ1171,vitri(".",AQ1171,1)-1))</f>
        <v/>
      </c>
    </row>
    <row r="1172" spans="13:54" x14ac:dyDescent="0.25">
      <c r="M1172" s="382"/>
      <c r="BB1172" s="253" t="str">
        <f t="array" ref="BB1172">_xlfn.IFS(AQ1172="","",LEN(AQ1172)-LEN(SUBSTITUTE(AQ1172,".",""))=3,LEFT(AQ1172,vitri(".",AQ1172,3)-1),LEN(AQ1172)-LEN(SUBSTITUTE(AQ1172,".",""))=2,LEFT(AQ1172,vitri(".",AQ1172,2)-1),TRUE,LEFT(AQ1172,vitri(".",AQ1172,1)-1))</f>
        <v/>
      </c>
    </row>
    <row r="1173" spans="13:54" x14ac:dyDescent="0.25">
      <c r="M1173" s="382"/>
      <c r="BB1173" s="253" t="str">
        <f t="array" ref="BB1173">_xlfn.IFS(AQ1173="","",LEN(AQ1173)-LEN(SUBSTITUTE(AQ1173,".",""))=3,LEFT(AQ1173,vitri(".",AQ1173,3)-1),LEN(AQ1173)-LEN(SUBSTITUTE(AQ1173,".",""))=2,LEFT(AQ1173,vitri(".",AQ1173,2)-1),TRUE,LEFT(AQ1173,vitri(".",AQ1173,1)-1))</f>
        <v/>
      </c>
    </row>
    <row r="1174" spans="13:54" x14ac:dyDescent="0.25">
      <c r="M1174" s="382"/>
      <c r="BB1174" s="253" t="str">
        <f t="array" ref="BB1174">_xlfn.IFS(AQ1174="","",LEN(AQ1174)-LEN(SUBSTITUTE(AQ1174,".",""))=3,LEFT(AQ1174,vitri(".",AQ1174,3)-1),LEN(AQ1174)-LEN(SUBSTITUTE(AQ1174,".",""))=2,LEFT(AQ1174,vitri(".",AQ1174,2)-1),TRUE,LEFT(AQ1174,vitri(".",AQ1174,1)-1))</f>
        <v/>
      </c>
    </row>
    <row r="1175" spans="13:54" x14ac:dyDescent="0.25">
      <c r="M1175" s="382"/>
      <c r="BB1175" s="253" t="str">
        <f t="array" ref="BB1175">_xlfn.IFS(AQ1175="","",LEN(AQ1175)-LEN(SUBSTITUTE(AQ1175,".",""))=3,LEFT(AQ1175,vitri(".",AQ1175,3)-1),LEN(AQ1175)-LEN(SUBSTITUTE(AQ1175,".",""))=2,LEFT(AQ1175,vitri(".",AQ1175,2)-1),TRUE,LEFT(AQ1175,vitri(".",AQ1175,1)-1))</f>
        <v/>
      </c>
    </row>
    <row r="1176" spans="13:54" x14ac:dyDescent="0.25">
      <c r="M1176" s="382"/>
      <c r="BB1176" s="253" t="str">
        <f t="array" ref="BB1176">_xlfn.IFS(AQ1176="","",LEN(AQ1176)-LEN(SUBSTITUTE(AQ1176,".",""))=3,LEFT(AQ1176,vitri(".",AQ1176,3)-1),LEN(AQ1176)-LEN(SUBSTITUTE(AQ1176,".",""))=2,LEFT(AQ1176,vitri(".",AQ1176,2)-1),TRUE,LEFT(AQ1176,vitri(".",AQ1176,1)-1))</f>
        <v/>
      </c>
    </row>
    <row r="1177" spans="13:54" x14ac:dyDescent="0.25">
      <c r="M1177" s="382"/>
      <c r="BB1177" s="253" t="str">
        <f t="array" ref="BB1177">_xlfn.IFS(AQ1177="","",LEN(AQ1177)-LEN(SUBSTITUTE(AQ1177,".",""))=3,LEFT(AQ1177,vitri(".",AQ1177,3)-1),LEN(AQ1177)-LEN(SUBSTITUTE(AQ1177,".",""))=2,LEFT(AQ1177,vitri(".",AQ1177,2)-1),TRUE,LEFT(AQ1177,vitri(".",AQ1177,1)-1))</f>
        <v/>
      </c>
    </row>
    <row r="1178" spans="13:54" x14ac:dyDescent="0.25">
      <c r="M1178" s="382"/>
      <c r="BB1178" s="253" t="str">
        <f t="array" ref="BB1178">_xlfn.IFS(AQ1178="","",LEN(AQ1178)-LEN(SUBSTITUTE(AQ1178,".",""))=3,LEFT(AQ1178,vitri(".",AQ1178,3)-1),LEN(AQ1178)-LEN(SUBSTITUTE(AQ1178,".",""))=2,LEFT(AQ1178,vitri(".",AQ1178,2)-1),TRUE,LEFT(AQ1178,vitri(".",AQ1178,1)-1))</f>
        <v/>
      </c>
    </row>
    <row r="1179" spans="13:54" x14ac:dyDescent="0.25">
      <c r="M1179" s="382"/>
      <c r="BB1179" s="253" t="str">
        <f t="array" ref="BB1179">_xlfn.IFS(AQ1179="","",LEN(AQ1179)-LEN(SUBSTITUTE(AQ1179,".",""))=3,LEFT(AQ1179,vitri(".",AQ1179,3)-1),LEN(AQ1179)-LEN(SUBSTITUTE(AQ1179,".",""))=2,LEFT(AQ1179,vitri(".",AQ1179,2)-1),TRUE,LEFT(AQ1179,vitri(".",AQ1179,1)-1))</f>
        <v/>
      </c>
    </row>
    <row r="1180" spans="13:54" x14ac:dyDescent="0.25">
      <c r="M1180" s="382"/>
      <c r="BB1180" s="253" t="str">
        <f t="array" ref="BB1180">_xlfn.IFS(AQ1180="","",LEN(AQ1180)-LEN(SUBSTITUTE(AQ1180,".",""))=3,LEFT(AQ1180,vitri(".",AQ1180,3)-1),LEN(AQ1180)-LEN(SUBSTITUTE(AQ1180,".",""))=2,LEFT(AQ1180,vitri(".",AQ1180,2)-1),TRUE,LEFT(AQ1180,vitri(".",AQ1180,1)-1))</f>
        <v/>
      </c>
    </row>
    <row r="1181" spans="13:54" x14ac:dyDescent="0.25">
      <c r="M1181" s="382"/>
      <c r="BB1181" s="253" t="str">
        <f t="array" ref="BB1181">_xlfn.IFS(AQ1181="","",LEN(AQ1181)-LEN(SUBSTITUTE(AQ1181,".",""))=3,LEFT(AQ1181,vitri(".",AQ1181,3)-1),LEN(AQ1181)-LEN(SUBSTITUTE(AQ1181,".",""))=2,LEFT(AQ1181,vitri(".",AQ1181,2)-1),TRUE,LEFT(AQ1181,vitri(".",AQ1181,1)-1))</f>
        <v/>
      </c>
    </row>
    <row r="1182" spans="13:54" x14ac:dyDescent="0.25">
      <c r="M1182" s="382"/>
      <c r="BB1182" s="253" t="str">
        <f t="array" ref="BB1182">_xlfn.IFS(AQ1182="","",LEN(AQ1182)-LEN(SUBSTITUTE(AQ1182,".",""))=3,LEFT(AQ1182,vitri(".",AQ1182,3)-1),LEN(AQ1182)-LEN(SUBSTITUTE(AQ1182,".",""))=2,LEFT(AQ1182,vitri(".",AQ1182,2)-1),TRUE,LEFT(AQ1182,vitri(".",AQ1182,1)-1))</f>
        <v/>
      </c>
    </row>
    <row r="1183" spans="13:54" x14ac:dyDescent="0.25">
      <c r="M1183" s="382"/>
      <c r="BB1183" s="253" t="str">
        <f t="array" ref="BB1183">_xlfn.IFS(AQ1183="","",LEN(AQ1183)-LEN(SUBSTITUTE(AQ1183,".",""))=3,LEFT(AQ1183,vitri(".",AQ1183,3)-1),LEN(AQ1183)-LEN(SUBSTITUTE(AQ1183,".",""))=2,LEFT(AQ1183,vitri(".",AQ1183,2)-1),TRUE,LEFT(AQ1183,vitri(".",AQ1183,1)-1))</f>
        <v/>
      </c>
    </row>
    <row r="1184" spans="13:54" x14ac:dyDescent="0.25">
      <c r="M1184" s="382"/>
      <c r="BB1184" s="253" t="str">
        <f t="array" ref="BB1184">_xlfn.IFS(AQ1184="","",LEN(AQ1184)-LEN(SUBSTITUTE(AQ1184,".",""))=3,LEFT(AQ1184,vitri(".",AQ1184,3)-1),LEN(AQ1184)-LEN(SUBSTITUTE(AQ1184,".",""))=2,LEFT(AQ1184,vitri(".",AQ1184,2)-1),TRUE,LEFT(AQ1184,vitri(".",AQ1184,1)-1))</f>
        <v/>
      </c>
    </row>
    <row r="1185" spans="13:54" x14ac:dyDescent="0.25">
      <c r="M1185" s="382"/>
      <c r="BB1185" s="253" t="str">
        <f t="array" ref="BB1185">_xlfn.IFS(AQ1185="","",LEN(AQ1185)-LEN(SUBSTITUTE(AQ1185,".",""))=3,LEFT(AQ1185,vitri(".",AQ1185,3)-1),LEN(AQ1185)-LEN(SUBSTITUTE(AQ1185,".",""))=2,LEFT(AQ1185,vitri(".",AQ1185,2)-1),TRUE,LEFT(AQ1185,vitri(".",AQ1185,1)-1))</f>
        <v/>
      </c>
    </row>
    <row r="1186" spans="13:54" x14ac:dyDescent="0.25">
      <c r="M1186" s="382"/>
      <c r="BB1186" s="253" t="str">
        <f t="array" ref="BB1186">_xlfn.IFS(AQ1186="","",LEN(AQ1186)-LEN(SUBSTITUTE(AQ1186,".",""))=3,LEFT(AQ1186,vitri(".",AQ1186,3)-1),LEN(AQ1186)-LEN(SUBSTITUTE(AQ1186,".",""))=2,LEFT(AQ1186,vitri(".",AQ1186,2)-1),TRUE,LEFT(AQ1186,vitri(".",AQ1186,1)-1))</f>
        <v/>
      </c>
    </row>
    <row r="1187" spans="13:54" x14ac:dyDescent="0.25">
      <c r="M1187" s="382"/>
      <c r="BB1187" s="253" t="str">
        <f t="array" ref="BB1187">_xlfn.IFS(AQ1187="","",LEN(AQ1187)-LEN(SUBSTITUTE(AQ1187,".",""))=3,LEFT(AQ1187,vitri(".",AQ1187,3)-1),LEN(AQ1187)-LEN(SUBSTITUTE(AQ1187,".",""))=2,LEFT(AQ1187,vitri(".",AQ1187,2)-1),TRUE,LEFT(AQ1187,vitri(".",AQ1187,1)-1))</f>
        <v/>
      </c>
    </row>
    <row r="1188" spans="13:54" x14ac:dyDescent="0.25">
      <c r="M1188" s="382"/>
      <c r="BB1188" s="253" t="str">
        <f t="array" ref="BB1188">_xlfn.IFS(AQ1188="","",LEN(AQ1188)-LEN(SUBSTITUTE(AQ1188,".",""))=3,LEFT(AQ1188,vitri(".",AQ1188,3)-1),LEN(AQ1188)-LEN(SUBSTITUTE(AQ1188,".",""))=2,LEFT(AQ1188,vitri(".",AQ1188,2)-1),TRUE,LEFT(AQ1188,vitri(".",AQ1188,1)-1))</f>
        <v/>
      </c>
    </row>
    <row r="1189" spans="13:54" x14ac:dyDescent="0.25">
      <c r="M1189" s="382"/>
      <c r="BB1189" s="253" t="str">
        <f t="array" ref="BB1189">_xlfn.IFS(AQ1189="","",LEN(AQ1189)-LEN(SUBSTITUTE(AQ1189,".",""))=3,LEFT(AQ1189,vitri(".",AQ1189,3)-1),LEN(AQ1189)-LEN(SUBSTITUTE(AQ1189,".",""))=2,LEFT(AQ1189,vitri(".",AQ1189,2)-1),TRUE,LEFT(AQ1189,vitri(".",AQ1189,1)-1))</f>
        <v/>
      </c>
    </row>
    <row r="1190" spans="13:54" x14ac:dyDescent="0.25">
      <c r="M1190" s="382"/>
      <c r="BB1190" s="253" t="str">
        <f t="array" ref="BB1190">_xlfn.IFS(AQ1190="","",LEN(AQ1190)-LEN(SUBSTITUTE(AQ1190,".",""))=3,LEFT(AQ1190,vitri(".",AQ1190,3)-1),LEN(AQ1190)-LEN(SUBSTITUTE(AQ1190,".",""))=2,LEFT(AQ1190,vitri(".",AQ1190,2)-1),TRUE,LEFT(AQ1190,vitri(".",AQ1190,1)-1))</f>
        <v/>
      </c>
    </row>
    <row r="1191" spans="13:54" x14ac:dyDescent="0.25">
      <c r="M1191" s="382"/>
      <c r="BB1191" s="253" t="str">
        <f t="array" ref="BB1191">_xlfn.IFS(AQ1191="","",LEN(AQ1191)-LEN(SUBSTITUTE(AQ1191,".",""))=3,LEFT(AQ1191,vitri(".",AQ1191,3)-1),LEN(AQ1191)-LEN(SUBSTITUTE(AQ1191,".",""))=2,LEFT(AQ1191,vitri(".",AQ1191,2)-1),TRUE,LEFT(AQ1191,vitri(".",AQ1191,1)-1))</f>
        <v/>
      </c>
    </row>
    <row r="1192" spans="13:54" x14ac:dyDescent="0.25">
      <c r="M1192" s="382"/>
      <c r="BB1192" s="253" t="str">
        <f t="array" ref="BB1192">_xlfn.IFS(AQ1192="","",LEN(AQ1192)-LEN(SUBSTITUTE(AQ1192,".",""))=3,LEFT(AQ1192,vitri(".",AQ1192,3)-1),LEN(AQ1192)-LEN(SUBSTITUTE(AQ1192,".",""))=2,LEFT(AQ1192,vitri(".",AQ1192,2)-1),TRUE,LEFT(AQ1192,vitri(".",AQ1192,1)-1))</f>
        <v/>
      </c>
    </row>
    <row r="1193" spans="13:54" x14ac:dyDescent="0.25">
      <c r="M1193" s="382"/>
      <c r="BB1193" s="253" t="str">
        <f t="array" ref="BB1193">_xlfn.IFS(AQ1193="","",LEN(AQ1193)-LEN(SUBSTITUTE(AQ1193,".",""))=3,LEFT(AQ1193,vitri(".",AQ1193,3)-1),LEN(AQ1193)-LEN(SUBSTITUTE(AQ1193,".",""))=2,LEFT(AQ1193,vitri(".",AQ1193,2)-1),TRUE,LEFT(AQ1193,vitri(".",AQ1193,1)-1))</f>
        <v/>
      </c>
    </row>
    <row r="1194" spans="13:54" x14ac:dyDescent="0.25">
      <c r="M1194" s="382"/>
      <c r="BB1194" s="253" t="str">
        <f t="array" ref="BB1194">_xlfn.IFS(AQ1194="","",LEN(AQ1194)-LEN(SUBSTITUTE(AQ1194,".",""))=3,LEFT(AQ1194,vitri(".",AQ1194,3)-1),LEN(AQ1194)-LEN(SUBSTITUTE(AQ1194,".",""))=2,LEFT(AQ1194,vitri(".",AQ1194,2)-1),TRUE,LEFT(AQ1194,vitri(".",AQ1194,1)-1))</f>
        <v/>
      </c>
    </row>
    <row r="1195" spans="13:54" x14ac:dyDescent="0.25">
      <c r="M1195" s="382"/>
      <c r="BB1195" s="253" t="str">
        <f t="array" ref="BB1195">_xlfn.IFS(AQ1195="","",LEN(AQ1195)-LEN(SUBSTITUTE(AQ1195,".",""))=3,LEFT(AQ1195,vitri(".",AQ1195,3)-1),LEN(AQ1195)-LEN(SUBSTITUTE(AQ1195,".",""))=2,LEFT(AQ1195,vitri(".",AQ1195,2)-1),TRUE,LEFT(AQ1195,vitri(".",AQ1195,1)-1))</f>
        <v/>
      </c>
    </row>
    <row r="1196" spans="13:54" x14ac:dyDescent="0.25">
      <c r="M1196" s="382"/>
      <c r="BB1196" s="253" t="str">
        <f t="array" ref="BB1196">_xlfn.IFS(AQ1196="","",LEN(AQ1196)-LEN(SUBSTITUTE(AQ1196,".",""))=3,LEFT(AQ1196,vitri(".",AQ1196,3)-1),LEN(AQ1196)-LEN(SUBSTITUTE(AQ1196,".",""))=2,LEFT(AQ1196,vitri(".",AQ1196,2)-1),TRUE,LEFT(AQ1196,vitri(".",AQ1196,1)-1))</f>
        <v/>
      </c>
    </row>
    <row r="1197" spans="13:54" x14ac:dyDescent="0.25">
      <c r="M1197" s="382"/>
      <c r="BB1197" s="253" t="str">
        <f t="array" ref="BB1197">_xlfn.IFS(AQ1197="","",LEN(AQ1197)-LEN(SUBSTITUTE(AQ1197,".",""))=3,LEFT(AQ1197,vitri(".",AQ1197,3)-1),LEN(AQ1197)-LEN(SUBSTITUTE(AQ1197,".",""))=2,LEFT(AQ1197,vitri(".",AQ1197,2)-1),TRUE,LEFT(AQ1197,vitri(".",AQ1197,1)-1))</f>
        <v/>
      </c>
    </row>
    <row r="1198" spans="13:54" x14ac:dyDescent="0.25">
      <c r="M1198" s="382"/>
      <c r="BB1198" s="253" t="str">
        <f t="array" ref="BB1198">_xlfn.IFS(AQ1198="","",LEN(AQ1198)-LEN(SUBSTITUTE(AQ1198,".",""))=3,LEFT(AQ1198,vitri(".",AQ1198,3)-1),LEN(AQ1198)-LEN(SUBSTITUTE(AQ1198,".",""))=2,LEFT(AQ1198,vitri(".",AQ1198,2)-1),TRUE,LEFT(AQ1198,vitri(".",AQ1198,1)-1))</f>
        <v/>
      </c>
    </row>
    <row r="1199" spans="13:54" x14ac:dyDescent="0.25">
      <c r="M1199" s="382"/>
      <c r="BB1199" s="253" t="str">
        <f t="array" ref="BB1199">_xlfn.IFS(AQ1199="","",LEN(AQ1199)-LEN(SUBSTITUTE(AQ1199,".",""))=3,LEFT(AQ1199,vitri(".",AQ1199,3)-1),LEN(AQ1199)-LEN(SUBSTITUTE(AQ1199,".",""))=2,LEFT(AQ1199,vitri(".",AQ1199,2)-1),TRUE,LEFT(AQ1199,vitri(".",AQ1199,1)-1))</f>
        <v/>
      </c>
    </row>
    <row r="1200" spans="13:54" x14ac:dyDescent="0.25">
      <c r="M1200" s="382"/>
      <c r="BB1200" s="253" t="str">
        <f t="array" ref="BB1200">_xlfn.IFS(AQ1200="","",LEN(AQ1200)-LEN(SUBSTITUTE(AQ1200,".",""))=3,LEFT(AQ1200,vitri(".",AQ1200,3)-1),LEN(AQ1200)-LEN(SUBSTITUTE(AQ1200,".",""))=2,LEFT(AQ1200,vitri(".",AQ1200,2)-1),TRUE,LEFT(AQ1200,vitri(".",AQ1200,1)-1))</f>
        <v/>
      </c>
    </row>
    <row r="1201" spans="13:54" x14ac:dyDescent="0.25">
      <c r="M1201" s="382"/>
      <c r="BB1201" s="253" t="str">
        <f t="array" ref="BB1201">_xlfn.IFS(AQ1201="","",LEN(AQ1201)-LEN(SUBSTITUTE(AQ1201,".",""))=3,LEFT(AQ1201,vitri(".",AQ1201,3)-1),LEN(AQ1201)-LEN(SUBSTITUTE(AQ1201,".",""))=2,LEFT(AQ1201,vitri(".",AQ1201,2)-1),TRUE,LEFT(AQ1201,vitri(".",AQ1201,1)-1))</f>
        <v/>
      </c>
    </row>
    <row r="1202" spans="13:54" x14ac:dyDescent="0.25">
      <c r="M1202" s="382"/>
      <c r="BB1202" s="253" t="str">
        <f t="array" ref="BB1202">_xlfn.IFS(AQ1202="","",LEN(AQ1202)-LEN(SUBSTITUTE(AQ1202,".",""))=3,LEFT(AQ1202,vitri(".",AQ1202,3)-1),LEN(AQ1202)-LEN(SUBSTITUTE(AQ1202,".",""))=2,LEFT(AQ1202,vitri(".",AQ1202,2)-1),TRUE,LEFT(AQ1202,vitri(".",AQ1202,1)-1))</f>
        <v/>
      </c>
    </row>
    <row r="1203" spans="13:54" x14ac:dyDescent="0.25">
      <c r="M1203" s="382"/>
      <c r="BB1203" s="253" t="str">
        <f t="array" ref="BB1203">_xlfn.IFS(AQ1203="","",LEN(AQ1203)-LEN(SUBSTITUTE(AQ1203,".",""))=3,LEFT(AQ1203,vitri(".",AQ1203,3)-1),LEN(AQ1203)-LEN(SUBSTITUTE(AQ1203,".",""))=2,LEFT(AQ1203,vitri(".",AQ1203,2)-1),TRUE,LEFT(AQ1203,vitri(".",AQ1203,1)-1))</f>
        <v/>
      </c>
    </row>
    <row r="1204" spans="13:54" x14ac:dyDescent="0.25">
      <c r="M1204" s="382"/>
      <c r="BB1204" s="253" t="str">
        <f t="array" ref="BB1204">_xlfn.IFS(AQ1204="","",LEN(AQ1204)-LEN(SUBSTITUTE(AQ1204,".",""))=3,LEFT(AQ1204,vitri(".",AQ1204,3)-1),LEN(AQ1204)-LEN(SUBSTITUTE(AQ1204,".",""))=2,LEFT(AQ1204,vitri(".",AQ1204,2)-1),TRUE,LEFT(AQ1204,vitri(".",AQ1204,1)-1))</f>
        <v/>
      </c>
    </row>
    <row r="1205" spans="13:54" x14ac:dyDescent="0.25">
      <c r="M1205" s="382"/>
      <c r="BB1205" s="253" t="str">
        <f t="array" ref="BB1205">_xlfn.IFS(AQ1205="","",LEN(AQ1205)-LEN(SUBSTITUTE(AQ1205,".",""))=3,LEFT(AQ1205,vitri(".",AQ1205,3)-1),LEN(AQ1205)-LEN(SUBSTITUTE(AQ1205,".",""))=2,LEFT(AQ1205,vitri(".",AQ1205,2)-1),TRUE,LEFT(AQ1205,vitri(".",AQ1205,1)-1))</f>
        <v/>
      </c>
    </row>
    <row r="1206" spans="13:54" x14ac:dyDescent="0.25">
      <c r="M1206" s="382"/>
      <c r="BB1206" s="253" t="str">
        <f t="array" ref="BB1206">_xlfn.IFS(AQ1206="","",LEN(AQ1206)-LEN(SUBSTITUTE(AQ1206,".",""))=3,LEFT(AQ1206,vitri(".",AQ1206,3)-1),LEN(AQ1206)-LEN(SUBSTITUTE(AQ1206,".",""))=2,LEFT(AQ1206,vitri(".",AQ1206,2)-1),TRUE,LEFT(AQ1206,vitri(".",AQ1206,1)-1))</f>
        <v/>
      </c>
    </row>
    <row r="1207" spans="13:54" x14ac:dyDescent="0.25">
      <c r="M1207" s="382"/>
      <c r="BB1207" s="253" t="str">
        <f t="array" ref="BB1207">_xlfn.IFS(AQ1207="","",LEN(AQ1207)-LEN(SUBSTITUTE(AQ1207,".",""))=3,LEFT(AQ1207,vitri(".",AQ1207,3)-1),LEN(AQ1207)-LEN(SUBSTITUTE(AQ1207,".",""))=2,LEFT(AQ1207,vitri(".",AQ1207,2)-1),TRUE,LEFT(AQ1207,vitri(".",AQ1207,1)-1))</f>
        <v/>
      </c>
    </row>
    <row r="1208" spans="13:54" x14ac:dyDescent="0.25">
      <c r="M1208" s="382"/>
      <c r="BB1208" s="253" t="str">
        <f t="array" ref="BB1208">_xlfn.IFS(AQ1208="","",LEN(AQ1208)-LEN(SUBSTITUTE(AQ1208,".",""))=3,LEFT(AQ1208,vitri(".",AQ1208,3)-1),LEN(AQ1208)-LEN(SUBSTITUTE(AQ1208,".",""))=2,LEFT(AQ1208,vitri(".",AQ1208,2)-1),TRUE,LEFT(AQ1208,vitri(".",AQ1208,1)-1))</f>
        <v/>
      </c>
    </row>
    <row r="1209" spans="13:54" x14ac:dyDescent="0.25">
      <c r="M1209" s="382"/>
      <c r="BB1209" s="253" t="str">
        <f t="array" ref="BB1209">_xlfn.IFS(AQ1209="","",LEN(AQ1209)-LEN(SUBSTITUTE(AQ1209,".",""))=3,LEFT(AQ1209,vitri(".",AQ1209,3)-1),LEN(AQ1209)-LEN(SUBSTITUTE(AQ1209,".",""))=2,LEFT(AQ1209,vitri(".",AQ1209,2)-1),TRUE,LEFT(AQ1209,vitri(".",AQ1209,1)-1))</f>
        <v/>
      </c>
    </row>
    <row r="1210" spans="13:54" x14ac:dyDescent="0.25">
      <c r="M1210" s="382"/>
      <c r="BB1210" s="253" t="str">
        <f t="array" ref="BB1210">_xlfn.IFS(AQ1210="","",LEN(AQ1210)-LEN(SUBSTITUTE(AQ1210,".",""))=3,LEFT(AQ1210,vitri(".",AQ1210,3)-1),LEN(AQ1210)-LEN(SUBSTITUTE(AQ1210,".",""))=2,LEFT(AQ1210,vitri(".",AQ1210,2)-1),TRUE,LEFT(AQ1210,vitri(".",AQ1210,1)-1))</f>
        <v/>
      </c>
    </row>
    <row r="1211" spans="13:54" x14ac:dyDescent="0.25">
      <c r="M1211" s="382"/>
      <c r="BB1211" s="253" t="str">
        <f t="array" ref="BB1211">_xlfn.IFS(AQ1211="","",LEN(AQ1211)-LEN(SUBSTITUTE(AQ1211,".",""))=3,LEFT(AQ1211,vitri(".",AQ1211,3)-1),LEN(AQ1211)-LEN(SUBSTITUTE(AQ1211,".",""))=2,LEFT(AQ1211,vitri(".",AQ1211,2)-1),TRUE,LEFT(AQ1211,vitri(".",AQ1211,1)-1))</f>
        <v/>
      </c>
    </row>
    <row r="1212" spans="13:54" x14ac:dyDescent="0.25">
      <c r="M1212" s="382"/>
      <c r="BB1212" s="253" t="str">
        <f t="array" ref="BB1212">_xlfn.IFS(AQ1212="","",LEN(AQ1212)-LEN(SUBSTITUTE(AQ1212,".",""))=3,LEFT(AQ1212,vitri(".",AQ1212,3)-1),LEN(AQ1212)-LEN(SUBSTITUTE(AQ1212,".",""))=2,LEFT(AQ1212,vitri(".",AQ1212,2)-1),TRUE,LEFT(AQ1212,vitri(".",AQ1212,1)-1))</f>
        <v/>
      </c>
    </row>
    <row r="1213" spans="13:54" x14ac:dyDescent="0.25">
      <c r="M1213" s="382"/>
      <c r="BB1213" s="253" t="str">
        <f t="array" ref="BB1213">_xlfn.IFS(AQ1213="","",LEN(AQ1213)-LEN(SUBSTITUTE(AQ1213,".",""))=3,LEFT(AQ1213,vitri(".",AQ1213,3)-1),LEN(AQ1213)-LEN(SUBSTITUTE(AQ1213,".",""))=2,LEFT(AQ1213,vitri(".",AQ1213,2)-1),TRUE,LEFT(AQ1213,vitri(".",AQ1213,1)-1))</f>
        <v/>
      </c>
    </row>
    <row r="1214" spans="13:54" x14ac:dyDescent="0.25">
      <c r="M1214" s="382"/>
      <c r="BB1214" s="253" t="str">
        <f t="array" ref="BB1214">_xlfn.IFS(AQ1214="","",LEN(AQ1214)-LEN(SUBSTITUTE(AQ1214,".",""))=3,LEFT(AQ1214,vitri(".",AQ1214,3)-1),LEN(AQ1214)-LEN(SUBSTITUTE(AQ1214,".",""))=2,LEFT(AQ1214,vitri(".",AQ1214,2)-1),TRUE,LEFT(AQ1214,vitri(".",AQ1214,1)-1))</f>
        <v/>
      </c>
    </row>
    <row r="1215" spans="13:54" x14ac:dyDescent="0.25">
      <c r="M1215" s="382"/>
      <c r="BB1215" s="253" t="str">
        <f t="array" ref="BB1215">_xlfn.IFS(AQ1215="","",LEN(AQ1215)-LEN(SUBSTITUTE(AQ1215,".",""))=3,LEFT(AQ1215,vitri(".",AQ1215,3)-1),LEN(AQ1215)-LEN(SUBSTITUTE(AQ1215,".",""))=2,LEFT(AQ1215,vitri(".",AQ1215,2)-1),TRUE,LEFT(AQ1215,vitri(".",AQ1215,1)-1))</f>
        <v/>
      </c>
    </row>
    <row r="1216" spans="13:54" x14ac:dyDescent="0.25">
      <c r="M1216" s="382"/>
      <c r="BB1216" s="253" t="str">
        <f t="array" ref="BB1216">_xlfn.IFS(AQ1216="","",LEN(AQ1216)-LEN(SUBSTITUTE(AQ1216,".",""))=3,LEFT(AQ1216,vitri(".",AQ1216,3)-1),LEN(AQ1216)-LEN(SUBSTITUTE(AQ1216,".",""))=2,LEFT(AQ1216,vitri(".",AQ1216,2)-1),TRUE,LEFT(AQ1216,vitri(".",AQ1216,1)-1))</f>
        <v/>
      </c>
    </row>
    <row r="1217" spans="13:54" x14ac:dyDescent="0.25">
      <c r="M1217" s="382"/>
      <c r="BB1217" s="253" t="str">
        <f t="array" ref="BB1217">_xlfn.IFS(AQ1217="","",LEN(AQ1217)-LEN(SUBSTITUTE(AQ1217,".",""))=3,LEFT(AQ1217,vitri(".",AQ1217,3)-1),LEN(AQ1217)-LEN(SUBSTITUTE(AQ1217,".",""))=2,LEFT(AQ1217,vitri(".",AQ1217,2)-1),TRUE,LEFT(AQ1217,vitri(".",AQ1217,1)-1))</f>
        <v/>
      </c>
    </row>
    <row r="1218" spans="13:54" x14ac:dyDescent="0.25">
      <c r="M1218" s="382"/>
      <c r="BB1218" s="253" t="str">
        <f t="array" ref="BB1218">_xlfn.IFS(AQ1218="","",LEN(AQ1218)-LEN(SUBSTITUTE(AQ1218,".",""))=3,LEFT(AQ1218,vitri(".",AQ1218,3)-1),LEN(AQ1218)-LEN(SUBSTITUTE(AQ1218,".",""))=2,LEFT(AQ1218,vitri(".",AQ1218,2)-1),TRUE,LEFT(AQ1218,vitri(".",AQ1218,1)-1))</f>
        <v/>
      </c>
    </row>
    <row r="1219" spans="13:54" x14ac:dyDescent="0.25">
      <c r="M1219" s="382"/>
      <c r="BB1219" s="253" t="str">
        <f t="array" ref="BB1219">_xlfn.IFS(AQ1219="","",LEN(AQ1219)-LEN(SUBSTITUTE(AQ1219,".",""))=3,LEFT(AQ1219,vitri(".",AQ1219,3)-1),LEN(AQ1219)-LEN(SUBSTITUTE(AQ1219,".",""))=2,LEFT(AQ1219,vitri(".",AQ1219,2)-1),TRUE,LEFT(AQ1219,vitri(".",AQ1219,1)-1))</f>
        <v/>
      </c>
    </row>
    <row r="1220" spans="13:54" x14ac:dyDescent="0.25">
      <c r="M1220" s="382"/>
      <c r="BB1220" s="253" t="str">
        <f t="array" ref="BB1220">_xlfn.IFS(AQ1220="","",LEN(AQ1220)-LEN(SUBSTITUTE(AQ1220,".",""))=3,LEFT(AQ1220,vitri(".",AQ1220,3)-1),LEN(AQ1220)-LEN(SUBSTITUTE(AQ1220,".",""))=2,LEFT(AQ1220,vitri(".",AQ1220,2)-1),TRUE,LEFT(AQ1220,vitri(".",AQ1220,1)-1))</f>
        <v/>
      </c>
    </row>
    <row r="1221" spans="13:54" x14ac:dyDescent="0.25">
      <c r="M1221" s="382"/>
      <c r="BB1221" s="253" t="str">
        <f t="array" ref="BB1221">_xlfn.IFS(AQ1221="","",LEN(AQ1221)-LEN(SUBSTITUTE(AQ1221,".",""))=3,LEFT(AQ1221,vitri(".",AQ1221,3)-1),LEN(AQ1221)-LEN(SUBSTITUTE(AQ1221,".",""))=2,LEFT(AQ1221,vitri(".",AQ1221,2)-1),TRUE,LEFT(AQ1221,vitri(".",AQ1221,1)-1))</f>
        <v/>
      </c>
    </row>
    <row r="1222" spans="13:54" x14ac:dyDescent="0.25">
      <c r="M1222" s="382"/>
      <c r="BB1222" s="253" t="str">
        <f t="array" ref="BB1222">_xlfn.IFS(AQ1222="","",LEN(AQ1222)-LEN(SUBSTITUTE(AQ1222,".",""))=3,LEFT(AQ1222,vitri(".",AQ1222,3)-1),LEN(AQ1222)-LEN(SUBSTITUTE(AQ1222,".",""))=2,LEFT(AQ1222,vitri(".",AQ1222,2)-1),TRUE,LEFT(AQ1222,vitri(".",AQ1222,1)-1))</f>
        <v/>
      </c>
    </row>
    <row r="1223" spans="13:54" x14ac:dyDescent="0.25">
      <c r="M1223" s="382"/>
      <c r="BB1223" s="253" t="str">
        <f t="array" ref="BB1223">_xlfn.IFS(AQ1223="","",LEN(AQ1223)-LEN(SUBSTITUTE(AQ1223,".",""))=3,LEFT(AQ1223,vitri(".",AQ1223,3)-1),LEN(AQ1223)-LEN(SUBSTITUTE(AQ1223,".",""))=2,LEFT(AQ1223,vitri(".",AQ1223,2)-1),TRUE,LEFT(AQ1223,vitri(".",AQ1223,1)-1))</f>
        <v/>
      </c>
    </row>
    <row r="1224" spans="13:54" x14ac:dyDescent="0.25">
      <c r="M1224" s="382"/>
      <c r="BB1224" s="253" t="str">
        <f t="array" ref="BB1224">_xlfn.IFS(AQ1224="","",LEN(AQ1224)-LEN(SUBSTITUTE(AQ1224,".",""))=3,LEFT(AQ1224,vitri(".",AQ1224,3)-1),LEN(AQ1224)-LEN(SUBSTITUTE(AQ1224,".",""))=2,LEFT(AQ1224,vitri(".",AQ1224,2)-1),TRUE,LEFT(AQ1224,vitri(".",AQ1224,1)-1))</f>
        <v/>
      </c>
    </row>
    <row r="1225" spans="13:54" x14ac:dyDescent="0.25">
      <c r="M1225" s="382"/>
      <c r="BB1225" s="253" t="str">
        <f t="array" ref="BB1225">_xlfn.IFS(AQ1225="","",LEN(AQ1225)-LEN(SUBSTITUTE(AQ1225,".",""))=3,LEFT(AQ1225,vitri(".",AQ1225,3)-1),LEN(AQ1225)-LEN(SUBSTITUTE(AQ1225,".",""))=2,LEFT(AQ1225,vitri(".",AQ1225,2)-1),TRUE,LEFT(AQ1225,vitri(".",AQ1225,1)-1))</f>
        <v/>
      </c>
    </row>
    <row r="1226" spans="13:54" x14ac:dyDescent="0.25">
      <c r="M1226" s="382"/>
      <c r="BB1226" s="253" t="str">
        <f t="array" ref="BB1226">_xlfn.IFS(AQ1226="","",LEN(AQ1226)-LEN(SUBSTITUTE(AQ1226,".",""))=3,LEFT(AQ1226,vitri(".",AQ1226,3)-1),LEN(AQ1226)-LEN(SUBSTITUTE(AQ1226,".",""))=2,LEFT(AQ1226,vitri(".",AQ1226,2)-1),TRUE,LEFT(AQ1226,vitri(".",AQ1226,1)-1))</f>
        <v/>
      </c>
    </row>
    <row r="1227" spans="13:54" x14ac:dyDescent="0.25">
      <c r="M1227" s="382"/>
      <c r="BB1227" s="253" t="str">
        <f t="array" ref="BB1227">_xlfn.IFS(AQ1227="","",LEN(AQ1227)-LEN(SUBSTITUTE(AQ1227,".",""))=3,LEFT(AQ1227,vitri(".",AQ1227,3)-1),LEN(AQ1227)-LEN(SUBSTITUTE(AQ1227,".",""))=2,LEFT(AQ1227,vitri(".",AQ1227,2)-1),TRUE,LEFT(AQ1227,vitri(".",AQ1227,1)-1))</f>
        <v/>
      </c>
    </row>
    <row r="1228" spans="13:54" x14ac:dyDescent="0.25">
      <c r="M1228" s="382"/>
      <c r="BB1228" s="253" t="str">
        <f t="array" ref="BB1228">_xlfn.IFS(AQ1228="","",LEN(AQ1228)-LEN(SUBSTITUTE(AQ1228,".",""))=3,LEFT(AQ1228,vitri(".",AQ1228,3)-1),LEN(AQ1228)-LEN(SUBSTITUTE(AQ1228,".",""))=2,LEFT(AQ1228,vitri(".",AQ1228,2)-1),TRUE,LEFT(AQ1228,vitri(".",AQ1228,1)-1))</f>
        <v/>
      </c>
    </row>
    <row r="1229" spans="13:54" x14ac:dyDescent="0.25">
      <c r="M1229" s="382"/>
      <c r="BB1229" s="253" t="str">
        <f t="array" ref="BB1229">_xlfn.IFS(AQ1229="","",LEN(AQ1229)-LEN(SUBSTITUTE(AQ1229,".",""))=3,LEFT(AQ1229,vitri(".",AQ1229,3)-1),LEN(AQ1229)-LEN(SUBSTITUTE(AQ1229,".",""))=2,LEFT(AQ1229,vitri(".",AQ1229,2)-1),TRUE,LEFT(AQ1229,vitri(".",AQ1229,1)-1))</f>
        <v/>
      </c>
    </row>
    <row r="1230" spans="13:54" x14ac:dyDescent="0.25">
      <c r="M1230" s="382"/>
      <c r="BB1230" s="253" t="str">
        <f t="array" ref="BB1230">_xlfn.IFS(AQ1230="","",LEN(AQ1230)-LEN(SUBSTITUTE(AQ1230,".",""))=3,LEFT(AQ1230,vitri(".",AQ1230,3)-1),LEN(AQ1230)-LEN(SUBSTITUTE(AQ1230,".",""))=2,LEFT(AQ1230,vitri(".",AQ1230,2)-1),TRUE,LEFT(AQ1230,vitri(".",AQ1230,1)-1))</f>
        <v/>
      </c>
    </row>
    <row r="1231" spans="13:54" x14ac:dyDescent="0.25">
      <c r="M1231" s="382"/>
      <c r="BB1231" s="253" t="str">
        <f t="array" ref="BB1231">_xlfn.IFS(AQ1231="","",LEN(AQ1231)-LEN(SUBSTITUTE(AQ1231,".",""))=3,LEFT(AQ1231,vitri(".",AQ1231,3)-1),LEN(AQ1231)-LEN(SUBSTITUTE(AQ1231,".",""))=2,LEFT(AQ1231,vitri(".",AQ1231,2)-1),TRUE,LEFT(AQ1231,vitri(".",AQ1231,1)-1))</f>
        <v/>
      </c>
    </row>
    <row r="1232" spans="13:54" x14ac:dyDescent="0.25">
      <c r="M1232" s="382"/>
      <c r="BB1232" s="253" t="str">
        <f t="array" ref="BB1232">_xlfn.IFS(AQ1232="","",LEN(AQ1232)-LEN(SUBSTITUTE(AQ1232,".",""))=3,LEFT(AQ1232,vitri(".",AQ1232,3)-1),LEN(AQ1232)-LEN(SUBSTITUTE(AQ1232,".",""))=2,LEFT(AQ1232,vitri(".",AQ1232,2)-1),TRUE,LEFT(AQ1232,vitri(".",AQ1232,1)-1))</f>
        <v/>
      </c>
    </row>
    <row r="1233" spans="13:54" x14ac:dyDescent="0.25">
      <c r="M1233" s="382"/>
      <c r="BB1233" s="253" t="str">
        <f t="array" ref="BB1233">_xlfn.IFS(AQ1233="","",LEN(AQ1233)-LEN(SUBSTITUTE(AQ1233,".",""))=3,LEFT(AQ1233,vitri(".",AQ1233,3)-1),LEN(AQ1233)-LEN(SUBSTITUTE(AQ1233,".",""))=2,LEFT(AQ1233,vitri(".",AQ1233,2)-1),TRUE,LEFT(AQ1233,vitri(".",AQ1233,1)-1))</f>
        <v/>
      </c>
    </row>
    <row r="1234" spans="13:54" x14ac:dyDescent="0.25">
      <c r="M1234" s="382"/>
      <c r="BB1234" s="253" t="str">
        <f t="array" ref="BB1234">_xlfn.IFS(AQ1234="","",LEN(AQ1234)-LEN(SUBSTITUTE(AQ1234,".",""))=3,LEFT(AQ1234,vitri(".",AQ1234,3)-1),LEN(AQ1234)-LEN(SUBSTITUTE(AQ1234,".",""))=2,LEFT(AQ1234,vitri(".",AQ1234,2)-1),TRUE,LEFT(AQ1234,vitri(".",AQ1234,1)-1))</f>
        <v/>
      </c>
    </row>
    <row r="1235" spans="13:54" x14ac:dyDescent="0.25">
      <c r="M1235" s="382"/>
      <c r="BB1235" s="253" t="str">
        <f t="array" ref="BB1235">_xlfn.IFS(AQ1235="","",LEN(AQ1235)-LEN(SUBSTITUTE(AQ1235,".",""))=3,LEFT(AQ1235,vitri(".",AQ1235,3)-1),LEN(AQ1235)-LEN(SUBSTITUTE(AQ1235,".",""))=2,LEFT(AQ1235,vitri(".",AQ1235,2)-1),TRUE,LEFT(AQ1235,vitri(".",AQ1235,1)-1))</f>
        <v/>
      </c>
    </row>
    <row r="1236" spans="13:54" x14ac:dyDescent="0.25">
      <c r="M1236" s="382"/>
      <c r="BB1236" s="253" t="str">
        <f t="array" ref="BB1236">_xlfn.IFS(AQ1236="","",LEN(AQ1236)-LEN(SUBSTITUTE(AQ1236,".",""))=3,LEFT(AQ1236,vitri(".",AQ1236,3)-1),LEN(AQ1236)-LEN(SUBSTITUTE(AQ1236,".",""))=2,LEFT(AQ1236,vitri(".",AQ1236,2)-1),TRUE,LEFT(AQ1236,vitri(".",AQ1236,1)-1))</f>
        <v/>
      </c>
    </row>
    <row r="1237" spans="13:54" x14ac:dyDescent="0.25">
      <c r="M1237" s="382"/>
      <c r="BB1237" s="253" t="str">
        <f t="array" ref="BB1237">_xlfn.IFS(AQ1237="","",LEN(AQ1237)-LEN(SUBSTITUTE(AQ1237,".",""))=3,LEFT(AQ1237,vitri(".",AQ1237,3)-1),LEN(AQ1237)-LEN(SUBSTITUTE(AQ1237,".",""))=2,LEFT(AQ1237,vitri(".",AQ1237,2)-1),TRUE,LEFT(AQ1237,vitri(".",AQ1237,1)-1))</f>
        <v/>
      </c>
    </row>
    <row r="1238" spans="13:54" x14ac:dyDescent="0.25">
      <c r="M1238" s="382"/>
      <c r="BB1238" s="253" t="str">
        <f t="array" ref="BB1238">_xlfn.IFS(AQ1238="","",LEN(AQ1238)-LEN(SUBSTITUTE(AQ1238,".",""))=3,LEFT(AQ1238,vitri(".",AQ1238,3)-1),LEN(AQ1238)-LEN(SUBSTITUTE(AQ1238,".",""))=2,LEFT(AQ1238,vitri(".",AQ1238,2)-1),TRUE,LEFT(AQ1238,vitri(".",AQ1238,1)-1))</f>
        <v/>
      </c>
    </row>
    <row r="1239" spans="13:54" x14ac:dyDescent="0.25">
      <c r="M1239" s="382"/>
      <c r="BB1239" s="253" t="str">
        <f t="array" ref="BB1239">_xlfn.IFS(AQ1239="","",LEN(AQ1239)-LEN(SUBSTITUTE(AQ1239,".",""))=3,LEFT(AQ1239,vitri(".",AQ1239,3)-1),LEN(AQ1239)-LEN(SUBSTITUTE(AQ1239,".",""))=2,LEFT(AQ1239,vitri(".",AQ1239,2)-1),TRUE,LEFT(AQ1239,vitri(".",AQ1239,1)-1))</f>
        <v/>
      </c>
    </row>
    <row r="1240" spans="13:54" x14ac:dyDescent="0.25">
      <c r="M1240" s="382"/>
      <c r="BB1240" s="253" t="str">
        <f t="array" ref="BB1240">_xlfn.IFS(AQ1240="","",LEN(AQ1240)-LEN(SUBSTITUTE(AQ1240,".",""))=3,LEFT(AQ1240,vitri(".",AQ1240,3)-1),LEN(AQ1240)-LEN(SUBSTITUTE(AQ1240,".",""))=2,LEFT(AQ1240,vitri(".",AQ1240,2)-1),TRUE,LEFT(AQ1240,vitri(".",AQ1240,1)-1))</f>
        <v/>
      </c>
    </row>
    <row r="1241" spans="13:54" x14ac:dyDescent="0.25">
      <c r="M1241" s="382"/>
      <c r="BB1241" s="253" t="str">
        <f t="array" ref="BB1241">_xlfn.IFS(AQ1241="","",LEN(AQ1241)-LEN(SUBSTITUTE(AQ1241,".",""))=3,LEFT(AQ1241,vitri(".",AQ1241,3)-1),LEN(AQ1241)-LEN(SUBSTITUTE(AQ1241,".",""))=2,LEFT(AQ1241,vitri(".",AQ1241,2)-1),TRUE,LEFT(AQ1241,vitri(".",AQ1241,1)-1))</f>
        <v/>
      </c>
    </row>
    <row r="1242" spans="13:54" x14ac:dyDescent="0.25">
      <c r="M1242" s="382"/>
      <c r="BB1242" s="253" t="str">
        <f t="array" ref="BB1242">_xlfn.IFS(AQ1242="","",LEN(AQ1242)-LEN(SUBSTITUTE(AQ1242,".",""))=3,LEFT(AQ1242,vitri(".",AQ1242,3)-1),LEN(AQ1242)-LEN(SUBSTITUTE(AQ1242,".",""))=2,LEFT(AQ1242,vitri(".",AQ1242,2)-1),TRUE,LEFT(AQ1242,vitri(".",AQ1242,1)-1))</f>
        <v/>
      </c>
    </row>
    <row r="1243" spans="13:54" x14ac:dyDescent="0.25">
      <c r="M1243" s="382"/>
      <c r="BB1243" s="253" t="str">
        <f t="array" ref="BB1243">_xlfn.IFS(AQ1243="","",LEN(AQ1243)-LEN(SUBSTITUTE(AQ1243,".",""))=3,LEFT(AQ1243,vitri(".",AQ1243,3)-1),LEN(AQ1243)-LEN(SUBSTITUTE(AQ1243,".",""))=2,LEFT(AQ1243,vitri(".",AQ1243,2)-1),TRUE,LEFT(AQ1243,vitri(".",AQ1243,1)-1))</f>
        <v/>
      </c>
    </row>
    <row r="1244" spans="13:54" x14ac:dyDescent="0.25">
      <c r="M1244" s="382"/>
      <c r="BB1244" s="253" t="str">
        <f t="array" ref="BB1244">_xlfn.IFS(AQ1244="","",LEN(AQ1244)-LEN(SUBSTITUTE(AQ1244,".",""))=3,LEFT(AQ1244,vitri(".",AQ1244,3)-1),LEN(AQ1244)-LEN(SUBSTITUTE(AQ1244,".",""))=2,LEFT(AQ1244,vitri(".",AQ1244,2)-1),TRUE,LEFT(AQ1244,vitri(".",AQ1244,1)-1))</f>
        <v/>
      </c>
    </row>
    <row r="1245" spans="13:54" x14ac:dyDescent="0.25">
      <c r="M1245" s="382"/>
      <c r="BB1245" s="253" t="str">
        <f t="array" ref="BB1245">_xlfn.IFS(AQ1245="","",LEN(AQ1245)-LEN(SUBSTITUTE(AQ1245,".",""))=3,LEFT(AQ1245,vitri(".",AQ1245,3)-1),LEN(AQ1245)-LEN(SUBSTITUTE(AQ1245,".",""))=2,LEFT(AQ1245,vitri(".",AQ1245,2)-1),TRUE,LEFT(AQ1245,vitri(".",AQ1245,1)-1))</f>
        <v/>
      </c>
    </row>
    <row r="1246" spans="13:54" x14ac:dyDescent="0.25">
      <c r="M1246" s="382"/>
      <c r="BB1246" s="253" t="str">
        <f t="array" ref="BB1246">_xlfn.IFS(AQ1246="","",LEN(AQ1246)-LEN(SUBSTITUTE(AQ1246,".",""))=3,LEFT(AQ1246,vitri(".",AQ1246,3)-1),LEN(AQ1246)-LEN(SUBSTITUTE(AQ1246,".",""))=2,LEFT(AQ1246,vitri(".",AQ1246,2)-1),TRUE,LEFT(AQ1246,vitri(".",AQ1246,1)-1))</f>
        <v/>
      </c>
    </row>
    <row r="1247" spans="13:54" x14ac:dyDescent="0.25">
      <c r="M1247" s="382"/>
      <c r="BB1247" s="253" t="str">
        <f t="array" ref="BB1247">_xlfn.IFS(AQ1247="","",LEN(AQ1247)-LEN(SUBSTITUTE(AQ1247,".",""))=3,LEFT(AQ1247,vitri(".",AQ1247,3)-1),LEN(AQ1247)-LEN(SUBSTITUTE(AQ1247,".",""))=2,LEFT(AQ1247,vitri(".",AQ1247,2)-1),TRUE,LEFT(AQ1247,vitri(".",AQ1247,1)-1))</f>
        <v/>
      </c>
    </row>
    <row r="1248" spans="13:54" x14ac:dyDescent="0.25">
      <c r="M1248" s="382"/>
      <c r="BB1248" s="253" t="str">
        <f t="array" ref="BB1248">_xlfn.IFS(AQ1248="","",LEN(AQ1248)-LEN(SUBSTITUTE(AQ1248,".",""))=3,LEFT(AQ1248,vitri(".",AQ1248,3)-1),LEN(AQ1248)-LEN(SUBSTITUTE(AQ1248,".",""))=2,LEFT(AQ1248,vitri(".",AQ1248,2)-1),TRUE,LEFT(AQ1248,vitri(".",AQ1248,1)-1))</f>
        <v/>
      </c>
    </row>
    <row r="1249" spans="13:54" x14ac:dyDescent="0.25">
      <c r="M1249" s="382"/>
      <c r="BB1249" s="253" t="str">
        <f t="array" ref="BB1249">_xlfn.IFS(AQ1249="","",LEN(AQ1249)-LEN(SUBSTITUTE(AQ1249,".",""))=3,LEFT(AQ1249,vitri(".",AQ1249,3)-1),LEN(AQ1249)-LEN(SUBSTITUTE(AQ1249,".",""))=2,LEFT(AQ1249,vitri(".",AQ1249,2)-1),TRUE,LEFT(AQ1249,vitri(".",AQ1249,1)-1))</f>
        <v/>
      </c>
    </row>
    <row r="1250" spans="13:54" x14ac:dyDescent="0.25">
      <c r="M1250" s="382"/>
      <c r="BB1250" s="253" t="str">
        <f t="array" ref="BB1250">_xlfn.IFS(AQ1250="","",LEN(AQ1250)-LEN(SUBSTITUTE(AQ1250,".",""))=3,LEFT(AQ1250,vitri(".",AQ1250,3)-1),LEN(AQ1250)-LEN(SUBSTITUTE(AQ1250,".",""))=2,LEFT(AQ1250,vitri(".",AQ1250,2)-1),TRUE,LEFT(AQ1250,vitri(".",AQ1250,1)-1))</f>
        <v/>
      </c>
    </row>
    <row r="1251" spans="13:54" x14ac:dyDescent="0.25">
      <c r="M1251" s="382"/>
      <c r="BB1251" s="253" t="str">
        <f t="array" ref="BB1251">_xlfn.IFS(AQ1251="","",LEN(AQ1251)-LEN(SUBSTITUTE(AQ1251,".",""))=3,LEFT(AQ1251,vitri(".",AQ1251,3)-1),LEN(AQ1251)-LEN(SUBSTITUTE(AQ1251,".",""))=2,LEFT(AQ1251,vitri(".",AQ1251,2)-1),TRUE,LEFT(AQ1251,vitri(".",AQ1251,1)-1))</f>
        <v/>
      </c>
    </row>
    <row r="1252" spans="13:54" x14ac:dyDescent="0.25">
      <c r="M1252" s="382"/>
      <c r="BB1252" s="253" t="str">
        <f t="array" ref="BB1252">_xlfn.IFS(AQ1252="","",LEN(AQ1252)-LEN(SUBSTITUTE(AQ1252,".",""))=3,LEFT(AQ1252,vitri(".",AQ1252,3)-1),LEN(AQ1252)-LEN(SUBSTITUTE(AQ1252,".",""))=2,LEFT(AQ1252,vitri(".",AQ1252,2)-1),TRUE,LEFT(AQ1252,vitri(".",AQ1252,1)-1))</f>
        <v/>
      </c>
    </row>
    <row r="1253" spans="13:54" x14ac:dyDescent="0.25">
      <c r="M1253" s="382"/>
      <c r="BB1253" s="253" t="str">
        <f t="array" ref="BB1253">_xlfn.IFS(AQ1253="","",LEN(AQ1253)-LEN(SUBSTITUTE(AQ1253,".",""))=3,LEFT(AQ1253,vitri(".",AQ1253,3)-1),LEN(AQ1253)-LEN(SUBSTITUTE(AQ1253,".",""))=2,LEFT(AQ1253,vitri(".",AQ1253,2)-1),TRUE,LEFT(AQ1253,vitri(".",AQ1253,1)-1))</f>
        <v/>
      </c>
    </row>
    <row r="1254" spans="13:54" x14ac:dyDescent="0.25">
      <c r="M1254" s="382"/>
      <c r="BB1254" s="253" t="str">
        <f t="array" ref="BB1254">_xlfn.IFS(AQ1254="","",LEN(AQ1254)-LEN(SUBSTITUTE(AQ1254,".",""))=3,LEFT(AQ1254,vitri(".",AQ1254,3)-1),LEN(AQ1254)-LEN(SUBSTITUTE(AQ1254,".",""))=2,LEFT(AQ1254,vitri(".",AQ1254,2)-1),TRUE,LEFT(AQ1254,vitri(".",AQ1254,1)-1))</f>
        <v/>
      </c>
    </row>
    <row r="1255" spans="13:54" x14ac:dyDescent="0.25">
      <c r="M1255" s="382"/>
      <c r="BB1255" s="253" t="str">
        <f t="array" ref="BB1255">_xlfn.IFS(AQ1255="","",LEN(AQ1255)-LEN(SUBSTITUTE(AQ1255,".",""))=3,LEFT(AQ1255,vitri(".",AQ1255,3)-1),LEN(AQ1255)-LEN(SUBSTITUTE(AQ1255,".",""))=2,LEFT(AQ1255,vitri(".",AQ1255,2)-1),TRUE,LEFT(AQ1255,vitri(".",AQ1255,1)-1))</f>
        <v/>
      </c>
    </row>
    <row r="1256" spans="13:54" x14ac:dyDescent="0.25">
      <c r="M1256" s="382"/>
      <c r="BB1256" s="253" t="str">
        <f t="array" ref="BB1256">_xlfn.IFS(AQ1256="","",LEN(AQ1256)-LEN(SUBSTITUTE(AQ1256,".",""))=3,LEFT(AQ1256,vitri(".",AQ1256,3)-1),LEN(AQ1256)-LEN(SUBSTITUTE(AQ1256,".",""))=2,LEFT(AQ1256,vitri(".",AQ1256,2)-1),TRUE,LEFT(AQ1256,vitri(".",AQ1256,1)-1))</f>
        <v/>
      </c>
    </row>
    <row r="1257" spans="13:54" x14ac:dyDescent="0.25">
      <c r="M1257" s="382"/>
      <c r="BB1257" s="253" t="str">
        <f t="array" ref="BB1257">_xlfn.IFS(AQ1257="","",LEN(AQ1257)-LEN(SUBSTITUTE(AQ1257,".",""))=3,LEFT(AQ1257,vitri(".",AQ1257,3)-1),LEN(AQ1257)-LEN(SUBSTITUTE(AQ1257,".",""))=2,LEFT(AQ1257,vitri(".",AQ1257,2)-1),TRUE,LEFT(AQ1257,vitri(".",AQ1257,1)-1))</f>
        <v/>
      </c>
    </row>
    <row r="1258" spans="13:54" x14ac:dyDescent="0.25">
      <c r="M1258" s="382"/>
      <c r="BB1258" s="253" t="str">
        <f t="array" ref="BB1258">_xlfn.IFS(AQ1258="","",LEN(AQ1258)-LEN(SUBSTITUTE(AQ1258,".",""))=3,LEFT(AQ1258,vitri(".",AQ1258,3)-1),LEN(AQ1258)-LEN(SUBSTITUTE(AQ1258,".",""))=2,LEFT(AQ1258,vitri(".",AQ1258,2)-1),TRUE,LEFT(AQ1258,vitri(".",AQ1258,1)-1))</f>
        <v/>
      </c>
    </row>
    <row r="1259" spans="13:54" x14ac:dyDescent="0.25">
      <c r="M1259" s="382"/>
      <c r="BB1259" s="253" t="str">
        <f t="array" ref="BB1259">_xlfn.IFS(AQ1259="","",LEN(AQ1259)-LEN(SUBSTITUTE(AQ1259,".",""))=3,LEFT(AQ1259,vitri(".",AQ1259,3)-1),LEN(AQ1259)-LEN(SUBSTITUTE(AQ1259,".",""))=2,LEFT(AQ1259,vitri(".",AQ1259,2)-1),TRUE,LEFT(AQ1259,vitri(".",AQ1259,1)-1))</f>
        <v/>
      </c>
    </row>
    <row r="1260" spans="13:54" x14ac:dyDescent="0.25">
      <c r="M1260" s="382"/>
      <c r="BB1260" s="253" t="str">
        <f t="array" ref="BB1260">_xlfn.IFS(AQ1260="","",LEN(AQ1260)-LEN(SUBSTITUTE(AQ1260,".",""))=3,LEFT(AQ1260,vitri(".",AQ1260,3)-1),LEN(AQ1260)-LEN(SUBSTITUTE(AQ1260,".",""))=2,LEFT(AQ1260,vitri(".",AQ1260,2)-1),TRUE,LEFT(AQ1260,vitri(".",AQ1260,1)-1))</f>
        <v/>
      </c>
    </row>
    <row r="1261" spans="13:54" x14ac:dyDescent="0.25">
      <c r="M1261" s="382"/>
      <c r="BB1261" s="253" t="str">
        <f t="array" ref="BB1261">_xlfn.IFS(AQ1261="","",LEN(AQ1261)-LEN(SUBSTITUTE(AQ1261,".",""))=3,LEFT(AQ1261,vitri(".",AQ1261,3)-1),LEN(AQ1261)-LEN(SUBSTITUTE(AQ1261,".",""))=2,LEFT(AQ1261,vitri(".",AQ1261,2)-1),TRUE,LEFT(AQ1261,vitri(".",AQ1261,1)-1))</f>
        <v/>
      </c>
    </row>
    <row r="1262" spans="13:54" x14ac:dyDescent="0.25">
      <c r="M1262" s="382"/>
      <c r="BB1262" s="253" t="str">
        <f t="array" ref="BB1262">_xlfn.IFS(AQ1262="","",LEN(AQ1262)-LEN(SUBSTITUTE(AQ1262,".",""))=3,LEFT(AQ1262,vitri(".",AQ1262,3)-1),LEN(AQ1262)-LEN(SUBSTITUTE(AQ1262,".",""))=2,LEFT(AQ1262,vitri(".",AQ1262,2)-1),TRUE,LEFT(AQ1262,vitri(".",AQ1262,1)-1))</f>
        <v/>
      </c>
    </row>
    <row r="1263" spans="13:54" x14ac:dyDescent="0.25">
      <c r="M1263" s="382"/>
      <c r="BB1263" s="253" t="str">
        <f t="array" ref="BB1263">_xlfn.IFS(AQ1263="","",LEN(AQ1263)-LEN(SUBSTITUTE(AQ1263,".",""))=3,LEFT(AQ1263,vitri(".",AQ1263,3)-1),LEN(AQ1263)-LEN(SUBSTITUTE(AQ1263,".",""))=2,LEFT(AQ1263,vitri(".",AQ1263,2)-1),TRUE,LEFT(AQ1263,vitri(".",AQ1263,1)-1))</f>
        <v/>
      </c>
    </row>
    <row r="1264" spans="13:54" x14ac:dyDescent="0.25">
      <c r="M1264" s="382"/>
      <c r="BB1264" s="253" t="str">
        <f t="array" ref="BB1264">_xlfn.IFS(AQ1264="","",LEN(AQ1264)-LEN(SUBSTITUTE(AQ1264,".",""))=3,LEFT(AQ1264,vitri(".",AQ1264,3)-1),LEN(AQ1264)-LEN(SUBSTITUTE(AQ1264,".",""))=2,LEFT(AQ1264,vitri(".",AQ1264,2)-1),TRUE,LEFT(AQ1264,vitri(".",AQ1264,1)-1))</f>
        <v/>
      </c>
    </row>
    <row r="1265" spans="13:54" x14ac:dyDescent="0.25">
      <c r="M1265" s="382"/>
      <c r="BB1265" s="253" t="str">
        <f t="array" ref="BB1265">_xlfn.IFS(AQ1265="","",LEN(AQ1265)-LEN(SUBSTITUTE(AQ1265,".",""))=3,LEFT(AQ1265,vitri(".",AQ1265,3)-1),LEN(AQ1265)-LEN(SUBSTITUTE(AQ1265,".",""))=2,LEFT(AQ1265,vitri(".",AQ1265,2)-1),TRUE,LEFT(AQ1265,vitri(".",AQ1265,1)-1))</f>
        <v/>
      </c>
    </row>
    <row r="1266" spans="13:54" x14ac:dyDescent="0.25">
      <c r="M1266" s="382"/>
      <c r="BB1266" s="253" t="str">
        <f t="array" ref="BB1266">_xlfn.IFS(AQ1266="","",LEN(AQ1266)-LEN(SUBSTITUTE(AQ1266,".",""))=3,LEFT(AQ1266,vitri(".",AQ1266,3)-1),LEN(AQ1266)-LEN(SUBSTITUTE(AQ1266,".",""))=2,LEFT(AQ1266,vitri(".",AQ1266,2)-1),TRUE,LEFT(AQ1266,vitri(".",AQ1266,1)-1))</f>
        <v/>
      </c>
    </row>
    <row r="1267" spans="13:54" x14ac:dyDescent="0.25">
      <c r="M1267" s="382"/>
      <c r="BB1267" s="253" t="str">
        <f t="array" ref="BB1267">_xlfn.IFS(AQ1267="","",LEN(AQ1267)-LEN(SUBSTITUTE(AQ1267,".",""))=3,LEFT(AQ1267,vitri(".",AQ1267,3)-1),LEN(AQ1267)-LEN(SUBSTITUTE(AQ1267,".",""))=2,LEFT(AQ1267,vitri(".",AQ1267,2)-1),TRUE,LEFT(AQ1267,vitri(".",AQ1267,1)-1))</f>
        <v/>
      </c>
    </row>
    <row r="1268" spans="13:54" x14ac:dyDescent="0.25">
      <c r="M1268" s="382"/>
      <c r="BB1268" s="253" t="str">
        <f t="array" ref="BB1268">_xlfn.IFS(AQ1268="","",LEN(AQ1268)-LEN(SUBSTITUTE(AQ1268,".",""))=3,LEFT(AQ1268,vitri(".",AQ1268,3)-1),LEN(AQ1268)-LEN(SUBSTITUTE(AQ1268,".",""))=2,LEFT(AQ1268,vitri(".",AQ1268,2)-1),TRUE,LEFT(AQ1268,vitri(".",AQ1268,1)-1))</f>
        <v/>
      </c>
    </row>
    <row r="1269" spans="13:54" x14ac:dyDescent="0.25">
      <c r="M1269" s="382"/>
      <c r="BB1269" s="253" t="str">
        <f t="array" ref="BB1269">_xlfn.IFS(AQ1269="","",LEN(AQ1269)-LEN(SUBSTITUTE(AQ1269,".",""))=3,LEFT(AQ1269,vitri(".",AQ1269,3)-1),LEN(AQ1269)-LEN(SUBSTITUTE(AQ1269,".",""))=2,LEFT(AQ1269,vitri(".",AQ1269,2)-1),TRUE,LEFT(AQ1269,vitri(".",AQ1269,1)-1))</f>
        <v/>
      </c>
    </row>
    <row r="1270" spans="13:54" x14ac:dyDescent="0.25">
      <c r="M1270" s="382"/>
      <c r="BB1270" s="253" t="str">
        <f t="array" ref="BB1270">_xlfn.IFS(AQ1270="","",LEN(AQ1270)-LEN(SUBSTITUTE(AQ1270,".",""))=3,LEFT(AQ1270,vitri(".",AQ1270,3)-1),LEN(AQ1270)-LEN(SUBSTITUTE(AQ1270,".",""))=2,LEFT(AQ1270,vitri(".",AQ1270,2)-1),TRUE,LEFT(AQ1270,vitri(".",AQ1270,1)-1))</f>
        <v/>
      </c>
    </row>
    <row r="1271" spans="13:54" x14ac:dyDescent="0.25">
      <c r="M1271" s="382"/>
      <c r="BB1271" s="253" t="str">
        <f t="array" ref="BB1271">_xlfn.IFS(AQ1271="","",LEN(AQ1271)-LEN(SUBSTITUTE(AQ1271,".",""))=3,LEFT(AQ1271,vitri(".",AQ1271,3)-1),LEN(AQ1271)-LEN(SUBSTITUTE(AQ1271,".",""))=2,LEFT(AQ1271,vitri(".",AQ1271,2)-1),TRUE,LEFT(AQ1271,vitri(".",AQ1271,1)-1))</f>
        <v/>
      </c>
    </row>
    <row r="1272" spans="13:54" x14ac:dyDescent="0.25">
      <c r="M1272" s="382"/>
      <c r="BB1272" s="253" t="str">
        <f t="array" ref="BB1272">_xlfn.IFS(AQ1272="","",LEN(AQ1272)-LEN(SUBSTITUTE(AQ1272,".",""))=3,LEFT(AQ1272,vitri(".",AQ1272,3)-1),LEN(AQ1272)-LEN(SUBSTITUTE(AQ1272,".",""))=2,LEFT(AQ1272,vitri(".",AQ1272,2)-1),TRUE,LEFT(AQ1272,vitri(".",AQ1272,1)-1))</f>
        <v/>
      </c>
    </row>
    <row r="1273" spans="13:54" x14ac:dyDescent="0.25">
      <c r="M1273" s="382"/>
      <c r="BB1273" s="253" t="str">
        <f t="array" ref="BB1273">_xlfn.IFS(AQ1273="","",LEN(AQ1273)-LEN(SUBSTITUTE(AQ1273,".",""))=3,LEFT(AQ1273,vitri(".",AQ1273,3)-1),LEN(AQ1273)-LEN(SUBSTITUTE(AQ1273,".",""))=2,LEFT(AQ1273,vitri(".",AQ1273,2)-1),TRUE,LEFT(AQ1273,vitri(".",AQ1273,1)-1))</f>
        <v/>
      </c>
    </row>
    <row r="1274" spans="13:54" x14ac:dyDescent="0.25">
      <c r="M1274" s="382"/>
      <c r="BB1274" s="253" t="str">
        <f t="array" ref="BB1274">_xlfn.IFS(AQ1274="","",LEN(AQ1274)-LEN(SUBSTITUTE(AQ1274,".",""))=3,LEFT(AQ1274,vitri(".",AQ1274,3)-1),LEN(AQ1274)-LEN(SUBSTITUTE(AQ1274,".",""))=2,LEFT(AQ1274,vitri(".",AQ1274,2)-1),TRUE,LEFT(AQ1274,vitri(".",AQ1274,1)-1))</f>
        <v/>
      </c>
    </row>
    <row r="1275" spans="13:54" x14ac:dyDescent="0.25">
      <c r="M1275" s="382"/>
      <c r="BB1275" s="253" t="str">
        <f t="array" ref="BB1275">_xlfn.IFS(AQ1275="","",LEN(AQ1275)-LEN(SUBSTITUTE(AQ1275,".",""))=3,LEFT(AQ1275,vitri(".",AQ1275,3)-1),LEN(AQ1275)-LEN(SUBSTITUTE(AQ1275,".",""))=2,LEFT(AQ1275,vitri(".",AQ1275,2)-1),TRUE,LEFT(AQ1275,vitri(".",AQ1275,1)-1))</f>
        <v/>
      </c>
    </row>
    <row r="1276" spans="13:54" x14ac:dyDescent="0.25">
      <c r="M1276" s="382"/>
      <c r="BB1276" s="253" t="str">
        <f t="array" ref="BB1276">_xlfn.IFS(AQ1276="","",LEN(AQ1276)-LEN(SUBSTITUTE(AQ1276,".",""))=3,LEFT(AQ1276,vitri(".",AQ1276,3)-1),LEN(AQ1276)-LEN(SUBSTITUTE(AQ1276,".",""))=2,LEFT(AQ1276,vitri(".",AQ1276,2)-1),TRUE,LEFT(AQ1276,vitri(".",AQ1276,1)-1))</f>
        <v/>
      </c>
    </row>
    <row r="1277" spans="13:54" x14ac:dyDescent="0.25">
      <c r="M1277" s="382"/>
      <c r="BB1277" s="253" t="str">
        <f t="array" ref="BB1277">_xlfn.IFS(AQ1277="","",LEN(AQ1277)-LEN(SUBSTITUTE(AQ1277,".",""))=3,LEFT(AQ1277,vitri(".",AQ1277,3)-1),LEN(AQ1277)-LEN(SUBSTITUTE(AQ1277,".",""))=2,LEFT(AQ1277,vitri(".",AQ1277,2)-1),TRUE,LEFT(AQ1277,vitri(".",AQ1277,1)-1))</f>
        <v/>
      </c>
    </row>
    <row r="1278" spans="13:54" x14ac:dyDescent="0.25">
      <c r="M1278" s="382"/>
      <c r="BB1278" s="253" t="str">
        <f t="array" ref="BB1278">_xlfn.IFS(AQ1278="","",LEN(AQ1278)-LEN(SUBSTITUTE(AQ1278,".",""))=3,LEFT(AQ1278,vitri(".",AQ1278,3)-1),LEN(AQ1278)-LEN(SUBSTITUTE(AQ1278,".",""))=2,LEFT(AQ1278,vitri(".",AQ1278,2)-1),TRUE,LEFT(AQ1278,vitri(".",AQ1278,1)-1))</f>
        <v/>
      </c>
    </row>
    <row r="1279" spans="13:54" x14ac:dyDescent="0.25">
      <c r="M1279" s="382"/>
      <c r="BB1279" s="253" t="str">
        <f t="array" ref="BB1279">_xlfn.IFS(AQ1279="","",LEN(AQ1279)-LEN(SUBSTITUTE(AQ1279,".",""))=3,LEFT(AQ1279,vitri(".",AQ1279,3)-1),LEN(AQ1279)-LEN(SUBSTITUTE(AQ1279,".",""))=2,LEFT(AQ1279,vitri(".",AQ1279,2)-1),TRUE,LEFT(AQ1279,vitri(".",AQ1279,1)-1))</f>
        <v/>
      </c>
    </row>
    <row r="1280" spans="13:54" x14ac:dyDescent="0.25">
      <c r="M1280" s="382"/>
      <c r="BB1280" s="253" t="str">
        <f t="array" ref="BB1280">_xlfn.IFS(AQ1280="","",LEN(AQ1280)-LEN(SUBSTITUTE(AQ1280,".",""))=3,LEFT(AQ1280,vitri(".",AQ1280,3)-1),LEN(AQ1280)-LEN(SUBSTITUTE(AQ1280,".",""))=2,LEFT(AQ1280,vitri(".",AQ1280,2)-1),TRUE,LEFT(AQ1280,vitri(".",AQ1280,1)-1))</f>
        <v/>
      </c>
    </row>
    <row r="1281" spans="13:54" x14ac:dyDescent="0.25">
      <c r="M1281" s="382"/>
      <c r="BB1281" s="253" t="str">
        <f t="array" ref="BB1281">_xlfn.IFS(AQ1281="","",LEN(AQ1281)-LEN(SUBSTITUTE(AQ1281,".",""))=3,LEFT(AQ1281,vitri(".",AQ1281,3)-1),LEN(AQ1281)-LEN(SUBSTITUTE(AQ1281,".",""))=2,LEFT(AQ1281,vitri(".",AQ1281,2)-1),TRUE,LEFT(AQ1281,vitri(".",AQ1281,1)-1))</f>
        <v/>
      </c>
    </row>
    <row r="1282" spans="13:54" x14ac:dyDescent="0.25">
      <c r="M1282" s="382"/>
      <c r="BB1282" s="253" t="str">
        <f t="array" ref="BB1282">_xlfn.IFS(AQ1282="","",LEN(AQ1282)-LEN(SUBSTITUTE(AQ1282,".",""))=3,LEFT(AQ1282,vitri(".",AQ1282,3)-1),LEN(AQ1282)-LEN(SUBSTITUTE(AQ1282,".",""))=2,LEFT(AQ1282,vitri(".",AQ1282,2)-1),TRUE,LEFT(AQ1282,vitri(".",AQ1282,1)-1))</f>
        <v/>
      </c>
    </row>
    <row r="1283" spans="13:54" x14ac:dyDescent="0.25">
      <c r="M1283" s="382"/>
      <c r="BB1283" s="253" t="str">
        <f t="array" ref="BB1283">_xlfn.IFS(AQ1283="","",LEN(AQ1283)-LEN(SUBSTITUTE(AQ1283,".",""))=3,LEFT(AQ1283,vitri(".",AQ1283,3)-1),LEN(AQ1283)-LEN(SUBSTITUTE(AQ1283,".",""))=2,LEFT(AQ1283,vitri(".",AQ1283,2)-1),TRUE,LEFT(AQ1283,vitri(".",AQ1283,1)-1))</f>
        <v/>
      </c>
    </row>
    <row r="1284" spans="13:54" x14ac:dyDescent="0.25">
      <c r="M1284" s="382"/>
      <c r="BB1284" s="253" t="str">
        <f t="array" ref="BB1284">_xlfn.IFS(AQ1284="","",LEN(AQ1284)-LEN(SUBSTITUTE(AQ1284,".",""))=3,LEFT(AQ1284,vitri(".",AQ1284,3)-1),LEN(AQ1284)-LEN(SUBSTITUTE(AQ1284,".",""))=2,LEFT(AQ1284,vitri(".",AQ1284,2)-1),TRUE,LEFT(AQ1284,vitri(".",AQ1284,1)-1))</f>
        <v/>
      </c>
    </row>
    <row r="1285" spans="13:54" x14ac:dyDescent="0.25">
      <c r="M1285" s="382"/>
      <c r="BB1285" s="253" t="str">
        <f t="array" ref="BB1285">_xlfn.IFS(AQ1285="","",LEN(AQ1285)-LEN(SUBSTITUTE(AQ1285,".",""))=3,LEFT(AQ1285,vitri(".",AQ1285,3)-1),LEN(AQ1285)-LEN(SUBSTITUTE(AQ1285,".",""))=2,LEFT(AQ1285,vitri(".",AQ1285,2)-1),TRUE,LEFT(AQ1285,vitri(".",AQ1285,1)-1))</f>
        <v/>
      </c>
    </row>
    <row r="1286" spans="13:54" x14ac:dyDescent="0.25">
      <c r="M1286" s="382"/>
      <c r="BB1286" s="253" t="str">
        <f t="array" ref="BB1286">_xlfn.IFS(AQ1286="","",LEN(AQ1286)-LEN(SUBSTITUTE(AQ1286,".",""))=3,LEFT(AQ1286,vitri(".",AQ1286,3)-1),LEN(AQ1286)-LEN(SUBSTITUTE(AQ1286,".",""))=2,LEFT(AQ1286,vitri(".",AQ1286,2)-1),TRUE,LEFT(AQ1286,vitri(".",AQ1286,1)-1))</f>
        <v/>
      </c>
    </row>
    <row r="1287" spans="13:54" x14ac:dyDescent="0.25">
      <c r="M1287" s="382"/>
      <c r="BB1287" s="253" t="str">
        <f t="array" ref="BB1287">_xlfn.IFS(AQ1287="","",LEN(AQ1287)-LEN(SUBSTITUTE(AQ1287,".",""))=3,LEFT(AQ1287,vitri(".",AQ1287,3)-1),LEN(AQ1287)-LEN(SUBSTITUTE(AQ1287,".",""))=2,LEFT(AQ1287,vitri(".",AQ1287,2)-1),TRUE,LEFT(AQ1287,vitri(".",AQ1287,1)-1))</f>
        <v/>
      </c>
    </row>
    <row r="1288" spans="13:54" x14ac:dyDescent="0.25">
      <c r="M1288" s="382"/>
      <c r="BB1288" s="253" t="str">
        <f t="array" ref="BB1288">_xlfn.IFS(AQ1288="","",LEN(AQ1288)-LEN(SUBSTITUTE(AQ1288,".",""))=3,LEFT(AQ1288,vitri(".",AQ1288,3)-1),LEN(AQ1288)-LEN(SUBSTITUTE(AQ1288,".",""))=2,LEFT(AQ1288,vitri(".",AQ1288,2)-1),TRUE,LEFT(AQ1288,vitri(".",AQ1288,1)-1))</f>
        <v/>
      </c>
    </row>
    <row r="1289" spans="13:54" x14ac:dyDescent="0.25">
      <c r="M1289" s="382"/>
      <c r="BB1289" s="253" t="str">
        <f t="array" ref="BB1289">_xlfn.IFS(AQ1289="","",LEN(AQ1289)-LEN(SUBSTITUTE(AQ1289,".",""))=3,LEFT(AQ1289,vitri(".",AQ1289,3)-1),LEN(AQ1289)-LEN(SUBSTITUTE(AQ1289,".",""))=2,LEFT(AQ1289,vitri(".",AQ1289,2)-1),TRUE,LEFT(AQ1289,vitri(".",AQ1289,1)-1))</f>
        <v/>
      </c>
    </row>
    <row r="1290" spans="13:54" x14ac:dyDescent="0.25">
      <c r="M1290" s="382"/>
      <c r="BB1290" s="253" t="str">
        <f t="array" ref="BB1290">_xlfn.IFS(AQ1290="","",LEN(AQ1290)-LEN(SUBSTITUTE(AQ1290,".",""))=3,LEFT(AQ1290,vitri(".",AQ1290,3)-1),LEN(AQ1290)-LEN(SUBSTITUTE(AQ1290,".",""))=2,LEFT(AQ1290,vitri(".",AQ1290,2)-1),TRUE,LEFT(AQ1290,vitri(".",AQ1290,1)-1))</f>
        <v/>
      </c>
    </row>
    <row r="1291" spans="13:54" x14ac:dyDescent="0.25">
      <c r="M1291" s="382"/>
      <c r="BB1291" s="253" t="str">
        <f t="array" ref="BB1291">_xlfn.IFS(AQ1291="","",LEN(AQ1291)-LEN(SUBSTITUTE(AQ1291,".",""))=3,LEFT(AQ1291,vitri(".",AQ1291,3)-1),LEN(AQ1291)-LEN(SUBSTITUTE(AQ1291,".",""))=2,LEFT(AQ1291,vitri(".",AQ1291,2)-1),TRUE,LEFT(AQ1291,vitri(".",AQ1291,1)-1))</f>
        <v/>
      </c>
    </row>
    <row r="1292" spans="13:54" x14ac:dyDescent="0.25">
      <c r="M1292" s="382"/>
      <c r="BB1292" s="253" t="str">
        <f t="array" ref="BB1292">_xlfn.IFS(AQ1292="","",LEN(AQ1292)-LEN(SUBSTITUTE(AQ1292,".",""))=3,LEFT(AQ1292,vitri(".",AQ1292,3)-1),LEN(AQ1292)-LEN(SUBSTITUTE(AQ1292,".",""))=2,LEFT(AQ1292,vitri(".",AQ1292,2)-1),TRUE,LEFT(AQ1292,vitri(".",AQ1292,1)-1))</f>
        <v/>
      </c>
    </row>
    <row r="1293" spans="13:54" x14ac:dyDescent="0.25">
      <c r="M1293" s="382"/>
      <c r="BB1293" s="253" t="str">
        <f t="array" ref="BB1293">_xlfn.IFS(AQ1293="","",LEN(AQ1293)-LEN(SUBSTITUTE(AQ1293,".",""))=3,LEFT(AQ1293,vitri(".",AQ1293,3)-1),LEN(AQ1293)-LEN(SUBSTITUTE(AQ1293,".",""))=2,LEFT(AQ1293,vitri(".",AQ1293,2)-1),TRUE,LEFT(AQ1293,vitri(".",AQ1293,1)-1))</f>
        <v/>
      </c>
    </row>
    <row r="1294" spans="13:54" x14ac:dyDescent="0.25">
      <c r="M1294" s="382"/>
      <c r="BB1294" s="253" t="str">
        <f t="array" ref="BB1294">_xlfn.IFS(AQ1294="","",LEN(AQ1294)-LEN(SUBSTITUTE(AQ1294,".",""))=3,LEFT(AQ1294,vitri(".",AQ1294,3)-1),LEN(AQ1294)-LEN(SUBSTITUTE(AQ1294,".",""))=2,LEFT(AQ1294,vitri(".",AQ1294,2)-1),TRUE,LEFT(AQ1294,vitri(".",AQ1294,1)-1))</f>
        <v/>
      </c>
    </row>
    <row r="1295" spans="13:54" x14ac:dyDescent="0.25">
      <c r="M1295" s="382"/>
      <c r="BB1295" s="253" t="str">
        <f t="array" ref="BB1295">_xlfn.IFS(AQ1295="","",LEN(AQ1295)-LEN(SUBSTITUTE(AQ1295,".",""))=3,LEFT(AQ1295,vitri(".",AQ1295,3)-1),LEN(AQ1295)-LEN(SUBSTITUTE(AQ1295,".",""))=2,LEFT(AQ1295,vitri(".",AQ1295,2)-1),TRUE,LEFT(AQ1295,vitri(".",AQ1295,1)-1))</f>
        <v/>
      </c>
    </row>
    <row r="1296" spans="13:54" x14ac:dyDescent="0.25">
      <c r="M1296" s="382"/>
      <c r="BB1296" s="253" t="str">
        <f t="array" ref="BB1296">_xlfn.IFS(AQ1296="","",LEN(AQ1296)-LEN(SUBSTITUTE(AQ1296,".",""))=3,LEFT(AQ1296,vitri(".",AQ1296,3)-1),LEN(AQ1296)-LEN(SUBSTITUTE(AQ1296,".",""))=2,LEFT(AQ1296,vitri(".",AQ1296,2)-1),TRUE,LEFT(AQ1296,vitri(".",AQ1296,1)-1))</f>
        <v/>
      </c>
    </row>
    <row r="1297" spans="13:54" x14ac:dyDescent="0.25">
      <c r="M1297" s="382"/>
      <c r="BB1297" s="253" t="str">
        <f t="array" ref="BB1297">_xlfn.IFS(AQ1297="","",LEN(AQ1297)-LEN(SUBSTITUTE(AQ1297,".",""))=3,LEFT(AQ1297,vitri(".",AQ1297,3)-1),LEN(AQ1297)-LEN(SUBSTITUTE(AQ1297,".",""))=2,LEFT(AQ1297,vitri(".",AQ1297,2)-1),TRUE,LEFT(AQ1297,vitri(".",AQ1297,1)-1))</f>
        <v/>
      </c>
    </row>
    <row r="1298" spans="13:54" x14ac:dyDescent="0.25">
      <c r="M1298" s="382"/>
      <c r="BB1298" s="253" t="str">
        <f t="array" ref="BB1298">_xlfn.IFS(AQ1298="","",LEN(AQ1298)-LEN(SUBSTITUTE(AQ1298,".",""))=3,LEFT(AQ1298,vitri(".",AQ1298,3)-1),LEN(AQ1298)-LEN(SUBSTITUTE(AQ1298,".",""))=2,LEFT(AQ1298,vitri(".",AQ1298,2)-1),TRUE,LEFT(AQ1298,vitri(".",AQ1298,1)-1))</f>
        <v/>
      </c>
    </row>
    <row r="1299" spans="13:54" x14ac:dyDescent="0.25">
      <c r="M1299" s="382"/>
      <c r="BB1299" s="253" t="str">
        <f t="array" ref="BB1299">_xlfn.IFS(AQ1299="","",LEN(AQ1299)-LEN(SUBSTITUTE(AQ1299,".",""))=3,LEFT(AQ1299,vitri(".",AQ1299,3)-1),LEN(AQ1299)-LEN(SUBSTITUTE(AQ1299,".",""))=2,LEFT(AQ1299,vitri(".",AQ1299,2)-1),TRUE,LEFT(AQ1299,vitri(".",AQ1299,1)-1))</f>
        <v/>
      </c>
    </row>
    <row r="1300" spans="13:54" x14ac:dyDescent="0.25">
      <c r="M1300" s="382"/>
      <c r="BB1300" s="253" t="str">
        <f t="array" ref="BB1300">_xlfn.IFS(AQ1300="","",LEN(AQ1300)-LEN(SUBSTITUTE(AQ1300,".",""))=3,LEFT(AQ1300,vitri(".",AQ1300,3)-1),LEN(AQ1300)-LEN(SUBSTITUTE(AQ1300,".",""))=2,LEFT(AQ1300,vitri(".",AQ1300,2)-1),TRUE,LEFT(AQ1300,vitri(".",AQ1300,1)-1))</f>
        <v/>
      </c>
    </row>
    <row r="1301" spans="13:54" x14ac:dyDescent="0.25">
      <c r="M1301" s="382"/>
      <c r="BB1301" s="253" t="str">
        <f t="array" ref="BB1301">_xlfn.IFS(AQ1301="","",LEN(AQ1301)-LEN(SUBSTITUTE(AQ1301,".",""))=3,LEFT(AQ1301,vitri(".",AQ1301,3)-1),LEN(AQ1301)-LEN(SUBSTITUTE(AQ1301,".",""))=2,LEFT(AQ1301,vitri(".",AQ1301,2)-1),TRUE,LEFT(AQ1301,vitri(".",AQ1301,1)-1))</f>
        <v/>
      </c>
    </row>
    <row r="1302" spans="13:54" x14ac:dyDescent="0.25">
      <c r="M1302" s="382"/>
      <c r="BB1302" s="253" t="str">
        <f t="array" ref="BB1302">_xlfn.IFS(AQ1302="","",LEN(AQ1302)-LEN(SUBSTITUTE(AQ1302,".",""))=3,LEFT(AQ1302,vitri(".",AQ1302,3)-1),LEN(AQ1302)-LEN(SUBSTITUTE(AQ1302,".",""))=2,LEFT(AQ1302,vitri(".",AQ1302,2)-1),TRUE,LEFT(AQ1302,vitri(".",AQ1302,1)-1))</f>
        <v/>
      </c>
    </row>
    <row r="1303" spans="13:54" x14ac:dyDescent="0.25">
      <c r="M1303" s="382"/>
      <c r="BB1303" s="253" t="str">
        <f t="array" ref="BB1303">_xlfn.IFS(AQ1303="","",LEN(AQ1303)-LEN(SUBSTITUTE(AQ1303,".",""))=3,LEFT(AQ1303,vitri(".",AQ1303,3)-1),LEN(AQ1303)-LEN(SUBSTITUTE(AQ1303,".",""))=2,LEFT(AQ1303,vitri(".",AQ1303,2)-1),TRUE,LEFT(AQ1303,vitri(".",AQ1303,1)-1))</f>
        <v/>
      </c>
    </row>
    <row r="1304" spans="13:54" x14ac:dyDescent="0.25">
      <c r="M1304" s="382"/>
      <c r="BB1304" s="253" t="str">
        <f t="array" ref="BB1304">_xlfn.IFS(AQ1304="","",LEN(AQ1304)-LEN(SUBSTITUTE(AQ1304,".",""))=3,LEFT(AQ1304,vitri(".",AQ1304,3)-1),LEN(AQ1304)-LEN(SUBSTITUTE(AQ1304,".",""))=2,LEFT(AQ1304,vitri(".",AQ1304,2)-1),TRUE,LEFT(AQ1304,vitri(".",AQ1304,1)-1))</f>
        <v/>
      </c>
    </row>
    <row r="1305" spans="13:54" x14ac:dyDescent="0.25">
      <c r="M1305" s="382"/>
      <c r="BB1305" s="253" t="str">
        <f t="array" ref="BB1305">_xlfn.IFS(AQ1305="","",LEN(AQ1305)-LEN(SUBSTITUTE(AQ1305,".",""))=3,LEFT(AQ1305,vitri(".",AQ1305,3)-1),LEN(AQ1305)-LEN(SUBSTITUTE(AQ1305,".",""))=2,LEFT(AQ1305,vitri(".",AQ1305,2)-1),TRUE,LEFT(AQ1305,vitri(".",AQ1305,1)-1))</f>
        <v/>
      </c>
    </row>
    <row r="1306" spans="13:54" x14ac:dyDescent="0.25">
      <c r="M1306" s="382"/>
      <c r="BB1306" s="253" t="str">
        <f t="array" ref="BB1306">_xlfn.IFS(AQ1306="","",LEN(AQ1306)-LEN(SUBSTITUTE(AQ1306,".",""))=3,LEFT(AQ1306,vitri(".",AQ1306,3)-1),LEN(AQ1306)-LEN(SUBSTITUTE(AQ1306,".",""))=2,LEFT(AQ1306,vitri(".",AQ1306,2)-1),TRUE,LEFT(AQ1306,vitri(".",AQ1306,1)-1))</f>
        <v/>
      </c>
    </row>
    <row r="1307" spans="13:54" x14ac:dyDescent="0.25">
      <c r="M1307" s="382"/>
      <c r="BB1307" s="253" t="str">
        <f t="array" ref="BB1307">_xlfn.IFS(AQ1307="","",LEN(AQ1307)-LEN(SUBSTITUTE(AQ1307,".",""))=3,LEFT(AQ1307,vitri(".",AQ1307,3)-1),LEN(AQ1307)-LEN(SUBSTITUTE(AQ1307,".",""))=2,LEFT(AQ1307,vitri(".",AQ1307,2)-1),TRUE,LEFT(AQ1307,vitri(".",AQ1307,1)-1))</f>
        <v/>
      </c>
    </row>
    <row r="1308" spans="13:54" x14ac:dyDescent="0.25">
      <c r="M1308" s="382"/>
      <c r="BB1308" s="253" t="str">
        <f t="array" ref="BB1308">_xlfn.IFS(AQ1308="","",LEN(AQ1308)-LEN(SUBSTITUTE(AQ1308,".",""))=3,LEFT(AQ1308,vitri(".",AQ1308,3)-1),LEN(AQ1308)-LEN(SUBSTITUTE(AQ1308,".",""))=2,LEFT(AQ1308,vitri(".",AQ1308,2)-1),TRUE,LEFT(AQ1308,vitri(".",AQ1308,1)-1))</f>
        <v/>
      </c>
    </row>
    <row r="1309" spans="13:54" x14ac:dyDescent="0.25">
      <c r="M1309" s="382"/>
      <c r="BB1309" s="253" t="str">
        <f t="array" ref="BB1309">_xlfn.IFS(AQ1309="","",LEN(AQ1309)-LEN(SUBSTITUTE(AQ1309,".",""))=3,LEFT(AQ1309,vitri(".",AQ1309,3)-1),LEN(AQ1309)-LEN(SUBSTITUTE(AQ1309,".",""))=2,LEFT(AQ1309,vitri(".",AQ1309,2)-1),TRUE,LEFT(AQ1309,vitri(".",AQ1309,1)-1))</f>
        <v/>
      </c>
    </row>
    <row r="1310" spans="13:54" x14ac:dyDescent="0.25">
      <c r="M1310" s="382"/>
      <c r="BB1310" s="253" t="str">
        <f t="array" ref="BB1310">_xlfn.IFS(AQ1310="","",LEN(AQ1310)-LEN(SUBSTITUTE(AQ1310,".",""))=3,LEFT(AQ1310,vitri(".",AQ1310,3)-1),LEN(AQ1310)-LEN(SUBSTITUTE(AQ1310,".",""))=2,LEFT(AQ1310,vitri(".",AQ1310,2)-1),TRUE,LEFT(AQ1310,vitri(".",AQ1310,1)-1))</f>
        <v/>
      </c>
    </row>
    <row r="1311" spans="13:54" x14ac:dyDescent="0.25">
      <c r="M1311" s="382"/>
      <c r="BB1311" s="253" t="str">
        <f t="array" ref="BB1311">_xlfn.IFS(AQ1311="","",LEN(AQ1311)-LEN(SUBSTITUTE(AQ1311,".",""))=3,LEFT(AQ1311,vitri(".",AQ1311,3)-1),LEN(AQ1311)-LEN(SUBSTITUTE(AQ1311,".",""))=2,LEFT(AQ1311,vitri(".",AQ1311,2)-1),TRUE,LEFT(AQ1311,vitri(".",AQ1311,1)-1))</f>
        <v/>
      </c>
    </row>
    <row r="1312" spans="13:54" x14ac:dyDescent="0.25">
      <c r="M1312" s="382"/>
      <c r="BB1312" s="253" t="str">
        <f t="array" ref="BB1312">_xlfn.IFS(AQ1312="","",LEN(AQ1312)-LEN(SUBSTITUTE(AQ1312,".",""))=3,LEFT(AQ1312,vitri(".",AQ1312,3)-1),LEN(AQ1312)-LEN(SUBSTITUTE(AQ1312,".",""))=2,LEFT(AQ1312,vitri(".",AQ1312,2)-1),TRUE,LEFT(AQ1312,vitri(".",AQ1312,1)-1))</f>
        <v/>
      </c>
    </row>
    <row r="1313" spans="13:54" x14ac:dyDescent="0.25">
      <c r="M1313" s="382"/>
      <c r="BB1313" s="253" t="str">
        <f t="array" ref="BB1313">_xlfn.IFS(AQ1313="","",LEN(AQ1313)-LEN(SUBSTITUTE(AQ1313,".",""))=3,LEFT(AQ1313,vitri(".",AQ1313,3)-1),LEN(AQ1313)-LEN(SUBSTITUTE(AQ1313,".",""))=2,LEFT(AQ1313,vitri(".",AQ1313,2)-1),TRUE,LEFT(AQ1313,vitri(".",AQ1313,1)-1))</f>
        <v/>
      </c>
    </row>
    <row r="1314" spans="13:54" x14ac:dyDescent="0.25">
      <c r="M1314" s="382"/>
      <c r="BB1314" s="253" t="str">
        <f t="array" ref="BB1314">_xlfn.IFS(AQ1314="","",LEN(AQ1314)-LEN(SUBSTITUTE(AQ1314,".",""))=3,LEFT(AQ1314,vitri(".",AQ1314,3)-1),LEN(AQ1314)-LEN(SUBSTITUTE(AQ1314,".",""))=2,LEFT(AQ1314,vitri(".",AQ1314,2)-1),TRUE,LEFT(AQ1314,vitri(".",AQ1314,1)-1))</f>
        <v/>
      </c>
    </row>
    <row r="1315" spans="13:54" x14ac:dyDescent="0.25">
      <c r="M1315" s="382"/>
      <c r="BB1315" s="253" t="str">
        <f t="array" ref="BB1315">_xlfn.IFS(AQ1315="","",LEN(AQ1315)-LEN(SUBSTITUTE(AQ1315,".",""))=3,LEFT(AQ1315,vitri(".",AQ1315,3)-1),LEN(AQ1315)-LEN(SUBSTITUTE(AQ1315,".",""))=2,LEFT(AQ1315,vitri(".",AQ1315,2)-1),TRUE,LEFT(AQ1315,vitri(".",AQ1315,1)-1))</f>
        <v/>
      </c>
    </row>
    <row r="1316" spans="13:54" x14ac:dyDescent="0.25">
      <c r="M1316" s="382"/>
      <c r="BB1316" s="253" t="str">
        <f t="array" ref="BB1316">_xlfn.IFS(AQ1316="","",LEN(AQ1316)-LEN(SUBSTITUTE(AQ1316,".",""))=3,LEFT(AQ1316,vitri(".",AQ1316,3)-1),LEN(AQ1316)-LEN(SUBSTITUTE(AQ1316,".",""))=2,LEFT(AQ1316,vitri(".",AQ1316,2)-1),TRUE,LEFT(AQ1316,vitri(".",AQ1316,1)-1))</f>
        <v/>
      </c>
    </row>
    <row r="1317" spans="13:54" x14ac:dyDescent="0.25">
      <c r="M1317" s="382"/>
      <c r="BB1317" s="253" t="str">
        <f t="array" ref="BB1317">_xlfn.IFS(AQ1317="","",LEN(AQ1317)-LEN(SUBSTITUTE(AQ1317,".",""))=3,LEFT(AQ1317,vitri(".",AQ1317,3)-1),LEN(AQ1317)-LEN(SUBSTITUTE(AQ1317,".",""))=2,LEFT(AQ1317,vitri(".",AQ1317,2)-1),TRUE,LEFT(AQ1317,vitri(".",AQ1317,1)-1))</f>
        <v/>
      </c>
    </row>
    <row r="1318" spans="13:54" x14ac:dyDescent="0.25">
      <c r="M1318" s="382"/>
      <c r="BB1318" s="253" t="str">
        <f t="array" ref="BB1318">_xlfn.IFS(AQ1318="","",LEN(AQ1318)-LEN(SUBSTITUTE(AQ1318,".",""))=3,LEFT(AQ1318,vitri(".",AQ1318,3)-1),LEN(AQ1318)-LEN(SUBSTITUTE(AQ1318,".",""))=2,LEFT(AQ1318,vitri(".",AQ1318,2)-1),TRUE,LEFT(AQ1318,vitri(".",AQ1318,1)-1))</f>
        <v/>
      </c>
    </row>
    <row r="1319" spans="13:54" x14ac:dyDescent="0.25">
      <c r="M1319" s="382"/>
      <c r="BB1319" s="253" t="str">
        <f t="array" ref="BB1319">_xlfn.IFS(AQ1319="","",LEN(AQ1319)-LEN(SUBSTITUTE(AQ1319,".",""))=3,LEFT(AQ1319,vitri(".",AQ1319,3)-1),LEN(AQ1319)-LEN(SUBSTITUTE(AQ1319,".",""))=2,LEFT(AQ1319,vitri(".",AQ1319,2)-1),TRUE,LEFT(AQ1319,vitri(".",AQ1319,1)-1))</f>
        <v/>
      </c>
    </row>
    <row r="1320" spans="13:54" x14ac:dyDescent="0.25">
      <c r="M1320" s="382"/>
      <c r="BB1320" s="253" t="str">
        <f t="array" ref="BB1320">_xlfn.IFS(AQ1320="","",LEN(AQ1320)-LEN(SUBSTITUTE(AQ1320,".",""))=3,LEFT(AQ1320,vitri(".",AQ1320,3)-1),LEN(AQ1320)-LEN(SUBSTITUTE(AQ1320,".",""))=2,LEFT(AQ1320,vitri(".",AQ1320,2)-1),TRUE,LEFT(AQ1320,vitri(".",AQ1320,1)-1))</f>
        <v/>
      </c>
    </row>
    <row r="1321" spans="13:54" x14ac:dyDescent="0.25">
      <c r="M1321" s="382"/>
      <c r="BB1321" s="253" t="str">
        <f t="array" ref="BB1321">_xlfn.IFS(AQ1321="","",LEN(AQ1321)-LEN(SUBSTITUTE(AQ1321,".",""))=3,LEFT(AQ1321,vitri(".",AQ1321,3)-1),LEN(AQ1321)-LEN(SUBSTITUTE(AQ1321,".",""))=2,LEFT(AQ1321,vitri(".",AQ1321,2)-1),TRUE,LEFT(AQ1321,vitri(".",AQ1321,1)-1))</f>
        <v/>
      </c>
    </row>
    <row r="1322" spans="13:54" x14ac:dyDescent="0.25">
      <c r="M1322" s="382"/>
      <c r="BB1322" s="253" t="str">
        <f t="array" ref="BB1322">_xlfn.IFS(AQ1322="","",LEN(AQ1322)-LEN(SUBSTITUTE(AQ1322,".",""))=3,LEFT(AQ1322,vitri(".",AQ1322,3)-1),LEN(AQ1322)-LEN(SUBSTITUTE(AQ1322,".",""))=2,LEFT(AQ1322,vitri(".",AQ1322,2)-1),TRUE,LEFT(AQ1322,vitri(".",AQ1322,1)-1))</f>
        <v/>
      </c>
    </row>
    <row r="1323" spans="13:54" x14ac:dyDescent="0.25">
      <c r="M1323" s="382"/>
      <c r="BB1323" s="253" t="str">
        <f t="array" ref="BB1323">_xlfn.IFS(AQ1323="","",LEN(AQ1323)-LEN(SUBSTITUTE(AQ1323,".",""))=3,LEFT(AQ1323,vitri(".",AQ1323,3)-1),LEN(AQ1323)-LEN(SUBSTITUTE(AQ1323,".",""))=2,LEFT(AQ1323,vitri(".",AQ1323,2)-1),TRUE,LEFT(AQ1323,vitri(".",AQ1323,1)-1))</f>
        <v/>
      </c>
    </row>
    <row r="1324" spans="13:54" x14ac:dyDescent="0.25">
      <c r="M1324" s="382"/>
      <c r="BB1324" s="253" t="str">
        <f t="array" ref="BB1324">_xlfn.IFS(AQ1324="","",LEN(AQ1324)-LEN(SUBSTITUTE(AQ1324,".",""))=3,LEFT(AQ1324,vitri(".",AQ1324,3)-1),LEN(AQ1324)-LEN(SUBSTITUTE(AQ1324,".",""))=2,LEFT(AQ1324,vitri(".",AQ1324,2)-1),TRUE,LEFT(AQ1324,vitri(".",AQ1324,1)-1))</f>
        <v/>
      </c>
    </row>
    <row r="1325" spans="13:54" x14ac:dyDescent="0.25">
      <c r="M1325" s="382"/>
      <c r="BB1325" s="253" t="str">
        <f t="array" ref="BB1325">_xlfn.IFS(AQ1325="","",LEN(AQ1325)-LEN(SUBSTITUTE(AQ1325,".",""))=3,LEFT(AQ1325,vitri(".",AQ1325,3)-1),LEN(AQ1325)-LEN(SUBSTITUTE(AQ1325,".",""))=2,LEFT(AQ1325,vitri(".",AQ1325,2)-1),TRUE,LEFT(AQ1325,vitri(".",AQ1325,1)-1))</f>
        <v/>
      </c>
    </row>
    <row r="1326" spans="13:54" x14ac:dyDescent="0.25">
      <c r="M1326" s="382"/>
      <c r="BB1326" s="253" t="str">
        <f t="array" ref="BB1326">_xlfn.IFS(AQ1326="","",LEN(AQ1326)-LEN(SUBSTITUTE(AQ1326,".",""))=3,LEFT(AQ1326,vitri(".",AQ1326,3)-1),LEN(AQ1326)-LEN(SUBSTITUTE(AQ1326,".",""))=2,LEFT(AQ1326,vitri(".",AQ1326,2)-1),TRUE,LEFT(AQ1326,vitri(".",AQ1326,1)-1))</f>
        <v/>
      </c>
    </row>
    <row r="1327" spans="13:54" x14ac:dyDescent="0.25">
      <c r="M1327" s="382"/>
      <c r="BB1327" s="253" t="str">
        <f t="array" ref="BB1327">_xlfn.IFS(AQ1327="","",LEN(AQ1327)-LEN(SUBSTITUTE(AQ1327,".",""))=3,LEFT(AQ1327,vitri(".",AQ1327,3)-1),LEN(AQ1327)-LEN(SUBSTITUTE(AQ1327,".",""))=2,LEFT(AQ1327,vitri(".",AQ1327,2)-1),TRUE,LEFT(AQ1327,vitri(".",AQ1327,1)-1))</f>
        <v/>
      </c>
    </row>
    <row r="1328" spans="13:54" x14ac:dyDescent="0.25">
      <c r="M1328" s="382"/>
      <c r="BB1328" s="253" t="str">
        <f t="array" ref="BB1328">_xlfn.IFS(AQ1328="","",LEN(AQ1328)-LEN(SUBSTITUTE(AQ1328,".",""))=3,LEFT(AQ1328,vitri(".",AQ1328,3)-1),LEN(AQ1328)-LEN(SUBSTITUTE(AQ1328,".",""))=2,LEFT(AQ1328,vitri(".",AQ1328,2)-1),TRUE,LEFT(AQ1328,vitri(".",AQ1328,1)-1))</f>
        <v/>
      </c>
    </row>
    <row r="1329" spans="13:54" x14ac:dyDescent="0.25">
      <c r="M1329" s="382"/>
      <c r="BB1329" s="253" t="str">
        <f t="array" ref="BB1329">_xlfn.IFS(AQ1329="","",LEN(AQ1329)-LEN(SUBSTITUTE(AQ1329,".",""))=3,LEFT(AQ1329,vitri(".",AQ1329,3)-1),LEN(AQ1329)-LEN(SUBSTITUTE(AQ1329,".",""))=2,LEFT(AQ1329,vitri(".",AQ1329,2)-1),TRUE,LEFT(AQ1329,vitri(".",AQ1329,1)-1))</f>
        <v/>
      </c>
    </row>
    <row r="1330" spans="13:54" x14ac:dyDescent="0.25">
      <c r="M1330" s="382"/>
      <c r="BB1330" s="253" t="str">
        <f t="array" ref="BB1330">_xlfn.IFS(AQ1330="","",LEN(AQ1330)-LEN(SUBSTITUTE(AQ1330,".",""))=3,LEFT(AQ1330,vitri(".",AQ1330,3)-1),LEN(AQ1330)-LEN(SUBSTITUTE(AQ1330,".",""))=2,LEFT(AQ1330,vitri(".",AQ1330,2)-1),TRUE,LEFT(AQ1330,vitri(".",AQ1330,1)-1))</f>
        <v/>
      </c>
    </row>
    <row r="1331" spans="13:54" x14ac:dyDescent="0.25">
      <c r="M1331" s="382"/>
      <c r="BB1331" s="253" t="str">
        <f t="array" ref="BB1331">_xlfn.IFS(AQ1331="","",LEN(AQ1331)-LEN(SUBSTITUTE(AQ1331,".",""))=3,LEFT(AQ1331,vitri(".",AQ1331,3)-1),LEN(AQ1331)-LEN(SUBSTITUTE(AQ1331,".",""))=2,LEFT(AQ1331,vitri(".",AQ1331,2)-1),TRUE,LEFT(AQ1331,vitri(".",AQ1331,1)-1))</f>
        <v/>
      </c>
    </row>
    <row r="1332" spans="13:54" x14ac:dyDescent="0.25">
      <c r="M1332" s="382"/>
      <c r="BB1332" s="253" t="str">
        <f t="array" ref="BB1332">_xlfn.IFS(AQ1332="","",LEN(AQ1332)-LEN(SUBSTITUTE(AQ1332,".",""))=3,LEFT(AQ1332,vitri(".",AQ1332,3)-1),LEN(AQ1332)-LEN(SUBSTITUTE(AQ1332,".",""))=2,LEFT(AQ1332,vitri(".",AQ1332,2)-1),TRUE,LEFT(AQ1332,vitri(".",AQ1332,1)-1))</f>
        <v/>
      </c>
    </row>
    <row r="1333" spans="13:54" x14ac:dyDescent="0.25">
      <c r="M1333" s="382"/>
      <c r="BB1333" s="253" t="str">
        <f t="array" ref="BB1333">_xlfn.IFS(AQ1333="","",LEN(AQ1333)-LEN(SUBSTITUTE(AQ1333,".",""))=3,LEFT(AQ1333,vitri(".",AQ1333,3)-1),LEN(AQ1333)-LEN(SUBSTITUTE(AQ1333,".",""))=2,LEFT(AQ1333,vitri(".",AQ1333,2)-1),TRUE,LEFT(AQ1333,vitri(".",AQ1333,1)-1))</f>
        <v/>
      </c>
    </row>
    <row r="1334" spans="13:54" x14ac:dyDescent="0.25">
      <c r="M1334" s="382"/>
      <c r="BB1334" s="253" t="str">
        <f t="array" ref="BB1334">_xlfn.IFS(AQ1334="","",LEN(AQ1334)-LEN(SUBSTITUTE(AQ1334,".",""))=3,LEFT(AQ1334,vitri(".",AQ1334,3)-1),LEN(AQ1334)-LEN(SUBSTITUTE(AQ1334,".",""))=2,LEFT(AQ1334,vitri(".",AQ1334,2)-1),TRUE,LEFT(AQ1334,vitri(".",AQ1334,1)-1))</f>
        <v/>
      </c>
    </row>
    <row r="1335" spans="13:54" x14ac:dyDescent="0.25">
      <c r="M1335" s="382"/>
      <c r="BB1335" s="253" t="str">
        <f t="array" ref="BB1335">_xlfn.IFS(AQ1335="","",LEN(AQ1335)-LEN(SUBSTITUTE(AQ1335,".",""))=3,LEFT(AQ1335,vitri(".",AQ1335,3)-1),LEN(AQ1335)-LEN(SUBSTITUTE(AQ1335,".",""))=2,LEFT(AQ1335,vitri(".",AQ1335,2)-1),TRUE,LEFT(AQ1335,vitri(".",AQ1335,1)-1))</f>
        <v/>
      </c>
    </row>
    <row r="1336" spans="13:54" x14ac:dyDescent="0.25">
      <c r="M1336" s="382"/>
      <c r="BB1336" s="253" t="str">
        <f t="array" ref="BB1336">_xlfn.IFS(AQ1336="","",LEN(AQ1336)-LEN(SUBSTITUTE(AQ1336,".",""))=3,LEFT(AQ1336,vitri(".",AQ1336,3)-1),LEN(AQ1336)-LEN(SUBSTITUTE(AQ1336,".",""))=2,LEFT(AQ1336,vitri(".",AQ1336,2)-1),TRUE,LEFT(AQ1336,vitri(".",AQ1336,1)-1))</f>
        <v/>
      </c>
    </row>
    <row r="1337" spans="13:54" x14ac:dyDescent="0.25">
      <c r="M1337" s="382"/>
      <c r="BB1337" s="253" t="str">
        <f t="array" ref="BB1337">_xlfn.IFS(AQ1337="","",LEN(AQ1337)-LEN(SUBSTITUTE(AQ1337,".",""))=3,LEFT(AQ1337,vitri(".",AQ1337,3)-1),LEN(AQ1337)-LEN(SUBSTITUTE(AQ1337,".",""))=2,LEFT(AQ1337,vitri(".",AQ1337,2)-1),TRUE,LEFT(AQ1337,vitri(".",AQ1337,1)-1))</f>
        <v/>
      </c>
    </row>
    <row r="1338" spans="13:54" x14ac:dyDescent="0.25">
      <c r="M1338" s="382"/>
      <c r="BB1338" s="253" t="str">
        <f t="array" ref="BB1338">_xlfn.IFS(AQ1338="","",LEN(AQ1338)-LEN(SUBSTITUTE(AQ1338,".",""))=3,LEFT(AQ1338,vitri(".",AQ1338,3)-1),LEN(AQ1338)-LEN(SUBSTITUTE(AQ1338,".",""))=2,LEFT(AQ1338,vitri(".",AQ1338,2)-1),TRUE,LEFT(AQ1338,vitri(".",AQ1338,1)-1))</f>
        <v/>
      </c>
    </row>
    <row r="1339" spans="13:54" x14ac:dyDescent="0.25">
      <c r="M1339" s="382"/>
      <c r="BB1339" s="253" t="str">
        <f t="array" ref="BB1339">_xlfn.IFS(AQ1339="","",LEN(AQ1339)-LEN(SUBSTITUTE(AQ1339,".",""))=3,LEFT(AQ1339,vitri(".",AQ1339,3)-1),LEN(AQ1339)-LEN(SUBSTITUTE(AQ1339,".",""))=2,LEFT(AQ1339,vitri(".",AQ1339,2)-1),TRUE,LEFT(AQ1339,vitri(".",AQ1339,1)-1))</f>
        <v/>
      </c>
    </row>
    <row r="1340" spans="13:54" x14ac:dyDescent="0.25">
      <c r="M1340" s="382"/>
      <c r="BB1340" s="253" t="str">
        <f t="array" ref="BB1340">_xlfn.IFS(AQ1340="","",LEN(AQ1340)-LEN(SUBSTITUTE(AQ1340,".",""))=3,LEFT(AQ1340,vitri(".",AQ1340,3)-1),LEN(AQ1340)-LEN(SUBSTITUTE(AQ1340,".",""))=2,LEFT(AQ1340,vitri(".",AQ1340,2)-1),TRUE,LEFT(AQ1340,vitri(".",AQ1340,1)-1))</f>
        <v/>
      </c>
    </row>
    <row r="1341" spans="13:54" x14ac:dyDescent="0.25">
      <c r="M1341" s="382"/>
      <c r="BB1341" s="253" t="str">
        <f t="array" ref="BB1341">_xlfn.IFS(AQ1341="","",LEN(AQ1341)-LEN(SUBSTITUTE(AQ1341,".",""))=3,LEFT(AQ1341,vitri(".",AQ1341,3)-1),LEN(AQ1341)-LEN(SUBSTITUTE(AQ1341,".",""))=2,LEFT(AQ1341,vitri(".",AQ1341,2)-1),TRUE,LEFT(AQ1341,vitri(".",AQ1341,1)-1))</f>
        <v/>
      </c>
    </row>
    <row r="1342" spans="13:54" x14ac:dyDescent="0.25">
      <c r="M1342" s="382"/>
      <c r="BB1342" s="253" t="str">
        <f t="array" ref="BB1342">_xlfn.IFS(AQ1342="","",LEN(AQ1342)-LEN(SUBSTITUTE(AQ1342,".",""))=3,LEFT(AQ1342,vitri(".",AQ1342,3)-1),LEN(AQ1342)-LEN(SUBSTITUTE(AQ1342,".",""))=2,LEFT(AQ1342,vitri(".",AQ1342,2)-1),TRUE,LEFT(AQ1342,vitri(".",AQ1342,1)-1))</f>
        <v/>
      </c>
    </row>
    <row r="1343" spans="13:54" x14ac:dyDescent="0.25">
      <c r="M1343" s="382"/>
      <c r="BB1343" s="253" t="str">
        <f t="array" ref="BB1343">_xlfn.IFS(AQ1343="","",LEN(AQ1343)-LEN(SUBSTITUTE(AQ1343,".",""))=3,LEFT(AQ1343,vitri(".",AQ1343,3)-1),LEN(AQ1343)-LEN(SUBSTITUTE(AQ1343,".",""))=2,LEFT(AQ1343,vitri(".",AQ1343,2)-1),TRUE,LEFT(AQ1343,vitri(".",AQ1343,1)-1))</f>
        <v/>
      </c>
    </row>
    <row r="1344" spans="13:54" x14ac:dyDescent="0.25">
      <c r="M1344" s="382"/>
      <c r="BB1344" s="253" t="str">
        <f t="array" ref="BB1344">_xlfn.IFS(AQ1344="","",LEN(AQ1344)-LEN(SUBSTITUTE(AQ1344,".",""))=3,LEFT(AQ1344,vitri(".",AQ1344,3)-1),LEN(AQ1344)-LEN(SUBSTITUTE(AQ1344,".",""))=2,LEFT(AQ1344,vitri(".",AQ1344,2)-1),TRUE,LEFT(AQ1344,vitri(".",AQ1344,1)-1))</f>
        <v/>
      </c>
    </row>
    <row r="1345" spans="13:54" x14ac:dyDescent="0.25">
      <c r="M1345" s="382"/>
      <c r="BB1345" s="253" t="str">
        <f t="array" ref="BB1345">_xlfn.IFS(AQ1345="","",LEN(AQ1345)-LEN(SUBSTITUTE(AQ1345,".",""))=3,LEFT(AQ1345,vitri(".",AQ1345,3)-1),LEN(AQ1345)-LEN(SUBSTITUTE(AQ1345,".",""))=2,LEFT(AQ1345,vitri(".",AQ1345,2)-1),TRUE,LEFT(AQ1345,vitri(".",AQ1345,1)-1))</f>
        <v/>
      </c>
    </row>
    <row r="1346" spans="13:54" x14ac:dyDescent="0.25">
      <c r="M1346" s="382"/>
      <c r="BB1346" s="253" t="str">
        <f t="array" ref="BB1346">_xlfn.IFS(AQ1346="","",LEN(AQ1346)-LEN(SUBSTITUTE(AQ1346,".",""))=3,LEFT(AQ1346,vitri(".",AQ1346,3)-1),LEN(AQ1346)-LEN(SUBSTITUTE(AQ1346,".",""))=2,LEFT(AQ1346,vitri(".",AQ1346,2)-1),TRUE,LEFT(AQ1346,vitri(".",AQ1346,1)-1))</f>
        <v/>
      </c>
    </row>
    <row r="1347" spans="13:54" x14ac:dyDescent="0.25">
      <c r="M1347" s="382"/>
      <c r="BB1347" s="253" t="str">
        <f t="array" ref="BB1347">_xlfn.IFS(AQ1347="","",LEN(AQ1347)-LEN(SUBSTITUTE(AQ1347,".",""))=3,LEFT(AQ1347,vitri(".",AQ1347,3)-1),LEN(AQ1347)-LEN(SUBSTITUTE(AQ1347,".",""))=2,LEFT(AQ1347,vitri(".",AQ1347,2)-1),TRUE,LEFT(AQ1347,vitri(".",AQ1347,1)-1))</f>
        <v/>
      </c>
    </row>
    <row r="1348" spans="13:54" x14ac:dyDescent="0.25">
      <c r="M1348" s="382"/>
      <c r="BB1348" s="253" t="str">
        <f t="array" ref="BB1348">_xlfn.IFS(AQ1348="","",LEN(AQ1348)-LEN(SUBSTITUTE(AQ1348,".",""))=3,LEFT(AQ1348,vitri(".",AQ1348,3)-1),LEN(AQ1348)-LEN(SUBSTITUTE(AQ1348,".",""))=2,LEFT(AQ1348,vitri(".",AQ1348,2)-1),TRUE,LEFT(AQ1348,vitri(".",AQ1348,1)-1))</f>
        <v/>
      </c>
    </row>
    <row r="1349" spans="13:54" x14ac:dyDescent="0.25">
      <c r="M1349" s="382"/>
      <c r="BB1349" s="253" t="str">
        <f t="array" ref="BB1349">_xlfn.IFS(AQ1349="","",LEN(AQ1349)-LEN(SUBSTITUTE(AQ1349,".",""))=3,LEFT(AQ1349,vitri(".",AQ1349,3)-1),LEN(AQ1349)-LEN(SUBSTITUTE(AQ1349,".",""))=2,LEFT(AQ1349,vitri(".",AQ1349,2)-1),TRUE,LEFT(AQ1349,vitri(".",AQ1349,1)-1))</f>
        <v/>
      </c>
    </row>
    <row r="1350" spans="13:54" x14ac:dyDescent="0.25">
      <c r="M1350" s="382"/>
      <c r="BB1350" s="253" t="str">
        <f t="array" ref="BB1350">_xlfn.IFS(AQ1350="","",LEN(AQ1350)-LEN(SUBSTITUTE(AQ1350,".",""))=3,LEFT(AQ1350,vitri(".",AQ1350,3)-1),LEN(AQ1350)-LEN(SUBSTITUTE(AQ1350,".",""))=2,LEFT(AQ1350,vitri(".",AQ1350,2)-1),TRUE,LEFT(AQ1350,vitri(".",AQ1350,1)-1))</f>
        <v/>
      </c>
    </row>
    <row r="1351" spans="13:54" x14ac:dyDescent="0.25">
      <c r="M1351" s="382"/>
      <c r="BB1351" s="253" t="str">
        <f t="array" ref="BB1351">_xlfn.IFS(AQ1351="","",LEN(AQ1351)-LEN(SUBSTITUTE(AQ1351,".",""))=3,LEFT(AQ1351,vitri(".",AQ1351,3)-1),LEN(AQ1351)-LEN(SUBSTITUTE(AQ1351,".",""))=2,LEFT(AQ1351,vitri(".",AQ1351,2)-1),TRUE,LEFT(AQ1351,vitri(".",AQ1351,1)-1))</f>
        <v/>
      </c>
    </row>
    <row r="1352" spans="13:54" x14ac:dyDescent="0.25">
      <c r="M1352" s="382"/>
      <c r="BB1352" s="253" t="str">
        <f t="array" ref="BB1352">_xlfn.IFS(AQ1352="","",LEN(AQ1352)-LEN(SUBSTITUTE(AQ1352,".",""))=3,LEFT(AQ1352,vitri(".",AQ1352,3)-1),LEN(AQ1352)-LEN(SUBSTITUTE(AQ1352,".",""))=2,LEFT(AQ1352,vitri(".",AQ1352,2)-1),TRUE,LEFT(AQ1352,vitri(".",AQ1352,1)-1))</f>
        <v/>
      </c>
    </row>
    <row r="1353" spans="13:54" x14ac:dyDescent="0.25">
      <c r="M1353" s="382"/>
      <c r="BB1353" s="253" t="str">
        <f t="array" ref="BB1353">_xlfn.IFS(AQ1353="","",LEN(AQ1353)-LEN(SUBSTITUTE(AQ1353,".",""))=3,LEFT(AQ1353,vitri(".",AQ1353,3)-1),LEN(AQ1353)-LEN(SUBSTITUTE(AQ1353,".",""))=2,LEFT(AQ1353,vitri(".",AQ1353,2)-1),TRUE,LEFT(AQ1353,vitri(".",AQ1353,1)-1))</f>
        <v/>
      </c>
    </row>
    <row r="1354" spans="13:54" x14ac:dyDescent="0.25">
      <c r="M1354" s="382"/>
      <c r="BB1354" s="253" t="str">
        <f t="array" ref="BB1354">_xlfn.IFS(AQ1354="","",LEN(AQ1354)-LEN(SUBSTITUTE(AQ1354,".",""))=3,LEFT(AQ1354,vitri(".",AQ1354,3)-1),LEN(AQ1354)-LEN(SUBSTITUTE(AQ1354,".",""))=2,LEFT(AQ1354,vitri(".",AQ1354,2)-1),TRUE,LEFT(AQ1354,vitri(".",AQ1354,1)-1))</f>
        <v/>
      </c>
    </row>
    <row r="1355" spans="13:54" x14ac:dyDescent="0.25">
      <c r="M1355" s="382"/>
      <c r="BB1355" s="253" t="str">
        <f t="array" ref="BB1355">_xlfn.IFS(AQ1355="","",LEN(AQ1355)-LEN(SUBSTITUTE(AQ1355,".",""))=3,LEFT(AQ1355,vitri(".",AQ1355,3)-1),LEN(AQ1355)-LEN(SUBSTITUTE(AQ1355,".",""))=2,LEFT(AQ1355,vitri(".",AQ1355,2)-1),TRUE,LEFT(AQ1355,vitri(".",AQ1355,1)-1))</f>
        <v/>
      </c>
    </row>
    <row r="1356" spans="13:54" x14ac:dyDescent="0.25">
      <c r="M1356" s="382"/>
      <c r="BB1356" s="253" t="str">
        <f t="array" ref="BB1356">_xlfn.IFS(AQ1356="","",LEN(AQ1356)-LEN(SUBSTITUTE(AQ1356,".",""))=3,LEFT(AQ1356,vitri(".",AQ1356,3)-1),LEN(AQ1356)-LEN(SUBSTITUTE(AQ1356,".",""))=2,LEFT(AQ1356,vitri(".",AQ1356,2)-1),TRUE,LEFT(AQ1356,vitri(".",AQ1356,1)-1))</f>
        <v/>
      </c>
    </row>
    <row r="1357" spans="13:54" x14ac:dyDescent="0.25">
      <c r="M1357" s="382"/>
      <c r="BB1357" s="253" t="str">
        <f t="array" ref="BB1357">_xlfn.IFS(AQ1357="","",LEN(AQ1357)-LEN(SUBSTITUTE(AQ1357,".",""))=3,LEFT(AQ1357,vitri(".",AQ1357,3)-1),LEN(AQ1357)-LEN(SUBSTITUTE(AQ1357,".",""))=2,LEFT(AQ1357,vitri(".",AQ1357,2)-1),TRUE,LEFT(AQ1357,vitri(".",AQ1357,1)-1))</f>
        <v/>
      </c>
    </row>
    <row r="1358" spans="13:54" x14ac:dyDescent="0.25">
      <c r="M1358" s="382"/>
      <c r="BB1358" s="253" t="str">
        <f t="array" ref="BB1358">_xlfn.IFS(AQ1358="","",LEN(AQ1358)-LEN(SUBSTITUTE(AQ1358,".",""))=3,LEFT(AQ1358,vitri(".",AQ1358,3)-1),LEN(AQ1358)-LEN(SUBSTITUTE(AQ1358,".",""))=2,LEFT(AQ1358,vitri(".",AQ1358,2)-1),TRUE,LEFT(AQ1358,vitri(".",AQ1358,1)-1))</f>
        <v/>
      </c>
    </row>
    <row r="1359" spans="13:54" x14ac:dyDescent="0.25">
      <c r="M1359" s="382"/>
      <c r="BB1359" s="253" t="str">
        <f t="array" ref="BB1359">_xlfn.IFS(AQ1359="","",LEN(AQ1359)-LEN(SUBSTITUTE(AQ1359,".",""))=3,LEFT(AQ1359,vitri(".",AQ1359,3)-1),LEN(AQ1359)-LEN(SUBSTITUTE(AQ1359,".",""))=2,LEFT(AQ1359,vitri(".",AQ1359,2)-1),TRUE,LEFT(AQ1359,vitri(".",AQ1359,1)-1))</f>
        <v/>
      </c>
    </row>
    <row r="1360" spans="13:54" x14ac:dyDescent="0.25">
      <c r="M1360" s="382"/>
      <c r="BB1360" s="253" t="str">
        <f t="array" ref="BB1360">_xlfn.IFS(AQ1360="","",LEN(AQ1360)-LEN(SUBSTITUTE(AQ1360,".",""))=3,LEFT(AQ1360,vitri(".",AQ1360,3)-1),LEN(AQ1360)-LEN(SUBSTITUTE(AQ1360,".",""))=2,LEFT(AQ1360,vitri(".",AQ1360,2)-1),TRUE,LEFT(AQ1360,vitri(".",AQ1360,1)-1))</f>
        <v/>
      </c>
    </row>
    <row r="1361" spans="13:54" x14ac:dyDescent="0.25">
      <c r="M1361" s="382"/>
      <c r="BB1361" s="253" t="str">
        <f t="array" ref="BB1361">_xlfn.IFS(AQ1361="","",LEN(AQ1361)-LEN(SUBSTITUTE(AQ1361,".",""))=3,LEFT(AQ1361,vitri(".",AQ1361,3)-1),LEN(AQ1361)-LEN(SUBSTITUTE(AQ1361,".",""))=2,LEFT(AQ1361,vitri(".",AQ1361,2)-1),TRUE,LEFT(AQ1361,vitri(".",AQ1361,1)-1))</f>
        <v/>
      </c>
    </row>
    <row r="1362" spans="13:54" x14ac:dyDescent="0.25">
      <c r="M1362" s="382"/>
      <c r="BB1362" s="253" t="str">
        <f t="array" ref="BB1362">_xlfn.IFS(AQ1362="","",LEN(AQ1362)-LEN(SUBSTITUTE(AQ1362,".",""))=3,LEFT(AQ1362,vitri(".",AQ1362,3)-1),LEN(AQ1362)-LEN(SUBSTITUTE(AQ1362,".",""))=2,LEFT(AQ1362,vitri(".",AQ1362,2)-1),TRUE,LEFT(AQ1362,vitri(".",AQ1362,1)-1))</f>
        <v/>
      </c>
    </row>
    <row r="1363" spans="13:54" x14ac:dyDescent="0.25">
      <c r="M1363" s="382"/>
      <c r="BB1363" s="253" t="str">
        <f t="array" ref="BB1363">_xlfn.IFS(AQ1363="","",LEN(AQ1363)-LEN(SUBSTITUTE(AQ1363,".",""))=3,LEFT(AQ1363,vitri(".",AQ1363,3)-1),LEN(AQ1363)-LEN(SUBSTITUTE(AQ1363,".",""))=2,LEFT(AQ1363,vitri(".",AQ1363,2)-1),TRUE,LEFT(AQ1363,vitri(".",AQ1363,1)-1))</f>
        <v/>
      </c>
    </row>
    <row r="1364" spans="13:54" x14ac:dyDescent="0.25">
      <c r="M1364" s="382"/>
      <c r="BB1364" s="253" t="str">
        <f t="array" ref="BB1364">_xlfn.IFS(AQ1364="","",LEN(AQ1364)-LEN(SUBSTITUTE(AQ1364,".",""))=3,LEFT(AQ1364,vitri(".",AQ1364,3)-1),LEN(AQ1364)-LEN(SUBSTITUTE(AQ1364,".",""))=2,LEFT(AQ1364,vitri(".",AQ1364,2)-1),TRUE,LEFT(AQ1364,vitri(".",AQ1364,1)-1))</f>
        <v/>
      </c>
    </row>
    <row r="1365" spans="13:54" x14ac:dyDescent="0.25">
      <c r="M1365" s="382"/>
      <c r="BB1365" s="253" t="str">
        <f t="array" ref="BB1365">_xlfn.IFS(AQ1365="","",LEN(AQ1365)-LEN(SUBSTITUTE(AQ1365,".",""))=3,LEFT(AQ1365,vitri(".",AQ1365,3)-1),LEN(AQ1365)-LEN(SUBSTITUTE(AQ1365,".",""))=2,LEFT(AQ1365,vitri(".",AQ1365,2)-1),TRUE,LEFT(AQ1365,vitri(".",AQ1365,1)-1))</f>
        <v/>
      </c>
    </row>
    <row r="1366" spans="13:54" x14ac:dyDescent="0.25">
      <c r="M1366" s="382"/>
      <c r="BB1366" s="253" t="str">
        <f t="array" ref="BB1366">_xlfn.IFS(AQ1366="","",LEN(AQ1366)-LEN(SUBSTITUTE(AQ1366,".",""))=3,LEFT(AQ1366,vitri(".",AQ1366,3)-1),LEN(AQ1366)-LEN(SUBSTITUTE(AQ1366,".",""))=2,LEFT(AQ1366,vitri(".",AQ1366,2)-1),TRUE,LEFT(AQ1366,vitri(".",AQ1366,1)-1))</f>
        <v/>
      </c>
    </row>
    <row r="1367" spans="13:54" x14ac:dyDescent="0.25">
      <c r="M1367" s="382"/>
      <c r="BB1367" s="253" t="str">
        <f t="array" ref="BB1367">_xlfn.IFS(AQ1367="","",LEN(AQ1367)-LEN(SUBSTITUTE(AQ1367,".",""))=3,LEFT(AQ1367,vitri(".",AQ1367,3)-1),LEN(AQ1367)-LEN(SUBSTITUTE(AQ1367,".",""))=2,LEFT(AQ1367,vitri(".",AQ1367,2)-1),TRUE,LEFT(AQ1367,vitri(".",AQ1367,1)-1))</f>
        <v/>
      </c>
    </row>
    <row r="1368" spans="13:54" x14ac:dyDescent="0.25">
      <c r="M1368" s="382"/>
      <c r="BB1368" s="253" t="str">
        <f t="array" ref="BB1368">_xlfn.IFS(AQ1368="","",LEN(AQ1368)-LEN(SUBSTITUTE(AQ1368,".",""))=3,LEFT(AQ1368,vitri(".",AQ1368,3)-1),LEN(AQ1368)-LEN(SUBSTITUTE(AQ1368,".",""))=2,LEFT(AQ1368,vitri(".",AQ1368,2)-1),TRUE,LEFT(AQ1368,vitri(".",AQ1368,1)-1))</f>
        <v/>
      </c>
    </row>
    <row r="1369" spans="13:54" x14ac:dyDescent="0.25">
      <c r="M1369" s="382"/>
      <c r="BB1369" s="253" t="str">
        <f t="array" ref="BB1369">_xlfn.IFS(AQ1369="","",LEN(AQ1369)-LEN(SUBSTITUTE(AQ1369,".",""))=3,LEFT(AQ1369,vitri(".",AQ1369,3)-1),LEN(AQ1369)-LEN(SUBSTITUTE(AQ1369,".",""))=2,LEFT(AQ1369,vitri(".",AQ1369,2)-1),TRUE,LEFT(AQ1369,vitri(".",AQ1369,1)-1))</f>
        <v/>
      </c>
    </row>
    <row r="1370" spans="13:54" x14ac:dyDescent="0.25">
      <c r="M1370" s="382"/>
      <c r="BB1370" s="253" t="str">
        <f t="array" ref="BB1370">_xlfn.IFS(AQ1370="","",LEN(AQ1370)-LEN(SUBSTITUTE(AQ1370,".",""))=3,LEFT(AQ1370,vitri(".",AQ1370,3)-1),LEN(AQ1370)-LEN(SUBSTITUTE(AQ1370,".",""))=2,LEFT(AQ1370,vitri(".",AQ1370,2)-1),TRUE,LEFT(AQ1370,vitri(".",AQ1370,1)-1))</f>
        <v/>
      </c>
    </row>
    <row r="1371" spans="13:54" x14ac:dyDescent="0.25">
      <c r="M1371" s="382"/>
      <c r="BB1371" s="253" t="str">
        <f t="array" ref="BB1371">_xlfn.IFS(AQ1371="","",LEN(AQ1371)-LEN(SUBSTITUTE(AQ1371,".",""))=3,LEFT(AQ1371,vitri(".",AQ1371,3)-1),LEN(AQ1371)-LEN(SUBSTITUTE(AQ1371,".",""))=2,LEFT(AQ1371,vitri(".",AQ1371,2)-1),TRUE,LEFT(AQ1371,vitri(".",AQ1371,1)-1))</f>
        <v/>
      </c>
    </row>
    <row r="1372" spans="13:54" x14ac:dyDescent="0.25">
      <c r="M1372" s="382"/>
      <c r="BB1372" s="253" t="str">
        <f t="array" ref="BB1372">_xlfn.IFS(AQ1372="","",LEN(AQ1372)-LEN(SUBSTITUTE(AQ1372,".",""))=3,LEFT(AQ1372,vitri(".",AQ1372,3)-1),LEN(AQ1372)-LEN(SUBSTITUTE(AQ1372,".",""))=2,LEFT(AQ1372,vitri(".",AQ1372,2)-1),TRUE,LEFT(AQ1372,vitri(".",AQ1372,1)-1))</f>
        <v/>
      </c>
    </row>
    <row r="1373" spans="13:54" x14ac:dyDescent="0.25">
      <c r="M1373" s="382"/>
      <c r="BB1373" s="253" t="str">
        <f t="array" ref="BB1373">_xlfn.IFS(AQ1373="","",LEN(AQ1373)-LEN(SUBSTITUTE(AQ1373,".",""))=3,LEFT(AQ1373,vitri(".",AQ1373,3)-1),LEN(AQ1373)-LEN(SUBSTITUTE(AQ1373,".",""))=2,LEFT(AQ1373,vitri(".",AQ1373,2)-1),TRUE,LEFT(AQ1373,vitri(".",AQ1373,1)-1))</f>
        <v/>
      </c>
    </row>
    <row r="1374" spans="13:54" x14ac:dyDescent="0.25">
      <c r="M1374" s="382"/>
      <c r="BB1374" s="253" t="str">
        <f t="array" ref="BB1374">_xlfn.IFS(AQ1374="","",LEN(AQ1374)-LEN(SUBSTITUTE(AQ1374,".",""))=3,LEFT(AQ1374,vitri(".",AQ1374,3)-1),LEN(AQ1374)-LEN(SUBSTITUTE(AQ1374,".",""))=2,LEFT(AQ1374,vitri(".",AQ1374,2)-1),TRUE,LEFT(AQ1374,vitri(".",AQ1374,1)-1))</f>
        <v/>
      </c>
    </row>
    <row r="1375" spans="13:54" x14ac:dyDescent="0.25">
      <c r="M1375" s="382"/>
      <c r="BB1375" s="253" t="str">
        <f t="array" ref="BB1375">_xlfn.IFS(AQ1375="","",LEN(AQ1375)-LEN(SUBSTITUTE(AQ1375,".",""))=3,LEFT(AQ1375,vitri(".",AQ1375,3)-1),LEN(AQ1375)-LEN(SUBSTITUTE(AQ1375,".",""))=2,LEFT(AQ1375,vitri(".",AQ1375,2)-1),TRUE,LEFT(AQ1375,vitri(".",AQ1375,1)-1))</f>
        <v/>
      </c>
    </row>
    <row r="1376" spans="13:54" x14ac:dyDescent="0.25">
      <c r="M1376" s="382"/>
      <c r="BB1376" s="253" t="str">
        <f t="array" ref="BB1376">_xlfn.IFS(AQ1376="","",LEN(AQ1376)-LEN(SUBSTITUTE(AQ1376,".",""))=3,LEFT(AQ1376,vitri(".",AQ1376,3)-1),LEN(AQ1376)-LEN(SUBSTITUTE(AQ1376,".",""))=2,LEFT(AQ1376,vitri(".",AQ1376,2)-1),TRUE,LEFT(AQ1376,vitri(".",AQ1376,1)-1))</f>
        <v/>
      </c>
    </row>
    <row r="1377" spans="13:54" x14ac:dyDescent="0.25">
      <c r="M1377" s="382"/>
      <c r="BB1377" s="253" t="str">
        <f t="array" ref="BB1377">_xlfn.IFS(AQ1377="","",LEN(AQ1377)-LEN(SUBSTITUTE(AQ1377,".",""))=3,LEFT(AQ1377,vitri(".",AQ1377,3)-1),LEN(AQ1377)-LEN(SUBSTITUTE(AQ1377,".",""))=2,LEFT(AQ1377,vitri(".",AQ1377,2)-1),TRUE,LEFT(AQ1377,vitri(".",AQ1377,1)-1))</f>
        <v/>
      </c>
    </row>
    <row r="1378" spans="13:54" x14ac:dyDescent="0.25">
      <c r="M1378" s="382"/>
      <c r="BB1378" s="253" t="str">
        <f t="array" ref="BB1378">_xlfn.IFS(AQ1378="","",LEN(AQ1378)-LEN(SUBSTITUTE(AQ1378,".",""))=3,LEFT(AQ1378,vitri(".",AQ1378,3)-1),LEN(AQ1378)-LEN(SUBSTITUTE(AQ1378,".",""))=2,LEFT(AQ1378,vitri(".",AQ1378,2)-1),TRUE,LEFT(AQ1378,vitri(".",AQ1378,1)-1))</f>
        <v/>
      </c>
    </row>
    <row r="1379" spans="13:54" x14ac:dyDescent="0.25">
      <c r="M1379" s="382"/>
      <c r="BB1379" s="253" t="str">
        <f t="array" ref="BB1379">_xlfn.IFS(AQ1379="","",LEN(AQ1379)-LEN(SUBSTITUTE(AQ1379,".",""))=3,LEFT(AQ1379,vitri(".",AQ1379,3)-1),LEN(AQ1379)-LEN(SUBSTITUTE(AQ1379,".",""))=2,LEFT(AQ1379,vitri(".",AQ1379,2)-1),TRUE,LEFT(AQ1379,vitri(".",AQ1379,1)-1))</f>
        <v/>
      </c>
    </row>
    <row r="1380" spans="13:54" x14ac:dyDescent="0.25">
      <c r="M1380" s="382"/>
      <c r="BB1380" s="253" t="str">
        <f t="array" ref="BB1380">_xlfn.IFS(AQ1380="","",LEN(AQ1380)-LEN(SUBSTITUTE(AQ1380,".",""))=3,LEFT(AQ1380,vitri(".",AQ1380,3)-1),LEN(AQ1380)-LEN(SUBSTITUTE(AQ1380,".",""))=2,LEFT(AQ1380,vitri(".",AQ1380,2)-1),TRUE,LEFT(AQ1380,vitri(".",AQ1380,1)-1))</f>
        <v/>
      </c>
    </row>
    <row r="1381" spans="13:54" x14ac:dyDescent="0.25">
      <c r="M1381" s="382"/>
      <c r="BB1381" s="253" t="str">
        <f t="array" ref="BB1381">_xlfn.IFS(AQ1381="","",LEN(AQ1381)-LEN(SUBSTITUTE(AQ1381,".",""))=3,LEFT(AQ1381,vitri(".",AQ1381,3)-1),LEN(AQ1381)-LEN(SUBSTITUTE(AQ1381,".",""))=2,LEFT(AQ1381,vitri(".",AQ1381,2)-1),TRUE,LEFT(AQ1381,vitri(".",AQ1381,1)-1))</f>
        <v/>
      </c>
    </row>
    <row r="1382" spans="13:54" x14ac:dyDescent="0.25">
      <c r="M1382" s="382"/>
      <c r="BB1382" s="253" t="str">
        <f t="array" ref="BB1382">_xlfn.IFS(AQ1382="","",LEN(AQ1382)-LEN(SUBSTITUTE(AQ1382,".",""))=3,LEFT(AQ1382,vitri(".",AQ1382,3)-1),LEN(AQ1382)-LEN(SUBSTITUTE(AQ1382,".",""))=2,LEFT(AQ1382,vitri(".",AQ1382,2)-1),TRUE,LEFT(AQ1382,vitri(".",AQ1382,1)-1))</f>
        <v/>
      </c>
    </row>
    <row r="1383" spans="13:54" x14ac:dyDescent="0.25">
      <c r="M1383" s="382"/>
      <c r="BB1383" s="253" t="str">
        <f t="array" ref="BB1383">_xlfn.IFS(AQ1383="","",LEN(AQ1383)-LEN(SUBSTITUTE(AQ1383,".",""))=3,LEFT(AQ1383,vitri(".",AQ1383,3)-1),LEN(AQ1383)-LEN(SUBSTITUTE(AQ1383,".",""))=2,LEFT(AQ1383,vitri(".",AQ1383,2)-1),TRUE,LEFT(AQ1383,vitri(".",AQ1383,1)-1))</f>
        <v/>
      </c>
    </row>
    <row r="1384" spans="13:54" x14ac:dyDescent="0.25">
      <c r="M1384" s="382"/>
      <c r="BB1384" s="253" t="str">
        <f t="array" ref="BB1384">_xlfn.IFS(AQ1384="","",LEN(AQ1384)-LEN(SUBSTITUTE(AQ1384,".",""))=3,LEFT(AQ1384,vitri(".",AQ1384,3)-1),LEN(AQ1384)-LEN(SUBSTITUTE(AQ1384,".",""))=2,LEFT(AQ1384,vitri(".",AQ1384,2)-1),TRUE,LEFT(AQ1384,vitri(".",AQ1384,1)-1))</f>
        <v/>
      </c>
    </row>
    <row r="1385" spans="13:54" x14ac:dyDescent="0.25">
      <c r="M1385" s="382"/>
      <c r="BB1385" s="253" t="str">
        <f t="array" ref="BB1385">_xlfn.IFS(AQ1385="","",LEN(AQ1385)-LEN(SUBSTITUTE(AQ1385,".",""))=3,LEFT(AQ1385,vitri(".",AQ1385,3)-1),LEN(AQ1385)-LEN(SUBSTITUTE(AQ1385,".",""))=2,LEFT(AQ1385,vitri(".",AQ1385,2)-1),TRUE,LEFT(AQ1385,vitri(".",AQ1385,1)-1))</f>
        <v/>
      </c>
    </row>
    <row r="1386" spans="13:54" x14ac:dyDescent="0.25">
      <c r="M1386" s="382"/>
      <c r="BB1386" s="253" t="str">
        <f t="array" ref="BB1386">_xlfn.IFS(AQ1386="","",LEN(AQ1386)-LEN(SUBSTITUTE(AQ1386,".",""))=3,LEFT(AQ1386,vitri(".",AQ1386,3)-1),LEN(AQ1386)-LEN(SUBSTITUTE(AQ1386,".",""))=2,LEFT(AQ1386,vitri(".",AQ1386,2)-1),TRUE,LEFT(AQ1386,vitri(".",AQ1386,1)-1))</f>
        <v/>
      </c>
    </row>
    <row r="1387" spans="13:54" x14ac:dyDescent="0.25">
      <c r="M1387" s="382"/>
      <c r="BB1387" s="253" t="str">
        <f t="array" ref="BB1387">_xlfn.IFS(AQ1387="","",LEN(AQ1387)-LEN(SUBSTITUTE(AQ1387,".",""))=3,LEFT(AQ1387,vitri(".",AQ1387,3)-1),LEN(AQ1387)-LEN(SUBSTITUTE(AQ1387,".",""))=2,LEFT(AQ1387,vitri(".",AQ1387,2)-1),TRUE,LEFT(AQ1387,vitri(".",AQ1387,1)-1))</f>
        <v/>
      </c>
    </row>
    <row r="1388" spans="13:54" x14ac:dyDescent="0.25">
      <c r="M1388" s="382"/>
      <c r="BB1388" s="253" t="str">
        <f t="array" ref="BB1388">_xlfn.IFS(AQ1388="","",LEN(AQ1388)-LEN(SUBSTITUTE(AQ1388,".",""))=3,LEFT(AQ1388,vitri(".",AQ1388,3)-1),LEN(AQ1388)-LEN(SUBSTITUTE(AQ1388,".",""))=2,LEFT(AQ1388,vitri(".",AQ1388,2)-1),TRUE,LEFT(AQ1388,vitri(".",AQ1388,1)-1))</f>
        <v/>
      </c>
    </row>
    <row r="1389" spans="13:54" x14ac:dyDescent="0.25">
      <c r="M1389" s="382"/>
      <c r="BB1389" s="253" t="str">
        <f t="array" ref="BB1389">_xlfn.IFS(AQ1389="","",LEN(AQ1389)-LEN(SUBSTITUTE(AQ1389,".",""))=3,LEFT(AQ1389,vitri(".",AQ1389,3)-1),LEN(AQ1389)-LEN(SUBSTITUTE(AQ1389,".",""))=2,LEFT(AQ1389,vitri(".",AQ1389,2)-1),TRUE,LEFT(AQ1389,vitri(".",AQ1389,1)-1))</f>
        <v/>
      </c>
    </row>
    <row r="1390" spans="13:54" x14ac:dyDescent="0.25">
      <c r="M1390" s="382"/>
      <c r="BB1390" s="253" t="str">
        <f t="array" ref="BB1390">_xlfn.IFS(AQ1390="","",LEN(AQ1390)-LEN(SUBSTITUTE(AQ1390,".",""))=3,LEFT(AQ1390,vitri(".",AQ1390,3)-1),LEN(AQ1390)-LEN(SUBSTITUTE(AQ1390,".",""))=2,LEFT(AQ1390,vitri(".",AQ1390,2)-1),TRUE,LEFT(AQ1390,vitri(".",AQ1390,1)-1))</f>
        <v/>
      </c>
    </row>
    <row r="1391" spans="13:54" x14ac:dyDescent="0.25">
      <c r="M1391" s="382"/>
      <c r="BB1391" s="253" t="str">
        <f t="array" ref="BB1391">_xlfn.IFS(AQ1391="","",LEN(AQ1391)-LEN(SUBSTITUTE(AQ1391,".",""))=3,LEFT(AQ1391,vitri(".",AQ1391,3)-1),LEN(AQ1391)-LEN(SUBSTITUTE(AQ1391,".",""))=2,LEFT(AQ1391,vitri(".",AQ1391,2)-1),TRUE,LEFT(AQ1391,vitri(".",AQ1391,1)-1))</f>
        <v/>
      </c>
    </row>
    <row r="1392" spans="13:54" x14ac:dyDescent="0.25">
      <c r="M1392" s="382"/>
      <c r="BB1392" s="253" t="str">
        <f t="array" ref="BB1392">_xlfn.IFS(AQ1392="","",LEN(AQ1392)-LEN(SUBSTITUTE(AQ1392,".",""))=3,LEFT(AQ1392,vitri(".",AQ1392,3)-1),LEN(AQ1392)-LEN(SUBSTITUTE(AQ1392,".",""))=2,LEFT(AQ1392,vitri(".",AQ1392,2)-1),TRUE,LEFT(AQ1392,vitri(".",AQ1392,1)-1))</f>
        <v/>
      </c>
    </row>
    <row r="1393" spans="13:54" x14ac:dyDescent="0.25">
      <c r="M1393" s="382"/>
      <c r="BB1393" s="253" t="str">
        <f t="array" ref="BB1393">_xlfn.IFS(AQ1393="","",LEN(AQ1393)-LEN(SUBSTITUTE(AQ1393,".",""))=3,LEFT(AQ1393,vitri(".",AQ1393,3)-1),LEN(AQ1393)-LEN(SUBSTITUTE(AQ1393,".",""))=2,LEFT(AQ1393,vitri(".",AQ1393,2)-1),TRUE,LEFT(AQ1393,vitri(".",AQ1393,1)-1))</f>
        <v/>
      </c>
    </row>
    <row r="1394" spans="13:54" x14ac:dyDescent="0.25">
      <c r="M1394" s="382"/>
      <c r="BB1394" s="253" t="str">
        <f t="array" ref="BB1394">_xlfn.IFS(AQ1394="","",LEN(AQ1394)-LEN(SUBSTITUTE(AQ1394,".",""))=3,LEFT(AQ1394,vitri(".",AQ1394,3)-1),LEN(AQ1394)-LEN(SUBSTITUTE(AQ1394,".",""))=2,LEFT(AQ1394,vitri(".",AQ1394,2)-1),TRUE,LEFT(AQ1394,vitri(".",AQ1394,1)-1))</f>
        <v/>
      </c>
    </row>
    <row r="1395" spans="13:54" x14ac:dyDescent="0.25">
      <c r="M1395" s="382"/>
      <c r="BB1395" s="253" t="str">
        <f t="array" ref="BB1395">_xlfn.IFS(AQ1395="","",LEN(AQ1395)-LEN(SUBSTITUTE(AQ1395,".",""))=3,LEFT(AQ1395,vitri(".",AQ1395,3)-1),LEN(AQ1395)-LEN(SUBSTITUTE(AQ1395,".",""))=2,LEFT(AQ1395,vitri(".",AQ1395,2)-1),TRUE,LEFT(AQ1395,vitri(".",AQ1395,1)-1))</f>
        <v/>
      </c>
    </row>
    <row r="1396" spans="13:54" x14ac:dyDescent="0.25">
      <c r="M1396" s="382"/>
      <c r="BB1396" s="253" t="str">
        <f t="array" ref="BB1396">_xlfn.IFS(AQ1396="","",LEN(AQ1396)-LEN(SUBSTITUTE(AQ1396,".",""))=3,LEFT(AQ1396,vitri(".",AQ1396,3)-1),LEN(AQ1396)-LEN(SUBSTITUTE(AQ1396,".",""))=2,LEFT(AQ1396,vitri(".",AQ1396,2)-1),TRUE,LEFT(AQ1396,vitri(".",AQ1396,1)-1))</f>
        <v/>
      </c>
    </row>
    <row r="1397" spans="13:54" x14ac:dyDescent="0.25">
      <c r="M1397" s="382"/>
      <c r="BB1397" s="253" t="str">
        <f t="array" ref="BB1397">_xlfn.IFS(AQ1397="","",LEN(AQ1397)-LEN(SUBSTITUTE(AQ1397,".",""))=3,LEFT(AQ1397,vitri(".",AQ1397,3)-1),LEN(AQ1397)-LEN(SUBSTITUTE(AQ1397,".",""))=2,LEFT(AQ1397,vitri(".",AQ1397,2)-1),TRUE,LEFT(AQ1397,vitri(".",AQ1397,1)-1))</f>
        <v/>
      </c>
    </row>
    <row r="1398" spans="13:54" x14ac:dyDescent="0.25">
      <c r="M1398" s="382"/>
      <c r="BB1398" s="253" t="str">
        <f t="array" ref="BB1398">_xlfn.IFS(AQ1398="","",LEN(AQ1398)-LEN(SUBSTITUTE(AQ1398,".",""))=3,LEFT(AQ1398,vitri(".",AQ1398,3)-1),LEN(AQ1398)-LEN(SUBSTITUTE(AQ1398,".",""))=2,LEFT(AQ1398,vitri(".",AQ1398,2)-1),TRUE,LEFT(AQ1398,vitri(".",AQ1398,1)-1))</f>
        <v/>
      </c>
    </row>
    <row r="1399" spans="13:54" x14ac:dyDescent="0.25">
      <c r="M1399" s="382"/>
      <c r="BB1399" s="253" t="str">
        <f t="array" ref="BB1399">_xlfn.IFS(AQ1399="","",LEN(AQ1399)-LEN(SUBSTITUTE(AQ1399,".",""))=3,LEFT(AQ1399,vitri(".",AQ1399,3)-1),LEN(AQ1399)-LEN(SUBSTITUTE(AQ1399,".",""))=2,LEFT(AQ1399,vitri(".",AQ1399,2)-1),TRUE,LEFT(AQ1399,vitri(".",AQ1399,1)-1))</f>
        <v/>
      </c>
    </row>
    <row r="1400" spans="13:54" x14ac:dyDescent="0.25">
      <c r="M1400" s="382"/>
      <c r="BB1400" s="253" t="str">
        <f t="array" ref="BB1400">_xlfn.IFS(AQ1400="","",LEN(AQ1400)-LEN(SUBSTITUTE(AQ1400,".",""))=3,LEFT(AQ1400,vitri(".",AQ1400,3)-1),LEN(AQ1400)-LEN(SUBSTITUTE(AQ1400,".",""))=2,LEFT(AQ1400,vitri(".",AQ1400,2)-1),TRUE,LEFT(AQ1400,vitri(".",AQ1400,1)-1))</f>
        <v/>
      </c>
    </row>
    <row r="1401" spans="13:54" x14ac:dyDescent="0.25">
      <c r="M1401" s="382"/>
      <c r="BB1401" s="253" t="str">
        <f t="array" ref="BB1401">_xlfn.IFS(AQ1401="","",LEN(AQ1401)-LEN(SUBSTITUTE(AQ1401,".",""))=3,LEFT(AQ1401,vitri(".",AQ1401,3)-1),LEN(AQ1401)-LEN(SUBSTITUTE(AQ1401,".",""))=2,LEFT(AQ1401,vitri(".",AQ1401,2)-1),TRUE,LEFT(AQ1401,vitri(".",AQ1401,1)-1))</f>
        <v/>
      </c>
    </row>
    <row r="1402" spans="13:54" x14ac:dyDescent="0.25">
      <c r="M1402" s="382"/>
      <c r="BB1402" s="253" t="str">
        <f t="array" ref="BB1402">_xlfn.IFS(AQ1402="","",LEN(AQ1402)-LEN(SUBSTITUTE(AQ1402,".",""))=3,LEFT(AQ1402,vitri(".",AQ1402,3)-1),LEN(AQ1402)-LEN(SUBSTITUTE(AQ1402,".",""))=2,LEFT(AQ1402,vitri(".",AQ1402,2)-1),TRUE,LEFT(AQ1402,vitri(".",AQ1402,1)-1))</f>
        <v/>
      </c>
    </row>
    <row r="1403" spans="13:54" x14ac:dyDescent="0.25">
      <c r="M1403" s="382"/>
      <c r="BB1403" s="253" t="str">
        <f t="array" ref="BB1403">_xlfn.IFS(AQ1403="","",LEN(AQ1403)-LEN(SUBSTITUTE(AQ1403,".",""))=3,LEFT(AQ1403,vitri(".",AQ1403,3)-1),LEN(AQ1403)-LEN(SUBSTITUTE(AQ1403,".",""))=2,LEFT(AQ1403,vitri(".",AQ1403,2)-1),TRUE,LEFT(AQ1403,vitri(".",AQ1403,1)-1))</f>
        <v/>
      </c>
    </row>
    <row r="1404" spans="13:54" x14ac:dyDescent="0.25">
      <c r="M1404" s="382"/>
      <c r="BB1404" s="253" t="str">
        <f t="array" ref="BB1404">_xlfn.IFS(AQ1404="","",LEN(AQ1404)-LEN(SUBSTITUTE(AQ1404,".",""))=3,LEFT(AQ1404,vitri(".",AQ1404,3)-1),LEN(AQ1404)-LEN(SUBSTITUTE(AQ1404,".",""))=2,LEFT(AQ1404,vitri(".",AQ1404,2)-1),TRUE,LEFT(AQ1404,vitri(".",AQ1404,1)-1))</f>
        <v/>
      </c>
    </row>
    <row r="1405" spans="13:54" x14ac:dyDescent="0.25">
      <c r="M1405" s="382"/>
      <c r="BB1405" s="253" t="str">
        <f t="array" ref="BB1405">_xlfn.IFS(AQ1405="","",LEN(AQ1405)-LEN(SUBSTITUTE(AQ1405,".",""))=3,LEFT(AQ1405,vitri(".",AQ1405,3)-1),LEN(AQ1405)-LEN(SUBSTITUTE(AQ1405,".",""))=2,LEFT(AQ1405,vitri(".",AQ1405,2)-1),TRUE,LEFT(AQ1405,vitri(".",AQ1405,1)-1))</f>
        <v/>
      </c>
    </row>
    <row r="1406" spans="13:54" x14ac:dyDescent="0.25">
      <c r="M1406" s="382"/>
      <c r="BB1406" s="253" t="str">
        <f t="array" ref="BB1406">_xlfn.IFS(AQ1406="","",LEN(AQ1406)-LEN(SUBSTITUTE(AQ1406,".",""))=3,LEFT(AQ1406,vitri(".",AQ1406,3)-1),LEN(AQ1406)-LEN(SUBSTITUTE(AQ1406,".",""))=2,LEFT(AQ1406,vitri(".",AQ1406,2)-1),TRUE,LEFT(AQ1406,vitri(".",AQ1406,1)-1))</f>
        <v/>
      </c>
    </row>
    <row r="1407" spans="13:54" x14ac:dyDescent="0.25">
      <c r="M1407" s="382"/>
      <c r="BB1407" s="253" t="str">
        <f t="array" ref="BB1407">_xlfn.IFS(AQ1407="","",LEN(AQ1407)-LEN(SUBSTITUTE(AQ1407,".",""))=3,LEFT(AQ1407,vitri(".",AQ1407,3)-1),LEN(AQ1407)-LEN(SUBSTITUTE(AQ1407,".",""))=2,LEFT(AQ1407,vitri(".",AQ1407,2)-1),TRUE,LEFT(AQ1407,vitri(".",AQ1407,1)-1))</f>
        <v/>
      </c>
    </row>
    <row r="1408" spans="13:54" x14ac:dyDescent="0.25">
      <c r="M1408" s="382"/>
      <c r="BB1408" s="253" t="str">
        <f t="array" ref="BB1408">_xlfn.IFS(AQ1408="","",LEN(AQ1408)-LEN(SUBSTITUTE(AQ1408,".",""))=3,LEFT(AQ1408,vitri(".",AQ1408,3)-1),LEN(AQ1408)-LEN(SUBSTITUTE(AQ1408,".",""))=2,LEFT(AQ1408,vitri(".",AQ1408,2)-1),TRUE,LEFT(AQ1408,vitri(".",AQ1408,1)-1))</f>
        <v/>
      </c>
    </row>
    <row r="1409" spans="13:54" x14ac:dyDescent="0.25">
      <c r="M1409" s="382"/>
      <c r="BB1409" s="253" t="str">
        <f t="array" ref="BB1409">_xlfn.IFS(AQ1409="","",LEN(AQ1409)-LEN(SUBSTITUTE(AQ1409,".",""))=3,LEFT(AQ1409,vitri(".",AQ1409,3)-1),LEN(AQ1409)-LEN(SUBSTITUTE(AQ1409,".",""))=2,LEFT(AQ1409,vitri(".",AQ1409,2)-1),TRUE,LEFT(AQ1409,vitri(".",AQ1409,1)-1))</f>
        <v/>
      </c>
    </row>
    <row r="1410" spans="13:54" x14ac:dyDescent="0.25">
      <c r="M1410" s="382"/>
      <c r="BB1410" s="253" t="str">
        <f t="array" ref="BB1410">_xlfn.IFS(AQ1410="","",LEN(AQ1410)-LEN(SUBSTITUTE(AQ1410,".",""))=3,LEFT(AQ1410,vitri(".",AQ1410,3)-1),LEN(AQ1410)-LEN(SUBSTITUTE(AQ1410,".",""))=2,LEFT(AQ1410,vitri(".",AQ1410,2)-1),TRUE,LEFT(AQ1410,vitri(".",AQ1410,1)-1))</f>
        <v/>
      </c>
    </row>
    <row r="1411" spans="13:54" x14ac:dyDescent="0.25">
      <c r="M1411" s="382"/>
      <c r="BB1411" s="253" t="str">
        <f t="array" ref="BB1411">_xlfn.IFS(AQ1411="","",LEN(AQ1411)-LEN(SUBSTITUTE(AQ1411,".",""))=3,LEFT(AQ1411,vitri(".",AQ1411,3)-1),LEN(AQ1411)-LEN(SUBSTITUTE(AQ1411,".",""))=2,LEFT(AQ1411,vitri(".",AQ1411,2)-1),TRUE,LEFT(AQ1411,vitri(".",AQ1411,1)-1))</f>
        <v/>
      </c>
    </row>
    <row r="1412" spans="13:54" x14ac:dyDescent="0.25">
      <c r="M1412" s="382"/>
      <c r="BB1412" s="253" t="str">
        <f t="array" ref="BB1412">_xlfn.IFS(AQ1412="","",LEN(AQ1412)-LEN(SUBSTITUTE(AQ1412,".",""))=3,LEFT(AQ1412,vitri(".",AQ1412,3)-1),LEN(AQ1412)-LEN(SUBSTITUTE(AQ1412,".",""))=2,LEFT(AQ1412,vitri(".",AQ1412,2)-1),TRUE,LEFT(AQ1412,vitri(".",AQ1412,1)-1))</f>
        <v/>
      </c>
    </row>
    <row r="1413" spans="13:54" x14ac:dyDescent="0.25">
      <c r="M1413" s="382"/>
      <c r="BB1413" s="253" t="str">
        <f t="array" ref="BB1413">_xlfn.IFS(AQ1413="","",LEN(AQ1413)-LEN(SUBSTITUTE(AQ1413,".",""))=3,LEFT(AQ1413,vitri(".",AQ1413,3)-1),LEN(AQ1413)-LEN(SUBSTITUTE(AQ1413,".",""))=2,LEFT(AQ1413,vitri(".",AQ1413,2)-1),TRUE,LEFT(AQ1413,vitri(".",AQ1413,1)-1))</f>
        <v/>
      </c>
    </row>
    <row r="1414" spans="13:54" x14ac:dyDescent="0.25">
      <c r="M1414" s="382"/>
      <c r="BB1414" s="253" t="str">
        <f t="array" ref="BB1414">_xlfn.IFS(AQ1414="","",LEN(AQ1414)-LEN(SUBSTITUTE(AQ1414,".",""))=3,LEFT(AQ1414,vitri(".",AQ1414,3)-1),LEN(AQ1414)-LEN(SUBSTITUTE(AQ1414,".",""))=2,LEFT(AQ1414,vitri(".",AQ1414,2)-1),TRUE,LEFT(AQ1414,vitri(".",AQ1414,1)-1))</f>
        <v/>
      </c>
    </row>
    <row r="1415" spans="13:54" x14ac:dyDescent="0.25">
      <c r="M1415" s="382"/>
      <c r="BB1415" s="253" t="str">
        <f t="array" ref="BB1415">_xlfn.IFS(AQ1415="","",LEN(AQ1415)-LEN(SUBSTITUTE(AQ1415,".",""))=3,LEFT(AQ1415,vitri(".",AQ1415,3)-1),LEN(AQ1415)-LEN(SUBSTITUTE(AQ1415,".",""))=2,LEFT(AQ1415,vitri(".",AQ1415,2)-1),TRUE,LEFT(AQ1415,vitri(".",AQ1415,1)-1))</f>
        <v/>
      </c>
    </row>
    <row r="1416" spans="13:54" x14ac:dyDescent="0.25">
      <c r="M1416" s="382"/>
      <c r="BB1416" s="253" t="str">
        <f t="array" ref="BB1416">_xlfn.IFS(AQ1416="","",LEN(AQ1416)-LEN(SUBSTITUTE(AQ1416,".",""))=3,LEFT(AQ1416,vitri(".",AQ1416,3)-1),LEN(AQ1416)-LEN(SUBSTITUTE(AQ1416,".",""))=2,LEFT(AQ1416,vitri(".",AQ1416,2)-1),TRUE,LEFT(AQ1416,vitri(".",AQ1416,1)-1))</f>
        <v/>
      </c>
    </row>
    <row r="1417" spans="13:54" x14ac:dyDescent="0.25">
      <c r="M1417" s="382"/>
      <c r="BB1417" s="253" t="str">
        <f t="array" ref="BB1417">_xlfn.IFS(AQ1417="","",LEN(AQ1417)-LEN(SUBSTITUTE(AQ1417,".",""))=3,LEFT(AQ1417,vitri(".",AQ1417,3)-1),LEN(AQ1417)-LEN(SUBSTITUTE(AQ1417,".",""))=2,LEFT(AQ1417,vitri(".",AQ1417,2)-1),TRUE,LEFT(AQ1417,vitri(".",AQ1417,1)-1))</f>
        <v/>
      </c>
    </row>
    <row r="1418" spans="13:54" x14ac:dyDescent="0.25">
      <c r="M1418" s="382"/>
      <c r="BB1418" s="253" t="str">
        <f t="array" ref="BB1418">_xlfn.IFS(AQ1418="","",LEN(AQ1418)-LEN(SUBSTITUTE(AQ1418,".",""))=3,LEFT(AQ1418,vitri(".",AQ1418,3)-1),LEN(AQ1418)-LEN(SUBSTITUTE(AQ1418,".",""))=2,LEFT(AQ1418,vitri(".",AQ1418,2)-1),TRUE,LEFT(AQ1418,vitri(".",AQ1418,1)-1))</f>
        <v/>
      </c>
    </row>
    <row r="1419" spans="13:54" x14ac:dyDescent="0.25">
      <c r="M1419" s="382"/>
      <c r="BB1419" s="253" t="str">
        <f t="array" ref="BB1419">_xlfn.IFS(AQ1419="","",LEN(AQ1419)-LEN(SUBSTITUTE(AQ1419,".",""))=3,LEFT(AQ1419,vitri(".",AQ1419,3)-1),LEN(AQ1419)-LEN(SUBSTITUTE(AQ1419,".",""))=2,LEFT(AQ1419,vitri(".",AQ1419,2)-1),TRUE,LEFT(AQ1419,vitri(".",AQ1419,1)-1))</f>
        <v/>
      </c>
    </row>
    <row r="1420" spans="13:54" x14ac:dyDescent="0.25">
      <c r="M1420" s="382"/>
      <c r="BB1420" s="253" t="str">
        <f t="array" ref="BB1420">_xlfn.IFS(AQ1420="","",LEN(AQ1420)-LEN(SUBSTITUTE(AQ1420,".",""))=3,LEFT(AQ1420,vitri(".",AQ1420,3)-1),LEN(AQ1420)-LEN(SUBSTITUTE(AQ1420,".",""))=2,LEFT(AQ1420,vitri(".",AQ1420,2)-1),TRUE,LEFT(AQ1420,vitri(".",AQ1420,1)-1))</f>
        <v/>
      </c>
    </row>
    <row r="1421" spans="13:54" x14ac:dyDescent="0.25">
      <c r="M1421" s="382"/>
      <c r="BB1421" s="253" t="str">
        <f t="array" ref="BB1421">_xlfn.IFS(AQ1421="","",LEN(AQ1421)-LEN(SUBSTITUTE(AQ1421,".",""))=3,LEFT(AQ1421,vitri(".",AQ1421,3)-1),LEN(AQ1421)-LEN(SUBSTITUTE(AQ1421,".",""))=2,LEFT(AQ1421,vitri(".",AQ1421,2)-1),TRUE,LEFT(AQ1421,vitri(".",AQ1421,1)-1))</f>
        <v/>
      </c>
    </row>
    <row r="1422" spans="13:54" x14ac:dyDescent="0.25">
      <c r="M1422" s="382"/>
      <c r="BB1422" s="253" t="str">
        <f t="array" ref="BB1422">_xlfn.IFS(AQ1422="","",LEN(AQ1422)-LEN(SUBSTITUTE(AQ1422,".",""))=3,LEFT(AQ1422,vitri(".",AQ1422,3)-1),LEN(AQ1422)-LEN(SUBSTITUTE(AQ1422,".",""))=2,LEFT(AQ1422,vitri(".",AQ1422,2)-1),TRUE,LEFT(AQ1422,vitri(".",AQ1422,1)-1))</f>
        <v/>
      </c>
    </row>
    <row r="1423" spans="13:54" x14ac:dyDescent="0.25">
      <c r="M1423" s="382"/>
      <c r="BB1423" s="253" t="str">
        <f t="array" ref="BB1423">_xlfn.IFS(AQ1423="","",LEN(AQ1423)-LEN(SUBSTITUTE(AQ1423,".",""))=3,LEFT(AQ1423,vitri(".",AQ1423,3)-1),LEN(AQ1423)-LEN(SUBSTITUTE(AQ1423,".",""))=2,LEFT(AQ1423,vitri(".",AQ1423,2)-1),TRUE,LEFT(AQ1423,vitri(".",AQ1423,1)-1))</f>
        <v/>
      </c>
    </row>
    <row r="1424" spans="13:54" x14ac:dyDescent="0.25">
      <c r="M1424" s="382"/>
      <c r="BB1424" s="253" t="str">
        <f t="array" ref="BB1424">_xlfn.IFS(AQ1424="","",LEN(AQ1424)-LEN(SUBSTITUTE(AQ1424,".",""))=3,LEFT(AQ1424,vitri(".",AQ1424,3)-1),LEN(AQ1424)-LEN(SUBSTITUTE(AQ1424,".",""))=2,LEFT(AQ1424,vitri(".",AQ1424,2)-1),TRUE,LEFT(AQ1424,vitri(".",AQ1424,1)-1))</f>
        <v/>
      </c>
    </row>
    <row r="1425" spans="13:54" x14ac:dyDescent="0.25">
      <c r="M1425" s="382"/>
      <c r="BB1425" s="253" t="str">
        <f t="array" ref="BB1425">_xlfn.IFS(AQ1425="","",LEN(AQ1425)-LEN(SUBSTITUTE(AQ1425,".",""))=3,LEFT(AQ1425,vitri(".",AQ1425,3)-1),LEN(AQ1425)-LEN(SUBSTITUTE(AQ1425,".",""))=2,LEFT(AQ1425,vitri(".",AQ1425,2)-1),TRUE,LEFT(AQ1425,vitri(".",AQ1425,1)-1))</f>
        <v/>
      </c>
    </row>
    <row r="1426" spans="13:54" x14ac:dyDescent="0.25">
      <c r="M1426" s="382"/>
      <c r="BB1426" s="253" t="str">
        <f t="array" ref="BB1426">_xlfn.IFS(AQ1426="","",LEN(AQ1426)-LEN(SUBSTITUTE(AQ1426,".",""))=3,LEFT(AQ1426,vitri(".",AQ1426,3)-1),LEN(AQ1426)-LEN(SUBSTITUTE(AQ1426,".",""))=2,LEFT(AQ1426,vitri(".",AQ1426,2)-1),TRUE,LEFT(AQ1426,vitri(".",AQ1426,1)-1))</f>
        <v/>
      </c>
    </row>
    <row r="1427" spans="13:54" x14ac:dyDescent="0.25">
      <c r="M1427" s="382"/>
      <c r="BB1427" s="253" t="str">
        <f t="array" ref="BB1427">_xlfn.IFS(AQ1427="","",LEN(AQ1427)-LEN(SUBSTITUTE(AQ1427,".",""))=3,LEFT(AQ1427,vitri(".",AQ1427,3)-1),LEN(AQ1427)-LEN(SUBSTITUTE(AQ1427,".",""))=2,LEFT(AQ1427,vitri(".",AQ1427,2)-1),TRUE,LEFT(AQ1427,vitri(".",AQ1427,1)-1))</f>
        <v/>
      </c>
    </row>
    <row r="1428" spans="13:54" x14ac:dyDescent="0.25">
      <c r="M1428" s="382"/>
      <c r="BB1428" s="253" t="str">
        <f t="array" ref="BB1428">_xlfn.IFS(AQ1428="","",LEN(AQ1428)-LEN(SUBSTITUTE(AQ1428,".",""))=3,LEFT(AQ1428,vitri(".",AQ1428,3)-1),LEN(AQ1428)-LEN(SUBSTITUTE(AQ1428,".",""))=2,LEFT(AQ1428,vitri(".",AQ1428,2)-1),TRUE,LEFT(AQ1428,vitri(".",AQ1428,1)-1))</f>
        <v/>
      </c>
    </row>
    <row r="1429" spans="13:54" x14ac:dyDescent="0.25">
      <c r="M1429" s="382"/>
      <c r="BB1429" s="253" t="str">
        <f t="array" ref="BB1429">_xlfn.IFS(AQ1429="","",LEN(AQ1429)-LEN(SUBSTITUTE(AQ1429,".",""))=3,LEFT(AQ1429,vitri(".",AQ1429,3)-1),LEN(AQ1429)-LEN(SUBSTITUTE(AQ1429,".",""))=2,LEFT(AQ1429,vitri(".",AQ1429,2)-1),TRUE,LEFT(AQ1429,vitri(".",AQ1429,1)-1))</f>
        <v/>
      </c>
    </row>
    <row r="1430" spans="13:54" x14ac:dyDescent="0.25">
      <c r="M1430" s="382"/>
      <c r="BB1430" s="253" t="str">
        <f t="array" ref="BB1430">_xlfn.IFS(AQ1430="","",LEN(AQ1430)-LEN(SUBSTITUTE(AQ1430,".",""))=3,LEFT(AQ1430,vitri(".",AQ1430,3)-1),LEN(AQ1430)-LEN(SUBSTITUTE(AQ1430,".",""))=2,LEFT(AQ1430,vitri(".",AQ1430,2)-1),TRUE,LEFT(AQ1430,vitri(".",AQ1430,1)-1))</f>
        <v/>
      </c>
    </row>
    <row r="1431" spans="13:54" x14ac:dyDescent="0.25">
      <c r="M1431" s="382"/>
      <c r="BB1431" s="253" t="str">
        <f t="array" ref="BB1431">_xlfn.IFS(AQ1431="","",LEN(AQ1431)-LEN(SUBSTITUTE(AQ1431,".",""))=3,LEFT(AQ1431,vitri(".",AQ1431,3)-1),LEN(AQ1431)-LEN(SUBSTITUTE(AQ1431,".",""))=2,LEFT(AQ1431,vitri(".",AQ1431,2)-1),TRUE,LEFT(AQ1431,vitri(".",AQ1431,1)-1))</f>
        <v/>
      </c>
    </row>
    <row r="1432" spans="13:54" x14ac:dyDescent="0.25">
      <c r="M1432" s="382"/>
      <c r="BB1432" s="253" t="str">
        <f t="array" ref="BB1432">_xlfn.IFS(AQ1432="","",LEN(AQ1432)-LEN(SUBSTITUTE(AQ1432,".",""))=3,LEFT(AQ1432,vitri(".",AQ1432,3)-1),LEN(AQ1432)-LEN(SUBSTITUTE(AQ1432,".",""))=2,LEFT(AQ1432,vitri(".",AQ1432,2)-1),TRUE,LEFT(AQ1432,vitri(".",AQ1432,1)-1))</f>
        <v/>
      </c>
    </row>
    <row r="1433" spans="13:54" x14ac:dyDescent="0.25">
      <c r="M1433" s="382"/>
      <c r="BB1433" s="253" t="str">
        <f t="array" ref="BB1433">_xlfn.IFS(AQ1433="","",LEN(AQ1433)-LEN(SUBSTITUTE(AQ1433,".",""))=3,LEFT(AQ1433,vitri(".",AQ1433,3)-1),LEN(AQ1433)-LEN(SUBSTITUTE(AQ1433,".",""))=2,LEFT(AQ1433,vitri(".",AQ1433,2)-1),TRUE,LEFT(AQ1433,vitri(".",AQ1433,1)-1))</f>
        <v/>
      </c>
    </row>
    <row r="1434" spans="13:54" x14ac:dyDescent="0.25">
      <c r="M1434" s="382"/>
      <c r="BB1434" s="253" t="str">
        <f t="array" ref="BB1434">_xlfn.IFS(AQ1434="","",LEN(AQ1434)-LEN(SUBSTITUTE(AQ1434,".",""))=3,LEFT(AQ1434,vitri(".",AQ1434,3)-1),LEN(AQ1434)-LEN(SUBSTITUTE(AQ1434,".",""))=2,LEFT(AQ1434,vitri(".",AQ1434,2)-1),TRUE,LEFT(AQ1434,vitri(".",AQ1434,1)-1))</f>
        <v/>
      </c>
    </row>
    <row r="1435" spans="13:54" x14ac:dyDescent="0.25">
      <c r="M1435" s="382"/>
      <c r="BB1435" s="253" t="str">
        <f t="array" ref="BB1435">_xlfn.IFS(AQ1435="","",LEN(AQ1435)-LEN(SUBSTITUTE(AQ1435,".",""))=3,LEFT(AQ1435,vitri(".",AQ1435,3)-1),LEN(AQ1435)-LEN(SUBSTITUTE(AQ1435,".",""))=2,LEFT(AQ1435,vitri(".",AQ1435,2)-1),TRUE,LEFT(AQ1435,vitri(".",AQ1435,1)-1))</f>
        <v/>
      </c>
    </row>
    <row r="1436" spans="13:54" x14ac:dyDescent="0.25">
      <c r="M1436" s="382"/>
      <c r="BB1436" s="253" t="str">
        <f t="array" ref="BB1436">_xlfn.IFS(AQ1436="","",LEN(AQ1436)-LEN(SUBSTITUTE(AQ1436,".",""))=3,LEFT(AQ1436,vitri(".",AQ1436,3)-1),LEN(AQ1436)-LEN(SUBSTITUTE(AQ1436,".",""))=2,LEFT(AQ1436,vitri(".",AQ1436,2)-1),TRUE,LEFT(AQ1436,vitri(".",AQ1436,1)-1))</f>
        <v/>
      </c>
    </row>
    <row r="1437" spans="13:54" x14ac:dyDescent="0.25">
      <c r="M1437" s="382"/>
      <c r="BB1437" s="253" t="str">
        <f t="array" ref="BB1437">_xlfn.IFS(AQ1437="","",LEN(AQ1437)-LEN(SUBSTITUTE(AQ1437,".",""))=3,LEFT(AQ1437,vitri(".",AQ1437,3)-1),LEN(AQ1437)-LEN(SUBSTITUTE(AQ1437,".",""))=2,LEFT(AQ1437,vitri(".",AQ1437,2)-1),TRUE,LEFT(AQ1437,vitri(".",AQ1437,1)-1))</f>
        <v/>
      </c>
    </row>
    <row r="1438" spans="13:54" x14ac:dyDescent="0.25">
      <c r="M1438" s="382"/>
      <c r="BB1438" s="253" t="str">
        <f t="array" ref="BB1438">_xlfn.IFS(AQ1438="","",LEN(AQ1438)-LEN(SUBSTITUTE(AQ1438,".",""))=3,LEFT(AQ1438,vitri(".",AQ1438,3)-1),LEN(AQ1438)-LEN(SUBSTITUTE(AQ1438,".",""))=2,LEFT(AQ1438,vitri(".",AQ1438,2)-1),TRUE,LEFT(AQ1438,vitri(".",AQ1438,1)-1))</f>
        <v/>
      </c>
    </row>
    <row r="1439" spans="13:54" x14ac:dyDescent="0.25">
      <c r="M1439" s="382"/>
      <c r="BB1439" s="253" t="str">
        <f t="array" ref="BB1439">_xlfn.IFS(AQ1439="","",LEN(AQ1439)-LEN(SUBSTITUTE(AQ1439,".",""))=3,LEFT(AQ1439,vitri(".",AQ1439,3)-1),LEN(AQ1439)-LEN(SUBSTITUTE(AQ1439,".",""))=2,LEFT(AQ1439,vitri(".",AQ1439,2)-1),TRUE,LEFT(AQ1439,vitri(".",AQ1439,1)-1))</f>
        <v/>
      </c>
    </row>
    <row r="1440" spans="13:54" x14ac:dyDescent="0.25">
      <c r="M1440" s="382"/>
      <c r="BB1440" s="253" t="str">
        <f t="array" ref="BB1440">_xlfn.IFS(AQ1440="","",LEN(AQ1440)-LEN(SUBSTITUTE(AQ1440,".",""))=3,LEFT(AQ1440,vitri(".",AQ1440,3)-1),LEN(AQ1440)-LEN(SUBSTITUTE(AQ1440,".",""))=2,LEFT(AQ1440,vitri(".",AQ1440,2)-1),TRUE,LEFT(AQ1440,vitri(".",AQ1440,1)-1))</f>
        <v/>
      </c>
    </row>
    <row r="1441" spans="13:54" x14ac:dyDescent="0.25">
      <c r="M1441" s="382"/>
      <c r="BB1441" s="253" t="str">
        <f t="array" ref="BB1441">_xlfn.IFS(AQ1441="","",LEN(AQ1441)-LEN(SUBSTITUTE(AQ1441,".",""))=3,LEFT(AQ1441,vitri(".",AQ1441,3)-1),LEN(AQ1441)-LEN(SUBSTITUTE(AQ1441,".",""))=2,LEFT(AQ1441,vitri(".",AQ1441,2)-1),TRUE,LEFT(AQ1441,vitri(".",AQ1441,1)-1))</f>
        <v/>
      </c>
    </row>
    <row r="1442" spans="13:54" x14ac:dyDescent="0.25">
      <c r="M1442" s="382"/>
      <c r="BB1442" s="253" t="str">
        <f t="array" ref="BB1442">_xlfn.IFS(AQ1442="","",LEN(AQ1442)-LEN(SUBSTITUTE(AQ1442,".",""))=3,LEFT(AQ1442,vitri(".",AQ1442,3)-1),LEN(AQ1442)-LEN(SUBSTITUTE(AQ1442,".",""))=2,LEFT(AQ1442,vitri(".",AQ1442,2)-1),TRUE,LEFT(AQ1442,vitri(".",AQ1442,1)-1))</f>
        <v/>
      </c>
    </row>
    <row r="1443" spans="13:54" x14ac:dyDescent="0.25">
      <c r="M1443" s="382"/>
      <c r="BB1443" s="253" t="str">
        <f t="array" ref="BB1443">_xlfn.IFS(AQ1443="","",LEN(AQ1443)-LEN(SUBSTITUTE(AQ1443,".",""))=3,LEFT(AQ1443,vitri(".",AQ1443,3)-1),LEN(AQ1443)-LEN(SUBSTITUTE(AQ1443,".",""))=2,LEFT(AQ1443,vitri(".",AQ1443,2)-1),TRUE,LEFT(AQ1443,vitri(".",AQ1443,1)-1))</f>
        <v/>
      </c>
    </row>
    <row r="1444" spans="13:54" x14ac:dyDescent="0.25">
      <c r="M1444" s="382"/>
      <c r="BB1444" s="253" t="str">
        <f t="array" ref="BB1444">_xlfn.IFS(AQ1444="","",LEN(AQ1444)-LEN(SUBSTITUTE(AQ1444,".",""))=3,LEFT(AQ1444,vitri(".",AQ1444,3)-1),LEN(AQ1444)-LEN(SUBSTITUTE(AQ1444,".",""))=2,LEFT(AQ1444,vitri(".",AQ1444,2)-1),TRUE,LEFT(AQ1444,vitri(".",AQ1444,1)-1))</f>
        <v/>
      </c>
    </row>
    <row r="1445" spans="13:54" x14ac:dyDescent="0.25">
      <c r="M1445" s="382"/>
      <c r="BB1445" s="253" t="str">
        <f t="array" ref="BB1445">_xlfn.IFS(AQ1445="","",LEN(AQ1445)-LEN(SUBSTITUTE(AQ1445,".",""))=3,LEFT(AQ1445,vitri(".",AQ1445,3)-1),LEN(AQ1445)-LEN(SUBSTITUTE(AQ1445,".",""))=2,LEFT(AQ1445,vitri(".",AQ1445,2)-1),TRUE,LEFT(AQ1445,vitri(".",AQ1445,1)-1))</f>
        <v/>
      </c>
    </row>
    <row r="1446" spans="13:54" x14ac:dyDescent="0.25">
      <c r="M1446" s="382"/>
      <c r="BB1446" s="253" t="str">
        <f t="array" ref="BB1446">_xlfn.IFS(AQ1446="","",LEN(AQ1446)-LEN(SUBSTITUTE(AQ1446,".",""))=3,LEFT(AQ1446,vitri(".",AQ1446,3)-1),LEN(AQ1446)-LEN(SUBSTITUTE(AQ1446,".",""))=2,LEFT(AQ1446,vitri(".",AQ1446,2)-1),TRUE,LEFT(AQ1446,vitri(".",AQ1446,1)-1))</f>
        <v/>
      </c>
    </row>
    <row r="1447" spans="13:54" x14ac:dyDescent="0.25">
      <c r="M1447" s="382"/>
      <c r="BB1447" s="253" t="str">
        <f t="array" ref="BB1447">_xlfn.IFS(AQ1447="","",LEN(AQ1447)-LEN(SUBSTITUTE(AQ1447,".",""))=3,LEFT(AQ1447,vitri(".",AQ1447,3)-1),LEN(AQ1447)-LEN(SUBSTITUTE(AQ1447,".",""))=2,LEFT(AQ1447,vitri(".",AQ1447,2)-1),TRUE,LEFT(AQ1447,vitri(".",AQ1447,1)-1))</f>
        <v/>
      </c>
    </row>
    <row r="1448" spans="13:54" x14ac:dyDescent="0.25">
      <c r="M1448" s="382"/>
      <c r="BB1448" s="253" t="str">
        <f t="array" ref="BB1448">_xlfn.IFS(AQ1448="","",LEN(AQ1448)-LEN(SUBSTITUTE(AQ1448,".",""))=3,LEFT(AQ1448,vitri(".",AQ1448,3)-1),LEN(AQ1448)-LEN(SUBSTITUTE(AQ1448,".",""))=2,LEFT(AQ1448,vitri(".",AQ1448,2)-1),TRUE,LEFT(AQ1448,vitri(".",AQ1448,1)-1))</f>
        <v/>
      </c>
    </row>
    <row r="1449" spans="13:54" x14ac:dyDescent="0.25">
      <c r="M1449" s="382"/>
      <c r="BB1449" s="253" t="str">
        <f t="array" ref="BB1449">_xlfn.IFS(AQ1449="","",LEN(AQ1449)-LEN(SUBSTITUTE(AQ1449,".",""))=3,LEFT(AQ1449,vitri(".",AQ1449,3)-1),LEN(AQ1449)-LEN(SUBSTITUTE(AQ1449,".",""))=2,LEFT(AQ1449,vitri(".",AQ1449,2)-1),TRUE,LEFT(AQ1449,vitri(".",AQ1449,1)-1))</f>
        <v/>
      </c>
    </row>
    <row r="1450" spans="13:54" x14ac:dyDescent="0.25">
      <c r="M1450" s="382"/>
      <c r="BB1450" s="253" t="str">
        <f t="array" ref="BB1450">_xlfn.IFS(AQ1450="","",LEN(AQ1450)-LEN(SUBSTITUTE(AQ1450,".",""))=3,LEFT(AQ1450,vitri(".",AQ1450,3)-1),LEN(AQ1450)-LEN(SUBSTITUTE(AQ1450,".",""))=2,LEFT(AQ1450,vitri(".",AQ1450,2)-1),TRUE,LEFT(AQ1450,vitri(".",AQ1450,1)-1))</f>
        <v/>
      </c>
    </row>
    <row r="1451" spans="13:54" x14ac:dyDescent="0.25">
      <c r="M1451" s="382"/>
      <c r="BB1451" s="253" t="str">
        <f t="array" ref="BB1451">_xlfn.IFS(AQ1451="","",LEN(AQ1451)-LEN(SUBSTITUTE(AQ1451,".",""))=3,LEFT(AQ1451,vitri(".",AQ1451,3)-1),LEN(AQ1451)-LEN(SUBSTITUTE(AQ1451,".",""))=2,LEFT(AQ1451,vitri(".",AQ1451,2)-1),TRUE,LEFT(AQ1451,vitri(".",AQ1451,1)-1))</f>
        <v/>
      </c>
    </row>
    <row r="1452" spans="13:54" x14ac:dyDescent="0.25">
      <c r="M1452" s="382"/>
      <c r="BB1452" s="253" t="str">
        <f t="array" ref="BB1452">_xlfn.IFS(AQ1452="","",LEN(AQ1452)-LEN(SUBSTITUTE(AQ1452,".",""))=3,LEFT(AQ1452,vitri(".",AQ1452,3)-1),LEN(AQ1452)-LEN(SUBSTITUTE(AQ1452,".",""))=2,LEFT(AQ1452,vitri(".",AQ1452,2)-1),TRUE,LEFT(AQ1452,vitri(".",AQ1452,1)-1))</f>
        <v/>
      </c>
    </row>
    <row r="1453" spans="13:54" x14ac:dyDescent="0.25">
      <c r="M1453" s="382"/>
      <c r="BB1453" s="253" t="str">
        <f t="array" ref="BB1453">_xlfn.IFS(AQ1453="","",LEN(AQ1453)-LEN(SUBSTITUTE(AQ1453,".",""))=3,LEFT(AQ1453,vitri(".",AQ1453,3)-1),LEN(AQ1453)-LEN(SUBSTITUTE(AQ1453,".",""))=2,LEFT(AQ1453,vitri(".",AQ1453,2)-1),TRUE,LEFT(AQ1453,vitri(".",AQ1453,1)-1))</f>
        <v/>
      </c>
    </row>
    <row r="1454" spans="13:54" x14ac:dyDescent="0.25">
      <c r="M1454" s="382"/>
      <c r="BB1454" s="253" t="str">
        <f t="array" ref="BB1454">_xlfn.IFS(AQ1454="","",LEN(AQ1454)-LEN(SUBSTITUTE(AQ1454,".",""))=3,LEFT(AQ1454,vitri(".",AQ1454,3)-1),LEN(AQ1454)-LEN(SUBSTITUTE(AQ1454,".",""))=2,LEFT(AQ1454,vitri(".",AQ1454,2)-1),TRUE,LEFT(AQ1454,vitri(".",AQ1454,1)-1))</f>
        <v/>
      </c>
    </row>
    <row r="1455" spans="13:54" x14ac:dyDescent="0.25">
      <c r="M1455" s="382"/>
      <c r="BB1455" s="253" t="str">
        <f t="array" ref="BB1455">_xlfn.IFS(AQ1455="","",LEN(AQ1455)-LEN(SUBSTITUTE(AQ1455,".",""))=3,LEFT(AQ1455,vitri(".",AQ1455,3)-1),LEN(AQ1455)-LEN(SUBSTITUTE(AQ1455,".",""))=2,LEFT(AQ1455,vitri(".",AQ1455,2)-1),TRUE,LEFT(AQ1455,vitri(".",AQ1455,1)-1))</f>
        <v/>
      </c>
    </row>
    <row r="1456" spans="13:54" x14ac:dyDescent="0.25">
      <c r="M1456" s="382"/>
      <c r="BB1456" s="253" t="str">
        <f t="array" ref="BB1456">_xlfn.IFS(AQ1456="","",LEN(AQ1456)-LEN(SUBSTITUTE(AQ1456,".",""))=3,LEFT(AQ1456,vitri(".",AQ1456,3)-1),LEN(AQ1456)-LEN(SUBSTITUTE(AQ1456,".",""))=2,LEFT(AQ1456,vitri(".",AQ1456,2)-1),TRUE,LEFT(AQ1456,vitri(".",AQ1456,1)-1))</f>
        <v/>
      </c>
    </row>
    <row r="1457" spans="13:54" x14ac:dyDescent="0.25">
      <c r="M1457" s="382"/>
      <c r="BB1457" s="253" t="str">
        <f t="array" ref="BB1457">_xlfn.IFS(AQ1457="","",LEN(AQ1457)-LEN(SUBSTITUTE(AQ1457,".",""))=3,LEFT(AQ1457,vitri(".",AQ1457,3)-1),LEN(AQ1457)-LEN(SUBSTITUTE(AQ1457,".",""))=2,LEFT(AQ1457,vitri(".",AQ1457,2)-1),TRUE,LEFT(AQ1457,vitri(".",AQ1457,1)-1))</f>
        <v/>
      </c>
    </row>
    <row r="1458" spans="13:54" x14ac:dyDescent="0.25">
      <c r="M1458" s="382"/>
      <c r="BB1458" s="253" t="str">
        <f t="array" ref="BB1458">_xlfn.IFS(AQ1458="","",LEN(AQ1458)-LEN(SUBSTITUTE(AQ1458,".",""))=3,LEFT(AQ1458,vitri(".",AQ1458,3)-1),LEN(AQ1458)-LEN(SUBSTITUTE(AQ1458,".",""))=2,LEFT(AQ1458,vitri(".",AQ1458,2)-1),TRUE,LEFT(AQ1458,vitri(".",AQ1458,1)-1))</f>
        <v/>
      </c>
    </row>
    <row r="1459" spans="13:54" x14ac:dyDescent="0.25">
      <c r="M1459" s="382"/>
      <c r="BB1459" s="253" t="str">
        <f t="array" ref="BB1459">_xlfn.IFS(AQ1459="","",LEN(AQ1459)-LEN(SUBSTITUTE(AQ1459,".",""))=3,LEFT(AQ1459,vitri(".",AQ1459,3)-1),LEN(AQ1459)-LEN(SUBSTITUTE(AQ1459,".",""))=2,LEFT(AQ1459,vitri(".",AQ1459,2)-1),TRUE,LEFT(AQ1459,vitri(".",AQ1459,1)-1))</f>
        <v/>
      </c>
    </row>
    <row r="1460" spans="13:54" x14ac:dyDescent="0.25">
      <c r="M1460" s="382"/>
      <c r="BB1460" s="253" t="str">
        <f t="array" ref="BB1460">_xlfn.IFS(AQ1460="","",LEN(AQ1460)-LEN(SUBSTITUTE(AQ1460,".",""))=3,LEFT(AQ1460,vitri(".",AQ1460,3)-1),LEN(AQ1460)-LEN(SUBSTITUTE(AQ1460,".",""))=2,LEFT(AQ1460,vitri(".",AQ1460,2)-1),TRUE,LEFT(AQ1460,vitri(".",AQ1460,1)-1))</f>
        <v/>
      </c>
    </row>
    <row r="1461" spans="13:54" x14ac:dyDescent="0.25">
      <c r="M1461" s="382"/>
      <c r="BB1461" s="253" t="str">
        <f t="array" ref="BB1461">_xlfn.IFS(AQ1461="","",LEN(AQ1461)-LEN(SUBSTITUTE(AQ1461,".",""))=3,LEFT(AQ1461,vitri(".",AQ1461,3)-1),LEN(AQ1461)-LEN(SUBSTITUTE(AQ1461,".",""))=2,LEFT(AQ1461,vitri(".",AQ1461,2)-1),TRUE,LEFT(AQ1461,vitri(".",AQ1461,1)-1))</f>
        <v/>
      </c>
    </row>
    <row r="1462" spans="13:54" x14ac:dyDescent="0.25">
      <c r="M1462" s="382"/>
      <c r="BB1462" s="253" t="str">
        <f t="array" ref="BB1462">_xlfn.IFS(AQ1462="","",LEN(AQ1462)-LEN(SUBSTITUTE(AQ1462,".",""))=3,LEFT(AQ1462,vitri(".",AQ1462,3)-1),LEN(AQ1462)-LEN(SUBSTITUTE(AQ1462,".",""))=2,LEFT(AQ1462,vitri(".",AQ1462,2)-1),TRUE,LEFT(AQ1462,vitri(".",AQ1462,1)-1))</f>
        <v/>
      </c>
    </row>
    <row r="1463" spans="13:54" x14ac:dyDescent="0.25">
      <c r="M1463" s="382"/>
      <c r="BB1463" s="253" t="str">
        <f t="array" ref="BB1463">_xlfn.IFS(AQ1463="","",LEN(AQ1463)-LEN(SUBSTITUTE(AQ1463,".",""))=3,LEFT(AQ1463,vitri(".",AQ1463,3)-1),LEN(AQ1463)-LEN(SUBSTITUTE(AQ1463,".",""))=2,LEFT(AQ1463,vitri(".",AQ1463,2)-1),TRUE,LEFT(AQ1463,vitri(".",AQ1463,1)-1))</f>
        <v/>
      </c>
    </row>
    <row r="1464" spans="13:54" x14ac:dyDescent="0.25">
      <c r="M1464" s="382"/>
      <c r="BB1464" s="253" t="str">
        <f t="array" ref="BB1464">_xlfn.IFS(AQ1464="","",LEN(AQ1464)-LEN(SUBSTITUTE(AQ1464,".",""))=3,LEFT(AQ1464,vitri(".",AQ1464,3)-1),LEN(AQ1464)-LEN(SUBSTITUTE(AQ1464,".",""))=2,LEFT(AQ1464,vitri(".",AQ1464,2)-1),TRUE,LEFT(AQ1464,vitri(".",AQ1464,1)-1))</f>
        <v/>
      </c>
    </row>
    <row r="1465" spans="13:54" x14ac:dyDescent="0.25">
      <c r="M1465" s="382"/>
      <c r="BB1465" s="253" t="str">
        <f t="array" ref="BB1465">_xlfn.IFS(AQ1465="","",LEN(AQ1465)-LEN(SUBSTITUTE(AQ1465,".",""))=3,LEFT(AQ1465,vitri(".",AQ1465,3)-1),LEN(AQ1465)-LEN(SUBSTITUTE(AQ1465,".",""))=2,LEFT(AQ1465,vitri(".",AQ1465,2)-1),TRUE,LEFT(AQ1465,vitri(".",AQ1465,1)-1))</f>
        <v/>
      </c>
    </row>
    <row r="1466" spans="13:54" x14ac:dyDescent="0.25">
      <c r="M1466" s="382"/>
      <c r="BB1466" s="253" t="str">
        <f t="array" ref="BB1466">_xlfn.IFS(AQ1466="","",LEN(AQ1466)-LEN(SUBSTITUTE(AQ1466,".",""))=3,LEFT(AQ1466,vitri(".",AQ1466,3)-1),LEN(AQ1466)-LEN(SUBSTITUTE(AQ1466,".",""))=2,LEFT(AQ1466,vitri(".",AQ1466,2)-1),TRUE,LEFT(AQ1466,vitri(".",AQ1466,1)-1))</f>
        <v/>
      </c>
    </row>
    <row r="1467" spans="13:54" x14ac:dyDescent="0.25">
      <c r="M1467" s="382"/>
      <c r="BB1467" s="253" t="str">
        <f t="array" ref="BB1467">_xlfn.IFS(AQ1467="","",LEN(AQ1467)-LEN(SUBSTITUTE(AQ1467,".",""))=3,LEFT(AQ1467,vitri(".",AQ1467,3)-1),LEN(AQ1467)-LEN(SUBSTITUTE(AQ1467,".",""))=2,LEFT(AQ1467,vitri(".",AQ1467,2)-1),TRUE,LEFT(AQ1467,vitri(".",AQ1467,1)-1))</f>
        <v/>
      </c>
    </row>
    <row r="1468" spans="13:54" x14ac:dyDescent="0.25">
      <c r="M1468" s="382"/>
      <c r="BB1468" s="253" t="str">
        <f t="array" ref="BB1468">_xlfn.IFS(AQ1468="","",LEN(AQ1468)-LEN(SUBSTITUTE(AQ1468,".",""))=3,LEFT(AQ1468,vitri(".",AQ1468,3)-1),LEN(AQ1468)-LEN(SUBSTITUTE(AQ1468,".",""))=2,LEFT(AQ1468,vitri(".",AQ1468,2)-1),TRUE,LEFT(AQ1468,vitri(".",AQ1468,1)-1))</f>
        <v/>
      </c>
    </row>
    <row r="1469" spans="13:54" x14ac:dyDescent="0.25">
      <c r="M1469" s="382"/>
      <c r="BB1469" s="253" t="str">
        <f t="array" ref="BB1469">_xlfn.IFS(AQ1469="","",LEN(AQ1469)-LEN(SUBSTITUTE(AQ1469,".",""))=3,LEFT(AQ1469,vitri(".",AQ1469,3)-1),LEN(AQ1469)-LEN(SUBSTITUTE(AQ1469,".",""))=2,LEFT(AQ1469,vitri(".",AQ1469,2)-1),TRUE,LEFT(AQ1469,vitri(".",AQ1469,1)-1))</f>
        <v/>
      </c>
    </row>
    <row r="1470" spans="13:54" x14ac:dyDescent="0.25">
      <c r="M1470" s="382"/>
      <c r="BB1470" s="253" t="str">
        <f t="array" ref="BB1470">_xlfn.IFS(AQ1470="","",LEN(AQ1470)-LEN(SUBSTITUTE(AQ1470,".",""))=3,LEFT(AQ1470,vitri(".",AQ1470,3)-1),LEN(AQ1470)-LEN(SUBSTITUTE(AQ1470,".",""))=2,LEFT(AQ1470,vitri(".",AQ1470,2)-1),TRUE,LEFT(AQ1470,vitri(".",AQ1470,1)-1))</f>
        <v/>
      </c>
    </row>
    <row r="1471" spans="13:54" x14ac:dyDescent="0.25">
      <c r="M1471" s="382"/>
      <c r="BB1471" s="253" t="str">
        <f t="array" ref="BB1471">_xlfn.IFS(AQ1471="","",LEN(AQ1471)-LEN(SUBSTITUTE(AQ1471,".",""))=3,LEFT(AQ1471,vitri(".",AQ1471,3)-1),LEN(AQ1471)-LEN(SUBSTITUTE(AQ1471,".",""))=2,LEFT(AQ1471,vitri(".",AQ1471,2)-1),TRUE,LEFT(AQ1471,vitri(".",AQ1471,1)-1))</f>
        <v/>
      </c>
    </row>
    <row r="1472" spans="13:54" x14ac:dyDescent="0.25">
      <c r="M1472" s="382"/>
      <c r="BB1472" s="253" t="str">
        <f t="array" ref="BB1472">_xlfn.IFS(AQ1472="","",LEN(AQ1472)-LEN(SUBSTITUTE(AQ1472,".",""))=3,LEFT(AQ1472,vitri(".",AQ1472,3)-1),LEN(AQ1472)-LEN(SUBSTITUTE(AQ1472,".",""))=2,LEFT(AQ1472,vitri(".",AQ1472,2)-1),TRUE,LEFT(AQ1472,vitri(".",AQ1472,1)-1))</f>
        <v/>
      </c>
    </row>
    <row r="1473" spans="13:54" x14ac:dyDescent="0.25">
      <c r="M1473" s="382"/>
      <c r="BB1473" s="253" t="str">
        <f t="array" ref="BB1473">_xlfn.IFS(AQ1473="","",LEN(AQ1473)-LEN(SUBSTITUTE(AQ1473,".",""))=3,LEFT(AQ1473,vitri(".",AQ1473,3)-1),LEN(AQ1473)-LEN(SUBSTITUTE(AQ1473,".",""))=2,LEFT(AQ1473,vitri(".",AQ1473,2)-1),TRUE,LEFT(AQ1473,vitri(".",AQ1473,1)-1))</f>
        <v/>
      </c>
    </row>
    <row r="1474" spans="13:54" x14ac:dyDescent="0.25">
      <c r="M1474" s="382"/>
      <c r="BB1474" s="253" t="str">
        <f t="array" ref="BB1474">_xlfn.IFS(AQ1474="","",LEN(AQ1474)-LEN(SUBSTITUTE(AQ1474,".",""))=3,LEFT(AQ1474,vitri(".",AQ1474,3)-1),LEN(AQ1474)-LEN(SUBSTITUTE(AQ1474,".",""))=2,LEFT(AQ1474,vitri(".",AQ1474,2)-1),TRUE,LEFT(AQ1474,vitri(".",AQ1474,1)-1))</f>
        <v/>
      </c>
    </row>
    <row r="1475" spans="13:54" x14ac:dyDescent="0.25">
      <c r="M1475" s="382"/>
      <c r="BB1475" s="253" t="str">
        <f t="array" ref="BB1475">_xlfn.IFS(AQ1475="","",LEN(AQ1475)-LEN(SUBSTITUTE(AQ1475,".",""))=3,LEFT(AQ1475,vitri(".",AQ1475,3)-1),LEN(AQ1475)-LEN(SUBSTITUTE(AQ1475,".",""))=2,LEFT(AQ1475,vitri(".",AQ1475,2)-1),TRUE,LEFT(AQ1475,vitri(".",AQ1475,1)-1))</f>
        <v/>
      </c>
    </row>
    <row r="1476" spans="13:54" x14ac:dyDescent="0.25">
      <c r="M1476" s="382"/>
      <c r="BB1476" s="253" t="str">
        <f t="array" ref="BB1476">_xlfn.IFS(AQ1476="","",LEN(AQ1476)-LEN(SUBSTITUTE(AQ1476,".",""))=3,LEFT(AQ1476,vitri(".",AQ1476,3)-1),LEN(AQ1476)-LEN(SUBSTITUTE(AQ1476,".",""))=2,LEFT(AQ1476,vitri(".",AQ1476,2)-1),TRUE,LEFT(AQ1476,vitri(".",AQ1476,1)-1))</f>
        <v/>
      </c>
    </row>
    <row r="1477" spans="13:54" x14ac:dyDescent="0.25">
      <c r="M1477" s="382"/>
      <c r="BB1477" s="253" t="str">
        <f t="array" ref="BB1477">_xlfn.IFS(AQ1477="","",LEN(AQ1477)-LEN(SUBSTITUTE(AQ1477,".",""))=3,LEFT(AQ1477,vitri(".",AQ1477,3)-1),LEN(AQ1477)-LEN(SUBSTITUTE(AQ1477,".",""))=2,LEFT(AQ1477,vitri(".",AQ1477,2)-1),TRUE,LEFT(AQ1477,vitri(".",AQ1477,1)-1))</f>
        <v/>
      </c>
    </row>
    <row r="1478" spans="13:54" x14ac:dyDescent="0.25">
      <c r="M1478" s="382"/>
      <c r="BB1478" s="253" t="str">
        <f t="array" ref="BB1478">_xlfn.IFS(AQ1478="","",LEN(AQ1478)-LEN(SUBSTITUTE(AQ1478,".",""))=3,LEFT(AQ1478,vitri(".",AQ1478,3)-1),LEN(AQ1478)-LEN(SUBSTITUTE(AQ1478,".",""))=2,LEFT(AQ1478,vitri(".",AQ1478,2)-1),TRUE,LEFT(AQ1478,vitri(".",AQ1478,1)-1))</f>
        <v/>
      </c>
    </row>
    <row r="1479" spans="13:54" x14ac:dyDescent="0.25">
      <c r="M1479" s="382"/>
      <c r="BB1479" s="253" t="str">
        <f t="array" ref="BB1479">_xlfn.IFS(AQ1479="","",LEN(AQ1479)-LEN(SUBSTITUTE(AQ1479,".",""))=3,LEFT(AQ1479,vitri(".",AQ1479,3)-1),LEN(AQ1479)-LEN(SUBSTITUTE(AQ1479,".",""))=2,LEFT(AQ1479,vitri(".",AQ1479,2)-1),TRUE,LEFT(AQ1479,vitri(".",AQ1479,1)-1))</f>
        <v/>
      </c>
    </row>
    <row r="1480" spans="13:54" x14ac:dyDescent="0.25">
      <c r="M1480" s="382"/>
      <c r="BB1480" s="253" t="str">
        <f t="array" ref="BB1480">_xlfn.IFS(AQ1480="","",LEN(AQ1480)-LEN(SUBSTITUTE(AQ1480,".",""))=3,LEFT(AQ1480,vitri(".",AQ1480,3)-1),LEN(AQ1480)-LEN(SUBSTITUTE(AQ1480,".",""))=2,LEFT(AQ1480,vitri(".",AQ1480,2)-1),TRUE,LEFT(AQ1480,vitri(".",AQ1480,1)-1))</f>
        <v/>
      </c>
    </row>
    <row r="1481" spans="13:54" x14ac:dyDescent="0.25">
      <c r="M1481" s="382"/>
      <c r="BB1481" s="253" t="str">
        <f t="array" ref="BB1481">_xlfn.IFS(AQ1481="","",LEN(AQ1481)-LEN(SUBSTITUTE(AQ1481,".",""))=3,LEFT(AQ1481,vitri(".",AQ1481,3)-1),LEN(AQ1481)-LEN(SUBSTITUTE(AQ1481,".",""))=2,LEFT(AQ1481,vitri(".",AQ1481,2)-1),TRUE,LEFT(AQ1481,vitri(".",AQ1481,1)-1))</f>
        <v/>
      </c>
    </row>
    <row r="1482" spans="13:54" x14ac:dyDescent="0.25">
      <c r="M1482" s="382"/>
      <c r="BB1482" s="253" t="str">
        <f t="array" ref="BB1482">_xlfn.IFS(AQ1482="","",LEN(AQ1482)-LEN(SUBSTITUTE(AQ1482,".",""))=3,LEFT(AQ1482,vitri(".",AQ1482,3)-1),LEN(AQ1482)-LEN(SUBSTITUTE(AQ1482,".",""))=2,LEFT(AQ1482,vitri(".",AQ1482,2)-1),TRUE,LEFT(AQ1482,vitri(".",AQ1482,1)-1))</f>
        <v/>
      </c>
    </row>
    <row r="1483" spans="13:54" x14ac:dyDescent="0.25">
      <c r="M1483" s="382"/>
      <c r="BB1483" s="253" t="str">
        <f t="array" ref="BB1483">_xlfn.IFS(AQ1483="","",LEN(AQ1483)-LEN(SUBSTITUTE(AQ1483,".",""))=3,LEFT(AQ1483,vitri(".",AQ1483,3)-1),LEN(AQ1483)-LEN(SUBSTITUTE(AQ1483,".",""))=2,LEFT(AQ1483,vitri(".",AQ1483,2)-1),TRUE,LEFT(AQ1483,vitri(".",AQ1483,1)-1))</f>
        <v/>
      </c>
    </row>
    <row r="1484" spans="13:54" x14ac:dyDescent="0.25">
      <c r="M1484" s="382"/>
      <c r="BB1484" s="253" t="str">
        <f t="array" ref="BB1484">_xlfn.IFS(AQ1484="","",LEN(AQ1484)-LEN(SUBSTITUTE(AQ1484,".",""))=3,LEFT(AQ1484,vitri(".",AQ1484,3)-1),LEN(AQ1484)-LEN(SUBSTITUTE(AQ1484,".",""))=2,LEFT(AQ1484,vitri(".",AQ1484,2)-1),TRUE,LEFT(AQ1484,vitri(".",AQ1484,1)-1))</f>
        <v/>
      </c>
    </row>
    <row r="1485" spans="13:54" x14ac:dyDescent="0.25">
      <c r="M1485" s="382"/>
      <c r="BB1485" s="253" t="str">
        <f t="array" ref="BB1485">_xlfn.IFS(AQ1485="","",LEN(AQ1485)-LEN(SUBSTITUTE(AQ1485,".",""))=3,LEFT(AQ1485,vitri(".",AQ1485,3)-1),LEN(AQ1485)-LEN(SUBSTITUTE(AQ1485,".",""))=2,LEFT(AQ1485,vitri(".",AQ1485,2)-1),TRUE,LEFT(AQ1485,vitri(".",AQ1485,1)-1))</f>
        <v/>
      </c>
    </row>
    <row r="1486" spans="13:54" x14ac:dyDescent="0.25">
      <c r="M1486" s="382"/>
      <c r="BB1486" s="253" t="str">
        <f t="array" ref="BB1486">_xlfn.IFS(AQ1486="","",LEN(AQ1486)-LEN(SUBSTITUTE(AQ1486,".",""))=3,LEFT(AQ1486,vitri(".",AQ1486,3)-1),LEN(AQ1486)-LEN(SUBSTITUTE(AQ1486,".",""))=2,LEFT(AQ1486,vitri(".",AQ1486,2)-1),TRUE,LEFT(AQ1486,vitri(".",AQ1486,1)-1))</f>
        <v/>
      </c>
    </row>
    <row r="1487" spans="13:54" x14ac:dyDescent="0.25">
      <c r="M1487" s="382"/>
      <c r="BB1487" s="253" t="str">
        <f t="array" ref="BB1487">_xlfn.IFS(AQ1487="","",LEN(AQ1487)-LEN(SUBSTITUTE(AQ1487,".",""))=3,LEFT(AQ1487,vitri(".",AQ1487,3)-1),LEN(AQ1487)-LEN(SUBSTITUTE(AQ1487,".",""))=2,LEFT(AQ1487,vitri(".",AQ1487,2)-1),TRUE,LEFT(AQ1487,vitri(".",AQ1487,1)-1))</f>
        <v/>
      </c>
    </row>
    <row r="1488" spans="13:54" x14ac:dyDescent="0.25">
      <c r="M1488" s="382"/>
      <c r="BB1488" s="253" t="str">
        <f t="array" ref="BB1488">_xlfn.IFS(AQ1488="","",LEN(AQ1488)-LEN(SUBSTITUTE(AQ1488,".",""))=3,LEFT(AQ1488,vitri(".",AQ1488,3)-1),LEN(AQ1488)-LEN(SUBSTITUTE(AQ1488,".",""))=2,LEFT(AQ1488,vitri(".",AQ1488,2)-1),TRUE,LEFT(AQ1488,vitri(".",AQ1488,1)-1))</f>
        <v/>
      </c>
    </row>
    <row r="1489" spans="13:54" x14ac:dyDescent="0.25">
      <c r="M1489" s="382"/>
      <c r="BB1489" s="253" t="str">
        <f t="array" ref="BB1489">_xlfn.IFS(AQ1489="","",LEN(AQ1489)-LEN(SUBSTITUTE(AQ1489,".",""))=3,LEFT(AQ1489,vitri(".",AQ1489,3)-1),LEN(AQ1489)-LEN(SUBSTITUTE(AQ1489,".",""))=2,LEFT(AQ1489,vitri(".",AQ1489,2)-1),TRUE,LEFT(AQ1489,vitri(".",AQ1489,1)-1))</f>
        <v/>
      </c>
    </row>
    <row r="1490" spans="13:54" x14ac:dyDescent="0.25">
      <c r="M1490" s="382"/>
      <c r="BB1490" s="253" t="str">
        <f t="array" ref="BB1490">_xlfn.IFS(AQ1490="","",LEN(AQ1490)-LEN(SUBSTITUTE(AQ1490,".",""))=3,LEFT(AQ1490,vitri(".",AQ1490,3)-1),LEN(AQ1490)-LEN(SUBSTITUTE(AQ1490,".",""))=2,LEFT(AQ1490,vitri(".",AQ1490,2)-1),TRUE,LEFT(AQ1490,vitri(".",AQ1490,1)-1))</f>
        <v/>
      </c>
    </row>
    <row r="1491" spans="13:54" x14ac:dyDescent="0.25">
      <c r="M1491" s="382"/>
      <c r="BB1491" s="253" t="str">
        <f t="array" ref="BB1491">_xlfn.IFS(AQ1491="","",LEN(AQ1491)-LEN(SUBSTITUTE(AQ1491,".",""))=3,LEFT(AQ1491,vitri(".",AQ1491,3)-1),LEN(AQ1491)-LEN(SUBSTITUTE(AQ1491,".",""))=2,LEFT(AQ1491,vitri(".",AQ1491,2)-1),TRUE,LEFT(AQ1491,vitri(".",AQ1491,1)-1))</f>
        <v/>
      </c>
    </row>
    <row r="1492" spans="13:54" x14ac:dyDescent="0.25">
      <c r="M1492" s="382"/>
      <c r="BB1492" s="253" t="str">
        <f t="array" ref="BB1492">_xlfn.IFS(AQ1492="","",LEN(AQ1492)-LEN(SUBSTITUTE(AQ1492,".",""))=3,LEFT(AQ1492,vitri(".",AQ1492,3)-1),LEN(AQ1492)-LEN(SUBSTITUTE(AQ1492,".",""))=2,LEFT(AQ1492,vitri(".",AQ1492,2)-1),TRUE,LEFT(AQ1492,vitri(".",AQ1492,1)-1))</f>
        <v/>
      </c>
    </row>
    <row r="1493" spans="13:54" x14ac:dyDescent="0.25">
      <c r="M1493" s="382"/>
      <c r="BB1493" s="253" t="str">
        <f t="array" ref="BB1493">_xlfn.IFS(AQ1493="","",LEN(AQ1493)-LEN(SUBSTITUTE(AQ1493,".",""))=3,LEFT(AQ1493,vitri(".",AQ1493,3)-1),LEN(AQ1493)-LEN(SUBSTITUTE(AQ1493,".",""))=2,LEFT(AQ1493,vitri(".",AQ1493,2)-1),TRUE,LEFT(AQ1493,vitri(".",AQ1493,1)-1))</f>
        <v/>
      </c>
    </row>
    <row r="1494" spans="13:54" x14ac:dyDescent="0.25">
      <c r="M1494" s="382"/>
      <c r="BB1494" s="253" t="str">
        <f t="array" ref="BB1494">_xlfn.IFS(AQ1494="","",LEN(AQ1494)-LEN(SUBSTITUTE(AQ1494,".",""))=3,LEFT(AQ1494,vitri(".",AQ1494,3)-1),LEN(AQ1494)-LEN(SUBSTITUTE(AQ1494,".",""))=2,LEFT(AQ1494,vitri(".",AQ1494,2)-1),TRUE,LEFT(AQ1494,vitri(".",AQ1494,1)-1))</f>
        <v/>
      </c>
    </row>
    <row r="1495" spans="13:54" x14ac:dyDescent="0.25">
      <c r="M1495" s="382"/>
      <c r="BB1495" s="253" t="str">
        <f t="array" ref="BB1495">_xlfn.IFS(AQ1495="","",LEN(AQ1495)-LEN(SUBSTITUTE(AQ1495,".",""))=3,LEFT(AQ1495,vitri(".",AQ1495,3)-1),LEN(AQ1495)-LEN(SUBSTITUTE(AQ1495,".",""))=2,LEFT(AQ1495,vitri(".",AQ1495,2)-1),TRUE,LEFT(AQ1495,vitri(".",AQ1495,1)-1))</f>
        <v/>
      </c>
    </row>
    <row r="1496" spans="13:54" x14ac:dyDescent="0.25">
      <c r="M1496" s="382"/>
      <c r="BB1496" s="253" t="str">
        <f t="array" ref="BB1496">_xlfn.IFS(AQ1496="","",LEN(AQ1496)-LEN(SUBSTITUTE(AQ1496,".",""))=3,LEFT(AQ1496,vitri(".",AQ1496,3)-1),LEN(AQ1496)-LEN(SUBSTITUTE(AQ1496,".",""))=2,LEFT(AQ1496,vitri(".",AQ1496,2)-1),TRUE,LEFT(AQ1496,vitri(".",AQ1496,1)-1))</f>
        <v/>
      </c>
    </row>
    <row r="1497" spans="13:54" x14ac:dyDescent="0.25">
      <c r="M1497" s="382"/>
      <c r="BB1497" s="253" t="str">
        <f t="array" ref="BB1497">_xlfn.IFS(AQ1497="","",LEN(AQ1497)-LEN(SUBSTITUTE(AQ1497,".",""))=3,LEFT(AQ1497,vitri(".",AQ1497,3)-1),LEN(AQ1497)-LEN(SUBSTITUTE(AQ1497,".",""))=2,LEFT(AQ1497,vitri(".",AQ1497,2)-1),TRUE,LEFT(AQ1497,vitri(".",AQ1497,1)-1))</f>
        <v/>
      </c>
    </row>
    <row r="1498" spans="13:54" x14ac:dyDescent="0.25">
      <c r="M1498" s="382"/>
      <c r="BB1498" s="253" t="str">
        <f t="array" ref="BB1498">_xlfn.IFS(AQ1498="","",LEN(AQ1498)-LEN(SUBSTITUTE(AQ1498,".",""))=3,LEFT(AQ1498,vitri(".",AQ1498,3)-1),LEN(AQ1498)-LEN(SUBSTITUTE(AQ1498,".",""))=2,LEFT(AQ1498,vitri(".",AQ1498,2)-1),TRUE,LEFT(AQ1498,vitri(".",AQ1498,1)-1))</f>
        <v/>
      </c>
    </row>
    <row r="1499" spans="13:54" x14ac:dyDescent="0.25">
      <c r="M1499" s="382"/>
      <c r="BB1499" s="253" t="str">
        <f t="array" ref="BB1499">_xlfn.IFS(AQ1499="","",LEN(AQ1499)-LEN(SUBSTITUTE(AQ1499,".",""))=3,LEFT(AQ1499,vitri(".",AQ1499,3)-1),LEN(AQ1499)-LEN(SUBSTITUTE(AQ1499,".",""))=2,LEFT(AQ1499,vitri(".",AQ1499,2)-1),TRUE,LEFT(AQ1499,vitri(".",AQ1499,1)-1))</f>
        <v/>
      </c>
    </row>
    <row r="1500" spans="13:54" x14ac:dyDescent="0.25">
      <c r="M1500" s="382"/>
      <c r="BB1500" s="253" t="str">
        <f t="array" ref="BB1500">_xlfn.IFS(AQ1500="","",LEN(AQ1500)-LEN(SUBSTITUTE(AQ1500,".",""))=3,LEFT(AQ1500,vitri(".",AQ1500,3)-1),LEN(AQ1500)-LEN(SUBSTITUTE(AQ1500,".",""))=2,LEFT(AQ1500,vitri(".",AQ1500,2)-1),TRUE,LEFT(AQ1500,vitri(".",AQ1500,1)-1))</f>
        <v/>
      </c>
    </row>
    <row r="1501" spans="13:54" x14ac:dyDescent="0.25">
      <c r="M1501" s="382"/>
      <c r="BB1501" s="253" t="str">
        <f t="array" ref="BB1501">_xlfn.IFS(AQ1501="","",LEN(AQ1501)-LEN(SUBSTITUTE(AQ1501,".",""))=3,LEFT(AQ1501,vitri(".",AQ1501,3)-1),LEN(AQ1501)-LEN(SUBSTITUTE(AQ1501,".",""))=2,LEFT(AQ1501,vitri(".",AQ1501,2)-1),TRUE,LEFT(AQ1501,vitri(".",AQ1501,1)-1))</f>
        <v/>
      </c>
    </row>
    <row r="1502" spans="13:54" x14ac:dyDescent="0.25">
      <c r="M1502" s="382"/>
      <c r="BB1502" s="253" t="str">
        <f t="array" ref="BB1502">_xlfn.IFS(AQ1502="","",LEN(AQ1502)-LEN(SUBSTITUTE(AQ1502,".",""))=3,LEFT(AQ1502,vitri(".",AQ1502,3)-1),LEN(AQ1502)-LEN(SUBSTITUTE(AQ1502,".",""))=2,LEFT(AQ1502,vitri(".",AQ1502,2)-1),TRUE,LEFT(AQ1502,vitri(".",AQ1502,1)-1))</f>
        <v/>
      </c>
    </row>
    <row r="1503" spans="13:54" x14ac:dyDescent="0.25">
      <c r="M1503" s="382"/>
      <c r="BB1503" s="253" t="str">
        <f t="array" ref="BB1503">_xlfn.IFS(AQ1503="","",LEN(AQ1503)-LEN(SUBSTITUTE(AQ1503,".",""))=3,LEFT(AQ1503,vitri(".",AQ1503,3)-1),LEN(AQ1503)-LEN(SUBSTITUTE(AQ1503,".",""))=2,LEFT(AQ1503,vitri(".",AQ1503,2)-1),TRUE,LEFT(AQ1503,vitri(".",AQ1503,1)-1))</f>
        <v/>
      </c>
    </row>
    <row r="1504" spans="13:54" x14ac:dyDescent="0.25">
      <c r="M1504" s="382"/>
      <c r="BB1504" s="253" t="str">
        <f t="array" ref="BB1504">_xlfn.IFS(AQ1504="","",LEN(AQ1504)-LEN(SUBSTITUTE(AQ1504,".",""))=3,LEFT(AQ1504,vitri(".",AQ1504,3)-1),LEN(AQ1504)-LEN(SUBSTITUTE(AQ1504,".",""))=2,LEFT(AQ1504,vitri(".",AQ1504,2)-1),TRUE,LEFT(AQ1504,vitri(".",AQ1504,1)-1))</f>
        <v/>
      </c>
    </row>
    <row r="1505" spans="13:54" x14ac:dyDescent="0.25">
      <c r="M1505" s="382"/>
      <c r="BB1505" s="253" t="str">
        <f t="array" ref="BB1505">_xlfn.IFS(AQ1505="","",LEN(AQ1505)-LEN(SUBSTITUTE(AQ1505,".",""))=3,LEFT(AQ1505,vitri(".",AQ1505,3)-1),LEN(AQ1505)-LEN(SUBSTITUTE(AQ1505,".",""))=2,LEFT(AQ1505,vitri(".",AQ1505,2)-1),TRUE,LEFT(AQ1505,vitri(".",AQ1505,1)-1))</f>
        <v/>
      </c>
    </row>
    <row r="1506" spans="13:54" x14ac:dyDescent="0.25">
      <c r="M1506" s="382"/>
      <c r="BB1506" s="253" t="str">
        <f t="array" ref="BB1506">_xlfn.IFS(AQ1506="","",LEN(AQ1506)-LEN(SUBSTITUTE(AQ1506,".",""))=3,LEFT(AQ1506,vitri(".",AQ1506,3)-1),LEN(AQ1506)-LEN(SUBSTITUTE(AQ1506,".",""))=2,LEFT(AQ1506,vitri(".",AQ1506,2)-1),TRUE,LEFT(AQ1506,vitri(".",AQ1506,1)-1))</f>
        <v/>
      </c>
    </row>
    <row r="1507" spans="13:54" x14ac:dyDescent="0.25">
      <c r="M1507" s="382"/>
      <c r="BB1507" s="253" t="str">
        <f t="array" ref="BB1507">_xlfn.IFS(AQ1507="","",LEN(AQ1507)-LEN(SUBSTITUTE(AQ1507,".",""))=3,LEFT(AQ1507,vitri(".",AQ1507,3)-1),LEN(AQ1507)-LEN(SUBSTITUTE(AQ1507,".",""))=2,LEFT(AQ1507,vitri(".",AQ1507,2)-1),TRUE,LEFT(AQ1507,vitri(".",AQ1507,1)-1))</f>
        <v/>
      </c>
    </row>
    <row r="1508" spans="13:54" x14ac:dyDescent="0.25">
      <c r="M1508" s="382"/>
      <c r="BB1508" s="253" t="str">
        <f t="array" ref="BB1508">_xlfn.IFS(AQ1508="","",LEN(AQ1508)-LEN(SUBSTITUTE(AQ1508,".",""))=3,LEFT(AQ1508,vitri(".",AQ1508,3)-1),LEN(AQ1508)-LEN(SUBSTITUTE(AQ1508,".",""))=2,LEFT(AQ1508,vitri(".",AQ1508,2)-1),TRUE,LEFT(AQ1508,vitri(".",AQ1508,1)-1))</f>
        <v/>
      </c>
    </row>
    <row r="1509" spans="13:54" x14ac:dyDescent="0.25">
      <c r="M1509" s="382"/>
      <c r="BB1509" s="253" t="str">
        <f t="array" ref="BB1509">_xlfn.IFS(AQ1509="","",LEN(AQ1509)-LEN(SUBSTITUTE(AQ1509,".",""))=3,LEFT(AQ1509,vitri(".",AQ1509,3)-1),LEN(AQ1509)-LEN(SUBSTITUTE(AQ1509,".",""))=2,LEFT(AQ1509,vitri(".",AQ1509,2)-1),TRUE,LEFT(AQ1509,vitri(".",AQ1509,1)-1))</f>
        <v/>
      </c>
    </row>
    <row r="1510" spans="13:54" x14ac:dyDescent="0.25">
      <c r="M1510" s="382"/>
      <c r="BB1510" s="253" t="str">
        <f t="array" ref="BB1510">_xlfn.IFS(AQ1510="","",LEN(AQ1510)-LEN(SUBSTITUTE(AQ1510,".",""))=3,LEFT(AQ1510,vitri(".",AQ1510,3)-1),LEN(AQ1510)-LEN(SUBSTITUTE(AQ1510,".",""))=2,LEFT(AQ1510,vitri(".",AQ1510,2)-1),TRUE,LEFT(AQ1510,vitri(".",AQ1510,1)-1))</f>
        <v/>
      </c>
    </row>
    <row r="1511" spans="13:54" x14ac:dyDescent="0.25">
      <c r="M1511" s="382"/>
      <c r="BB1511" s="253" t="str">
        <f t="array" ref="BB1511">_xlfn.IFS(AQ1511="","",LEN(AQ1511)-LEN(SUBSTITUTE(AQ1511,".",""))=3,LEFT(AQ1511,vitri(".",AQ1511,3)-1),LEN(AQ1511)-LEN(SUBSTITUTE(AQ1511,".",""))=2,LEFT(AQ1511,vitri(".",AQ1511,2)-1),TRUE,LEFT(AQ1511,vitri(".",AQ1511,1)-1))</f>
        <v/>
      </c>
    </row>
    <row r="1512" spans="13:54" x14ac:dyDescent="0.25">
      <c r="M1512" s="382"/>
      <c r="BB1512" s="253" t="str">
        <f t="array" ref="BB1512">_xlfn.IFS(AQ1512="","",LEN(AQ1512)-LEN(SUBSTITUTE(AQ1512,".",""))=3,LEFT(AQ1512,vitri(".",AQ1512,3)-1),LEN(AQ1512)-LEN(SUBSTITUTE(AQ1512,".",""))=2,LEFT(AQ1512,vitri(".",AQ1512,2)-1),TRUE,LEFT(AQ1512,vitri(".",AQ1512,1)-1))</f>
        <v/>
      </c>
    </row>
    <row r="1513" spans="13:54" x14ac:dyDescent="0.25">
      <c r="M1513" s="382"/>
      <c r="BB1513" s="253" t="str">
        <f t="array" ref="BB1513">_xlfn.IFS(AQ1513="","",LEN(AQ1513)-LEN(SUBSTITUTE(AQ1513,".",""))=3,LEFT(AQ1513,vitri(".",AQ1513,3)-1),LEN(AQ1513)-LEN(SUBSTITUTE(AQ1513,".",""))=2,LEFT(AQ1513,vitri(".",AQ1513,2)-1),TRUE,LEFT(AQ1513,vitri(".",AQ1513,1)-1))</f>
        <v/>
      </c>
    </row>
    <row r="1514" spans="13:54" x14ac:dyDescent="0.25">
      <c r="M1514" s="382"/>
      <c r="BB1514" s="253" t="str">
        <f t="array" ref="BB1514">_xlfn.IFS(AQ1514="","",LEN(AQ1514)-LEN(SUBSTITUTE(AQ1514,".",""))=3,LEFT(AQ1514,vitri(".",AQ1514,3)-1),LEN(AQ1514)-LEN(SUBSTITUTE(AQ1514,".",""))=2,LEFT(AQ1514,vitri(".",AQ1514,2)-1),TRUE,LEFT(AQ1514,vitri(".",AQ1514,1)-1))</f>
        <v/>
      </c>
    </row>
    <row r="1515" spans="13:54" x14ac:dyDescent="0.25">
      <c r="M1515" s="382"/>
      <c r="BB1515" s="253" t="str">
        <f t="array" ref="BB1515">_xlfn.IFS(AQ1515="","",LEN(AQ1515)-LEN(SUBSTITUTE(AQ1515,".",""))=3,LEFT(AQ1515,vitri(".",AQ1515,3)-1),LEN(AQ1515)-LEN(SUBSTITUTE(AQ1515,".",""))=2,LEFT(AQ1515,vitri(".",AQ1515,2)-1),TRUE,LEFT(AQ1515,vitri(".",AQ1515,1)-1))</f>
        <v/>
      </c>
    </row>
    <row r="1516" spans="13:54" x14ac:dyDescent="0.25">
      <c r="M1516" s="382"/>
      <c r="BB1516" s="253" t="str">
        <f t="array" ref="BB1516">_xlfn.IFS(AQ1516="","",LEN(AQ1516)-LEN(SUBSTITUTE(AQ1516,".",""))=3,LEFT(AQ1516,vitri(".",AQ1516,3)-1),LEN(AQ1516)-LEN(SUBSTITUTE(AQ1516,".",""))=2,LEFT(AQ1516,vitri(".",AQ1516,2)-1),TRUE,LEFT(AQ1516,vitri(".",AQ1516,1)-1))</f>
        <v/>
      </c>
    </row>
    <row r="1517" spans="13:54" x14ac:dyDescent="0.25">
      <c r="M1517" s="382"/>
      <c r="BB1517" s="253" t="str">
        <f t="array" ref="BB1517">_xlfn.IFS(AQ1517="","",LEN(AQ1517)-LEN(SUBSTITUTE(AQ1517,".",""))=3,LEFT(AQ1517,vitri(".",AQ1517,3)-1),LEN(AQ1517)-LEN(SUBSTITUTE(AQ1517,".",""))=2,LEFT(AQ1517,vitri(".",AQ1517,2)-1),TRUE,LEFT(AQ1517,vitri(".",AQ1517,1)-1))</f>
        <v/>
      </c>
    </row>
    <row r="1518" spans="13:54" x14ac:dyDescent="0.25">
      <c r="M1518" s="382"/>
      <c r="BB1518" s="253" t="str">
        <f t="array" ref="BB1518">_xlfn.IFS(AQ1518="","",LEN(AQ1518)-LEN(SUBSTITUTE(AQ1518,".",""))=3,LEFT(AQ1518,vitri(".",AQ1518,3)-1),LEN(AQ1518)-LEN(SUBSTITUTE(AQ1518,".",""))=2,LEFT(AQ1518,vitri(".",AQ1518,2)-1),TRUE,LEFT(AQ1518,vitri(".",AQ1518,1)-1))</f>
        <v/>
      </c>
    </row>
    <row r="1519" spans="13:54" x14ac:dyDescent="0.25">
      <c r="M1519" s="382"/>
      <c r="BB1519" s="253" t="str">
        <f t="array" ref="BB1519">_xlfn.IFS(AQ1519="","",LEN(AQ1519)-LEN(SUBSTITUTE(AQ1519,".",""))=3,LEFT(AQ1519,vitri(".",AQ1519,3)-1),LEN(AQ1519)-LEN(SUBSTITUTE(AQ1519,".",""))=2,LEFT(AQ1519,vitri(".",AQ1519,2)-1),TRUE,LEFT(AQ1519,vitri(".",AQ1519,1)-1))</f>
        <v/>
      </c>
    </row>
    <row r="1520" spans="13:54" x14ac:dyDescent="0.25">
      <c r="M1520" s="382"/>
      <c r="BB1520" s="253" t="str">
        <f t="array" ref="BB1520">_xlfn.IFS(AQ1520="","",LEN(AQ1520)-LEN(SUBSTITUTE(AQ1520,".",""))=3,LEFT(AQ1520,vitri(".",AQ1520,3)-1),LEN(AQ1520)-LEN(SUBSTITUTE(AQ1520,".",""))=2,LEFT(AQ1520,vitri(".",AQ1520,2)-1),TRUE,LEFT(AQ1520,vitri(".",AQ1520,1)-1))</f>
        <v/>
      </c>
    </row>
    <row r="1521" spans="13:54" x14ac:dyDescent="0.25">
      <c r="M1521" s="382"/>
      <c r="BB1521" s="253" t="str">
        <f t="array" ref="BB1521">_xlfn.IFS(AQ1521="","",LEN(AQ1521)-LEN(SUBSTITUTE(AQ1521,".",""))=3,LEFT(AQ1521,vitri(".",AQ1521,3)-1),LEN(AQ1521)-LEN(SUBSTITUTE(AQ1521,".",""))=2,LEFT(AQ1521,vitri(".",AQ1521,2)-1),TRUE,LEFT(AQ1521,vitri(".",AQ1521,1)-1))</f>
        <v/>
      </c>
    </row>
    <row r="1522" spans="13:54" x14ac:dyDescent="0.25">
      <c r="M1522" s="382"/>
      <c r="BB1522" s="253" t="str">
        <f t="array" ref="BB1522">_xlfn.IFS(AQ1522="","",LEN(AQ1522)-LEN(SUBSTITUTE(AQ1522,".",""))=3,LEFT(AQ1522,vitri(".",AQ1522,3)-1),LEN(AQ1522)-LEN(SUBSTITUTE(AQ1522,".",""))=2,LEFT(AQ1522,vitri(".",AQ1522,2)-1),TRUE,LEFT(AQ1522,vitri(".",AQ1522,1)-1))</f>
        <v/>
      </c>
    </row>
    <row r="1523" spans="13:54" x14ac:dyDescent="0.25">
      <c r="M1523" s="382"/>
      <c r="BB1523" s="253" t="str">
        <f t="array" ref="BB1523">_xlfn.IFS(AQ1523="","",LEN(AQ1523)-LEN(SUBSTITUTE(AQ1523,".",""))=3,LEFT(AQ1523,vitri(".",AQ1523,3)-1),LEN(AQ1523)-LEN(SUBSTITUTE(AQ1523,".",""))=2,LEFT(AQ1523,vitri(".",AQ1523,2)-1),TRUE,LEFT(AQ1523,vitri(".",AQ1523,1)-1))</f>
        <v/>
      </c>
    </row>
    <row r="1524" spans="13:54" x14ac:dyDescent="0.25">
      <c r="M1524" s="382"/>
      <c r="BB1524" s="253" t="str">
        <f t="array" ref="BB1524">_xlfn.IFS(AQ1524="","",LEN(AQ1524)-LEN(SUBSTITUTE(AQ1524,".",""))=3,LEFT(AQ1524,vitri(".",AQ1524,3)-1),LEN(AQ1524)-LEN(SUBSTITUTE(AQ1524,".",""))=2,LEFT(AQ1524,vitri(".",AQ1524,2)-1),TRUE,LEFT(AQ1524,vitri(".",AQ1524,1)-1))</f>
        <v/>
      </c>
    </row>
    <row r="1525" spans="13:54" x14ac:dyDescent="0.25">
      <c r="M1525" s="382"/>
      <c r="BB1525" s="253" t="str">
        <f t="array" ref="BB1525">_xlfn.IFS(AQ1525="","",LEN(AQ1525)-LEN(SUBSTITUTE(AQ1525,".",""))=3,LEFT(AQ1525,vitri(".",AQ1525,3)-1),LEN(AQ1525)-LEN(SUBSTITUTE(AQ1525,".",""))=2,LEFT(AQ1525,vitri(".",AQ1525,2)-1),TRUE,LEFT(AQ1525,vitri(".",AQ1525,1)-1))</f>
        <v/>
      </c>
    </row>
    <row r="1526" spans="13:54" x14ac:dyDescent="0.25">
      <c r="M1526" s="382"/>
      <c r="BB1526" s="253" t="str">
        <f t="array" ref="BB1526">_xlfn.IFS(AQ1526="","",LEN(AQ1526)-LEN(SUBSTITUTE(AQ1526,".",""))=3,LEFT(AQ1526,vitri(".",AQ1526,3)-1),LEN(AQ1526)-LEN(SUBSTITUTE(AQ1526,".",""))=2,LEFT(AQ1526,vitri(".",AQ1526,2)-1),TRUE,LEFT(AQ1526,vitri(".",AQ1526,1)-1))</f>
        <v/>
      </c>
    </row>
    <row r="1527" spans="13:54" x14ac:dyDescent="0.25">
      <c r="M1527" s="382"/>
      <c r="BB1527" s="253" t="str">
        <f t="array" ref="BB1527">_xlfn.IFS(AQ1527="","",LEN(AQ1527)-LEN(SUBSTITUTE(AQ1527,".",""))=3,LEFT(AQ1527,vitri(".",AQ1527,3)-1),LEN(AQ1527)-LEN(SUBSTITUTE(AQ1527,".",""))=2,LEFT(AQ1527,vitri(".",AQ1527,2)-1),TRUE,LEFT(AQ1527,vitri(".",AQ1527,1)-1))</f>
        <v/>
      </c>
    </row>
    <row r="1528" spans="13:54" x14ac:dyDescent="0.25">
      <c r="M1528" s="382"/>
      <c r="BB1528" s="253" t="str">
        <f t="array" ref="BB1528">_xlfn.IFS(AQ1528="","",LEN(AQ1528)-LEN(SUBSTITUTE(AQ1528,".",""))=3,LEFT(AQ1528,vitri(".",AQ1528,3)-1),LEN(AQ1528)-LEN(SUBSTITUTE(AQ1528,".",""))=2,LEFT(AQ1528,vitri(".",AQ1528,2)-1),TRUE,LEFT(AQ1528,vitri(".",AQ1528,1)-1))</f>
        <v/>
      </c>
    </row>
    <row r="1529" spans="13:54" x14ac:dyDescent="0.25">
      <c r="M1529" s="382"/>
      <c r="BB1529" s="253" t="str">
        <f t="array" ref="BB1529">_xlfn.IFS(AQ1529="","",LEN(AQ1529)-LEN(SUBSTITUTE(AQ1529,".",""))=3,LEFT(AQ1529,vitri(".",AQ1529,3)-1),LEN(AQ1529)-LEN(SUBSTITUTE(AQ1529,".",""))=2,LEFT(AQ1529,vitri(".",AQ1529,2)-1),TRUE,LEFT(AQ1529,vitri(".",AQ1529,1)-1))</f>
        <v/>
      </c>
    </row>
    <row r="1530" spans="13:54" x14ac:dyDescent="0.25">
      <c r="M1530" s="382"/>
      <c r="BB1530" s="253" t="str">
        <f t="array" ref="BB1530">_xlfn.IFS(AQ1530="","",LEN(AQ1530)-LEN(SUBSTITUTE(AQ1530,".",""))=3,LEFT(AQ1530,vitri(".",AQ1530,3)-1),LEN(AQ1530)-LEN(SUBSTITUTE(AQ1530,".",""))=2,LEFT(AQ1530,vitri(".",AQ1530,2)-1),TRUE,LEFT(AQ1530,vitri(".",AQ1530,1)-1))</f>
        <v/>
      </c>
    </row>
    <row r="1531" spans="13:54" x14ac:dyDescent="0.25">
      <c r="M1531" s="382"/>
      <c r="BB1531" s="253" t="str">
        <f t="array" ref="BB1531">_xlfn.IFS(AQ1531="","",LEN(AQ1531)-LEN(SUBSTITUTE(AQ1531,".",""))=3,LEFT(AQ1531,vitri(".",AQ1531,3)-1),LEN(AQ1531)-LEN(SUBSTITUTE(AQ1531,".",""))=2,LEFT(AQ1531,vitri(".",AQ1531,2)-1),TRUE,LEFT(AQ1531,vitri(".",AQ1531,1)-1))</f>
        <v/>
      </c>
    </row>
    <row r="1532" spans="13:54" x14ac:dyDescent="0.25">
      <c r="M1532" s="382"/>
      <c r="BB1532" s="253" t="str">
        <f t="array" ref="BB1532">_xlfn.IFS(AQ1532="","",LEN(AQ1532)-LEN(SUBSTITUTE(AQ1532,".",""))=3,LEFT(AQ1532,vitri(".",AQ1532,3)-1),LEN(AQ1532)-LEN(SUBSTITUTE(AQ1532,".",""))=2,LEFT(AQ1532,vitri(".",AQ1532,2)-1),TRUE,LEFT(AQ1532,vitri(".",AQ1532,1)-1))</f>
        <v/>
      </c>
    </row>
    <row r="1533" spans="13:54" x14ac:dyDescent="0.25">
      <c r="M1533" s="382"/>
      <c r="BB1533" s="253" t="str">
        <f t="array" ref="BB1533">_xlfn.IFS(AQ1533="","",LEN(AQ1533)-LEN(SUBSTITUTE(AQ1533,".",""))=3,LEFT(AQ1533,vitri(".",AQ1533,3)-1),LEN(AQ1533)-LEN(SUBSTITUTE(AQ1533,".",""))=2,LEFT(AQ1533,vitri(".",AQ1533,2)-1),TRUE,LEFT(AQ1533,vitri(".",AQ1533,1)-1))</f>
        <v/>
      </c>
    </row>
    <row r="1534" spans="13:54" x14ac:dyDescent="0.25">
      <c r="M1534" s="382"/>
      <c r="BB1534" s="253" t="str">
        <f t="array" ref="BB1534">_xlfn.IFS(AQ1534="","",LEN(AQ1534)-LEN(SUBSTITUTE(AQ1534,".",""))=3,LEFT(AQ1534,vitri(".",AQ1534,3)-1),LEN(AQ1534)-LEN(SUBSTITUTE(AQ1534,".",""))=2,LEFT(AQ1534,vitri(".",AQ1534,2)-1),TRUE,LEFT(AQ1534,vitri(".",AQ1534,1)-1))</f>
        <v/>
      </c>
    </row>
    <row r="1535" spans="13:54" x14ac:dyDescent="0.25">
      <c r="M1535" s="382"/>
      <c r="BB1535" s="253" t="str">
        <f t="array" ref="BB1535">_xlfn.IFS(AQ1535="","",LEN(AQ1535)-LEN(SUBSTITUTE(AQ1535,".",""))=3,LEFT(AQ1535,vitri(".",AQ1535,3)-1),LEN(AQ1535)-LEN(SUBSTITUTE(AQ1535,".",""))=2,LEFT(AQ1535,vitri(".",AQ1535,2)-1),TRUE,LEFT(AQ1535,vitri(".",AQ1535,1)-1))</f>
        <v/>
      </c>
    </row>
    <row r="1536" spans="13:54" x14ac:dyDescent="0.25">
      <c r="M1536" s="382"/>
      <c r="BB1536" s="253" t="str">
        <f t="array" ref="BB1536">_xlfn.IFS(AQ1536="","",LEN(AQ1536)-LEN(SUBSTITUTE(AQ1536,".",""))=3,LEFT(AQ1536,vitri(".",AQ1536,3)-1),LEN(AQ1536)-LEN(SUBSTITUTE(AQ1536,".",""))=2,LEFT(AQ1536,vitri(".",AQ1536,2)-1),TRUE,LEFT(AQ1536,vitri(".",AQ1536,1)-1))</f>
        <v/>
      </c>
    </row>
    <row r="1537" spans="13:54" x14ac:dyDescent="0.25">
      <c r="M1537" s="382"/>
      <c r="BB1537" s="253" t="str">
        <f t="array" ref="BB1537">_xlfn.IFS(AQ1537="","",LEN(AQ1537)-LEN(SUBSTITUTE(AQ1537,".",""))=3,LEFT(AQ1537,vitri(".",AQ1537,3)-1),LEN(AQ1537)-LEN(SUBSTITUTE(AQ1537,".",""))=2,LEFT(AQ1537,vitri(".",AQ1537,2)-1),TRUE,LEFT(AQ1537,vitri(".",AQ1537,1)-1))</f>
        <v/>
      </c>
    </row>
    <row r="1538" spans="13:54" x14ac:dyDescent="0.25">
      <c r="M1538" s="382"/>
      <c r="BB1538" s="253" t="str">
        <f t="array" ref="BB1538">_xlfn.IFS(AQ1538="","",LEN(AQ1538)-LEN(SUBSTITUTE(AQ1538,".",""))=3,LEFT(AQ1538,vitri(".",AQ1538,3)-1),LEN(AQ1538)-LEN(SUBSTITUTE(AQ1538,".",""))=2,LEFT(AQ1538,vitri(".",AQ1538,2)-1),TRUE,LEFT(AQ1538,vitri(".",AQ1538,1)-1))</f>
        <v/>
      </c>
    </row>
    <row r="1539" spans="13:54" x14ac:dyDescent="0.25">
      <c r="M1539" s="382"/>
      <c r="BB1539" s="253" t="str">
        <f t="array" ref="BB1539">_xlfn.IFS(AQ1539="","",LEN(AQ1539)-LEN(SUBSTITUTE(AQ1539,".",""))=3,LEFT(AQ1539,vitri(".",AQ1539,3)-1),LEN(AQ1539)-LEN(SUBSTITUTE(AQ1539,".",""))=2,LEFT(AQ1539,vitri(".",AQ1539,2)-1),TRUE,LEFT(AQ1539,vitri(".",AQ1539,1)-1))</f>
        <v/>
      </c>
    </row>
    <row r="1540" spans="13:54" x14ac:dyDescent="0.25">
      <c r="M1540" s="382"/>
      <c r="BB1540" s="253" t="str">
        <f t="array" ref="BB1540">_xlfn.IFS(AQ1540="","",LEN(AQ1540)-LEN(SUBSTITUTE(AQ1540,".",""))=3,LEFT(AQ1540,vitri(".",AQ1540,3)-1),LEN(AQ1540)-LEN(SUBSTITUTE(AQ1540,".",""))=2,LEFT(AQ1540,vitri(".",AQ1540,2)-1),TRUE,LEFT(AQ1540,vitri(".",AQ1540,1)-1))</f>
        <v/>
      </c>
    </row>
    <row r="1541" spans="13:54" x14ac:dyDescent="0.25">
      <c r="M1541" s="382"/>
      <c r="BB1541" s="253" t="str">
        <f t="array" ref="BB1541">_xlfn.IFS(AQ1541="","",LEN(AQ1541)-LEN(SUBSTITUTE(AQ1541,".",""))=3,LEFT(AQ1541,vitri(".",AQ1541,3)-1),LEN(AQ1541)-LEN(SUBSTITUTE(AQ1541,".",""))=2,LEFT(AQ1541,vitri(".",AQ1541,2)-1),TRUE,LEFT(AQ1541,vitri(".",AQ1541,1)-1))</f>
        <v/>
      </c>
    </row>
    <row r="1542" spans="13:54" x14ac:dyDescent="0.25">
      <c r="M1542" s="382"/>
      <c r="BB1542" s="253" t="str">
        <f t="array" ref="BB1542">_xlfn.IFS(AQ1542="","",LEN(AQ1542)-LEN(SUBSTITUTE(AQ1542,".",""))=3,LEFT(AQ1542,vitri(".",AQ1542,3)-1),LEN(AQ1542)-LEN(SUBSTITUTE(AQ1542,".",""))=2,LEFT(AQ1542,vitri(".",AQ1542,2)-1),TRUE,LEFT(AQ1542,vitri(".",AQ1542,1)-1))</f>
        <v/>
      </c>
    </row>
    <row r="1543" spans="13:54" x14ac:dyDescent="0.25">
      <c r="M1543" s="382"/>
      <c r="BB1543" s="253" t="str">
        <f t="array" ref="BB1543">_xlfn.IFS(AQ1543="","",LEN(AQ1543)-LEN(SUBSTITUTE(AQ1543,".",""))=3,LEFT(AQ1543,vitri(".",AQ1543,3)-1),LEN(AQ1543)-LEN(SUBSTITUTE(AQ1543,".",""))=2,LEFT(AQ1543,vitri(".",AQ1543,2)-1),TRUE,LEFT(AQ1543,vitri(".",AQ1543,1)-1))</f>
        <v/>
      </c>
    </row>
    <row r="1544" spans="13:54" x14ac:dyDescent="0.25">
      <c r="M1544" s="382"/>
      <c r="BB1544" s="253" t="str">
        <f t="array" ref="BB1544">_xlfn.IFS(AQ1544="","",LEN(AQ1544)-LEN(SUBSTITUTE(AQ1544,".",""))=3,LEFT(AQ1544,vitri(".",AQ1544,3)-1),LEN(AQ1544)-LEN(SUBSTITUTE(AQ1544,".",""))=2,LEFT(AQ1544,vitri(".",AQ1544,2)-1),TRUE,LEFT(AQ1544,vitri(".",AQ1544,1)-1))</f>
        <v/>
      </c>
    </row>
    <row r="1545" spans="13:54" x14ac:dyDescent="0.25">
      <c r="M1545" s="382"/>
      <c r="BB1545" s="253" t="str">
        <f t="array" ref="BB1545">_xlfn.IFS(AQ1545="","",LEN(AQ1545)-LEN(SUBSTITUTE(AQ1545,".",""))=3,LEFT(AQ1545,vitri(".",AQ1545,3)-1),LEN(AQ1545)-LEN(SUBSTITUTE(AQ1545,".",""))=2,LEFT(AQ1545,vitri(".",AQ1545,2)-1),TRUE,LEFT(AQ1545,vitri(".",AQ1545,1)-1))</f>
        <v/>
      </c>
    </row>
    <row r="1546" spans="13:54" x14ac:dyDescent="0.25">
      <c r="M1546" s="382"/>
      <c r="BB1546" s="253" t="str">
        <f t="array" ref="BB1546">_xlfn.IFS(AQ1546="","",LEN(AQ1546)-LEN(SUBSTITUTE(AQ1546,".",""))=3,LEFT(AQ1546,vitri(".",AQ1546,3)-1),LEN(AQ1546)-LEN(SUBSTITUTE(AQ1546,".",""))=2,LEFT(AQ1546,vitri(".",AQ1546,2)-1),TRUE,LEFT(AQ1546,vitri(".",AQ1546,1)-1))</f>
        <v/>
      </c>
    </row>
    <row r="1547" spans="13:54" x14ac:dyDescent="0.25">
      <c r="M1547" s="382"/>
      <c r="BB1547" s="253" t="str">
        <f t="array" ref="BB1547">_xlfn.IFS(AQ1547="","",LEN(AQ1547)-LEN(SUBSTITUTE(AQ1547,".",""))=3,LEFT(AQ1547,vitri(".",AQ1547,3)-1),LEN(AQ1547)-LEN(SUBSTITUTE(AQ1547,".",""))=2,LEFT(AQ1547,vitri(".",AQ1547,2)-1),TRUE,LEFT(AQ1547,vitri(".",AQ1547,1)-1))</f>
        <v/>
      </c>
    </row>
    <row r="1548" spans="13:54" x14ac:dyDescent="0.25">
      <c r="M1548" s="382"/>
      <c r="BB1548" s="253" t="str">
        <f t="array" ref="BB1548">_xlfn.IFS(AQ1548="","",LEN(AQ1548)-LEN(SUBSTITUTE(AQ1548,".",""))=3,LEFT(AQ1548,vitri(".",AQ1548,3)-1),LEN(AQ1548)-LEN(SUBSTITUTE(AQ1548,".",""))=2,LEFT(AQ1548,vitri(".",AQ1548,2)-1),TRUE,LEFT(AQ1548,vitri(".",AQ1548,1)-1))</f>
        <v/>
      </c>
    </row>
    <row r="1549" spans="13:54" x14ac:dyDescent="0.25">
      <c r="M1549" s="382"/>
      <c r="BB1549" s="253" t="str">
        <f t="array" ref="BB1549">_xlfn.IFS(AQ1549="","",LEN(AQ1549)-LEN(SUBSTITUTE(AQ1549,".",""))=3,LEFT(AQ1549,vitri(".",AQ1549,3)-1),LEN(AQ1549)-LEN(SUBSTITUTE(AQ1549,".",""))=2,LEFT(AQ1549,vitri(".",AQ1549,2)-1),TRUE,LEFT(AQ1549,vitri(".",AQ1549,1)-1))</f>
        <v/>
      </c>
    </row>
    <row r="1550" spans="13:54" x14ac:dyDescent="0.25">
      <c r="M1550" s="382"/>
      <c r="BB1550" s="253" t="str">
        <f t="array" ref="BB1550">_xlfn.IFS(AQ1550="","",LEN(AQ1550)-LEN(SUBSTITUTE(AQ1550,".",""))=3,LEFT(AQ1550,vitri(".",AQ1550,3)-1),LEN(AQ1550)-LEN(SUBSTITUTE(AQ1550,".",""))=2,LEFT(AQ1550,vitri(".",AQ1550,2)-1),TRUE,LEFT(AQ1550,vitri(".",AQ1550,1)-1))</f>
        <v/>
      </c>
    </row>
    <row r="1551" spans="13:54" x14ac:dyDescent="0.25">
      <c r="M1551" s="382"/>
      <c r="BB1551" s="253" t="str">
        <f t="array" ref="BB1551">_xlfn.IFS(AQ1551="","",LEN(AQ1551)-LEN(SUBSTITUTE(AQ1551,".",""))=3,LEFT(AQ1551,vitri(".",AQ1551,3)-1),LEN(AQ1551)-LEN(SUBSTITUTE(AQ1551,".",""))=2,LEFT(AQ1551,vitri(".",AQ1551,2)-1),TRUE,LEFT(AQ1551,vitri(".",AQ1551,1)-1))</f>
        <v/>
      </c>
    </row>
    <row r="1552" spans="13:54" x14ac:dyDescent="0.25">
      <c r="M1552" s="382"/>
      <c r="BB1552" s="253" t="str">
        <f t="array" ref="BB1552">_xlfn.IFS(AQ1552="","",LEN(AQ1552)-LEN(SUBSTITUTE(AQ1552,".",""))=3,LEFT(AQ1552,vitri(".",AQ1552,3)-1),LEN(AQ1552)-LEN(SUBSTITUTE(AQ1552,".",""))=2,LEFT(AQ1552,vitri(".",AQ1552,2)-1),TRUE,LEFT(AQ1552,vitri(".",AQ1552,1)-1))</f>
        <v/>
      </c>
    </row>
    <row r="1553" spans="13:54" x14ac:dyDescent="0.25">
      <c r="M1553" s="382"/>
      <c r="BB1553" s="253" t="str">
        <f t="array" ref="BB1553">_xlfn.IFS(AQ1553="","",LEN(AQ1553)-LEN(SUBSTITUTE(AQ1553,".",""))=3,LEFT(AQ1553,vitri(".",AQ1553,3)-1),LEN(AQ1553)-LEN(SUBSTITUTE(AQ1553,".",""))=2,LEFT(AQ1553,vitri(".",AQ1553,2)-1),TRUE,LEFT(AQ1553,vitri(".",AQ1553,1)-1))</f>
        <v/>
      </c>
    </row>
    <row r="1554" spans="13:54" x14ac:dyDescent="0.25">
      <c r="M1554" s="382"/>
      <c r="BB1554" s="253" t="str">
        <f t="array" ref="BB1554">_xlfn.IFS(AQ1554="","",LEN(AQ1554)-LEN(SUBSTITUTE(AQ1554,".",""))=3,LEFT(AQ1554,vitri(".",AQ1554,3)-1),LEN(AQ1554)-LEN(SUBSTITUTE(AQ1554,".",""))=2,LEFT(AQ1554,vitri(".",AQ1554,2)-1),TRUE,LEFT(AQ1554,vitri(".",AQ1554,1)-1))</f>
        <v/>
      </c>
    </row>
    <row r="1555" spans="13:54" x14ac:dyDescent="0.25">
      <c r="M1555" s="382"/>
      <c r="BB1555" s="253" t="str">
        <f t="array" ref="BB1555">_xlfn.IFS(AQ1555="","",LEN(AQ1555)-LEN(SUBSTITUTE(AQ1555,".",""))=3,LEFT(AQ1555,vitri(".",AQ1555,3)-1),LEN(AQ1555)-LEN(SUBSTITUTE(AQ1555,".",""))=2,LEFT(AQ1555,vitri(".",AQ1555,2)-1),TRUE,LEFT(AQ1555,vitri(".",AQ1555,1)-1))</f>
        <v/>
      </c>
    </row>
    <row r="1556" spans="13:54" x14ac:dyDescent="0.25">
      <c r="M1556" s="382"/>
      <c r="BB1556" s="253" t="str">
        <f t="array" ref="BB1556">_xlfn.IFS(AQ1556="","",LEN(AQ1556)-LEN(SUBSTITUTE(AQ1556,".",""))=3,LEFT(AQ1556,vitri(".",AQ1556,3)-1),LEN(AQ1556)-LEN(SUBSTITUTE(AQ1556,".",""))=2,LEFT(AQ1556,vitri(".",AQ1556,2)-1),TRUE,LEFT(AQ1556,vitri(".",AQ1556,1)-1))</f>
        <v/>
      </c>
    </row>
    <row r="1557" spans="13:54" x14ac:dyDescent="0.25">
      <c r="M1557" s="382"/>
      <c r="BB1557" s="253" t="str">
        <f t="array" ref="BB1557">_xlfn.IFS(AQ1557="","",LEN(AQ1557)-LEN(SUBSTITUTE(AQ1557,".",""))=3,LEFT(AQ1557,vitri(".",AQ1557,3)-1),LEN(AQ1557)-LEN(SUBSTITUTE(AQ1557,".",""))=2,LEFT(AQ1557,vitri(".",AQ1557,2)-1),TRUE,LEFT(AQ1557,vitri(".",AQ1557,1)-1))</f>
        <v/>
      </c>
    </row>
    <row r="1558" spans="13:54" x14ac:dyDescent="0.25">
      <c r="M1558" s="382"/>
      <c r="BB1558" s="253" t="str">
        <f t="array" ref="BB1558">_xlfn.IFS(AQ1558="","",LEN(AQ1558)-LEN(SUBSTITUTE(AQ1558,".",""))=3,LEFT(AQ1558,vitri(".",AQ1558,3)-1),LEN(AQ1558)-LEN(SUBSTITUTE(AQ1558,".",""))=2,LEFT(AQ1558,vitri(".",AQ1558,2)-1),TRUE,LEFT(AQ1558,vitri(".",AQ1558,1)-1))</f>
        <v/>
      </c>
    </row>
    <row r="1559" spans="13:54" x14ac:dyDescent="0.25">
      <c r="M1559" s="382"/>
      <c r="BB1559" s="253" t="str">
        <f t="array" ref="BB1559">_xlfn.IFS(AQ1559="","",LEN(AQ1559)-LEN(SUBSTITUTE(AQ1559,".",""))=3,LEFT(AQ1559,vitri(".",AQ1559,3)-1),LEN(AQ1559)-LEN(SUBSTITUTE(AQ1559,".",""))=2,LEFT(AQ1559,vitri(".",AQ1559,2)-1),TRUE,LEFT(AQ1559,vitri(".",AQ1559,1)-1))</f>
        <v/>
      </c>
    </row>
    <row r="1560" spans="13:54" x14ac:dyDescent="0.25">
      <c r="M1560" s="382"/>
      <c r="BB1560" s="253" t="str">
        <f t="array" ref="BB1560">_xlfn.IFS(AQ1560="","",LEN(AQ1560)-LEN(SUBSTITUTE(AQ1560,".",""))=3,LEFT(AQ1560,vitri(".",AQ1560,3)-1),LEN(AQ1560)-LEN(SUBSTITUTE(AQ1560,".",""))=2,LEFT(AQ1560,vitri(".",AQ1560,2)-1),TRUE,LEFT(AQ1560,vitri(".",AQ1560,1)-1))</f>
        <v/>
      </c>
    </row>
    <row r="1561" spans="13:54" x14ac:dyDescent="0.25">
      <c r="M1561" s="382"/>
      <c r="BB1561" s="253" t="str">
        <f t="array" ref="BB1561">_xlfn.IFS(AQ1561="","",LEN(AQ1561)-LEN(SUBSTITUTE(AQ1561,".",""))=3,LEFT(AQ1561,vitri(".",AQ1561,3)-1),LEN(AQ1561)-LEN(SUBSTITUTE(AQ1561,".",""))=2,LEFT(AQ1561,vitri(".",AQ1561,2)-1),TRUE,LEFT(AQ1561,vitri(".",AQ1561,1)-1))</f>
        <v/>
      </c>
    </row>
    <row r="1562" spans="13:54" x14ac:dyDescent="0.25">
      <c r="M1562" s="382"/>
      <c r="BB1562" s="253" t="str">
        <f t="array" ref="BB1562">_xlfn.IFS(AQ1562="","",LEN(AQ1562)-LEN(SUBSTITUTE(AQ1562,".",""))=3,LEFT(AQ1562,vitri(".",AQ1562,3)-1),LEN(AQ1562)-LEN(SUBSTITUTE(AQ1562,".",""))=2,LEFT(AQ1562,vitri(".",AQ1562,2)-1),TRUE,LEFT(AQ1562,vitri(".",AQ1562,1)-1))</f>
        <v/>
      </c>
    </row>
    <row r="1563" spans="13:54" x14ac:dyDescent="0.25">
      <c r="M1563" s="382"/>
      <c r="BB1563" s="253" t="str">
        <f t="array" ref="BB1563">_xlfn.IFS(AQ1563="","",LEN(AQ1563)-LEN(SUBSTITUTE(AQ1563,".",""))=3,LEFT(AQ1563,vitri(".",AQ1563,3)-1),LEN(AQ1563)-LEN(SUBSTITUTE(AQ1563,".",""))=2,LEFT(AQ1563,vitri(".",AQ1563,2)-1),TRUE,LEFT(AQ1563,vitri(".",AQ1563,1)-1))</f>
        <v/>
      </c>
    </row>
    <row r="1564" spans="13:54" x14ac:dyDescent="0.25">
      <c r="M1564" s="382"/>
      <c r="BB1564" s="253" t="str">
        <f t="array" ref="BB1564">_xlfn.IFS(AQ1564="","",LEN(AQ1564)-LEN(SUBSTITUTE(AQ1564,".",""))=3,LEFT(AQ1564,vitri(".",AQ1564,3)-1),LEN(AQ1564)-LEN(SUBSTITUTE(AQ1564,".",""))=2,LEFT(AQ1564,vitri(".",AQ1564,2)-1),TRUE,LEFT(AQ1564,vitri(".",AQ1564,1)-1))</f>
        <v/>
      </c>
    </row>
    <row r="1565" spans="13:54" x14ac:dyDescent="0.25">
      <c r="M1565" s="382"/>
      <c r="BB1565" s="253" t="str">
        <f t="array" ref="BB1565">_xlfn.IFS(AQ1565="","",LEN(AQ1565)-LEN(SUBSTITUTE(AQ1565,".",""))=3,LEFT(AQ1565,vitri(".",AQ1565,3)-1),LEN(AQ1565)-LEN(SUBSTITUTE(AQ1565,".",""))=2,LEFT(AQ1565,vitri(".",AQ1565,2)-1),TRUE,LEFT(AQ1565,vitri(".",AQ1565,1)-1))</f>
        <v/>
      </c>
    </row>
    <row r="1566" spans="13:54" x14ac:dyDescent="0.25">
      <c r="M1566" s="382"/>
      <c r="BB1566" s="253" t="str">
        <f t="array" ref="BB1566">_xlfn.IFS(AQ1566="","",LEN(AQ1566)-LEN(SUBSTITUTE(AQ1566,".",""))=3,LEFT(AQ1566,vitri(".",AQ1566,3)-1),LEN(AQ1566)-LEN(SUBSTITUTE(AQ1566,".",""))=2,LEFT(AQ1566,vitri(".",AQ1566,2)-1),TRUE,LEFT(AQ1566,vitri(".",AQ1566,1)-1))</f>
        <v/>
      </c>
    </row>
    <row r="1567" spans="13:54" x14ac:dyDescent="0.25">
      <c r="M1567" s="382"/>
      <c r="BB1567" s="253" t="str">
        <f t="array" ref="BB1567">_xlfn.IFS(AQ1567="","",LEN(AQ1567)-LEN(SUBSTITUTE(AQ1567,".",""))=3,LEFT(AQ1567,vitri(".",AQ1567,3)-1),LEN(AQ1567)-LEN(SUBSTITUTE(AQ1567,".",""))=2,LEFT(AQ1567,vitri(".",AQ1567,2)-1),TRUE,LEFT(AQ1567,vitri(".",AQ1567,1)-1))</f>
        <v/>
      </c>
    </row>
    <row r="1568" spans="13:54" x14ac:dyDescent="0.25">
      <c r="M1568" s="382"/>
      <c r="BB1568" s="253" t="str">
        <f t="array" ref="BB1568">_xlfn.IFS(AQ1568="","",LEN(AQ1568)-LEN(SUBSTITUTE(AQ1568,".",""))=3,LEFT(AQ1568,vitri(".",AQ1568,3)-1),LEN(AQ1568)-LEN(SUBSTITUTE(AQ1568,".",""))=2,LEFT(AQ1568,vitri(".",AQ1568,2)-1),TRUE,LEFT(AQ1568,vitri(".",AQ1568,1)-1))</f>
        <v/>
      </c>
    </row>
    <row r="1569" spans="13:54" x14ac:dyDescent="0.25">
      <c r="M1569" s="382"/>
      <c r="BB1569" s="253" t="str">
        <f t="array" ref="BB1569">_xlfn.IFS(AQ1569="","",LEN(AQ1569)-LEN(SUBSTITUTE(AQ1569,".",""))=3,LEFT(AQ1569,vitri(".",AQ1569,3)-1),LEN(AQ1569)-LEN(SUBSTITUTE(AQ1569,".",""))=2,LEFT(AQ1569,vitri(".",AQ1569,2)-1),TRUE,LEFT(AQ1569,vitri(".",AQ1569,1)-1))</f>
        <v/>
      </c>
    </row>
    <row r="1570" spans="13:54" x14ac:dyDescent="0.25">
      <c r="M1570" s="382"/>
      <c r="BB1570" s="253" t="str">
        <f t="array" ref="BB1570">_xlfn.IFS(AQ1570="","",LEN(AQ1570)-LEN(SUBSTITUTE(AQ1570,".",""))=3,LEFT(AQ1570,vitri(".",AQ1570,3)-1),LEN(AQ1570)-LEN(SUBSTITUTE(AQ1570,".",""))=2,LEFT(AQ1570,vitri(".",AQ1570,2)-1),TRUE,LEFT(AQ1570,vitri(".",AQ1570,1)-1))</f>
        <v/>
      </c>
    </row>
    <row r="1571" spans="13:54" x14ac:dyDescent="0.25">
      <c r="M1571" s="382"/>
      <c r="BB1571" s="253" t="str">
        <f t="array" ref="BB1571">_xlfn.IFS(AQ1571="","",LEN(AQ1571)-LEN(SUBSTITUTE(AQ1571,".",""))=3,LEFT(AQ1571,vitri(".",AQ1571,3)-1),LEN(AQ1571)-LEN(SUBSTITUTE(AQ1571,".",""))=2,LEFT(AQ1571,vitri(".",AQ1571,2)-1),TRUE,LEFT(AQ1571,vitri(".",AQ1571,1)-1))</f>
        <v/>
      </c>
    </row>
    <row r="1572" spans="13:54" x14ac:dyDescent="0.25">
      <c r="M1572" s="382"/>
      <c r="BB1572" s="253" t="str">
        <f t="array" ref="BB1572">_xlfn.IFS(AQ1572="","",LEN(AQ1572)-LEN(SUBSTITUTE(AQ1572,".",""))=3,LEFT(AQ1572,vitri(".",AQ1572,3)-1),LEN(AQ1572)-LEN(SUBSTITUTE(AQ1572,".",""))=2,LEFT(AQ1572,vitri(".",AQ1572,2)-1),TRUE,LEFT(AQ1572,vitri(".",AQ1572,1)-1))</f>
        <v/>
      </c>
    </row>
    <row r="1573" spans="13:54" x14ac:dyDescent="0.25">
      <c r="M1573" s="382"/>
      <c r="BB1573" s="253" t="str">
        <f t="array" ref="BB1573">_xlfn.IFS(AQ1573="","",LEN(AQ1573)-LEN(SUBSTITUTE(AQ1573,".",""))=3,LEFT(AQ1573,vitri(".",AQ1573,3)-1),LEN(AQ1573)-LEN(SUBSTITUTE(AQ1573,".",""))=2,LEFT(AQ1573,vitri(".",AQ1573,2)-1),TRUE,LEFT(AQ1573,vitri(".",AQ1573,1)-1))</f>
        <v/>
      </c>
    </row>
    <row r="1574" spans="13:54" x14ac:dyDescent="0.25">
      <c r="M1574" s="382"/>
      <c r="BB1574" s="253" t="str">
        <f t="array" ref="BB1574">_xlfn.IFS(AQ1574="","",LEN(AQ1574)-LEN(SUBSTITUTE(AQ1574,".",""))=3,LEFT(AQ1574,vitri(".",AQ1574,3)-1),LEN(AQ1574)-LEN(SUBSTITUTE(AQ1574,".",""))=2,LEFT(AQ1574,vitri(".",AQ1574,2)-1),TRUE,LEFT(AQ1574,vitri(".",AQ1574,1)-1))</f>
        <v/>
      </c>
    </row>
    <row r="1575" spans="13:54" x14ac:dyDescent="0.25">
      <c r="M1575" s="382"/>
      <c r="BB1575" s="253" t="str">
        <f t="array" ref="BB1575">_xlfn.IFS(AQ1575="","",LEN(AQ1575)-LEN(SUBSTITUTE(AQ1575,".",""))=3,LEFT(AQ1575,vitri(".",AQ1575,3)-1),LEN(AQ1575)-LEN(SUBSTITUTE(AQ1575,".",""))=2,LEFT(AQ1575,vitri(".",AQ1575,2)-1),TRUE,LEFT(AQ1575,vitri(".",AQ1575,1)-1))</f>
        <v/>
      </c>
    </row>
    <row r="1576" spans="13:54" x14ac:dyDescent="0.25">
      <c r="M1576" s="382"/>
      <c r="BB1576" s="253" t="str">
        <f t="array" ref="BB1576">_xlfn.IFS(AQ1576="","",LEN(AQ1576)-LEN(SUBSTITUTE(AQ1576,".",""))=3,LEFT(AQ1576,vitri(".",AQ1576,3)-1),LEN(AQ1576)-LEN(SUBSTITUTE(AQ1576,".",""))=2,LEFT(AQ1576,vitri(".",AQ1576,2)-1),TRUE,LEFT(AQ1576,vitri(".",AQ1576,1)-1))</f>
        <v/>
      </c>
    </row>
    <row r="1577" spans="13:54" x14ac:dyDescent="0.25">
      <c r="M1577" s="382"/>
      <c r="BB1577" s="253" t="str">
        <f t="array" ref="BB1577">_xlfn.IFS(AQ1577="","",LEN(AQ1577)-LEN(SUBSTITUTE(AQ1577,".",""))=3,LEFT(AQ1577,vitri(".",AQ1577,3)-1),LEN(AQ1577)-LEN(SUBSTITUTE(AQ1577,".",""))=2,LEFT(AQ1577,vitri(".",AQ1577,2)-1),TRUE,LEFT(AQ1577,vitri(".",AQ1577,1)-1))</f>
        <v/>
      </c>
    </row>
    <row r="1578" spans="13:54" x14ac:dyDescent="0.25">
      <c r="M1578" s="382"/>
      <c r="BB1578" s="253" t="str">
        <f t="array" ref="BB1578">_xlfn.IFS(AQ1578="","",LEN(AQ1578)-LEN(SUBSTITUTE(AQ1578,".",""))=3,LEFT(AQ1578,vitri(".",AQ1578,3)-1),LEN(AQ1578)-LEN(SUBSTITUTE(AQ1578,".",""))=2,LEFT(AQ1578,vitri(".",AQ1578,2)-1),TRUE,LEFT(AQ1578,vitri(".",AQ1578,1)-1))</f>
        <v/>
      </c>
    </row>
    <row r="1579" spans="13:54" x14ac:dyDescent="0.25">
      <c r="M1579" s="382"/>
      <c r="BB1579" s="253" t="str">
        <f t="array" ref="BB1579">_xlfn.IFS(AQ1579="","",LEN(AQ1579)-LEN(SUBSTITUTE(AQ1579,".",""))=3,LEFT(AQ1579,vitri(".",AQ1579,3)-1),LEN(AQ1579)-LEN(SUBSTITUTE(AQ1579,".",""))=2,LEFT(AQ1579,vitri(".",AQ1579,2)-1),TRUE,LEFT(AQ1579,vitri(".",AQ1579,1)-1))</f>
        <v/>
      </c>
    </row>
    <row r="1580" spans="13:54" x14ac:dyDescent="0.25">
      <c r="M1580" s="382"/>
      <c r="BB1580" s="253" t="str">
        <f t="array" ref="BB1580">_xlfn.IFS(AQ1580="","",LEN(AQ1580)-LEN(SUBSTITUTE(AQ1580,".",""))=3,LEFT(AQ1580,vitri(".",AQ1580,3)-1),LEN(AQ1580)-LEN(SUBSTITUTE(AQ1580,".",""))=2,LEFT(AQ1580,vitri(".",AQ1580,2)-1),TRUE,LEFT(AQ1580,vitri(".",AQ1580,1)-1))</f>
        <v/>
      </c>
    </row>
    <row r="1581" spans="13:54" x14ac:dyDescent="0.25">
      <c r="M1581" s="382"/>
      <c r="BB1581" s="253" t="str">
        <f t="array" ref="BB1581">_xlfn.IFS(AQ1581="","",LEN(AQ1581)-LEN(SUBSTITUTE(AQ1581,".",""))=3,LEFT(AQ1581,vitri(".",AQ1581,3)-1),LEN(AQ1581)-LEN(SUBSTITUTE(AQ1581,".",""))=2,LEFT(AQ1581,vitri(".",AQ1581,2)-1),TRUE,LEFT(AQ1581,vitri(".",AQ1581,1)-1))</f>
        <v/>
      </c>
    </row>
    <row r="1582" spans="13:54" x14ac:dyDescent="0.25">
      <c r="M1582" s="382"/>
      <c r="BB1582" s="253" t="str">
        <f t="array" ref="BB1582">_xlfn.IFS(AQ1582="","",LEN(AQ1582)-LEN(SUBSTITUTE(AQ1582,".",""))=3,LEFT(AQ1582,vitri(".",AQ1582,3)-1),LEN(AQ1582)-LEN(SUBSTITUTE(AQ1582,".",""))=2,LEFT(AQ1582,vitri(".",AQ1582,2)-1),TRUE,LEFT(AQ1582,vitri(".",AQ1582,1)-1))</f>
        <v/>
      </c>
    </row>
    <row r="1583" spans="13:54" x14ac:dyDescent="0.25">
      <c r="M1583" s="382"/>
      <c r="BB1583" s="253" t="str">
        <f t="array" ref="BB1583">_xlfn.IFS(AQ1583="","",LEN(AQ1583)-LEN(SUBSTITUTE(AQ1583,".",""))=3,LEFT(AQ1583,vitri(".",AQ1583,3)-1),LEN(AQ1583)-LEN(SUBSTITUTE(AQ1583,".",""))=2,LEFT(AQ1583,vitri(".",AQ1583,2)-1),TRUE,LEFT(AQ1583,vitri(".",AQ1583,1)-1))</f>
        <v/>
      </c>
    </row>
    <row r="1584" spans="13:54" x14ac:dyDescent="0.25">
      <c r="M1584" s="382"/>
      <c r="BB1584" s="253" t="str">
        <f t="array" ref="BB1584">_xlfn.IFS(AQ1584="","",LEN(AQ1584)-LEN(SUBSTITUTE(AQ1584,".",""))=3,LEFT(AQ1584,vitri(".",AQ1584,3)-1),LEN(AQ1584)-LEN(SUBSTITUTE(AQ1584,".",""))=2,LEFT(AQ1584,vitri(".",AQ1584,2)-1),TRUE,LEFT(AQ1584,vitri(".",AQ1584,1)-1))</f>
        <v/>
      </c>
    </row>
    <row r="1585" spans="13:54" x14ac:dyDescent="0.25">
      <c r="M1585" s="382"/>
      <c r="BB1585" s="253" t="str">
        <f t="array" ref="BB1585">_xlfn.IFS(AQ1585="","",LEN(AQ1585)-LEN(SUBSTITUTE(AQ1585,".",""))=3,LEFT(AQ1585,vitri(".",AQ1585,3)-1),LEN(AQ1585)-LEN(SUBSTITUTE(AQ1585,".",""))=2,LEFT(AQ1585,vitri(".",AQ1585,2)-1),TRUE,LEFT(AQ1585,vitri(".",AQ1585,1)-1))</f>
        <v/>
      </c>
    </row>
    <row r="1586" spans="13:54" x14ac:dyDescent="0.25">
      <c r="M1586" s="382"/>
      <c r="BB1586" s="253" t="str">
        <f t="array" ref="BB1586">_xlfn.IFS(AQ1586="","",LEN(AQ1586)-LEN(SUBSTITUTE(AQ1586,".",""))=3,LEFT(AQ1586,vitri(".",AQ1586,3)-1),LEN(AQ1586)-LEN(SUBSTITUTE(AQ1586,".",""))=2,LEFT(AQ1586,vitri(".",AQ1586,2)-1),TRUE,LEFT(AQ1586,vitri(".",AQ1586,1)-1))</f>
        <v/>
      </c>
    </row>
    <row r="1587" spans="13:54" x14ac:dyDescent="0.25">
      <c r="M1587" s="382"/>
      <c r="BB1587" s="253" t="str">
        <f t="array" ref="BB1587">_xlfn.IFS(AQ1587="","",LEN(AQ1587)-LEN(SUBSTITUTE(AQ1587,".",""))=3,LEFT(AQ1587,vitri(".",AQ1587,3)-1),LEN(AQ1587)-LEN(SUBSTITUTE(AQ1587,".",""))=2,LEFT(AQ1587,vitri(".",AQ1587,2)-1),TRUE,LEFT(AQ1587,vitri(".",AQ1587,1)-1))</f>
        <v/>
      </c>
    </row>
    <row r="1588" spans="13:54" x14ac:dyDescent="0.25">
      <c r="M1588" s="382"/>
      <c r="BB1588" s="253" t="str">
        <f t="array" ref="BB1588">_xlfn.IFS(AQ1588="","",LEN(AQ1588)-LEN(SUBSTITUTE(AQ1588,".",""))=3,LEFT(AQ1588,vitri(".",AQ1588,3)-1),LEN(AQ1588)-LEN(SUBSTITUTE(AQ1588,".",""))=2,LEFT(AQ1588,vitri(".",AQ1588,2)-1),TRUE,LEFT(AQ1588,vitri(".",AQ1588,1)-1))</f>
        <v/>
      </c>
    </row>
    <row r="1589" spans="13:54" x14ac:dyDescent="0.25">
      <c r="M1589" s="382"/>
      <c r="BB1589" s="253" t="str">
        <f t="array" ref="BB1589">_xlfn.IFS(AQ1589="","",LEN(AQ1589)-LEN(SUBSTITUTE(AQ1589,".",""))=3,LEFT(AQ1589,vitri(".",AQ1589,3)-1),LEN(AQ1589)-LEN(SUBSTITUTE(AQ1589,".",""))=2,LEFT(AQ1589,vitri(".",AQ1589,2)-1),TRUE,LEFT(AQ1589,vitri(".",AQ1589,1)-1))</f>
        <v/>
      </c>
    </row>
    <row r="1590" spans="13:54" x14ac:dyDescent="0.25">
      <c r="M1590" s="382"/>
      <c r="BB1590" s="253" t="str">
        <f t="array" ref="BB1590">_xlfn.IFS(AQ1590="","",LEN(AQ1590)-LEN(SUBSTITUTE(AQ1590,".",""))=3,LEFT(AQ1590,vitri(".",AQ1590,3)-1),LEN(AQ1590)-LEN(SUBSTITUTE(AQ1590,".",""))=2,LEFT(AQ1590,vitri(".",AQ1590,2)-1),TRUE,LEFT(AQ1590,vitri(".",AQ1590,1)-1))</f>
        <v/>
      </c>
    </row>
    <row r="1591" spans="13:54" x14ac:dyDescent="0.25">
      <c r="M1591" s="382"/>
      <c r="BB1591" s="253" t="str">
        <f t="array" ref="BB1591">_xlfn.IFS(AQ1591="","",LEN(AQ1591)-LEN(SUBSTITUTE(AQ1591,".",""))=3,LEFT(AQ1591,vitri(".",AQ1591,3)-1),LEN(AQ1591)-LEN(SUBSTITUTE(AQ1591,".",""))=2,LEFT(AQ1591,vitri(".",AQ1591,2)-1),TRUE,LEFT(AQ1591,vitri(".",AQ1591,1)-1))</f>
        <v/>
      </c>
    </row>
    <row r="1592" spans="13:54" x14ac:dyDescent="0.25">
      <c r="M1592" s="382"/>
      <c r="BB1592" s="253" t="str">
        <f t="array" ref="BB1592">_xlfn.IFS(AQ1592="","",LEN(AQ1592)-LEN(SUBSTITUTE(AQ1592,".",""))=3,LEFT(AQ1592,vitri(".",AQ1592,3)-1),LEN(AQ1592)-LEN(SUBSTITUTE(AQ1592,".",""))=2,LEFT(AQ1592,vitri(".",AQ1592,2)-1),TRUE,LEFT(AQ1592,vitri(".",AQ1592,1)-1))</f>
        <v/>
      </c>
    </row>
    <row r="1593" spans="13:54" x14ac:dyDescent="0.25">
      <c r="M1593" s="382"/>
      <c r="BB1593" s="253" t="str">
        <f t="array" ref="BB1593">_xlfn.IFS(AQ1593="","",LEN(AQ1593)-LEN(SUBSTITUTE(AQ1593,".",""))=3,LEFT(AQ1593,vitri(".",AQ1593,3)-1),LEN(AQ1593)-LEN(SUBSTITUTE(AQ1593,".",""))=2,LEFT(AQ1593,vitri(".",AQ1593,2)-1),TRUE,LEFT(AQ1593,vitri(".",AQ1593,1)-1))</f>
        <v/>
      </c>
    </row>
    <row r="1594" spans="13:54" x14ac:dyDescent="0.25">
      <c r="M1594" s="382"/>
      <c r="BB1594" s="253" t="str">
        <f t="array" ref="BB1594">_xlfn.IFS(AQ1594="","",LEN(AQ1594)-LEN(SUBSTITUTE(AQ1594,".",""))=3,LEFT(AQ1594,vitri(".",AQ1594,3)-1),LEN(AQ1594)-LEN(SUBSTITUTE(AQ1594,".",""))=2,LEFT(AQ1594,vitri(".",AQ1594,2)-1),TRUE,LEFT(AQ1594,vitri(".",AQ1594,1)-1))</f>
        <v/>
      </c>
    </row>
    <row r="1595" spans="13:54" x14ac:dyDescent="0.25">
      <c r="M1595" s="382"/>
      <c r="BB1595" s="253" t="str">
        <f t="array" ref="BB1595">_xlfn.IFS(AQ1595="","",LEN(AQ1595)-LEN(SUBSTITUTE(AQ1595,".",""))=3,LEFT(AQ1595,vitri(".",AQ1595,3)-1),LEN(AQ1595)-LEN(SUBSTITUTE(AQ1595,".",""))=2,LEFT(AQ1595,vitri(".",AQ1595,2)-1),TRUE,LEFT(AQ1595,vitri(".",AQ1595,1)-1))</f>
        <v/>
      </c>
    </row>
    <row r="1596" spans="13:54" x14ac:dyDescent="0.25">
      <c r="M1596" s="382"/>
      <c r="BB1596" s="253" t="str">
        <f t="array" ref="BB1596">_xlfn.IFS(AQ1596="","",LEN(AQ1596)-LEN(SUBSTITUTE(AQ1596,".",""))=3,LEFT(AQ1596,vitri(".",AQ1596,3)-1),LEN(AQ1596)-LEN(SUBSTITUTE(AQ1596,".",""))=2,LEFT(AQ1596,vitri(".",AQ1596,2)-1),TRUE,LEFT(AQ1596,vitri(".",AQ1596,1)-1))</f>
        <v/>
      </c>
    </row>
    <row r="1597" spans="13:54" x14ac:dyDescent="0.25">
      <c r="M1597" s="382"/>
      <c r="BB1597" s="253" t="str">
        <f t="array" ref="BB1597">_xlfn.IFS(AQ1597="","",LEN(AQ1597)-LEN(SUBSTITUTE(AQ1597,".",""))=3,LEFT(AQ1597,vitri(".",AQ1597,3)-1),LEN(AQ1597)-LEN(SUBSTITUTE(AQ1597,".",""))=2,LEFT(AQ1597,vitri(".",AQ1597,2)-1),TRUE,LEFT(AQ1597,vitri(".",AQ1597,1)-1))</f>
        <v/>
      </c>
    </row>
    <row r="1598" spans="13:54" x14ac:dyDescent="0.25">
      <c r="M1598" s="382"/>
      <c r="BB1598" s="253" t="str">
        <f t="array" ref="BB1598">_xlfn.IFS(AQ1598="","",LEN(AQ1598)-LEN(SUBSTITUTE(AQ1598,".",""))=3,LEFT(AQ1598,vitri(".",AQ1598,3)-1),LEN(AQ1598)-LEN(SUBSTITUTE(AQ1598,".",""))=2,LEFT(AQ1598,vitri(".",AQ1598,2)-1),TRUE,LEFT(AQ1598,vitri(".",AQ1598,1)-1))</f>
        <v/>
      </c>
    </row>
    <row r="1599" spans="13:54" x14ac:dyDescent="0.25">
      <c r="M1599" s="382"/>
      <c r="BB1599" s="253" t="str">
        <f t="array" ref="BB1599">_xlfn.IFS(AQ1599="","",LEN(AQ1599)-LEN(SUBSTITUTE(AQ1599,".",""))=3,LEFT(AQ1599,vitri(".",AQ1599,3)-1),LEN(AQ1599)-LEN(SUBSTITUTE(AQ1599,".",""))=2,LEFT(AQ1599,vitri(".",AQ1599,2)-1),TRUE,LEFT(AQ1599,vitri(".",AQ1599,1)-1))</f>
        <v/>
      </c>
    </row>
    <row r="1600" spans="13:54" x14ac:dyDescent="0.25">
      <c r="M1600" s="382"/>
      <c r="BB1600" s="253" t="str">
        <f t="array" ref="BB1600">_xlfn.IFS(AQ1600="","",LEN(AQ1600)-LEN(SUBSTITUTE(AQ1600,".",""))=3,LEFT(AQ1600,vitri(".",AQ1600,3)-1),LEN(AQ1600)-LEN(SUBSTITUTE(AQ1600,".",""))=2,LEFT(AQ1600,vitri(".",AQ1600,2)-1),TRUE,LEFT(AQ1600,vitri(".",AQ1600,1)-1))</f>
        <v/>
      </c>
    </row>
    <row r="1601" spans="13:54" x14ac:dyDescent="0.25">
      <c r="M1601" s="382"/>
      <c r="BB1601" s="253" t="str">
        <f t="array" ref="BB1601">_xlfn.IFS(AQ1601="","",LEN(AQ1601)-LEN(SUBSTITUTE(AQ1601,".",""))=3,LEFT(AQ1601,vitri(".",AQ1601,3)-1),LEN(AQ1601)-LEN(SUBSTITUTE(AQ1601,".",""))=2,LEFT(AQ1601,vitri(".",AQ1601,2)-1),TRUE,LEFT(AQ1601,vitri(".",AQ1601,1)-1))</f>
        <v/>
      </c>
    </row>
    <row r="1602" spans="13:54" x14ac:dyDescent="0.25">
      <c r="M1602" s="382"/>
      <c r="BB1602" s="253" t="str">
        <f t="array" ref="BB1602">_xlfn.IFS(AQ1602="","",LEN(AQ1602)-LEN(SUBSTITUTE(AQ1602,".",""))=3,LEFT(AQ1602,vitri(".",AQ1602,3)-1),LEN(AQ1602)-LEN(SUBSTITUTE(AQ1602,".",""))=2,LEFT(AQ1602,vitri(".",AQ1602,2)-1),TRUE,LEFT(AQ1602,vitri(".",AQ1602,1)-1))</f>
        <v/>
      </c>
    </row>
    <row r="1603" spans="13:54" x14ac:dyDescent="0.25">
      <c r="M1603" s="382"/>
      <c r="BB1603" s="253" t="str">
        <f t="array" ref="BB1603">_xlfn.IFS(AQ1603="","",LEN(AQ1603)-LEN(SUBSTITUTE(AQ1603,".",""))=3,LEFT(AQ1603,vitri(".",AQ1603,3)-1),LEN(AQ1603)-LEN(SUBSTITUTE(AQ1603,".",""))=2,LEFT(AQ1603,vitri(".",AQ1603,2)-1),TRUE,LEFT(AQ1603,vitri(".",AQ1603,1)-1))</f>
        <v/>
      </c>
    </row>
    <row r="1604" spans="13:54" x14ac:dyDescent="0.25">
      <c r="M1604" s="382"/>
      <c r="BB1604" s="253" t="str">
        <f t="array" ref="BB1604">_xlfn.IFS(AQ1604="","",LEN(AQ1604)-LEN(SUBSTITUTE(AQ1604,".",""))=3,LEFT(AQ1604,vitri(".",AQ1604,3)-1),LEN(AQ1604)-LEN(SUBSTITUTE(AQ1604,".",""))=2,LEFT(AQ1604,vitri(".",AQ1604,2)-1),TRUE,LEFT(AQ1604,vitri(".",AQ1604,1)-1))</f>
        <v/>
      </c>
    </row>
    <row r="1605" spans="13:54" x14ac:dyDescent="0.25">
      <c r="M1605" s="382"/>
      <c r="BB1605" s="253" t="str">
        <f t="array" ref="BB1605">_xlfn.IFS(AQ1605="","",LEN(AQ1605)-LEN(SUBSTITUTE(AQ1605,".",""))=3,LEFT(AQ1605,vitri(".",AQ1605,3)-1),LEN(AQ1605)-LEN(SUBSTITUTE(AQ1605,".",""))=2,LEFT(AQ1605,vitri(".",AQ1605,2)-1),TRUE,LEFT(AQ1605,vitri(".",AQ1605,1)-1))</f>
        <v/>
      </c>
    </row>
    <row r="1606" spans="13:54" x14ac:dyDescent="0.25">
      <c r="M1606" s="382"/>
      <c r="BB1606" s="253" t="str">
        <f t="array" ref="BB1606">_xlfn.IFS(AQ1606="","",LEN(AQ1606)-LEN(SUBSTITUTE(AQ1606,".",""))=3,LEFT(AQ1606,vitri(".",AQ1606,3)-1),LEN(AQ1606)-LEN(SUBSTITUTE(AQ1606,".",""))=2,LEFT(AQ1606,vitri(".",AQ1606,2)-1),TRUE,LEFT(AQ1606,vitri(".",AQ1606,1)-1))</f>
        <v/>
      </c>
    </row>
    <row r="1607" spans="13:54" x14ac:dyDescent="0.25">
      <c r="M1607" s="382"/>
      <c r="BB1607" s="253" t="str">
        <f t="array" ref="BB1607">_xlfn.IFS(AQ1607="","",LEN(AQ1607)-LEN(SUBSTITUTE(AQ1607,".",""))=3,LEFT(AQ1607,vitri(".",AQ1607,3)-1),LEN(AQ1607)-LEN(SUBSTITUTE(AQ1607,".",""))=2,LEFT(AQ1607,vitri(".",AQ1607,2)-1),TRUE,LEFT(AQ1607,vitri(".",AQ1607,1)-1))</f>
        <v/>
      </c>
    </row>
    <row r="1608" spans="13:54" x14ac:dyDescent="0.25">
      <c r="M1608" s="382"/>
      <c r="BB1608" s="253" t="str">
        <f t="array" ref="BB1608">_xlfn.IFS(AQ1608="","",LEN(AQ1608)-LEN(SUBSTITUTE(AQ1608,".",""))=3,LEFT(AQ1608,vitri(".",AQ1608,3)-1),LEN(AQ1608)-LEN(SUBSTITUTE(AQ1608,".",""))=2,LEFT(AQ1608,vitri(".",AQ1608,2)-1),TRUE,LEFT(AQ1608,vitri(".",AQ1608,1)-1))</f>
        <v/>
      </c>
    </row>
    <row r="1609" spans="13:54" x14ac:dyDescent="0.25">
      <c r="M1609" s="382"/>
      <c r="BB1609" s="253" t="str">
        <f t="array" ref="BB1609">_xlfn.IFS(AQ1609="","",LEN(AQ1609)-LEN(SUBSTITUTE(AQ1609,".",""))=3,LEFT(AQ1609,vitri(".",AQ1609,3)-1),LEN(AQ1609)-LEN(SUBSTITUTE(AQ1609,".",""))=2,LEFT(AQ1609,vitri(".",AQ1609,2)-1),TRUE,LEFT(AQ1609,vitri(".",AQ1609,1)-1))</f>
        <v/>
      </c>
    </row>
    <row r="1610" spans="13:54" x14ac:dyDescent="0.25">
      <c r="M1610" s="382"/>
      <c r="BB1610" s="253" t="str">
        <f t="array" ref="BB1610">_xlfn.IFS(AQ1610="","",LEN(AQ1610)-LEN(SUBSTITUTE(AQ1610,".",""))=3,LEFT(AQ1610,vitri(".",AQ1610,3)-1),LEN(AQ1610)-LEN(SUBSTITUTE(AQ1610,".",""))=2,LEFT(AQ1610,vitri(".",AQ1610,2)-1),TRUE,LEFT(AQ1610,vitri(".",AQ1610,1)-1))</f>
        <v/>
      </c>
    </row>
    <row r="1611" spans="13:54" x14ac:dyDescent="0.25">
      <c r="M1611" s="382"/>
      <c r="BB1611" s="253" t="str">
        <f t="array" ref="BB1611">_xlfn.IFS(AQ1611="","",LEN(AQ1611)-LEN(SUBSTITUTE(AQ1611,".",""))=3,LEFT(AQ1611,vitri(".",AQ1611,3)-1),LEN(AQ1611)-LEN(SUBSTITUTE(AQ1611,".",""))=2,LEFT(AQ1611,vitri(".",AQ1611,2)-1),TRUE,LEFT(AQ1611,vitri(".",AQ1611,1)-1))</f>
        <v/>
      </c>
    </row>
    <row r="1612" spans="13:54" x14ac:dyDescent="0.25">
      <c r="M1612" s="382"/>
      <c r="BB1612" s="253" t="str">
        <f t="array" ref="BB1612">_xlfn.IFS(AQ1612="","",LEN(AQ1612)-LEN(SUBSTITUTE(AQ1612,".",""))=3,LEFT(AQ1612,vitri(".",AQ1612,3)-1),LEN(AQ1612)-LEN(SUBSTITUTE(AQ1612,".",""))=2,LEFT(AQ1612,vitri(".",AQ1612,2)-1),TRUE,LEFT(AQ1612,vitri(".",AQ1612,1)-1))</f>
        <v/>
      </c>
    </row>
    <row r="1613" spans="13:54" x14ac:dyDescent="0.25">
      <c r="M1613" s="382"/>
      <c r="BB1613" s="253" t="str">
        <f t="array" ref="BB1613">_xlfn.IFS(AQ1613="","",LEN(AQ1613)-LEN(SUBSTITUTE(AQ1613,".",""))=3,LEFT(AQ1613,vitri(".",AQ1613,3)-1),LEN(AQ1613)-LEN(SUBSTITUTE(AQ1613,".",""))=2,LEFT(AQ1613,vitri(".",AQ1613,2)-1),TRUE,LEFT(AQ1613,vitri(".",AQ1613,1)-1))</f>
        <v/>
      </c>
    </row>
    <row r="1614" spans="13:54" x14ac:dyDescent="0.25">
      <c r="M1614" s="382"/>
      <c r="BB1614" s="253" t="str">
        <f t="array" ref="BB1614">_xlfn.IFS(AQ1614="","",LEN(AQ1614)-LEN(SUBSTITUTE(AQ1614,".",""))=3,LEFT(AQ1614,vitri(".",AQ1614,3)-1),LEN(AQ1614)-LEN(SUBSTITUTE(AQ1614,".",""))=2,LEFT(AQ1614,vitri(".",AQ1614,2)-1),TRUE,LEFT(AQ1614,vitri(".",AQ1614,1)-1))</f>
        <v/>
      </c>
    </row>
    <row r="1615" spans="13:54" x14ac:dyDescent="0.25">
      <c r="M1615" s="382"/>
      <c r="BB1615" s="253" t="str">
        <f t="array" ref="BB1615">_xlfn.IFS(AQ1615="","",LEN(AQ1615)-LEN(SUBSTITUTE(AQ1615,".",""))=3,LEFT(AQ1615,vitri(".",AQ1615,3)-1),LEN(AQ1615)-LEN(SUBSTITUTE(AQ1615,".",""))=2,LEFT(AQ1615,vitri(".",AQ1615,2)-1),TRUE,LEFT(AQ1615,vitri(".",AQ1615,1)-1))</f>
        <v/>
      </c>
    </row>
    <row r="1616" spans="13:54" x14ac:dyDescent="0.25">
      <c r="M1616" s="382"/>
      <c r="BB1616" s="253" t="str">
        <f t="array" ref="BB1616">_xlfn.IFS(AQ1616="","",LEN(AQ1616)-LEN(SUBSTITUTE(AQ1616,".",""))=3,LEFT(AQ1616,vitri(".",AQ1616,3)-1),LEN(AQ1616)-LEN(SUBSTITUTE(AQ1616,".",""))=2,LEFT(AQ1616,vitri(".",AQ1616,2)-1),TRUE,LEFT(AQ1616,vitri(".",AQ1616,1)-1))</f>
        <v/>
      </c>
    </row>
    <row r="1617" spans="13:54" x14ac:dyDescent="0.25">
      <c r="M1617" s="382"/>
      <c r="BB1617" s="253" t="str">
        <f t="array" ref="BB1617">_xlfn.IFS(AQ1617="","",LEN(AQ1617)-LEN(SUBSTITUTE(AQ1617,".",""))=3,LEFT(AQ1617,vitri(".",AQ1617,3)-1),LEN(AQ1617)-LEN(SUBSTITUTE(AQ1617,".",""))=2,LEFT(AQ1617,vitri(".",AQ1617,2)-1),TRUE,LEFT(AQ1617,vitri(".",AQ1617,1)-1))</f>
        <v/>
      </c>
    </row>
    <row r="1618" spans="13:54" x14ac:dyDescent="0.25">
      <c r="M1618" s="382"/>
      <c r="BB1618" s="253" t="str">
        <f t="array" ref="BB1618">_xlfn.IFS(AQ1618="","",LEN(AQ1618)-LEN(SUBSTITUTE(AQ1618,".",""))=3,LEFT(AQ1618,vitri(".",AQ1618,3)-1),LEN(AQ1618)-LEN(SUBSTITUTE(AQ1618,".",""))=2,LEFT(AQ1618,vitri(".",AQ1618,2)-1),TRUE,LEFT(AQ1618,vitri(".",AQ1618,1)-1))</f>
        <v/>
      </c>
    </row>
    <row r="1619" spans="13:54" x14ac:dyDescent="0.25">
      <c r="M1619" s="382"/>
      <c r="BB1619" s="253" t="str">
        <f t="array" ref="BB1619">_xlfn.IFS(AQ1619="","",LEN(AQ1619)-LEN(SUBSTITUTE(AQ1619,".",""))=3,LEFT(AQ1619,vitri(".",AQ1619,3)-1),LEN(AQ1619)-LEN(SUBSTITUTE(AQ1619,".",""))=2,LEFT(AQ1619,vitri(".",AQ1619,2)-1),TRUE,LEFT(AQ1619,vitri(".",AQ1619,1)-1))</f>
        <v/>
      </c>
    </row>
    <row r="1620" spans="13:54" x14ac:dyDescent="0.25">
      <c r="M1620" s="382"/>
      <c r="BB1620" s="253" t="str">
        <f t="array" ref="BB1620">_xlfn.IFS(AQ1620="","",LEN(AQ1620)-LEN(SUBSTITUTE(AQ1620,".",""))=3,LEFT(AQ1620,vitri(".",AQ1620,3)-1),LEN(AQ1620)-LEN(SUBSTITUTE(AQ1620,".",""))=2,LEFT(AQ1620,vitri(".",AQ1620,2)-1),TRUE,LEFT(AQ1620,vitri(".",AQ1620,1)-1))</f>
        <v/>
      </c>
    </row>
    <row r="1621" spans="13:54" x14ac:dyDescent="0.25">
      <c r="M1621" s="382"/>
      <c r="BB1621" s="253" t="str">
        <f t="array" ref="BB1621">_xlfn.IFS(AQ1621="","",LEN(AQ1621)-LEN(SUBSTITUTE(AQ1621,".",""))=3,LEFT(AQ1621,vitri(".",AQ1621,3)-1),LEN(AQ1621)-LEN(SUBSTITUTE(AQ1621,".",""))=2,LEFT(AQ1621,vitri(".",AQ1621,2)-1),TRUE,LEFT(AQ1621,vitri(".",AQ1621,1)-1))</f>
        <v/>
      </c>
    </row>
    <row r="1622" spans="13:54" x14ac:dyDescent="0.25">
      <c r="M1622" s="382"/>
      <c r="BB1622" s="253" t="str">
        <f t="array" ref="BB1622">_xlfn.IFS(AQ1622="","",LEN(AQ1622)-LEN(SUBSTITUTE(AQ1622,".",""))=3,LEFT(AQ1622,vitri(".",AQ1622,3)-1),LEN(AQ1622)-LEN(SUBSTITUTE(AQ1622,".",""))=2,LEFT(AQ1622,vitri(".",AQ1622,2)-1),TRUE,LEFT(AQ1622,vitri(".",AQ1622,1)-1))</f>
        <v/>
      </c>
    </row>
    <row r="1623" spans="13:54" x14ac:dyDescent="0.25">
      <c r="M1623" s="382"/>
      <c r="BB1623" s="253" t="str">
        <f t="array" ref="BB1623">_xlfn.IFS(AQ1623="","",LEN(AQ1623)-LEN(SUBSTITUTE(AQ1623,".",""))=3,LEFT(AQ1623,vitri(".",AQ1623,3)-1),LEN(AQ1623)-LEN(SUBSTITUTE(AQ1623,".",""))=2,LEFT(AQ1623,vitri(".",AQ1623,2)-1),TRUE,LEFT(AQ1623,vitri(".",AQ1623,1)-1))</f>
        <v/>
      </c>
    </row>
    <row r="1624" spans="13:54" x14ac:dyDescent="0.25">
      <c r="M1624" s="382"/>
      <c r="BB1624" s="253" t="str">
        <f t="array" ref="BB1624">_xlfn.IFS(AQ1624="","",LEN(AQ1624)-LEN(SUBSTITUTE(AQ1624,".",""))=3,LEFT(AQ1624,vitri(".",AQ1624,3)-1),LEN(AQ1624)-LEN(SUBSTITUTE(AQ1624,".",""))=2,LEFT(AQ1624,vitri(".",AQ1624,2)-1),TRUE,LEFT(AQ1624,vitri(".",AQ1624,1)-1))</f>
        <v/>
      </c>
    </row>
    <row r="1625" spans="13:54" x14ac:dyDescent="0.25">
      <c r="M1625" s="382"/>
      <c r="BB1625" s="253" t="str">
        <f t="array" ref="BB1625">_xlfn.IFS(AQ1625="","",LEN(AQ1625)-LEN(SUBSTITUTE(AQ1625,".",""))=3,LEFT(AQ1625,vitri(".",AQ1625,3)-1),LEN(AQ1625)-LEN(SUBSTITUTE(AQ1625,".",""))=2,LEFT(AQ1625,vitri(".",AQ1625,2)-1),TRUE,LEFT(AQ1625,vitri(".",AQ1625,1)-1))</f>
        <v/>
      </c>
    </row>
    <row r="1626" spans="13:54" x14ac:dyDescent="0.25">
      <c r="M1626" s="382"/>
      <c r="BB1626" s="253" t="str">
        <f t="array" ref="BB1626">_xlfn.IFS(AQ1626="","",LEN(AQ1626)-LEN(SUBSTITUTE(AQ1626,".",""))=3,LEFT(AQ1626,vitri(".",AQ1626,3)-1),LEN(AQ1626)-LEN(SUBSTITUTE(AQ1626,".",""))=2,LEFT(AQ1626,vitri(".",AQ1626,2)-1),TRUE,LEFT(AQ1626,vitri(".",AQ1626,1)-1))</f>
        <v/>
      </c>
    </row>
    <row r="1627" spans="13:54" x14ac:dyDescent="0.25">
      <c r="M1627" s="382"/>
      <c r="BB1627" s="253" t="str">
        <f t="array" ref="BB1627">_xlfn.IFS(AQ1627="","",LEN(AQ1627)-LEN(SUBSTITUTE(AQ1627,".",""))=3,LEFT(AQ1627,vitri(".",AQ1627,3)-1),LEN(AQ1627)-LEN(SUBSTITUTE(AQ1627,".",""))=2,LEFT(AQ1627,vitri(".",AQ1627,2)-1),TRUE,LEFT(AQ1627,vitri(".",AQ1627,1)-1))</f>
        <v/>
      </c>
    </row>
    <row r="1628" spans="13:54" x14ac:dyDescent="0.25">
      <c r="M1628" s="382"/>
      <c r="BB1628" s="253" t="str">
        <f t="array" ref="BB1628">_xlfn.IFS(AQ1628="","",LEN(AQ1628)-LEN(SUBSTITUTE(AQ1628,".",""))=3,LEFT(AQ1628,vitri(".",AQ1628,3)-1),LEN(AQ1628)-LEN(SUBSTITUTE(AQ1628,".",""))=2,LEFT(AQ1628,vitri(".",AQ1628,2)-1),TRUE,LEFT(AQ1628,vitri(".",AQ1628,1)-1))</f>
        <v/>
      </c>
    </row>
    <row r="1629" spans="13:54" x14ac:dyDescent="0.25">
      <c r="M1629" s="382"/>
      <c r="BB1629" s="253" t="str">
        <f t="array" ref="BB1629">_xlfn.IFS(AQ1629="","",LEN(AQ1629)-LEN(SUBSTITUTE(AQ1629,".",""))=3,LEFT(AQ1629,vitri(".",AQ1629,3)-1),LEN(AQ1629)-LEN(SUBSTITUTE(AQ1629,".",""))=2,LEFT(AQ1629,vitri(".",AQ1629,2)-1),TRUE,LEFT(AQ1629,vitri(".",AQ1629,1)-1))</f>
        <v/>
      </c>
    </row>
    <row r="1630" spans="13:54" x14ac:dyDescent="0.25">
      <c r="M1630" s="382"/>
      <c r="BB1630" s="253" t="str">
        <f t="array" ref="BB1630">_xlfn.IFS(AQ1630="","",LEN(AQ1630)-LEN(SUBSTITUTE(AQ1630,".",""))=3,LEFT(AQ1630,vitri(".",AQ1630,3)-1),LEN(AQ1630)-LEN(SUBSTITUTE(AQ1630,".",""))=2,LEFT(AQ1630,vitri(".",AQ1630,2)-1),TRUE,LEFT(AQ1630,vitri(".",AQ1630,1)-1))</f>
        <v/>
      </c>
    </row>
    <row r="1631" spans="13:54" x14ac:dyDescent="0.25">
      <c r="M1631" s="382"/>
      <c r="BB1631" s="253" t="str">
        <f t="array" ref="BB1631">_xlfn.IFS(AQ1631="","",LEN(AQ1631)-LEN(SUBSTITUTE(AQ1631,".",""))=3,LEFT(AQ1631,vitri(".",AQ1631,3)-1),LEN(AQ1631)-LEN(SUBSTITUTE(AQ1631,".",""))=2,LEFT(AQ1631,vitri(".",AQ1631,2)-1),TRUE,LEFT(AQ1631,vitri(".",AQ1631,1)-1))</f>
        <v/>
      </c>
    </row>
    <row r="1632" spans="13:54" x14ac:dyDescent="0.25">
      <c r="M1632" s="382"/>
      <c r="BB1632" s="253" t="str">
        <f t="array" ref="BB1632">_xlfn.IFS(AQ1632="","",LEN(AQ1632)-LEN(SUBSTITUTE(AQ1632,".",""))=3,LEFT(AQ1632,vitri(".",AQ1632,3)-1),LEN(AQ1632)-LEN(SUBSTITUTE(AQ1632,".",""))=2,LEFT(AQ1632,vitri(".",AQ1632,2)-1),TRUE,LEFT(AQ1632,vitri(".",AQ1632,1)-1))</f>
        <v/>
      </c>
    </row>
    <row r="1633" spans="13:54" x14ac:dyDescent="0.25">
      <c r="M1633" s="382"/>
      <c r="BB1633" s="253" t="str">
        <f t="array" ref="BB1633">_xlfn.IFS(AQ1633="","",LEN(AQ1633)-LEN(SUBSTITUTE(AQ1633,".",""))=3,LEFT(AQ1633,vitri(".",AQ1633,3)-1),LEN(AQ1633)-LEN(SUBSTITUTE(AQ1633,".",""))=2,LEFT(AQ1633,vitri(".",AQ1633,2)-1),TRUE,LEFT(AQ1633,vitri(".",AQ1633,1)-1))</f>
        <v/>
      </c>
    </row>
    <row r="1634" spans="13:54" x14ac:dyDescent="0.25">
      <c r="M1634" s="382"/>
      <c r="BB1634" s="253" t="str">
        <f t="array" ref="BB1634">_xlfn.IFS(AQ1634="","",LEN(AQ1634)-LEN(SUBSTITUTE(AQ1634,".",""))=3,LEFT(AQ1634,vitri(".",AQ1634,3)-1),LEN(AQ1634)-LEN(SUBSTITUTE(AQ1634,".",""))=2,LEFT(AQ1634,vitri(".",AQ1634,2)-1),TRUE,LEFT(AQ1634,vitri(".",AQ1634,1)-1))</f>
        <v/>
      </c>
    </row>
    <row r="1635" spans="13:54" x14ac:dyDescent="0.25">
      <c r="M1635" s="382"/>
      <c r="BB1635" s="253" t="str">
        <f t="array" ref="BB1635">_xlfn.IFS(AQ1635="","",LEN(AQ1635)-LEN(SUBSTITUTE(AQ1635,".",""))=3,LEFT(AQ1635,vitri(".",AQ1635,3)-1),LEN(AQ1635)-LEN(SUBSTITUTE(AQ1635,".",""))=2,LEFT(AQ1635,vitri(".",AQ1635,2)-1),TRUE,LEFT(AQ1635,vitri(".",AQ1635,1)-1))</f>
        <v/>
      </c>
    </row>
    <row r="1636" spans="13:54" x14ac:dyDescent="0.25">
      <c r="M1636" s="382"/>
      <c r="BB1636" s="253" t="str">
        <f t="array" ref="BB1636">_xlfn.IFS(AQ1636="","",LEN(AQ1636)-LEN(SUBSTITUTE(AQ1636,".",""))=3,LEFT(AQ1636,vitri(".",AQ1636,3)-1),LEN(AQ1636)-LEN(SUBSTITUTE(AQ1636,".",""))=2,LEFT(AQ1636,vitri(".",AQ1636,2)-1),TRUE,LEFT(AQ1636,vitri(".",AQ1636,1)-1))</f>
        <v/>
      </c>
    </row>
    <row r="1637" spans="13:54" x14ac:dyDescent="0.25">
      <c r="M1637" s="382"/>
      <c r="BB1637" s="253" t="str">
        <f t="array" ref="BB1637">_xlfn.IFS(AQ1637="","",LEN(AQ1637)-LEN(SUBSTITUTE(AQ1637,".",""))=3,LEFT(AQ1637,vitri(".",AQ1637,3)-1),LEN(AQ1637)-LEN(SUBSTITUTE(AQ1637,".",""))=2,LEFT(AQ1637,vitri(".",AQ1637,2)-1),TRUE,LEFT(AQ1637,vitri(".",AQ1637,1)-1))</f>
        <v/>
      </c>
    </row>
    <row r="1638" spans="13:54" x14ac:dyDescent="0.25">
      <c r="M1638" s="382"/>
      <c r="BB1638" s="253" t="str">
        <f t="array" ref="BB1638">_xlfn.IFS(AQ1638="","",LEN(AQ1638)-LEN(SUBSTITUTE(AQ1638,".",""))=3,LEFT(AQ1638,vitri(".",AQ1638,3)-1),LEN(AQ1638)-LEN(SUBSTITUTE(AQ1638,".",""))=2,LEFT(AQ1638,vitri(".",AQ1638,2)-1),TRUE,LEFT(AQ1638,vitri(".",AQ1638,1)-1))</f>
        <v/>
      </c>
    </row>
    <row r="1639" spans="13:54" x14ac:dyDescent="0.25">
      <c r="M1639" s="382"/>
      <c r="BB1639" s="253" t="str">
        <f t="array" ref="BB1639">_xlfn.IFS(AQ1639="","",LEN(AQ1639)-LEN(SUBSTITUTE(AQ1639,".",""))=3,LEFT(AQ1639,vitri(".",AQ1639,3)-1),LEN(AQ1639)-LEN(SUBSTITUTE(AQ1639,".",""))=2,LEFT(AQ1639,vitri(".",AQ1639,2)-1),TRUE,LEFT(AQ1639,vitri(".",AQ1639,1)-1))</f>
        <v/>
      </c>
    </row>
    <row r="1640" spans="13:54" x14ac:dyDescent="0.25">
      <c r="M1640" s="382"/>
      <c r="BB1640" s="253" t="str">
        <f t="array" ref="BB1640">_xlfn.IFS(AQ1640="","",LEN(AQ1640)-LEN(SUBSTITUTE(AQ1640,".",""))=3,LEFT(AQ1640,vitri(".",AQ1640,3)-1),LEN(AQ1640)-LEN(SUBSTITUTE(AQ1640,".",""))=2,LEFT(AQ1640,vitri(".",AQ1640,2)-1),TRUE,LEFT(AQ1640,vitri(".",AQ1640,1)-1))</f>
        <v/>
      </c>
    </row>
    <row r="1641" spans="13:54" x14ac:dyDescent="0.25">
      <c r="M1641" s="382"/>
      <c r="BB1641" s="253" t="str">
        <f t="array" ref="BB1641">_xlfn.IFS(AQ1641="","",LEN(AQ1641)-LEN(SUBSTITUTE(AQ1641,".",""))=3,LEFT(AQ1641,vitri(".",AQ1641,3)-1),LEN(AQ1641)-LEN(SUBSTITUTE(AQ1641,".",""))=2,LEFT(AQ1641,vitri(".",AQ1641,2)-1),TRUE,LEFT(AQ1641,vitri(".",AQ1641,1)-1))</f>
        <v/>
      </c>
    </row>
    <row r="1642" spans="13:54" x14ac:dyDescent="0.25">
      <c r="M1642" s="382"/>
      <c r="BB1642" s="253" t="str">
        <f t="array" ref="BB1642">_xlfn.IFS(AQ1642="","",LEN(AQ1642)-LEN(SUBSTITUTE(AQ1642,".",""))=3,LEFT(AQ1642,vitri(".",AQ1642,3)-1),LEN(AQ1642)-LEN(SUBSTITUTE(AQ1642,".",""))=2,LEFT(AQ1642,vitri(".",AQ1642,2)-1),TRUE,LEFT(AQ1642,vitri(".",AQ1642,1)-1))</f>
        <v/>
      </c>
    </row>
    <row r="1643" spans="13:54" x14ac:dyDescent="0.25">
      <c r="M1643" s="382"/>
      <c r="BB1643" s="253" t="str">
        <f t="array" ref="BB1643">_xlfn.IFS(AQ1643="","",LEN(AQ1643)-LEN(SUBSTITUTE(AQ1643,".",""))=3,LEFT(AQ1643,vitri(".",AQ1643,3)-1),LEN(AQ1643)-LEN(SUBSTITUTE(AQ1643,".",""))=2,LEFT(AQ1643,vitri(".",AQ1643,2)-1),TRUE,LEFT(AQ1643,vitri(".",AQ1643,1)-1))</f>
        <v/>
      </c>
    </row>
    <row r="1644" spans="13:54" x14ac:dyDescent="0.25">
      <c r="M1644" s="382"/>
      <c r="BB1644" s="253" t="str">
        <f t="array" ref="BB1644">_xlfn.IFS(AQ1644="","",LEN(AQ1644)-LEN(SUBSTITUTE(AQ1644,".",""))=3,LEFT(AQ1644,vitri(".",AQ1644,3)-1),LEN(AQ1644)-LEN(SUBSTITUTE(AQ1644,".",""))=2,LEFT(AQ1644,vitri(".",AQ1644,2)-1),TRUE,LEFT(AQ1644,vitri(".",AQ1644,1)-1))</f>
        <v/>
      </c>
    </row>
    <row r="1645" spans="13:54" x14ac:dyDescent="0.25">
      <c r="M1645" s="382"/>
      <c r="BB1645" s="253" t="str">
        <f t="array" ref="BB1645">_xlfn.IFS(AQ1645="","",LEN(AQ1645)-LEN(SUBSTITUTE(AQ1645,".",""))=3,LEFT(AQ1645,vitri(".",AQ1645,3)-1),LEN(AQ1645)-LEN(SUBSTITUTE(AQ1645,".",""))=2,LEFT(AQ1645,vitri(".",AQ1645,2)-1),TRUE,LEFT(AQ1645,vitri(".",AQ1645,1)-1))</f>
        <v/>
      </c>
    </row>
    <row r="1646" spans="13:54" x14ac:dyDescent="0.25">
      <c r="M1646" s="382"/>
      <c r="BB1646" s="253" t="str">
        <f t="array" ref="BB1646">_xlfn.IFS(AQ1646="","",LEN(AQ1646)-LEN(SUBSTITUTE(AQ1646,".",""))=3,LEFT(AQ1646,vitri(".",AQ1646,3)-1),LEN(AQ1646)-LEN(SUBSTITUTE(AQ1646,".",""))=2,LEFT(AQ1646,vitri(".",AQ1646,2)-1),TRUE,LEFT(AQ1646,vitri(".",AQ1646,1)-1))</f>
        <v/>
      </c>
    </row>
    <row r="1647" spans="13:54" x14ac:dyDescent="0.25">
      <c r="M1647" s="382"/>
      <c r="BB1647" s="253" t="str">
        <f t="array" ref="BB1647">_xlfn.IFS(AQ1647="","",LEN(AQ1647)-LEN(SUBSTITUTE(AQ1647,".",""))=3,LEFT(AQ1647,vitri(".",AQ1647,3)-1),LEN(AQ1647)-LEN(SUBSTITUTE(AQ1647,".",""))=2,LEFT(AQ1647,vitri(".",AQ1647,2)-1),TRUE,LEFT(AQ1647,vitri(".",AQ1647,1)-1))</f>
        <v/>
      </c>
    </row>
    <row r="1648" spans="13:54" x14ac:dyDescent="0.25">
      <c r="M1648" s="382"/>
      <c r="BB1648" s="253" t="str">
        <f t="array" ref="BB1648">_xlfn.IFS(AQ1648="","",LEN(AQ1648)-LEN(SUBSTITUTE(AQ1648,".",""))=3,LEFT(AQ1648,vitri(".",AQ1648,3)-1),LEN(AQ1648)-LEN(SUBSTITUTE(AQ1648,".",""))=2,LEFT(AQ1648,vitri(".",AQ1648,2)-1),TRUE,LEFT(AQ1648,vitri(".",AQ1648,1)-1))</f>
        <v/>
      </c>
    </row>
    <row r="1649" spans="13:54" x14ac:dyDescent="0.25">
      <c r="M1649" s="382"/>
      <c r="BB1649" s="253" t="str">
        <f t="array" ref="BB1649">_xlfn.IFS(AQ1649="","",LEN(AQ1649)-LEN(SUBSTITUTE(AQ1649,".",""))=3,LEFT(AQ1649,vitri(".",AQ1649,3)-1),LEN(AQ1649)-LEN(SUBSTITUTE(AQ1649,".",""))=2,LEFT(AQ1649,vitri(".",AQ1649,2)-1),TRUE,LEFT(AQ1649,vitri(".",AQ1649,1)-1))</f>
        <v/>
      </c>
    </row>
    <row r="1650" spans="13:54" x14ac:dyDescent="0.25">
      <c r="M1650" s="382"/>
      <c r="BB1650" s="253" t="str">
        <f t="array" ref="BB1650">_xlfn.IFS(AQ1650="","",LEN(AQ1650)-LEN(SUBSTITUTE(AQ1650,".",""))=3,LEFT(AQ1650,vitri(".",AQ1650,3)-1),LEN(AQ1650)-LEN(SUBSTITUTE(AQ1650,".",""))=2,LEFT(AQ1650,vitri(".",AQ1650,2)-1),TRUE,LEFT(AQ1650,vitri(".",AQ1650,1)-1))</f>
        <v/>
      </c>
    </row>
    <row r="1651" spans="13:54" x14ac:dyDescent="0.25">
      <c r="M1651" s="382"/>
      <c r="BB1651" s="253" t="str">
        <f t="array" ref="BB1651">_xlfn.IFS(AQ1651="","",LEN(AQ1651)-LEN(SUBSTITUTE(AQ1651,".",""))=3,LEFT(AQ1651,vitri(".",AQ1651,3)-1),LEN(AQ1651)-LEN(SUBSTITUTE(AQ1651,".",""))=2,LEFT(AQ1651,vitri(".",AQ1651,2)-1),TRUE,LEFT(AQ1651,vitri(".",AQ1651,1)-1))</f>
        <v/>
      </c>
    </row>
    <row r="1652" spans="13:54" x14ac:dyDescent="0.25">
      <c r="M1652" s="382"/>
      <c r="BB1652" s="253" t="str">
        <f t="array" ref="BB1652">_xlfn.IFS(AQ1652="","",LEN(AQ1652)-LEN(SUBSTITUTE(AQ1652,".",""))=3,LEFT(AQ1652,vitri(".",AQ1652,3)-1),LEN(AQ1652)-LEN(SUBSTITUTE(AQ1652,".",""))=2,LEFT(AQ1652,vitri(".",AQ1652,2)-1),TRUE,LEFT(AQ1652,vitri(".",AQ1652,1)-1))</f>
        <v/>
      </c>
    </row>
    <row r="1653" spans="13:54" x14ac:dyDescent="0.25">
      <c r="M1653" s="382"/>
      <c r="BB1653" s="253" t="str">
        <f t="array" ref="BB1653">_xlfn.IFS(AQ1653="","",LEN(AQ1653)-LEN(SUBSTITUTE(AQ1653,".",""))=3,LEFT(AQ1653,vitri(".",AQ1653,3)-1),LEN(AQ1653)-LEN(SUBSTITUTE(AQ1653,".",""))=2,LEFT(AQ1653,vitri(".",AQ1653,2)-1),TRUE,LEFT(AQ1653,vitri(".",AQ1653,1)-1))</f>
        <v/>
      </c>
    </row>
    <row r="1654" spans="13:54" x14ac:dyDescent="0.25">
      <c r="M1654" s="382"/>
      <c r="BB1654" s="253" t="str">
        <f t="array" ref="BB1654">_xlfn.IFS(AQ1654="","",LEN(AQ1654)-LEN(SUBSTITUTE(AQ1654,".",""))=3,LEFT(AQ1654,vitri(".",AQ1654,3)-1),LEN(AQ1654)-LEN(SUBSTITUTE(AQ1654,".",""))=2,LEFT(AQ1654,vitri(".",AQ1654,2)-1),TRUE,LEFT(AQ1654,vitri(".",AQ1654,1)-1))</f>
        <v/>
      </c>
    </row>
    <row r="1655" spans="13:54" x14ac:dyDescent="0.25">
      <c r="M1655" s="382"/>
      <c r="BB1655" s="253" t="str">
        <f t="array" ref="BB1655">_xlfn.IFS(AQ1655="","",LEN(AQ1655)-LEN(SUBSTITUTE(AQ1655,".",""))=3,LEFT(AQ1655,vitri(".",AQ1655,3)-1),LEN(AQ1655)-LEN(SUBSTITUTE(AQ1655,".",""))=2,LEFT(AQ1655,vitri(".",AQ1655,2)-1),TRUE,LEFT(AQ1655,vitri(".",AQ1655,1)-1))</f>
        <v/>
      </c>
    </row>
    <row r="1656" spans="13:54" x14ac:dyDescent="0.25">
      <c r="M1656" s="382"/>
      <c r="BB1656" s="253" t="str">
        <f t="array" ref="BB1656">_xlfn.IFS(AQ1656="","",LEN(AQ1656)-LEN(SUBSTITUTE(AQ1656,".",""))=3,LEFT(AQ1656,vitri(".",AQ1656,3)-1),LEN(AQ1656)-LEN(SUBSTITUTE(AQ1656,".",""))=2,LEFT(AQ1656,vitri(".",AQ1656,2)-1),TRUE,LEFT(AQ1656,vitri(".",AQ1656,1)-1))</f>
        <v/>
      </c>
    </row>
    <row r="1657" spans="13:54" x14ac:dyDescent="0.25">
      <c r="M1657" s="382"/>
      <c r="BB1657" s="253" t="str">
        <f t="array" ref="BB1657">_xlfn.IFS(AQ1657="","",LEN(AQ1657)-LEN(SUBSTITUTE(AQ1657,".",""))=3,LEFT(AQ1657,vitri(".",AQ1657,3)-1),LEN(AQ1657)-LEN(SUBSTITUTE(AQ1657,".",""))=2,LEFT(AQ1657,vitri(".",AQ1657,2)-1),TRUE,LEFT(AQ1657,vitri(".",AQ1657,1)-1))</f>
        <v/>
      </c>
    </row>
    <row r="1658" spans="13:54" x14ac:dyDescent="0.25">
      <c r="M1658" s="382"/>
      <c r="BB1658" s="253" t="str">
        <f t="array" ref="BB1658">_xlfn.IFS(AQ1658="","",LEN(AQ1658)-LEN(SUBSTITUTE(AQ1658,".",""))=3,LEFT(AQ1658,vitri(".",AQ1658,3)-1),LEN(AQ1658)-LEN(SUBSTITUTE(AQ1658,".",""))=2,LEFT(AQ1658,vitri(".",AQ1658,2)-1),TRUE,LEFT(AQ1658,vitri(".",AQ1658,1)-1))</f>
        <v/>
      </c>
    </row>
    <row r="1659" spans="13:54" x14ac:dyDescent="0.25">
      <c r="M1659" s="382"/>
      <c r="BB1659" s="253" t="str">
        <f t="array" ref="BB1659">_xlfn.IFS(AQ1659="","",LEN(AQ1659)-LEN(SUBSTITUTE(AQ1659,".",""))=3,LEFT(AQ1659,vitri(".",AQ1659,3)-1),LEN(AQ1659)-LEN(SUBSTITUTE(AQ1659,".",""))=2,LEFT(AQ1659,vitri(".",AQ1659,2)-1),TRUE,LEFT(AQ1659,vitri(".",AQ1659,1)-1))</f>
        <v/>
      </c>
    </row>
    <row r="1660" spans="13:54" x14ac:dyDescent="0.25">
      <c r="M1660" s="382"/>
      <c r="BB1660" s="253" t="str">
        <f t="array" ref="BB1660">_xlfn.IFS(AQ1660="","",LEN(AQ1660)-LEN(SUBSTITUTE(AQ1660,".",""))=3,LEFT(AQ1660,vitri(".",AQ1660,3)-1),LEN(AQ1660)-LEN(SUBSTITUTE(AQ1660,".",""))=2,LEFT(AQ1660,vitri(".",AQ1660,2)-1),TRUE,LEFT(AQ1660,vitri(".",AQ1660,1)-1))</f>
        <v/>
      </c>
    </row>
    <row r="1661" spans="13:54" x14ac:dyDescent="0.25">
      <c r="M1661" s="382"/>
      <c r="BB1661" s="253" t="str">
        <f t="array" ref="BB1661">_xlfn.IFS(AQ1661="","",LEN(AQ1661)-LEN(SUBSTITUTE(AQ1661,".",""))=3,LEFT(AQ1661,vitri(".",AQ1661,3)-1),LEN(AQ1661)-LEN(SUBSTITUTE(AQ1661,".",""))=2,LEFT(AQ1661,vitri(".",AQ1661,2)-1),TRUE,LEFT(AQ1661,vitri(".",AQ1661,1)-1))</f>
        <v/>
      </c>
    </row>
    <row r="1662" spans="13:54" x14ac:dyDescent="0.25">
      <c r="M1662" s="382"/>
      <c r="BB1662" s="253" t="str">
        <f t="array" ref="BB1662">_xlfn.IFS(AQ1662="","",LEN(AQ1662)-LEN(SUBSTITUTE(AQ1662,".",""))=3,LEFT(AQ1662,vitri(".",AQ1662,3)-1),LEN(AQ1662)-LEN(SUBSTITUTE(AQ1662,".",""))=2,LEFT(AQ1662,vitri(".",AQ1662,2)-1),TRUE,LEFT(AQ1662,vitri(".",AQ1662,1)-1))</f>
        <v/>
      </c>
    </row>
    <row r="1663" spans="13:54" x14ac:dyDescent="0.25">
      <c r="M1663" s="382"/>
      <c r="BB1663" s="253" t="str">
        <f t="array" ref="BB1663">_xlfn.IFS(AQ1663="","",LEN(AQ1663)-LEN(SUBSTITUTE(AQ1663,".",""))=3,LEFT(AQ1663,vitri(".",AQ1663,3)-1),LEN(AQ1663)-LEN(SUBSTITUTE(AQ1663,".",""))=2,LEFT(AQ1663,vitri(".",AQ1663,2)-1),TRUE,LEFT(AQ1663,vitri(".",AQ1663,1)-1))</f>
        <v/>
      </c>
    </row>
    <row r="1664" spans="13:54" x14ac:dyDescent="0.25">
      <c r="M1664" s="382"/>
      <c r="BB1664" s="253" t="str">
        <f t="array" ref="BB1664">_xlfn.IFS(AQ1664="","",LEN(AQ1664)-LEN(SUBSTITUTE(AQ1664,".",""))=3,LEFT(AQ1664,vitri(".",AQ1664,3)-1),LEN(AQ1664)-LEN(SUBSTITUTE(AQ1664,".",""))=2,LEFT(AQ1664,vitri(".",AQ1664,2)-1),TRUE,LEFT(AQ1664,vitri(".",AQ1664,1)-1))</f>
        <v/>
      </c>
    </row>
    <row r="1665" spans="13:54" x14ac:dyDescent="0.25">
      <c r="M1665" s="382"/>
      <c r="BB1665" s="253" t="str">
        <f t="array" ref="BB1665">_xlfn.IFS(AQ1665="","",LEN(AQ1665)-LEN(SUBSTITUTE(AQ1665,".",""))=3,LEFT(AQ1665,vitri(".",AQ1665,3)-1),LEN(AQ1665)-LEN(SUBSTITUTE(AQ1665,".",""))=2,LEFT(AQ1665,vitri(".",AQ1665,2)-1),TRUE,LEFT(AQ1665,vitri(".",AQ1665,1)-1))</f>
        <v/>
      </c>
    </row>
    <row r="1666" spans="13:54" x14ac:dyDescent="0.25">
      <c r="M1666" s="382"/>
      <c r="BB1666" s="253" t="str">
        <f t="array" ref="BB1666">_xlfn.IFS(AQ1666="","",LEN(AQ1666)-LEN(SUBSTITUTE(AQ1666,".",""))=3,LEFT(AQ1666,vitri(".",AQ1666,3)-1),LEN(AQ1666)-LEN(SUBSTITUTE(AQ1666,".",""))=2,LEFT(AQ1666,vitri(".",AQ1666,2)-1),TRUE,LEFT(AQ1666,vitri(".",AQ1666,1)-1))</f>
        <v/>
      </c>
    </row>
    <row r="1667" spans="13:54" x14ac:dyDescent="0.25">
      <c r="M1667" s="382"/>
      <c r="BB1667" s="253" t="str">
        <f t="array" ref="BB1667">_xlfn.IFS(AQ1667="","",LEN(AQ1667)-LEN(SUBSTITUTE(AQ1667,".",""))=3,LEFT(AQ1667,vitri(".",AQ1667,3)-1),LEN(AQ1667)-LEN(SUBSTITUTE(AQ1667,".",""))=2,LEFT(AQ1667,vitri(".",AQ1667,2)-1),TRUE,LEFT(AQ1667,vitri(".",AQ1667,1)-1))</f>
        <v/>
      </c>
    </row>
    <row r="1668" spans="13:54" x14ac:dyDescent="0.25">
      <c r="M1668" s="382"/>
      <c r="BB1668" s="253" t="str">
        <f t="array" ref="BB1668">_xlfn.IFS(AQ1668="","",LEN(AQ1668)-LEN(SUBSTITUTE(AQ1668,".",""))=3,LEFT(AQ1668,vitri(".",AQ1668,3)-1),LEN(AQ1668)-LEN(SUBSTITUTE(AQ1668,".",""))=2,LEFT(AQ1668,vitri(".",AQ1668,2)-1),TRUE,LEFT(AQ1668,vitri(".",AQ1668,1)-1))</f>
        <v/>
      </c>
    </row>
    <row r="1669" spans="13:54" x14ac:dyDescent="0.25">
      <c r="M1669" s="382"/>
      <c r="BB1669" s="253" t="str">
        <f t="array" ref="BB1669">_xlfn.IFS(AQ1669="","",LEN(AQ1669)-LEN(SUBSTITUTE(AQ1669,".",""))=3,LEFT(AQ1669,vitri(".",AQ1669,3)-1),LEN(AQ1669)-LEN(SUBSTITUTE(AQ1669,".",""))=2,LEFT(AQ1669,vitri(".",AQ1669,2)-1),TRUE,LEFT(AQ1669,vitri(".",AQ1669,1)-1))</f>
        <v/>
      </c>
    </row>
    <row r="1670" spans="13:54" x14ac:dyDescent="0.25">
      <c r="M1670" s="382"/>
      <c r="BB1670" s="253" t="str">
        <f t="array" ref="BB1670">_xlfn.IFS(AQ1670="","",LEN(AQ1670)-LEN(SUBSTITUTE(AQ1670,".",""))=3,LEFT(AQ1670,vitri(".",AQ1670,3)-1),LEN(AQ1670)-LEN(SUBSTITUTE(AQ1670,".",""))=2,LEFT(AQ1670,vitri(".",AQ1670,2)-1),TRUE,LEFT(AQ1670,vitri(".",AQ1670,1)-1))</f>
        <v/>
      </c>
    </row>
    <row r="1671" spans="13:54" x14ac:dyDescent="0.25">
      <c r="M1671" s="382"/>
      <c r="BB1671" s="253" t="str">
        <f t="array" ref="BB1671">_xlfn.IFS(AQ1671="","",LEN(AQ1671)-LEN(SUBSTITUTE(AQ1671,".",""))=3,LEFT(AQ1671,vitri(".",AQ1671,3)-1),LEN(AQ1671)-LEN(SUBSTITUTE(AQ1671,".",""))=2,LEFT(AQ1671,vitri(".",AQ1671,2)-1),TRUE,LEFT(AQ1671,vitri(".",AQ1671,1)-1))</f>
        <v/>
      </c>
    </row>
    <row r="1672" spans="13:54" x14ac:dyDescent="0.25">
      <c r="M1672" s="382"/>
      <c r="BB1672" s="253" t="str">
        <f t="array" ref="BB1672">_xlfn.IFS(AQ1672="","",LEN(AQ1672)-LEN(SUBSTITUTE(AQ1672,".",""))=3,LEFT(AQ1672,vitri(".",AQ1672,3)-1),LEN(AQ1672)-LEN(SUBSTITUTE(AQ1672,".",""))=2,LEFT(AQ1672,vitri(".",AQ1672,2)-1),TRUE,LEFT(AQ1672,vitri(".",AQ1672,1)-1))</f>
        <v/>
      </c>
    </row>
    <row r="1673" spans="13:54" x14ac:dyDescent="0.25">
      <c r="M1673" s="382"/>
      <c r="BB1673" s="253" t="str">
        <f t="array" ref="BB1673">_xlfn.IFS(AQ1673="","",LEN(AQ1673)-LEN(SUBSTITUTE(AQ1673,".",""))=3,LEFT(AQ1673,vitri(".",AQ1673,3)-1),LEN(AQ1673)-LEN(SUBSTITUTE(AQ1673,".",""))=2,LEFT(AQ1673,vitri(".",AQ1673,2)-1),TRUE,LEFT(AQ1673,vitri(".",AQ1673,1)-1))</f>
        <v/>
      </c>
    </row>
    <row r="1674" spans="13:54" x14ac:dyDescent="0.25">
      <c r="M1674" s="382"/>
      <c r="BB1674" s="253" t="str">
        <f t="array" ref="BB1674">_xlfn.IFS(AQ1674="","",LEN(AQ1674)-LEN(SUBSTITUTE(AQ1674,".",""))=3,LEFT(AQ1674,vitri(".",AQ1674,3)-1),LEN(AQ1674)-LEN(SUBSTITUTE(AQ1674,".",""))=2,LEFT(AQ1674,vitri(".",AQ1674,2)-1),TRUE,LEFT(AQ1674,vitri(".",AQ1674,1)-1))</f>
        <v/>
      </c>
    </row>
    <row r="1675" spans="13:54" x14ac:dyDescent="0.25">
      <c r="M1675" s="382"/>
      <c r="BB1675" s="253" t="str">
        <f t="array" ref="BB1675">_xlfn.IFS(AQ1675="","",LEN(AQ1675)-LEN(SUBSTITUTE(AQ1675,".",""))=3,LEFT(AQ1675,vitri(".",AQ1675,3)-1),LEN(AQ1675)-LEN(SUBSTITUTE(AQ1675,".",""))=2,LEFT(AQ1675,vitri(".",AQ1675,2)-1),TRUE,LEFT(AQ1675,vitri(".",AQ1675,1)-1))</f>
        <v/>
      </c>
    </row>
    <row r="1676" spans="13:54" x14ac:dyDescent="0.25">
      <c r="M1676" s="382"/>
      <c r="BB1676" s="253" t="str">
        <f t="array" ref="BB1676">_xlfn.IFS(AQ1676="","",LEN(AQ1676)-LEN(SUBSTITUTE(AQ1676,".",""))=3,LEFT(AQ1676,vitri(".",AQ1676,3)-1),LEN(AQ1676)-LEN(SUBSTITUTE(AQ1676,".",""))=2,LEFT(AQ1676,vitri(".",AQ1676,2)-1),TRUE,LEFT(AQ1676,vitri(".",AQ1676,1)-1))</f>
        <v/>
      </c>
    </row>
    <row r="1677" spans="13:54" x14ac:dyDescent="0.25">
      <c r="M1677" s="382"/>
      <c r="BB1677" s="253" t="str">
        <f t="array" ref="BB1677">_xlfn.IFS(AQ1677="","",LEN(AQ1677)-LEN(SUBSTITUTE(AQ1677,".",""))=3,LEFT(AQ1677,vitri(".",AQ1677,3)-1),LEN(AQ1677)-LEN(SUBSTITUTE(AQ1677,".",""))=2,LEFT(AQ1677,vitri(".",AQ1677,2)-1),TRUE,LEFT(AQ1677,vitri(".",AQ1677,1)-1))</f>
        <v/>
      </c>
    </row>
    <row r="1678" spans="13:54" x14ac:dyDescent="0.25">
      <c r="M1678" s="382"/>
      <c r="BB1678" s="253" t="str">
        <f t="array" ref="BB1678">_xlfn.IFS(AQ1678="","",LEN(AQ1678)-LEN(SUBSTITUTE(AQ1678,".",""))=3,LEFT(AQ1678,vitri(".",AQ1678,3)-1),LEN(AQ1678)-LEN(SUBSTITUTE(AQ1678,".",""))=2,LEFT(AQ1678,vitri(".",AQ1678,2)-1),TRUE,LEFT(AQ1678,vitri(".",AQ1678,1)-1))</f>
        <v/>
      </c>
    </row>
    <row r="1679" spans="13:54" x14ac:dyDescent="0.25">
      <c r="M1679" s="382"/>
      <c r="BB1679" s="253" t="str">
        <f t="array" ref="BB1679">_xlfn.IFS(AQ1679="","",LEN(AQ1679)-LEN(SUBSTITUTE(AQ1679,".",""))=3,LEFT(AQ1679,vitri(".",AQ1679,3)-1),LEN(AQ1679)-LEN(SUBSTITUTE(AQ1679,".",""))=2,LEFT(AQ1679,vitri(".",AQ1679,2)-1),TRUE,LEFT(AQ1679,vitri(".",AQ1679,1)-1))</f>
        <v/>
      </c>
    </row>
    <row r="1680" spans="13:54" x14ac:dyDescent="0.25">
      <c r="M1680" s="382"/>
      <c r="BB1680" s="253" t="str">
        <f t="array" ref="BB1680">_xlfn.IFS(AQ1680="","",LEN(AQ1680)-LEN(SUBSTITUTE(AQ1680,".",""))=3,LEFT(AQ1680,vitri(".",AQ1680,3)-1),LEN(AQ1680)-LEN(SUBSTITUTE(AQ1680,".",""))=2,LEFT(AQ1680,vitri(".",AQ1680,2)-1),TRUE,LEFT(AQ1680,vitri(".",AQ1680,1)-1))</f>
        <v/>
      </c>
    </row>
    <row r="1681" spans="13:54" x14ac:dyDescent="0.25">
      <c r="M1681" s="382"/>
      <c r="BB1681" s="253" t="str">
        <f t="array" ref="BB1681">_xlfn.IFS(AQ1681="","",LEN(AQ1681)-LEN(SUBSTITUTE(AQ1681,".",""))=3,LEFT(AQ1681,vitri(".",AQ1681,3)-1),LEN(AQ1681)-LEN(SUBSTITUTE(AQ1681,".",""))=2,LEFT(AQ1681,vitri(".",AQ1681,2)-1),TRUE,LEFT(AQ1681,vitri(".",AQ1681,1)-1))</f>
        <v/>
      </c>
    </row>
    <row r="1682" spans="13:54" x14ac:dyDescent="0.25">
      <c r="M1682" s="382"/>
      <c r="BB1682" s="253" t="str">
        <f t="array" ref="BB1682">_xlfn.IFS(AQ1682="","",LEN(AQ1682)-LEN(SUBSTITUTE(AQ1682,".",""))=3,LEFT(AQ1682,vitri(".",AQ1682,3)-1),LEN(AQ1682)-LEN(SUBSTITUTE(AQ1682,".",""))=2,LEFT(AQ1682,vitri(".",AQ1682,2)-1),TRUE,LEFT(AQ1682,vitri(".",AQ1682,1)-1))</f>
        <v/>
      </c>
    </row>
    <row r="1683" spans="13:54" x14ac:dyDescent="0.25">
      <c r="M1683" s="382"/>
      <c r="BB1683" s="253" t="str">
        <f t="array" ref="BB1683">_xlfn.IFS(AQ1683="","",LEN(AQ1683)-LEN(SUBSTITUTE(AQ1683,".",""))=3,LEFT(AQ1683,vitri(".",AQ1683,3)-1),LEN(AQ1683)-LEN(SUBSTITUTE(AQ1683,".",""))=2,LEFT(AQ1683,vitri(".",AQ1683,2)-1),TRUE,LEFT(AQ1683,vitri(".",AQ1683,1)-1))</f>
        <v/>
      </c>
    </row>
    <row r="1684" spans="13:54" x14ac:dyDescent="0.25">
      <c r="M1684" s="382"/>
      <c r="BB1684" s="253" t="str">
        <f t="array" ref="BB1684">_xlfn.IFS(AQ1684="","",LEN(AQ1684)-LEN(SUBSTITUTE(AQ1684,".",""))=3,LEFT(AQ1684,vitri(".",AQ1684,3)-1),LEN(AQ1684)-LEN(SUBSTITUTE(AQ1684,".",""))=2,LEFT(AQ1684,vitri(".",AQ1684,2)-1),TRUE,LEFT(AQ1684,vitri(".",AQ1684,1)-1))</f>
        <v/>
      </c>
    </row>
    <row r="1685" spans="13:54" x14ac:dyDescent="0.25">
      <c r="M1685" s="382"/>
      <c r="BB1685" s="253" t="str">
        <f t="array" ref="BB1685">_xlfn.IFS(AQ1685="","",LEN(AQ1685)-LEN(SUBSTITUTE(AQ1685,".",""))=3,LEFT(AQ1685,vitri(".",AQ1685,3)-1),LEN(AQ1685)-LEN(SUBSTITUTE(AQ1685,".",""))=2,LEFT(AQ1685,vitri(".",AQ1685,2)-1),TRUE,LEFT(AQ1685,vitri(".",AQ1685,1)-1))</f>
        <v/>
      </c>
    </row>
    <row r="1686" spans="13:54" x14ac:dyDescent="0.25">
      <c r="M1686" s="382"/>
      <c r="BB1686" s="253" t="str">
        <f t="array" ref="BB1686">_xlfn.IFS(AQ1686="","",LEN(AQ1686)-LEN(SUBSTITUTE(AQ1686,".",""))=3,LEFT(AQ1686,vitri(".",AQ1686,3)-1),LEN(AQ1686)-LEN(SUBSTITUTE(AQ1686,".",""))=2,LEFT(AQ1686,vitri(".",AQ1686,2)-1),TRUE,LEFT(AQ1686,vitri(".",AQ1686,1)-1))</f>
        <v/>
      </c>
    </row>
    <row r="1687" spans="13:54" x14ac:dyDescent="0.25">
      <c r="M1687" s="382"/>
      <c r="BB1687" s="253" t="str">
        <f t="array" ref="BB1687">_xlfn.IFS(AQ1687="","",LEN(AQ1687)-LEN(SUBSTITUTE(AQ1687,".",""))=3,LEFT(AQ1687,vitri(".",AQ1687,3)-1),LEN(AQ1687)-LEN(SUBSTITUTE(AQ1687,".",""))=2,LEFT(AQ1687,vitri(".",AQ1687,2)-1),TRUE,LEFT(AQ1687,vitri(".",AQ1687,1)-1))</f>
        <v/>
      </c>
    </row>
    <row r="1688" spans="13:54" x14ac:dyDescent="0.25">
      <c r="M1688" s="382"/>
      <c r="BB1688" s="253" t="str">
        <f t="array" ref="BB1688">_xlfn.IFS(AQ1688="","",LEN(AQ1688)-LEN(SUBSTITUTE(AQ1688,".",""))=3,LEFT(AQ1688,vitri(".",AQ1688,3)-1),LEN(AQ1688)-LEN(SUBSTITUTE(AQ1688,".",""))=2,LEFT(AQ1688,vitri(".",AQ1688,2)-1),TRUE,LEFT(AQ1688,vitri(".",AQ1688,1)-1))</f>
        <v/>
      </c>
    </row>
    <row r="1689" spans="13:54" x14ac:dyDescent="0.25">
      <c r="M1689" s="382"/>
      <c r="BB1689" s="253" t="str">
        <f t="array" ref="BB1689">_xlfn.IFS(AQ1689="","",LEN(AQ1689)-LEN(SUBSTITUTE(AQ1689,".",""))=3,LEFT(AQ1689,vitri(".",AQ1689,3)-1),LEN(AQ1689)-LEN(SUBSTITUTE(AQ1689,".",""))=2,LEFT(AQ1689,vitri(".",AQ1689,2)-1),TRUE,LEFT(AQ1689,vitri(".",AQ1689,1)-1))</f>
        <v/>
      </c>
    </row>
    <row r="1690" spans="13:54" x14ac:dyDescent="0.25">
      <c r="M1690" s="382"/>
      <c r="BB1690" s="253" t="str">
        <f t="array" ref="BB1690">_xlfn.IFS(AQ1690="","",LEN(AQ1690)-LEN(SUBSTITUTE(AQ1690,".",""))=3,LEFT(AQ1690,vitri(".",AQ1690,3)-1),LEN(AQ1690)-LEN(SUBSTITUTE(AQ1690,".",""))=2,LEFT(AQ1690,vitri(".",AQ1690,2)-1),TRUE,LEFT(AQ1690,vitri(".",AQ1690,1)-1))</f>
        <v/>
      </c>
    </row>
    <row r="1691" spans="13:54" x14ac:dyDescent="0.25">
      <c r="M1691" s="382"/>
      <c r="BB1691" s="253" t="str">
        <f t="array" ref="BB1691">_xlfn.IFS(AQ1691="","",LEN(AQ1691)-LEN(SUBSTITUTE(AQ1691,".",""))=3,LEFT(AQ1691,vitri(".",AQ1691,3)-1),LEN(AQ1691)-LEN(SUBSTITUTE(AQ1691,".",""))=2,LEFT(AQ1691,vitri(".",AQ1691,2)-1),TRUE,LEFT(AQ1691,vitri(".",AQ1691,1)-1))</f>
        <v/>
      </c>
    </row>
    <row r="1692" spans="13:54" x14ac:dyDescent="0.25">
      <c r="M1692" s="382"/>
      <c r="BB1692" s="253" t="str">
        <f t="array" ref="BB1692">_xlfn.IFS(AQ1692="","",LEN(AQ1692)-LEN(SUBSTITUTE(AQ1692,".",""))=3,LEFT(AQ1692,vitri(".",AQ1692,3)-1),LEN(AQ1692)-LEN(SUBSTITUTE(AQ1692,".",""))=2,LEFT(AQ1692,vitri(".",AQ1692,2)-1),TRUE,LEFT(AQ1692,vitri(".",AQ1692,1)-1))</f>
        <v/>
      </c>
    </row>
    <row r="1693" spans="13:54" x14ac:dyDescent="0.25">
      <c r="M1693" s="382"/>
      <c r="BB1693" s="253" t="str">
        <f t="array" ref="BB1693">_xlfn.IFS(AQ1693="","",LEN(AQ1693)-LEN(SUBSTITUTE(AQ1693,".",""))=3,LEFT(AQ1693,vitri(".",AQ1693,3)-1),LEN(AQ1693)-LEN(SUBSTITUTE(AQ1693,".",""))=2,LEFT(AQ1693,vitri(".",AQ1693,2)-1),TRUE,LEFT(AQ1693,vitri(".",AQ1693,1)-1))</f>
        <v/>
      </c>
    </row>
    <row r="1694" spans="13:54" x14ac:dyDescent="0.25">
      <c r="M1694" s="382"/>
      <c r="BB1694" s="253" t="str">
        <f t="array" ref="BB1694">_xlfn.IFS(AQ1694="","",LEN(AQ1694)-LEN(SUBSTITUTE(AQ1694,".",""))=3,LEFT(AQ1694,vitri(".",AQ1694,3)-1),LEN(AQ1694)-LEN(SUBSTITUTE(AQ1694,".",""))=2,LEFT(AQ1694,vitri(".",AQ1694,2)-1),TRUE,LEFT(AQ1694,vitri(".",AQ1694,1)-1))</f>
        <v/>
      </c>
    </row>
    <row r="1695" spans="13:54" x14ac:dyDescent="0.25">
      <c r="M1695" s="382"/>
      <c r="BB1695" s="253" t="str">
        <f t="array" ref="BB1695">_xlfn.IFS(AQ1695="","",LEN(AQ1695)-LEN(SUBSTITUTE(AQ1695,".",""))=3,LEFT(AQ1695,vitri(".",AQ1695,3)-1),LEN(AQ1695)-LEN(SUBSTITUTE(AQ1695,".",""))=2,LEFT(AQ1695,vitri(".",AQ1695,2)-1),TRUE,LEFT(AQ1695,vitri(".",AQ1695,1)-1))</f>
        <v/>
      </c>
    </row>
    <row r="1696" spans="13:54" x14ac:dyDescent="0.25">
      <c r="M1696" s="382"/>
      <c r="BB1696" s="253" t="str">
        <f t="array" ref="BB1696">_xlfn.IFS(AQ1696="","",LEN(AQ1696)-LEN(SUBSTITUTE(AQ1696,".",""))=3,LEFT(AQ1696,vitri(".",AQ1696,3)-1),LEN(AQ1696)-LEN(SUBSTITUTE(AQ1696,".",""))=2,LEFT(AQ1696,vitri(".",AQ1696,2)-1),TRUE,LEFT(AQ1696,vitri(".",AQ1696,1)-1))</f>
        <v/>
      </c>
    </row>
    <row r="1697" spans="13:54" x14ac:dyDescent="0.25">
      <c r="M1697" s="382"/>
      <c r="BB1697" s="253" t="str">
        <f t="array" ref="BB1697">_xlfn.IFS(AQ1697="","",LEN(AQ1697)-LEN(SUBSTITUTE(AQ1697,".",""))=3,LEFT(AQ1697,vitri(".",AQ1697,3)-1),LEN(AQ1697)-LEN(SUBSTITUTE(AQ1697,".",""))=2,LEFT(AQ1697,vitri(".",AQ1697,2)-1),TRUE,LEFT(AQ1697,vitri(".",AQ1697,1)-1))</f>
        <v/>
      </c>
    </row>
    <row r="1698" spans="13:54" x14ac:dyDescent="0.25">
      <c r="M1698" s="382"/>
      <c r="BB1698" s="253" t="str">
        <f t="array" ref="BB1698">_xlfn.IFS(AQ1698="","",LEN(AQ1698)-LEN(SUBSTITUTE(AQ1698,".",""))=3,LEFT(AQ1698,vitri(".",AQ1698,3)-1),LEN(AQ1698)-LEN(SUBSTITUTE(AQ1698,".",""))=2,LEFT(AQ1698,vitri(".",AQ1698,2)-1),TRUE,LEFT(AQ1698,vitri(".",AQ1698,1)-1))</f>
        <v/>
      </c>
    </row>
    <row r="1699" spans="13:54" x14ac:dyDescent="0.25">
      <c r="M1699" s="382"/>
      <c r="BB1699" s="253" t="str">
        <f t="array" ref="BB1699">_xlfn.IFS(AQ1699="","",LEN(AQ1699)-LEN(SUBSTITUTE(AQ1699,".",""))=3,LEFT(AQ1699,vitri(".",AQ1699,3)-1),LEN(AQ1699)-LEN(SUBSTITUTE(AQ1699,".",""))=2,LEFT(AQ1699,vitri(".",AQ1699,2)-1),TRUE,LEFT(AQ1699,vitri(".",AQ1699,1)-1))</f>
        <v/>
      </c>
    </row>
    <row r="1700" spans="13:54" x14ac:dyDescent="0.25">
      <c r="M1700" s="382"/>
      <c r="BB1700" s="253" t="str">
        <f t="array" ref="BB1700">_xlfn.IFS(AQ1700="","",LEN(AQ1700)-LEN(SUBSTITUTE(AQ1700,".",""))=3,LEFT(AQ1700,vitri(".",AQ1700,3)-1),LEN(AQ1700)-LEN(SUBSTITUTE(AQ1700,".",""))=2,LEFT(AQ1700,vitri(".",AQ1700,2)-1),TRUE,LEFT(AQ1700,vitri(".",AQ1700,1)-1))</f>
        <v/>
      </c>
    </row>
    <row r="1701" spans="13:54" x14ac:dyDescent="0.25">
      <c r="M1701" s="382"/>
      <c r="BB1701" s="253" t="str">
        <f t="array" ref="BB1701">_xlfn.IFS(AQ1701="","",LEN(AQ1701)-LEN(SUBSTITUTE(AQ1701,".",""))=3,LEFT(AQ1701,vitri(".",AQ1701,3)-1),LEN(AQ1701)-LEN(SUBSTITUTE(AQ1701,".",""))=2,LEFT(AQ1701,vitri(".",AQ1701,2)-1),TRUE,LEFT(AQ1701,vitri(".",AQ1701,1)-1))</f>
        <v/>
      </c>
    </row>
    <row r="1702" spans="13:54" x14ac:dyDescent="0.25">
      <c r="M1702" s="382"/>
      <c r="BB1702" s="253" t="str">
        <f t="array" ref="BB1702">_xlfn.IFS(AQ1702="","",LEN(AQ1702)-LEN(SUBSTITUTE(AQ1702,".",""))=3,LEFT(AQ1702,vitri(".",AQ1702,3)-1),LEN(AQ1702)-LEN(SUBSTITUTE(AQ1702,".",""))=2,LEFT(AQ1702,vitri(".",AQ1702,2)-1),TRUE,LEFT(AQ1702,vitri(".",AQ1702,1)-1))</f>
        <v/>
      </c>
    </row>
    <row r="1703" spans="13:54" x14ac:dyDescent="0.25">
      <c r="M1703" s="382"/>
      <c r="BB1703" s="253" t="str">
        <f t="array" ref="BB1703">_xlfn.IFS(AQ1703="","",LEN(AQ1703)-LEN(SUBSTITUTE(AQ1703,".",""))=3,LEFT(AQ1703,vitri(".",AQ1703,3)-1),LEN(AQ1703)-LEN(SUBSTITUTE(AQ1703,".",""))=2,LEFT(AQ1703,vitri(".",AQ1703,2)-1),TRUE,LEFT(AQ1703,vitri(".",AQ1703,1)-1))</f>
        <v/>
      </c>
    </row>
    <row r="1704" spans="13:54" x14ac:dyDescent="0.25">
      <c r="M1704" s="382"/>
      <c r="BB1704" s="253" t="str">
        <f t="array" ref="BB1704">_xlfn.IFS(AQ1704="","",LEN(AQ1704)-LEN(SUBSTITUTE(AQ1704,".",""))=3,LEFT(AQ1704,vitri(".",AQ1704,3)-1),LEN(AQ1704)-LEN(SUBSTITUTE(AQ1704,".",""))=2,LEFT(AQ1704,vitri(".",AQ1704,2)-1),TRUE,LEFT(AQ1704,vitri(".",AQ1704,1)-1))</f>
        <v/>
      </c>
    </row>
    <row r="1705" spans="13:54" x14ac:dyDescent="0.25">
      <c r="M1705" s="382"/>
      <c r="BB1705" s="253" t="str">
        <f t="array" ref="BB1705">_xlfn.IFS(AQ1705="","",LEN(AQ1705)-LEN(SUBSTITUTE(AQ1705,".",""))=3,LEFT(AQ1705,vitri(".",AQ1705,3)-1),LEN(AQ1705)-LEN(SUBSTITUTE(AQ1705,".",""))=2,LEFT(AQ1705,vitri(".",AQ1705,2)-1),TRUE,LEFT(AQ1705,vitri(".",AQ1705,1)-1))</f>
        <v/>
      </c>
    </row>
    <row r="1706" spans="13:54" x14ac:dyDescent="0.25">
      <c r="M1706" s="382"/>
      <c r="BB1706" s="253" t="str">
        <f t="array" ref="BB1706">_xlfn.IFS(AQ1706="","",LEN(AQ1706)-LEN(SUBSTITUTE(AQ1706,".",""))=3,LEFT(AQ1706,vitri(".",AQ1706,3)-1),LEN(AQ1706)-LEN(SUBSTITUTE(AQ1706,".",""))=2,LEFT(AQ1706,vitri(".",AQ1706,2)-1),TRUE,LEFT(AQ1706,vitri(".",AQ1706,1)-1))</f>
        <v/>
      </c>
    </row>
    <row r="1707" spans="13:54" x14ac:dyDescent="0.25">
      <c r="M1707" s="382"/>
      <c r="BB1707" s="253" t="str">
        <f t="array" ref="BB1707">_xlfn.IFS(AQ1707="","",LEN(AQ1707)-LEN(SUBSTITUTE(AQ1707,".",""))=3,LEFT(AQ1707,vitri(".",AQ1707,3)-1),LEN(AQ1707)-LEN(SUBSTITUTE(AQ1707,".",""))=2,LEFT(AQ1707,vitri(".",AQ1707,2)-1),TRUE,LEFT(AQ1707,vitri(".",AQ1707,1)-1))</f>
        <v/>
      </c>
    </row>
    <row r="1708" spans="13:54" x14ac:dyDescent="0.25">
      <c r="M1708" s="382"/>
      <c r="BB1708" s="253" t="str">
        <f t="array" ref="BB1708">_xlfn.IFS(AQ1708="","",LEN(AQ1708)-LEN(SUBSTITUTE(AQ1708,".",""))=3,LEFT(AQ1708,vitri(".",AQ1708,3)-1),LEN(AQ1708)-LEN(SUBSTITUTE(AQ1708,".",""))=2,LEFT(AQ1708,vitri(".",AQ1708,2)-1),TRUE,LEFT(AQ1708,vitri(".",AQ1708,1)-1))</f>
        <v/>
      </c>
    </row>
    <row r="1709" spans="13:54" x14ac:dyDescent="0.25">
      <c r="M1709" s="382"/>
      <c r="BB1709" s="253" t="str">
        <f t="array" ref="BB1709">_xlfn.IFS(AQ1709="","",LEN(AQ1709)-LEN(SUBSTITUTE(AQ1709,".",""))=3,LEFT(AQ1709,vitri(".",AQ1709,3)-1),LEN(AQ1709)-LEN(SUBSTITUTE(AQ1709,".",""))=2,LEFT(AQ1709,vitri(".",AQ1709,2)-1),TRUE,LEFT(AQ1709,vitri(".",AQ1709,1)-1))</f>
        <v/>
      </c>
    </row>
    <row r="1710" spans="13:54" x14ac:dyDescent="0.25">
      <c r="M1710" s="382"/>
      <c r="BB1710" s="253" t="str">
        <f t="array" ref="BB1710">_xlfn.IFS(AQ1710="","",LEN(AQ1710)-LEN(SUBSTITUTE(AQ1710,".",""))=3,LEFT(AQ1710,vitri(".",AQ1710,3)-1),LEN(AQ1710)-LEN(SUBSTITUTE(AQ1710,".",""))=2,LEFT(AQ1710,vitri(".",AQ1710,2)-1),TRUE,LEFT(AQ1710,vitri(".",AQ1710,1)-1))</f>
        <v/>
      </c>
    </row>
    <row r="1711" spans="13:54" x14ac:dyDescent="0.25">
      <c r="M1711" s="382"/>
      <c r="BB1711" s="253" t="str">
        <f t="array" ref="BB1711">_xlfn.IFS(AQ1711="","",LEN(AQ1711)-LEN(SUBSTITUTE(AQ1711,".",""))=3,LEFT(AQ1711,vitri(".",AQ1711,3)-1),LEN(AQ1711)-LEN(SUBSTITUTE(AQ1711,".",""))=2,LEFT(AQ1711,vitri(".",AQ1711,2)-1),TRUE,LEFT(AQ1711,vitri(".",AQ1711,1)-1))</f>
        <v/>
      </c>
    </row>
    <row r="1712" spans="13:54" x14ac:dyDescent="0.25">
      <c r="M1712" s="382"/>
      <c r="BB1712" s="253" t="str">
        <f t="array" ref="BB1712">_xlfn.IFS(AQ1712="","",LEN(AQ1712)-LEN(SUBSTITUTE(AQ1712,".",""))=3,LEFT(AQ1712,vitri(".",AQ1712,3)-1),LEN(AQ1712)-LEN(SUBSTITUTE(AQ1712,".",""))=2,LEFT(AQ1712,vitri(".",AQ1712,2)-1),TRUE,LEFT(AQ1712,vitri(".",AQ1712,1)-1))</f>
        <v/>
      </c>
    </row>
    <row r="1713" spans="13:54" x14ac:dyDescent="0.25">
      <c r="M1713" s="382"/>
      <c r="BB1713" s="253" t="str">
        <f t="array" ref="BB1713">_xlfn.IFS(AQ1713="","",LEN(AQ1713)-LEN(SUBSTITUTE(AQ1713,".",""))=3,LEFT(AQ1713,vitri(".",AQ1713,3)-1),LEN(AQ1713)-LEN(SUBSTITUTE(AQ1713,".",""))=2,LEFT(AQ1713,vitri(".",AQ1713,2)-1),TRUE,LEFT(AQ1713,vitri(".",AQ1713,1)-1))</f>
        <v/>
      </c>
    </row>
    <row r="1714" spans="13:54" x14ac:dyDescent="0.25">
      <c r="M1714" s="382"/>
      <c r="BB1714" s="253" t="str">
        <f t="array" ref="BB1714">_xlfn.IFS(AQ1714="","",LEN(AQ1714)-LEN(SUBSTITUTE(AQ1714,".",""))=3,LEFT(AQ1714,vitri(".",AQ1714,3)-1),LEN(AQ1714)-LEN(SUBSTITUTE(AQ1714,".",""))=2,LEFT(AQ1714,vitri(".",AQ1714,2)-1),TRUE,LEFT(AQ1714,vitri(".",AQ1714,1)-1))</f>
        <v/>
      </c>
    </row>
    <row r="1715" spans="13:54" x14ac:dyDescent="0.25">
      <c r="M1715" s="382"/>
      <c r="BB1715" s="253" t="str">
        <f t="array" ref="BB1715">_xlfn.IFS(AQ1715="","",LEN(AQ1715)-LEN(SUBSTITUTE(AQ1715,".",""))=3,LEFT(AQ1715,vitri(".",AQ1715,3)-1),LEN(AQ1715)-LEN(SUBSTITUTE(AQ1715,".",""))=2,LEFT(AQ1715,vitri(".",AQ1715,2)-1),TRUE,LEFT(AQ1715,vitri(".",AQ1715,1)-1))</f>
        <v/>
      </c>
    </row>
    <row r="1716" spans="13:54" x14ac:dyDescent="0.25">
      <c r="M1716" s="382"/>
      <c r="BB1716" s="253" t="str">
        <f t="array" ref="BB1716">_xlfn.IFS(AQ1716="","",LEN(AQ1716)-LEN(SUBSTITUTE(AQ1716,".",""))=3,LEFT(AQ1716,vitri(".",AQ1716,3)-1),LEN(AQ1716)-LEN(SUBSTITUTE(AQ1716,".",""))=2,LEFT(AQ1716,vitri(".",AQ1716,2)-1),TRUE,LEFT(AQ1716,vitri(".",AQ1716,1)-1))</f>
        <v/>
      </c>
    </row>
    <row r="1717" spans="13:54" x14ac:dyDescent="0.25">
      <c r="M1717" s="382"/>
      <c r="BB1717" s="253" t="str">
        <f t="array" ref="BB1717">_xlfn.IFS(AQ1717="","",LEN(AQ1717)-LEN(SUBSTITUTE(AQ1717,".",""))=3,LEFT(AQ1717,vitri(".",AQ1717,3)-1),LEN(AQ1717)-LEN(SUBSTITUTE(AQ1717,".",""))=2,LEFT(AQ1717,vitri(".",AQ1717,2)-1),TRUE,LEFT(AQ1717,vitri(".",AQ1717,1)-1))</f>
        <v/>
      </c>
    </row>
    <row r="1718" spans="13:54" x14ac:dyDescent="0.25">
      <c r="M1718" s="382"/>
      <c r="BB1718" s="253" t="str">
        <f t="array" ref="BB1718">_xlfn.IFS(AQ1718="","",LEN(AQ1718)-LEN(SUBSTITUTE(AQ1718,".",""))=3,LEFT(AQ1718,vitri(".",AQ1718,3)-1),LEN(AQ1718)-LEN(SUBSTITUTE(AQ1718,".",""))=2,LEFT(AQ1718,vitri(".",AQ1718,2)-1),TRUE,LEFT(AQ1718,vitri(".",AQ1718,1)-1))</f>
        <v/>
      </c>
    </row>
    <row r="1719" spans="13:54" x14ac:dyDescent="0.25">
      <c r="M1719" s="382"/>
      <c r="BB1719" s="253" t="str">
        <f t="array" ref="BB1719">_xlfn.IFS(AQ1719="","",LEN(AQ1719)-LEN(SUBSTITUTE(AQ1719,".",""))=3,LEFT(AQ1719,vitri(".",AQ1719,3)-1),LEN(AQ1719)-LEN(SUBSTITUTE(AQ1719,".",""))=2,LEFT(AQ1719,vitri(".",AQ1719,2)-1),TRUE,LEFT(AQ1719,vitri(".",AQ1719,1)-1))</f>
        <v/>
      </c>
    </row>
    <row r="1720" spans="13:54" x14ac:dyDescent="0.25">
      <c r="M1720" s="382"/>
      <c r="BB1720" s="253" t="str">
        <f t="array" ref="BB1720">_xlfn.IFS(AQ1720="","",LEN(AQ1720)-LEN(SUBSTITUTE(AQ1720,".",""))=3,LEFT(AQ1720,vitri(".",AQ1720,3)-1),LEN(AQ1720)-LEN(SUBSTITUTE(AQ1720,".",""))=2,LEFT(AQ1720,vitri(".",AQ1720,2)-1),TRUE,LEFT(AQ1720,vitri(".",AQ1720,1)-1))</f>
        <v/>
      </c>
    </row>
    <row r="1721" spans="13:54" x14ac:dyDescent="0.25">
      <c r="M1721" s="382"/>
      <c r="BB1721" s="253" t="str">
        <f t="array" ref="BB1721">_xlfn.IFS(AQ1721="","",LEN(AQ1721)-LEN(SUBSTITUTE(AQ1721,".",""))=3,LEFT(AQ1721,vitri(".",AQ1721,3)-1),LEN(AQ1721)-LEN(SUBSTITUTE(AQ1721,".",""))=2,LEFT(AQ1721,vitri(".",AQ1721,2)-1),TRUE,LEFT(AQ1721,vitri(".",AQ1721,1)-1))</f>
        <v/>
      </c>
    </row>
    <row r="1722" spans="13:54" x14ac:dyDescent="0.25">
      <c r="M1722" s="382"/>
      <c r="BB1722" s="253" t="str">
        <f t="array" ref="BB1722">_xlfn.IFS(AQ1722="","",LEN(AQ1722)-LEN(SUBSTITUTE(AQ1722,".",""))=3,LEFT(AQ1722,vitri(".",AQ1722,3)-1),LEN(AQ1722)-LEN(SUBSTITUTE(AQ1722,".",""))=2,LEFT(AQ1722,vitri(".",AQ1722,2)-1),TRUE,LEFT(AQ1722,vitri(".",AQ1722,1)-1))</f>
        <v/>
      </c>
    </row>
    <row r="1723" spans="13:54" x14ac:dyDescent="0.25">
      <c r="M1723" s="382"/>
      <c r="BB1723" s="253" t="str">
        <f t="array" ref="BB1723">_xlfn.IFS(AQ1723="","",LEN(AQ1723)-LEN(SUBSTITUTE(AQ1723,".",""))=3,LEFT(AQ1723,vitri(".",AQ1723,3)-1),LEN(AQ1723)-LEN(SUBSTITUTE(AQ1723,".",""))=2,LEFT(AQ1723,vitri(".",AQ1723,2)-1),TRUE,LEFT(AQ1723,vitri(".",AQ1723,1)-1))</f>
        <v/>
      </c>
    </row>
    <row r="1724" spans="13:54" x14ac:dyDescent="0.25">
      <c r="M1724" s="382"/>
      <c r="BB1724" s="253" t="str">
        <f t="array" ref="BB1724">_xlfn.IFS(AQ1724="","",LEN(AQ1724)-LEN(SUBSTITUTE(AQ1724,".",""))=3,LEFT(AQ1724,vitri(".",AQ1724,3)-1),LEN(AQ1724)-LEN(SUBSTITUTE(AQ1724,".",""))=2,LEFT(AQ1724,vitri(".",AQ1724,2)-1),TRUE,LEFT(AQ1724,vitri(".",AQ1724,1)-1))</f>
        <v/>
      </c>
    </row>
    <row r="1725" spans="13:54" x14ac:dyDescent="0.25">
      <c r="M1725" s="382"/>
      <c r="BB1725" s="253" t="str">
        <f t="array" ref="BB1725">_xlfn.IFS(AQ1725="","",LEN(AQ1725)-LEN(SUBSTITUTE(AQ1725,".",""))=3,LEFT(AQ1725,vitri(".",AQ1725,3)-1),LEN(AQ1725)-LEN(SUBSTITUTE(AQ1725,".",""))=2,LEFT(AQ1725,vitri(".",AQ1725,2)-1),TRUE,LEFT(AQ1725,vitri(".",AQ1725,1)-1))</f>
        <v/>
      </c>
    </row>
    <row r="1726" spans="13:54" x14ac:dyDescent="0.25">
      <c r="M1726" s="382"/>
      <c r="BB1726" s="253" t="str">
        <f t="array" ref="BB1726">_xlfn.IFS(AQ1726="","",LEN(AQ1726)-LEN(SUBSTITUTE(AQ1726,".",""))=3,LEFT(AQ1726,vitri(".",AQ1726,3)-1),LEN(AQ1726)-LEN(SUBSTITUTE(AQ1726,".",""))=2,LEFT(AQ1726,vitri(".",AQ1726,2)-1),TRUE,LEFT(AQ1726,vitri(".",AQ1726,1)-1))</f>
        <v/>
      </c>
    </row>
    <row r="1727" spans="13:54" x14ac:dyDescent="0.25">
      <c r="M1727" s="382"/>
      <c r="BB1727" s="253" t="str">
        <f t="array" ref="BB1727">_xlfn.IFS(AQ1727="","",LEN(AQ1727)-LEN(SUBSTITUTE(AQ1727,".",""))=3,LEFT(AQ1727,vitri(".",AQ1727,3)-1),LEN(AQ1727)-LEN(SUBSTITUTE(AQ1727,".",""))=2,LEFT(AQ1727,vitri(".",AQ1727,2)-1),TRUE,LEFT(AQ1727,vitri(".",AQ1727,1)-1))</f>
        <v/>
      </c>
    </row>
    <row r="1728" spans="13:54" x14ac:dyDescent="0.25">
      <c r="M1728" s="382"/>
      <c r="BB1728" s="253" t="str">
        <f t="array" ref="BB1728">_xlfn.IFS(AQ1728="","",LEN(AQ1728)-LEN(SUBSTITUTE(AQ1728,".",""))=3,LEFT(AQ1728,vitri(".",AQ1728,3)-1),LEN(AQ1728)-LEN(SUBSTITUTE(AQ1728,".",""))=2,LEFT(AQ1728,vitri(".",AQ1728,2)-1),TRUE,LEFT(AQ1728,vitri(".",AQ1728,1)-1))</f>
        <v/>
      </c>
    </row>
    <row r="1729" spans="13:54" x14ac:dyDescent="0.25">
      <c r="M1729" s="382"/>
      <c r="BB1729" s="253" t="str">
        <f t="array" ref="BB1729">_xlfn.IFS(AQ1729="","",LEN(AQ1729)-LEN(SUBSTITUTE(AQ1729,".",""))=3,LEFT(AQ1729,vitri(".",AQ1729,3)-1),LEN(AQ1729)-LEN(SUBSTITUTE(AQ1729,".",""))=2,LEFT(AQ1729,vitri(".",AQ1729,2)-1),TRUE,LEFT(AQ1729,vitri(".",AQ1729,1)-1))</f>
        <v/>
      </c>
    </row>
    <row r="1730" spans="13:54" x14ac:dyDescent="0.25">
      <c r="M1730" s="382"/>
      <c r="BB1730" s="253" t="str">
        <f t="array" ref="BB1730">_xlfn.IFS(AQ1730="","",LEN(AQ1730)-LEN(SUBSTITUTE(AQ1730,".",""))=3,LEFT(AQ1730,vitri(".",AQ1730,3)-1),LEN(AQ1730)-LEN(SUBSTITUTE(AQ1730,".",""))=2,LEFT(AQ1730,vitri(".",AQ1730,2)-1),TRUE,LEFT(AQ1730,vitri(".",AQ1730,1)-1))</f>
        <v/>
      </c>
    </row>
    <row r="1731" spans="13:54" x14ac:dyDescent="0.25">
      <c r="M1731" s="382"/>
      <c r="BB1731" s="253" t="str">
        <f t="array" ref="BB1731">_xlfn.IFS(AQ1731="","",LEN(AQ1731)-LEN(SUBSTITUTE(AQ1731,".",""))=3,LEFT(AQ1731,vitri(".",AQ1731,3)-1),LEN(AQ1731)-LEN(SUBSTITUTE(AQ1731,".",""))=2,LEFT(AQ1731,vitri(".",AQ1731,2)-1),TRUE,LEFT(AQ1731,vitri(".",AQ1731,1)-1))</f>
        <v/>
      </c>
    </row>
    <row r="1732" spans="13:54" x14ac:dyDescent="0.25">
      <c r="M1732" s="382"/>
      <c r="BB1732" s="253" t="str">
        <f t="array" ref="BB1732">_xlfn.IFS(AQ1732="","",LEN(AQ1732)-LEN(SUBSTITUTE(AQ1732,".",""))=3,LEFT(AQ1732,vitri(".",AQ1732,3)-1),LEN(AQ1732)-LEN(SUBSTITUTE(AQ1732,".",""))=2,LEFT(AQ1732,vitri(".",AQ1732,2)-1),TRUE,LEFT(AQ1732,vitri(".",AQ1732,1)-1))</f>
        <v/>
      </c>
    </row>
    <row r="1733" spans="13:54" x14ac:dyDescent="0.25">
      <c r="M1733" s="382"/>
      <c r="BB1733" s="253" t="str">
        <f t="array" ref="BB1733">_xlfn.IFS(AQ1733="","",LEN(AQ1733)-LEN(SUBSTITUTE(AQ1733,".",""))=3,LEFT(AQ1733,vitri(".",AQ1733,3)-1),LEN(AQ1733)-LEN(SUBSTITUTE(AQ1733,".",""))=2,LEFT(AQ1733,vitri(".",AQ1733,2)-1),TRUE,LEFT(AQ1733,vitri(".",AQ1733,1)-1))</f>
        <v/>
      </c>
    </row>
    <row r="1734" spans="13:54" x14ac:dyDescent="0.25">
      <c r="M1734" s="382"/>
      <c r="BB1734" s="253" t="str">
        <f t="array" ref="BB1734">_xlfn.IFS(AQ1734="","",LEN(AQ1734)-LEN(SUBSTITUTE(AQ1734,".",""))=3,LEFT(AQ1734,vitri(".",AQ1734,3)-1),LEN(AQ1734)-LEN(SUBSTITUTE(AQ1734,".",""))=2,LEFT(AQ1734,vitri(".",AQ1734,2)-1),TRUE,LEFT(AQ1734,vitri(".",AQ1734,1)-1))</f>
        <v/>
      </c>
    </row>
    <row r="1735" spans="13:54" x14ac:dyDescent="0.25">
      <c r="M1735" s="382"/>
      <c r="BB1735" s="253" t="str">
        <f t="array" ref="BB1735">_xlfn.IFS(AQ1735="","",LEN(AQ1735)-LEN(SUBSTITUTE(AQ1735,".",""))=3,LEFT(AQ1735,vitri(".",AQ1735,3)-1),LEN(AQ1735)-LEN(SUBSTITUTE(AQ1735,".",""))=2,LEFT(AQ1735,vitri(".",AQ1735,2)-1),TRUE,LEFT(AQ1735,vitri(".",AQ1735,1)-1))</f>
        <v/>
      </c>
    </row>
    <row r="1736" spans="13:54" x14ac:dyDescent="0.25">
      <c r="M1736" s="382"/>
      <c r="BB1736" s="253" t="str">
        <f t="array" ref="BB1736">_xlfn.IFS(AQ1736="","",LEN(AQ1736)-LEN(SUBSTITUTE(AQ1736,".",""))=3,LEFT(AQ1736,vitri(".",AQ1736,3)-1),LEN(AQ1736)-LEN(SUBSTITUTE(AQ1736,".",""))=2,LEFT(AQ1736,vitri(".",AQ1736,2)-1),TRUE,LEFT(AQ1736,vitri(".",AQ1736,1)-1))</f>
        <v/>
      </c>
    </row>
    <row r="1737" spans="13:54" x14ac:dyDescent="0.25">
      <c r="M1737" s="382"/>
      <c r="BB1737" s="253" t="str">
        <f t="array" ref="BB1737">_xlfn.IFS(AQ1737="","",LEN(AQ1737)-LEN(SUBSTITUTE(AQ1737,".",""))=3,LEFT(AQ1737,vitri(".",AQ1737,3)-1),LEN(AQ1737)-LEN(SUBSTITUTE(AQ1737,".",""))=2,LEFT(AQ1737,vitri(".",AQ1737,2)-1),TRUE,LEFT(AQ1737,vitri(".",AQ1737,1)-1))</f>
        <v/>
      </c>
    </row>
    <row r="1738" spans="13:54" x14ac:dyDescent="0.25">
      <c r="M1738" s="382"/>
      <c r="BB1738" s="253" t="str">
        <f t="array" ref="BB1738">_xlfn.IFS(AQ1738="","",LEN(AQ1738)-LEN(SUBSTITUTE(AQ1738,".",""))=3,LEFT(AQ1738,vitri(".",AQ1738,3)-1),LEN(AQ1738)-LEN(SUBSTITUTE(AQ1738,".",""))=2,LEFT(AQ1738,vitri(".",AQ1738,2)-1),TRUE,LEFT(AQ1738,vitri(".",AQ1738,1)-1))</f>
        <v/>
      </c>
    </row>
    <row r="1739" spans="13:54" x14ac:dyDescent="0.25">
      <c r="M1739" s="382"/>
      <c r="BB1739" s="253" t="str">
        <f t="array" ref="BB1739">_xlfn.IFS(AQ1739="","",LEN(AQ1739)-LEN(SUBSTITUTE(AQ1739,".",""))=3,LEFT(AQ1739,vitri(".",AQ1739,3)-1),LEN(AQ1739)-LEN(SUBSTITUTE(AQ1739,".",""))=2,LEFT(AQ1739,vitri(".",AQ1739,2)-1),TRUE,LEFT(AQ1739,vitri(".",AQ1739,1)-1))</f>
        <v/>
      </c>
    </row>
    <row r="1740" spans="13:54" x14ac:dyDescent="0.25">
      <c r="M1740" s="382"/>
      <c r="BB1740" s="253" t="str">
        <f t="array" ref="BB1740">_xlfn.IFS(AQ1740="","",LEN(AQ1740)-LEN(SUBSTITUTE(AQ1740,".",""))=3,LEFT(AQ1740,vitri(".",AQ1740,3)-1),LEN(AQ1740)-LEN(SUBSTITUTE(AQ1740,".",""))=2,LEFT(AQ1740,vitri(".",AQ1740,2)-1),TRUE,LEFT(AQ1740,vitri(".",AQ1740,1)-1))</f>
        <v/>
      </c>
    </row>
    <row r="1741" spans="13:54" x14ac:dyDescent="0.25">
      <c r="M1741" s="382"/>
      <c r="BB1741" s="253" t="str">
        <f t="array" ref="BB1741">_xlfn.IFS(AQ1741="","",LEN(AQ1741)-LEN(SUBSTITUTE(AQ1741,".",""))=3,LEFT(AQ1741,vitri(".",AQ1741,3)-1),LEN(AQ1741)-LEN(SUBSTITUTE(AQ1741,".",""))=2,LEFT(AQ1741,vitri(".",AQ1741,2)-1),TRUE,LEFT(AQ1741,vitri(".",AQ1741,1)-1))</f>
        <v/>
      </c>
    </row>
    <row r="1742" spans="13:54" x14ac:dyDescent="0.25">
      <c r="M1742" s="382"/>
      <c r="BB1742" s="253" t="str">
        <f t="array" ref="BB1742">_xlfn.IFS(AQ1742="","",LEN(AQ1742)-LEN(SUBSTITUTE(AQ1742,".",""))=3,LEFT(AQ1742,vitri(".",AQ1742,3)-1),LEN(AQ1742)-LEN(SUBSTITUTE(AQ1742,".",""))=2,LEFT(AQ1742,vitri(".",AQ1742,2)-1),TRUE,LEFT(AQ1742,vitri(".",AQ1742,1)-1))</f>
        <v/>
      </c>
    </row>
    <row r="1743" spans="13:54" x14ac:dyDescent="0.25">
      <c r="M1743" s="382"/>
      <c r="BB1743" s="253" t="str">
        <f t="array" ref="BB1743">_xlfn.IFS(AQ1743="","",LEN(AQ1743)-LEN(SUBSTITUTE(AQ1743,".",""))=3,LEFT(AQ1743,vitri(".",AQ1743,3)-1),LEN(AQ1743)-LEN(SUBSTITUTE(AQ1743,".",""))=2,LEFT(AQ1743,vitri(".",AQ1743,2)-1),TRUE,LEFT(AQ1743,vitri(".",AQ1743,1)-1))</f>
        <v/>
      </c>
    </row>
    <row r="1744" spans="13:54" x14ac:dyDescent="0.25">
      <c r="M1744" s="382"/>
      <c r="BB1744" s="253" t="str">
        <f t="array" ref="BB1744">_xlfn.IFS(AQ1744="","",LEN(AQ1744)-LEN(SUBSTITUTE(AQ1744,".",""))=3,LEFT(AQ1744,vitri(".",AQ1744,3)-1),LEN(AQ1744)-LEN(SUBSTITUTE(AQ1744,".",""))=2,LEFT(AQ1744,vitri(".",AQ1744,2)-1),TRUE,LEFT(AQ1744,vitri(".",AQ1744,1)-1))</f>
        <v/>
      </c>
    </row>
    <row r="1745" spans="13:54" x14ac:dyDescent="0.25">
      <c r="M1745" s="382"/>
      <c r="BB1745" s="253" t="str">
        <f t="array" ref="BB1745">_xlfn.IFS(AQ1745="","",LEN(AQ1745)-LEN(SUBSTITUTE(AQ1745,".",""))=3,LEFT(AQ1745,vitri(".",AQ1745,3)-1),LEN(AQ1745)-LEN(SUBSTITUTE(AQ1745,".",""))=2,LEFT(AQ1745,vitri(".",AQ1745,2)-1),TRUE,LEFT(AQ1745,vitri(".",AQ1745,1)-1))</f>
        <v/>
      </c>
    </row>
    <row r="1746" spans="13:54" x14ac:dyDescent="0.25">
      <c r="M1746" s="382"/>
      <c r="BB1746" s="253" t="str">
        <f t="array" ref="BB1746">_xlfn.IFS(AQ1746="","",LEN(AQ1746)-LEN(SUBSTITUTE(AQ1746,".",""))=3,LEFT(AQ1746,vitri(".",AQ1746,3)-1),LEN(AQ1746)-LEN(SUBSTITUTE(AQ1746,".",""))=2,LEFT(AQ1746,vitri(".",AQ1746,2)-1),TRUE,LEFT(AQ1746,vitri(".",AQ1746,1)-1))</f>
        <v/>
      </c>
    </row>
    <row r="1747" spans="13:54" x14ac:dyDescent="0.25">
      <c r="M1747" s="382"/>
      <c r="BB1747" s="253" t="str">
        <f t="array" ref="BB1747">_xlfn.IFS(AQ1747="","",LEN(AQ1747)-LEN(SUBSTITUTE(AQ1747,".",""))=3,LEFT(AQ1747,vitri(".",AQ1747,3)-1),LEN(AQ1747)-LEN(SUBSTITUTE(AQ1747,".",""))=2,LEFT(AQ1747,vitri(".",AQ1747,2)-1),TRUE,LEFT(AQ1747,vitri(".",AQ1747,1)-1))</f>
        <v/>
      </c>
    </row>
    <row r="1748" spans="13:54" x14ac:dyDescent="0.25">
      <c r="M1748" s="382"/>
      <c r="BB1748" s="253" t="str">
        <f t="array" ref="BB1748">_xlfn.IFS(AQ1748="","",LEN(AQ1748)-LEN(SUBSTITUTE(AQ1748,".",""))=3,LEFT(AQ1748,vitri(".",AQ1748,3)-1),LEN(AQ1748)-LEN(SUBSTITUTE(AQ1748,".",""))=2,LEFT(AQ1748,vitri(".",AQ1748,2)-1),TRUE,LEFT(AQ1748,vitri(".",AQ1748,1)-1))</f>
        <v/>
      </c>
    </row>
    <row r="1749" spans="13:54" x14ac:dyDescent="0.25">
      <c r="M1749" s="382"/>
      <c r="BB1749" s="253" t="str">
        <f t="array" ref="BB1749">_xlfn.IFS(AQ1749="","",LEN(AQ1749)-LEN(SUBSTITUTE(AQ1749,".",""))=3,LEFT(AQ1749,vitri(".",AQ1749,3)-1),LEN(AQ1749)-LEN(SUBSTITUTE(AQ1749,".",""))=2,LEFT(AQ1749,vitri(".",AQ1749,2)-1),TRUE,LEFT(AQ1749,vitri(".",AQ1749,1)-1))</f>
        <v/>
      </c>
    </row>
    <row r="1750" spans="13:54" x14ac:dyDescent="0.25">
      <c r="M1750" s="382"/>
      <c r="BB1750" s="253" t="str">
        <f t="array" ref="BB1750">_xlfn.IFS(AQ1750="","",LEN(AQ1750)-LEN(SUBSTITUTE(AQ1750,".",""))=3,LEFT(AQ1750,vitri(".",AQ1750,3)-1),LEN(AQ1750)-LEN(SUBSTITUTE(AQ1750,".",""))=2,LEFT(AQ1750,vitri(".",AQ1750,2)-1),TRUE,LEFT(AQ1750,vitri(".",AQ1750,1)-1))</f>
        <v/>
      </c>
    </row>
    <row r="1751" spans="13:54" x14ac:dyDescent="0.25">
      <c r="M1751" s="382"/>
      <c r="BB1751" s="253" t="str">
        <f t="array" ref="BB1751">_xlfn.IFS(AQ1751="","",LEN(AQ1751)-LEN(SUBSTITUTE(AQ1751,".",""))=3,LEFT(AQ1751,vitri(".",AQ1751,3)-1),LEN(AQ1751)-LEN(SUBSTITUTE(AQ1751,".",""))=2,LEFT(AQ1751,vitri(".",AQ1751,2)-1),TRUE,LEFT(AQ1751,vitri(".",AQ1751,1)-1))</f>
        <v/>
      </c>
    </row>
    <row r="1752" spans="13:54" x14ac:dyDescent="0.25">
      <c r="M1752" s="382"/>
      <c r="BB1752" s="253" t="str">
        <f t="array" ref="BB1752">_xlfn.IFS(AQ1752="","",LEN(AQ1752)-LEN(SUBSTITUTE(AQ1752,".",""))=3,LEFT(AQ1752,vitri(".",AQ1752,3)-1),LEN(AQ1752)-LEN(SUBSTITUTE(AQ1752,".",""))=2,LEFT(AQ1752,vitri(".",AQ1752,2)-1),TRUE,LEFT(AQ1752,vitri(".",AQ1752,1)-1))</f>
        <v/>
      </c>
    </row>
    <row r="1753" spans="13:54" x14ac:dyDescent="0.25">
      <c r="M1753" s="382"/>
      <c r="BB1753" s="253" t="str">
        <f t="array" ref="BB1753">_xlfn.IFS(AQ1753="","",LEN(AQ1753)-LEN(SUBSTITUTE(AQ1753,".",""))=3,LEFT(AQ1753,vitri(".",AQ1753,3)-1),LEN(AQ1753)-LEN(SUBSTITUTE(AQ1753,".",""))=2,LEFT(AQ1753,vitri(".",AQ1753,2)-1),TRUE,LEFT(AQ1753,vitri(".",AQ1753,1)-1))</f>
        <v/>
      </c>
    </row>
    <row r="1754" spans="13:54" x14ac:dyDescent="0.25">
      <c r="M1754" s="382"/>
      <c r="BB1754" s="253" t="str">
        <f t="array" ref="BB1754">_xlfn.IFS(AQ1754="","",LEN(AQ1754)-LEN(SUBSTITUTE(AQ1754,".",""))=3,LEFT(AQ1754,vitri(".",AQ1754,3)-1),LEN(AQ1754)-LEN(SUBSTITUTE(AQ1754,".",""))=2,LEFT(AQ1754,vitri(".",AQ1754,2)-1),TRUE,LEFT(AQ1754,vitri(".",AQ1754,1)-1))</f>
        <v/>
      </c>
    </row>
    <row r="1755" spans="13:54" x14ac:dyDescent="0.25">
      <c r="M1755" s="382"/>
      <c r="BB1755" s="253" t="str">
        <f t="array" ref="BB1755">_xlfn.IFS(AQ1755="","",LEN(AQ1755)-LEN(SUBSTITUTE(AQ1755,".",""))=3,LEFT(AQ1755,vitri(".",AQ1755,3)-1),LEN(AQ1755)-LEN(SUBSTITUTE(AQ1755,".",""))=2,LEFT(AQ1755,vitri(".",AQ1755,2)-1),TRUE,LEFT(AQ1755,vitri(".",AQ1755,1)-1))</f>
        <v/>
      </c>
    </row>
    <row r="1756" spans="13:54" x14ac:dyDescent="0.25">
      <c r="M1756" s="382"/>
      <c r="BB1756" s="253" t="str">
        <f t="array" ref="BB1756">_xlfn.IFS(AQ1756="","",LEN(AQ1756)-LEN(SUBSTITUTE(AQ1756,".",""))=3,LEFT(AQ1756,vitri(".",AQ1756,3)-1),LEN(AQ1756)-LEN(SUBSTITUTE(AQ1756,".",""))=2,LEFT(AQ1756,vitri(".",AQ1756,2)-1),TRUE,LEFT(AQ1756,vitri(".",AQ1756,1)-1))</f>
        <v/>
      </c>
    </row>
    <row r="1757" spans="13:54" x14ac:dyDescent="0.25">
      <c r="M1757" s="382"/>
      <c r="BB1757" s="253" t="str">
        <f t="array" ref="BB1757">_xlfn.IFS(AQ1757="","",LEN(AQ1757)-LEN(SUBSTITUTE(AQ1757,".",""))=3,LEFT(AQ1757,vitri(".",AQ1757,3)-1),LEN(AQ1757)-LEN(SUBSTITUTE(AQ1757,".",""))=2,LEFT(AQ1757,vitri(".",AQ1757,2)-1),TRUE,LEFT(AQ1757,vitri(".",AQ1757,1)-1))</f>
        <v/>
      </c>
    </row>
    <row r="1758" spans="13:54" x14ac:dyDescent="0.25">
      <c r="M1758" s="382"/>
      <c r="BB1758" s="253" t="str">
        <f t="array" ref="BB1758">_xlfn.IFS(AQ1758="","",LEN(AQ1758)-LEN(SUBSTITUTE(AQ1758,".",""))=3,LEFT(AQ1758,vitri(".",AQ1758,3)-1),LEN(AQ1758)-LEN(SUBSTITUTE(AQ1758,".",""))=2,LEFT(AQ1758,vitri(".",AQ1758,2)-1),TRUE,LEFT(AQ1758,vitri(".",AQ1758,1)-1))</f>
        <v/>
      </c>
    </row>
    <row r="1759" spans="13:54" x14ac:dyDescent="0.25">
      <c r="M1759" s="382"/>
      <c r="BB1759" s="253" t="str">
        <f t="array" ref="BB1759">_xlfn.IFS(AQ1759="","",LEN(AQ1759)-LEN(SUBSTITUTE(AQ1759,".",""))=3,LEFT(AQ1759,vitri(".",AQ1759,3)-1),LEN(AQ1759)-LEN(SUBSTITUTE(AQ1759,".",""))=2,LEFT(AQ1759,vitri(".",AQ1759,2)-1),TRUE,LEFT(AQ1759,vitri(".",AQ1759,1)-1))</f>
        <v/>
      </c>
    </row>
    <row r="1760" spans="13:54" x14ac:dyDescent="0.25">
      <c r="M1760" s="382"/>
      <c r="BB1760" s="253" t="str">
        <f t="array" ref="BB1760">_xlfn.IFS(AQ1760="","",LEN(AQ1760)-LEN(SUBSTITUTE(AQ1760,".",""))=3,LEFT(AQ1760,vitri(".",AQ1760,3)-1),LEN(AQ1760)-LEN(SUBSTITUTE(AQ1760,".",""))=2,LEFT(AQ1760,vitri(".",AQ1760,2)-1),TRUE,LEFT(AQ1760,vitri(".",AQ1760,1)-1))</f>
        <v/>
      </c>
    </row>
    <row r="1761" spans="13:54" x14ac:dyDescent="0.25">
      <c r="M1761" s="382"/>
      <c r="BB1761" s="253" t="str">
        <f t="array" ref="BB1761">_xlfn.IFS(AQ1761="","",LEN(AQ1761)-LEN(SUBSTITUTE(AQ1761,".",""))=3,LEFT(AQ1761,vitri(".",AQ1761,3)-1),LEN(AQ1761)-LEN(SUBSTITUTE(AQ1761,".",""))=2,LEFT(AQ1761,vitri(".",AQ1761,2)-1),TRUE,LEFT(AQ1761,vitri(".",AQ1761,1)-1))</f>
        <v/>
      </c>
    </row>
    <row r="1762" spans="13:54" x14ac:dyDescent="0.25">
      <c r="M1762" s="382"/>
      <c r="BB1762" s="253" t="str">
        <f t="array" ref="BB1762">_xlfn.IFS(AQ1762="","",LEN(AQ1762)-LEN(SUBSTITUTE(AQ1762,".",""))=3,LEFT(AQ1762,vitri(".",AQ1762,3)-1),LEN(AQ1762)-LEN(SUBSTITUTE(AQ1762,".",""))=2,LEFT(AQ1762,vitri(".",AQ1762,2)-1),TRUE,LEFT(AQ1762,vitri(".",AQ1762,1)-1))</f>
        <v/>
      </c>
    </row>
    <row r="1763" spans="13:54" x14ac:dyDescent="0.25">
      <c r="M1763" s="382"/>
      <c r="BB1763" s="253" t="str">
        <f t="array" ref="BB1763">_xlfn.IFS(AQ1763="","",LEN(AQ1763)-LEN(SUBSTITUTE(AQ1763,".",""))=3,LEFT(AQ1763,vitri(".",AQ1763,3)-1),LEN(AQ1763)-LEN(SUBSTITUTE(AQ1763,".",""))=2,LEFT(AQ1763,vitri(".",AQ1763,2)-1),TRUE,LEFT(AQ1763,vitri(".",AQ1763,1)-1))</f>
        <v/>
      </c>
    </row>
    <row r="1764" spans="13:54" x14ac:dyDescent="0.25">
      <c r="M1764" s="382"/>
      <c r="BB1764" s="253" t="str">
        <f t="array" ref="BB1764">_xlfn.IFS(AQ1764="","",LEN(AQ1764)-LEN(SUBSTITUTE(AQ1764,".",""))=3,LEFT(AQ1764,vitri(".",AQ1764,3)-1),LEN(AQ1764)-LEN(SUBSTITUTE(AQ1764,".",""))=2,LEFT(AQ1764,vitri(".",AQ1764,2)-1),TRUE,LEFT(AQ1764,vitri(".",AQ1764,1)-1))</f>
        <v/>
      </c>
    </row>
    <row r="1765" spans="13:54" x14ac:dyDescent="0.25">
      <c r="M1765" s="382"/>
      <c r="BB1765" s="253" t="str">
        <f t="array" ref="BB1765">_xlfn.IFS(AQ1765="","",LEN(AQ1765)-LEN(SUBSTITUTE(AQ1765,".",""))=3,LEFT(AQ1765,vitri(".",AQ1765,3)-1),LEN(AQ1765)-LEN(SUBSTITUTE(AQ1765,".",""))=2,LEFT(AQ1765,vitri(".",AQ1765,2)-1),TRUE,LEFT(AQ1765,vitri(".",AQ1765,1)-1))</f>
        <v/>
      </c>
    </row>
    <row r="1766" spans="13:54" x14ac:dyDescent="0.25">
      <c r="M1766" s="382"/>
      <c r="BB1766" s="253" t="str">
        <f t="array" ref="BB1766">_xlfn.IFS(AQ1766="","",LEN(AQ1766)-LEN(SUBSTITUTE(AQ1766,".",""))=3,LEFT(AQ1766,vitri(".",AQ1766,3)-1),LEN(AQ1766)-LEN(SUBSTITUTE(AQ1766,".",""))=2,LEFT(AQ1766,vitri(".",AQ1766,2)-1),TRUE,LEFT(AQ1766,vitri(".",AQ1766,1)-1))</f>
        <v/>
      </c>
    </row>
    <row r="1767" spans="13:54" x14ac:dyDescent="0.25">
      <c r="M1767" s="382"/>
      <c r="BB1767" s="253" t="str">
        <f t="array" ref="BB1767">_xlfn.IFS(AQ1767="","",LEN(AQ1767)-LEN(SUBSTITUTE(AQ1767,".",""))=3,LEFT(AQ1767,vitri(".",AQ1767,3)-1),LEN(AQ1767)-LEN(SUBSTITUTE(AQ1767,".",""))=2,LEFT(AQ1767,vitri(".",AQ1767,2)-1),TRUE,LEFT(AQ1767,vitri(".",AQ1767,1)-1))</f>
        <v/>
      </c>
    </row>
    <row r="1768" spans="13:54" x14ac:dyDescent="0.25">
      <c r="M1768" s="382"/>
      <c r="BB1768" s="253" t="str">
        <f t="array" ref="BB1768">_xlfn.IFS(AQ1768="","",LEN(AQ1768)-LEN(SUBSTITUTE(AQ1768,".",""))=3,LEFT(AQ1768,vitri(".",AQ1768,3)-1),LEN(AQ1768)-LEN(SUBSTITUTE(AQ1768,".",""))=2,LEFT(AQ1768,vitri(".",AQ1768,2)-1),TRUE,LEFT(AQ1768,vitri(".",AQ1768,1)-1))</f>
        <v/>
      </c>
    </row>
    <row r="1769" spans="13:54" x14ac:dyDescent="0.25">
      <c r="M1769" s="382"/>
      <c r="BB1769" s="253" t="str">
        <f t="array" ref="BB1769">_xlfn.IFS(AQ1769="","",LEN(AQ1769)-LEN(SUBSTITUTE(AQ1769,".",""))=3,LEFT(AQ1769,vitri(".",AQ1769,3)-1),LEN(AQ1769)-LEN(SUBSTITUTE(AQ1769,".",""))=2,LEFT(AQ1769,vitri(".",AQ1769,2)-1),TRUE,LEFT(AQ1769,vitri(".",AQ1769,1)-1))</f>
        <v/>
      </c>
    </row>
    <row r="1770" spans="13:54" x14ac:dyDescent="0.25">
      <c r="M1770" s="382"/>
      <c r="BB1770" s="253" t="str">
        <f t="array" ref="BB1770">_xlfn.IFS(AQ1770="","",LEN(AQ1770)-LEN(SUBSTITUTE(AQ1770,".",""))=3,LEFT(AQ1770,vitri(".",AQ1770,3)-1),LEN(AQ1770)-LEN(SUBSTITUTE(AQ1770,".",""))=2,LEFT(AQ1770,vitri(".",AQ1770,2)-1),TRUE,LEFT(AQ1770,vitri(".",AQ1770,1)-1))</f>
        <v/>
      </c>
    </row>
    <row r="1771" spans="13:54" x14ac:dyDescent="0.25">
      <c r="M1771" s="382"/>
      <c r="BB1771" s="253" t="str">
        <f t="array" ref="BB1771">_xlfn.IFS(AQ1771="","",LEN(AQ1771)-LEN(SUBSTITUTE(AQ1771,".",""))=3,LEFT(AQ1771,vitri(".",AQ1771,3)-1),LEN(AQ1771)-LEN(SUBSTITUTE(AQ1771,".",""))=2,LEFT(AQ1771,vitri(".",AQ1771,2)-1),TRUE,LEFT(AQ1771,vitri(".",AQ1771,1)-1))</f>
        <v/>
      </c>
    </row>
    <row r="1772" spans="13:54" x14ac:dyDescent="0.25">
      <c r="M1772" s="382"/>
      <c r="BB1772" s="253" t="str">
        <f t="array" ref="BB1772">_xlfn.IFS(AQ1772="","",LEN(AQ1772)-LEN(SUBSTITUTE(AQ1772,".",""))=3,LEFT(AQ1772,vitri(".",AQ1772,3)-1),LEN(AQ1772)-LEN(SUBSTITUTE(AQ1772,".",""))=2,LEFT(AQ1772,vitri(".",AQ1772,2)-1),TRUE,LEFT(AQ1772,vitri(".",AQ1772,1)-1))</f>
        <v/>
      </c>
    </row>
    <row r="1773" spans="13:54" x14ac:dyDescent="0.25">
      <c r="M1773" s="382"/>
      <c r="BB1773" s="253" t="str">
        <f t="array" ref="BB1773">_xlfn.IFS(AQ1773="","",LEN(AQ1773)-LEN(SUBSTITUTE(AQ1773,".",""))=3,LEFT(AQ1773,vitri(".",AQ1773,3)-1),LEN(AQ1773)-LEN(SUBSTITUTE(AQ1773,".",""))=2,LEFT(AQ1773,vitri(".",AQ1773,2)-1),TRUE,LEFT(AQ1773,vitri(".",AQ1773,1)-1))</f>
        <v/>
      </c>
    </row>
    <row r="1774" spans="13:54" x14ac:dyDescent="0.25">
      <c r="M1774" s="382"/>
      <c r="BB1774" s="253" t="str">
        <f t="array" ref="BB1774">_xlfn.IFS(AQ1774="","",LEN(AQ1774)-LEN(SUBSTITUTE(AQ1774,".",""))=3,LEFT(AQ1774,vitri(".",AQ1774,3)-1),LEN(AQ1774)-LEN(SUBSTITUTE(AQ1774,".",""))=2,LEFT(AQ1774,vitri(".",AQ1774,2)-1),TRUE,LEFT(AQ1774,vitri(".",AQ1774,1)-1))</f>
        <v/>
      </c>
    </row>
    <row r="1775" spans="13:54" x14ac:dyDescent="0.25">
      <c r="M1775" s="382"/>
      <c r="BB1775" s="253" t="str">
        <f t="array" ref="BB1775">_xlfn.IFS(AQ1775="","",LEN(AQ1775)-LEN(SUBSTITUTE(AQ1775,".",""))=3,LEFT(AQ1775,vitri(".",AQ1775,3)-1),LEN(AQ1775)-LEN(SUBSTITUTE(AQ1775,".",""))=2,LEFT(AQ1775,vitri(".",AQ1775,2)-1),TRUE,LEFT(AQ1775,vitri(".",AQ1775,1)-1))</f>
        <v/>
      </c>
    </row>
    <row r="1776" spans="13:54" x14ac:dyDescent="0.25">
      <c r="M1776" s="382"/>
      <c r="BB1776" s="253" t="str">
        <f t="array" ref="BB1776">_xlfn.IFS(AQ1776="","",LEN(AQ1776)-LEN(SUBSTITUTE(AQ1776,".",""))=3,LEFT(AQ1776,vitri(".",AQ1776,3)-1),LEN(AQ1776)-LEN(SUBSTITUTE(AQ1776,".",""))=2,LEFT(AQ1776,vitri(".",AQ1776,2)-1),TRUE,LEFT(AQ1776,vitri(".",AQ1776,1)-1))</f>
        <v/>
      </c>
    </row>
    <row r="1777" spans="13:54" x14ac:dyDescent="0.25">
      <c r="M1777" s="382"/>
      <c r="BB1777" s="253" t="str">
        <f t="array" ref="BB1777">_xlfn.IFS(AQ1777="","",LEN(AQ1777)-LEN(SUBSTITUTE(AQ1777,".",""))=3,LEFT(AQ1777,vitri(".",AQ1777,3)-1),LEN(AQ1777)-LEN(SUBSTITUTE(AQ1777,".",""))=2,LEFT(AQ1777,vitri(".",AQ1777,2)-1),TRUE,LEFT(AQ1777,vitri(".",AQ1777,1)-1))</f>
        <v/>
      </c>
    </row>
    <row r="1778" spans="13:54" x14ac:dyDescent="0.25">
      <c r="M1778" s="382"/>
      <c r="BB1778" s="253" t="str">
        <f t="array" ref="BB1778">_xlfn.IFS(AQ1778="","",LEN(AQ1778)-LEN(SUBSTITUTE(AQ1778,".",""))=3,LEFT(AQ1778,vitri(".",AQ1778,3)-1),LEN(AQ1778)-LEN(SUBSTITUTE(AQ1778,".",""))=2,LEFT(AQ1778,vitri(".",AQ1778,2)-1),TRUE,LEFT(AQ1778,vitri(".",AQ1778,1)-1))</f>
        <v/>
      </c>
    </row>
    <row r="1779" spans="13:54" x14ac:dyDescent="0.25">
      <c r="M1779" s="382"/>
      <c r="BB1779" s="253" t="str">
        <f t="array" ref="BB1779">_xlfn.IFS(AQ1779="","",LEN(AQ1779)-LEN(SUBSTITUTE(AQ1779,".",""))=3,LEFT(AQ1779,vitri(".",AQ1779,3)-1),LEN(AQ1779)-LEN(SUBSTITUTE(AQ1779,".",""))=2,LEFT(AQ1779,vitri(".",AQ1779,2)-1),TRUE,LEFT(AQ1779,vitri(".",AQ1779,1)-1))</f>
        <v/>
      </c>
    </row>
    <row r="1780" spans="13:54" x14ac:dyDescent="0.25">
      <c r="M1780" s="382"/>
      <c r="BB1780" s="253" t="str">
        <f t="array" ref="BB1780">_xlfn.IFS(AQ1780="","",LEN(AQ1780)-LEN(SUBSTITUTE(AQ1780,".",""))=3,LEFT(AQ1780,vitri(".",AQ1780,3)-1),LEN(AQ1780)-LEN(SUBSTITUTE(AQ1780,".",""))=2,LEFT(AQ1780,vitri(".",AQ1780,2)-1),TRUE,LEFT(AQ1780,vitri(".",AQ1780,1)-1))</f>
        <v/>
      </c>
    </row>
    <row r="1781" spans="13:54" x14ac:dyDescent="0.25">
      <c r="M1781" s="382"/>
      <c r="BB1781" s="253" t="str">
        <f t="array" ref="BB1781">_xlfn.IFS(AQ1781="","",LEN(AQ1781)-LEN(SUBSTITUTE(AQ1781,".",""))=3,LEFT(AQ1781,vitri(".",AQ1781,3)-1),LEN(AQ1781)-LEN(SUBSTITUTE(AQ1781,".",""))=2,LEFT(AQ1781,vitri(".",AQ1781,2)-1),TRUE,LEFT(AQ1781,vitri(".",AQ1781,1)-1))</f>
        <v/>
      </c>
    </row>
    <row r="1782" spans="13:54" x14ac:dyDescent="0.25">
      <c r="M1782" s="382"/>
      <c r="BB1782" s="253" t="str">
        <f t="array" ref="BB1782">_xlfn.IFS(AQ1782="","",LEN(AQ1782)-LEN(SUBSTITUTE(AQ1782,".",""))=3,LEFT(AQ1782,vitri(".",AQ1782,3)-1),LEN(AQ1782)-LEN(SUBSTITUTE(AQ1782,".",""))=2,LEFT(AQ1782,vitri(".",AQ1782,2)-1),TRUE,LEFT(AQ1782,vitri(".",AQ1782,1)-1))</f>
        <v/>
      </c>
    </row>
    <row r="1783" spans="13:54" x14ac:dyDescent="0.25">
      <c r="M1783" s="382"/>
      <c r="BB1783" s="253" t="str">
        <f t="array" ref="BB1783">_xlfn.IFS(AQ1783="","",LEN(AQ1783)-LEN(SUBSTITUTE(AQ1783,".",""))=3,LEFT(AQ1783,vitri(".",AQ1783,3)-1),LEN(AQ1783)-LEN(SUBSTITUTE(AQ1783,".",""))=2,LEFT(AQ1783,vitri(".",AQ1783,2)-1),TRUE,LEFT(AQ1783,vitri(".",AQ1783,1)-1))</f>
        <v/>
      </c>
    </row>
    <row r="1784" spans="13:54" x14ac:dyDescent="0.25">
      <c r="M1784" s="382"/>
      <c r="BB1784" s="253" t="str">
        <f t="array" ref="BB1784">_xlfn.IFS(AQ1784="","",LEN(AQ1784)-LEN(SUBSTITUTE(AQ1784,".",""))=3,LEFT(AQ1784,vitri(".",AQ1784,3)-1),LEN(AQ1784)-LEN(SUBSTITUTE(AQ1784,".",""))=2,LEFT(AQ1784,vitri(".",AQ1784,2)-1),TRUE,LEFT(AQ1784,vitri(".",AQ1784,1)-1))</f>
        <v/>
      </c>
    </row>
    <row r="1785" spans="13:54" x14ac:dyDescent="0.25">
      <c r="M1785" s="382"/>
      <c r="BB1785" s="253" t="str">
        <f t="array" ref="BB1785">_xlfn.IFS(AQ1785="","",LEN(AQ1785)-LEN(SUBSTITUTE(AQ1785,".",""))=3,LEFT(AQ1785,vitri(".",AQ1785,3)-1),LEN(AQ1785)-LEN(SUBSTITUTE(AQ1785,".",""))=2,LEFT(AQ1785,vitri(".",AQ1785,2)-1),TRUE,LEFT(AQ1785,vitri(".",AQ1785,1)-1))</f>
        <v/>
      </c>
    </row>
    <row r="1786" spans="13:54" x14ac:dyDescent="0.25">
      <c r="M1786" s="382"/>
      <c r="BB1786" s="253" t="str">
        <f t="array" ref="BB1786">_xlfn.IFS(AQ1786="","",LEN(AQ1786)-LEN(SUBSTITUTE(AQ1786,".",""))=3,LEFT(AQ1786,vitri(".",AQ1786,3)-1),LEN(AQ1786)-LEN(SUBSTITUTE(AQ1786,".",""))=2,LEFT(AQ1786,vitri(".",AQ1786,2)-1),TRUE,LEFT(AQ1786,vitri(".",AQ1786,1)-1))</f>
        <v/>
      </c>
    </row>
    <row r="1787" spans="13:54" x14ac:dyDescent="0.25">
      <c r="M1787" s="382"/>
      <c r="BB1787" s="253" t="str">
        <f t="array" ref="BB1787">_xlfn.IFS(AQ1787="","",LEN(AQ1787)-LEN(SUBSTITUTE(AQ1787,".",""))=3,LEFT(AQ1787,vitri(".",AQ1787,3)-1),LEN(AQ1787)-LEN(SUBSTITUTE(AQ1787,".",""))=2,LEFT(AQ1787,vitri(".",AQ1787,2)-1),TRUE,LEFT(AQ1787,vitri(".",AQ1787,1)-1))</f>
        <v/>
      </c>
    </row>
    <row r="1788" spans="13:54" x14ac:dyDescent="0.25">
      <c r="M1788" s="382"/>
      <c r="BB1788" s="253" t="str">
        <f t="array" ref="BB1788">_xlfn.IFS(AQ1788="","",LEN(AQ1788)-LEN(SUBSTITUTE(AQ1788,".",""))=3,LEFT(AQ1788,vitri(".",AQ1788,3)-1),LEN(AQ1788)-LEN(SUBSTITUTE(AQ1788,".",""))=2,LEFT(AQ1788,vitri(".",AQ1788,2)-1),TRUE,LEFT(AQ1788,vitri(".",AQ1788,1)-1))</f>
        <v/>
      </c>
    </row>
    <row r="1789" spans="13:54" x14ac:dyDescent="0.25">
      <c r="M1789" s="382"/>
      <c r="BB1789" s="253" t="str">
        <f t="array" ref="BB1789">_xlfn.IFS(AQ1789="","",LEN(AQ1789)-LEN(SUBSTITUTE(AQ1789,".",""))=3,LEFT(AQ1789,vitri(".",AQ1789,3)-1),LEN(AQ1789)-LEN(SUBSTITUTE(AQ1789,".",""))=2,LEFT(AQ1789,vitri(".",AQ1789,2)-1),TRUE,LEFT(AQ1789,vitri(".",AQ1789,1)-1))</f>
        <v/>
      </c>
    </row>
    <row r="1790" spans="13:54" x14ac:dyDescent="0.25">
      <c r="M1790" s="382"/>
      <c r="BB1790" s="253" t="str">
        <f t="array" ref="BB1790">_xlfn.IFS(AQ1790="","",LEN(AQ1790)-LEN(SUBSTITUTE(AQ1790,".",""))=3,LEFT(AQ1790,vitri(".",AQ1790,3)-1),LEN(AQ1790)-LEN(SUBSTITUTE(AQ1790,".",""))=2,LEFT(AQ1790,vitri(".",AQ1790,2)-1),TRUE,LEFT(AQ1790,vitri(".",AQ1790,1)-1))</f>
        <v/>
      </c>
    </row>
    <row r="1791" spans="13:54" x14ac:dyDescent="0.25">
      <c r="M1791" s="382"/>
      <c r="BB1791" s="253" t="str">
        <f t="array" ref="BB1791">_xlfn.IFS(AQ1791="","",LEN(AQ1791)-LEN(SUBSTITUTE(AQ1791,".",""))=3,LEFT(AQ1791,vitri(".",AQ1791,3)-1),LEN(AQ1791)-LEN(SUBSTITUTE(AQ1791,".",""))=2,LEFT(AQ1791,vitri(".",AQ1791,2)-1),TRUE,LEFT(AQ1791,vitri(".",AQ1791,1)-1))</f>
        <v/>
      </c>
    </row>
    <row r="1792" spans="13:54" x14ac:dyDescent="0.25">
      <c r="M1792" s="382"/>
      <c r="BB1792" s="253" t="str">
        <f t="array" ref="BB1792">_xlfn.IFS(AQ1792="","",LEN(AQ1792)-LEN(SUBSTITUTE(AQ1792,".",""))=3,LEFT(AQ1792,vitri(".",AQ1792,3)-1),LEN(AQ1792)-LEN(SUBSTITUTE(AQ1792,".",""))=2,LEFT(AQ1792,vitri(".",AQ1792,2)-1),TRUE,LEFT(AQ1792,vitri(".",AQ1792,1)-1))</f>
        <v/>
      </c>
    </row>
    <row r="1793" spans="13:54" x14ac:dyDescent="0.25">
      <c r="M1793" s="382"/>
      <c r="BB1793" s="253" t="str">
        <f t="array" ref="BB1793">_xlfn.IFS(AQ1793="","",LEN(AQ1793)-LEN(SUBSTITUTE(AQ1793,".",""))=3,LEFT(AQ1793,vitri(".",AQ1793,3)-1),LEN(AQ1793)-LEN(SUBSTITUTE(AQ1793,".",""))=2,LEFT(AQ1793,vitri(".",AQ1793,2)-1),TRUE,LEFT(AQ1793,vitri(".",AQ1793,1)-1))</f>
        <v/>
      </c>
    </row>
    <row r="1794" spans="13:54" x14ac:dyDescent="0.25">
      <c r="M1794" s="382"/>
      <c r="BB1794" s="253" t="str">
        <f t="array" ref="BB1794">_xlfn.IFS(AQ1794="","",LEN(AQ1794)-LEN(SUBSTITUTE(AQ1794,".",""))=3,LEFT(AQ1794,vitri(".",AQ1794,3)-1),LEN(AQ1794)-LEN(SUBSTITUTE(AQ1794,".",""))=2,LEFT(AQ1794,vitri(".",AQ1794,2)-1),TRUE,LEFT(AQ1794,vitri(".",AQ1794,1)-1))</f>
        <v/>
      </c>
    </row>
    <row r="1795" spans="13:54" x14ac:dyDescent="0.25">
      <c r="M1795" s="382"/>
      <c r="BB1795" s="253" t="str">
        <f t="array" ref="BB1795">_xlfn.IFS(AQ1795="","",LEN(AQ1795)-LEN(SUBSTITUTE(AQ1795,".",""))=3,LEFT(AQ1795,vitri(".",AQ1795,3)-1),LEN(AQ1795)-LEN(SUBSTITUTE(AQ1795,".",""))=2,LEFT(AQ1795,vitri(".",AQ1795,2)-1),TRUE,LEFT(AQ1795,vitri(".",AQ1795,1)-1))</f>
        <v/>
      </c>
    </row>
    <row r="1796" spans="13:54" x14ac:dyDescent="0.25">
      <c r="M1796" s="382"/>
      <c r="BB1796" s="253" t="str">
        <f t="array" ref="BB1796">_xlfn.IFS(AQ1796="","",LEN(AQ1796)-LEN(SUBSTITUTE(AQ1796,".",""))=3,LEFT(AQ1796,vitri(".",AQ1796,3)-1),LEN(AQ1796)-LEN(SUBSTITUTE(AQ1796,".",""))=2,LEFT(AQ1796,vitri(".",AQ1796,2)-1),TRUE,LEFT(AQ1796,vitri(".",AQ1796,1)-1))</f>
        <v/>
      </c>
    </row>
    <row r="1797" spans="13:54" x14ac:dyDescent="0.25">
      <c r="M1797" s="382"/>
      <c r="BB1797" s="253" t="str">
        <f t="array" ref="BB1797">_xlfn.IFS(AQ1797="","",LEN(AQ1797)-LEN(SUBSTITUTE(AQ1797,".",""))=3,LEFT(AQ1797,vitri(".",AQ1797,3)-1),LEN(AQ1797)-LEN(SUBSTITUTE(AQ1797,".",""))=2,LEFT(AQ1797,vitri(".",AQ1797,2)-1),TRUE,LEFT(AQ1797,vitri(".",AQ1797,1)-1))</f>
        <v/>
      </c>
    </row>
    <row r="1798" spans="13:54" x14ac:dyDescent="0.25">
      <c r="M1798" s="382"/>
      <c r="BB1798" s="253" t="str">
        <f t="array" ref="BB1798">_xlfn.IFS(AQ1798="","",LEN(AQ1798)-LEN(SUBSTITUTE(AQ1798,".",""))=3,LEFT(AQ1798,vitri(".",AQ1798,3)-1),LEN(AQ1798)-LEN(SUBSTITUTE(AQ1798,".",""))=2,LEFT(AQ1798,vitri(".",AQ1798,2)-1),TRUE,LEFT(AQ1798,vitri(".",AQ1798,1)-1))</f>
        <v/>
      </c>
    </row>
    <row r="1799" spans="13:54" x14ac:dyDescent="0.25">
      <c r="M1799" s="382"/>
      <c r="BB1799" s="253" t="str">
        <f t="array" ref="BB1799">_xlfn.IFS(AQ1799="","",LEN(AQ1799)-LEN(SUBSTITUTE(AQ1799,".",""))=3,LEFT(AQ1799,vitri(".",AQ1799,3)-1),LEN(AQ1799)-LEN(SUBSTITUTE(AQ1799,".",""))=2,LEFT(AQ1799,vitri(".",AQ1799,2)-1),TRUE,LEFT(AQ1799,vitri(".",AQ1799,1)-1))</f>
        <v/>
      </c>
    </row>
    <row r="1800" spans="13:54" x14ac:dyDescent="0.25">
      <c r="M1800" s="382"/>
      <c r="BB1800" s="253" t="str">
        <f t="array" ref="BB1800">_xlfn.IFS(AQ1800="","",LEN(AQ1800)-LEN(SUBSTITUTE(AQ1800,".",""))=3,LEFT(AQ1800,vitri(".",AQ1800,3)-1),LEN(AQ1800)-LEN(SUBSTITUTE(AQ1800,".",""))=2,LEFT(AQ1800,vitri(".",AQ1800,2)-1),TRUE,LEFT(AQ1800,vitri(".",AQ1800,1)-1))</f>
        <v/>
      </c>
    </row>
    <row r="1801" spans="13:54" x14ac:dyDescent="0.25">
      <c r="M1801" s="382"/>
      <c r="BB1801" s="253" t="str">
        <f t="array" ref="BB1801">_xlfn.IFS(AQ1801="","",LEN(AQ1801)-LEN(SUBSTITUTE(AQ1801,".",""))=3,LEFT(AQ1801,vitri(".",AQ1801,3)-1),LEN(AQ1801)-LEN(SUBSTITUTE(AQ1801,".",""))=2,LEFT(AQ1801,vitri(".",AQ1801,2)-1),TRUE,LEFT(AQ1801,vitri(".",AQ1801,1)-1))</f>
        <v/>
      </c>
    </row>
    <row r="1802" spans="13:54" x14ac:dyDescent="0.25">
      <c r="M1802" s="382"/>
      <c r="BB1802" s="253" t="str">
        <f t="array" ref="BB1802">_xlfn.IFS(AQ1802="","",LEN(AQ1802)-LEN(SUBSTITUTE(AQ1802,".",""))=3,LEFT(AQ1802,vitri(".",AQ1802,3)-1),LEN(AQ1802)-LEN(SUBSTITUTE(AQ1802,".",""))=2,LEFT(AQ1802,vitri(".",AQ1802,2)-1),TRUE,LEFT(AQ1802,vitri(".",AQ1802,1)-1))</f>
        <v/>
      </c>
    </row>
    <row r="1803" spans="13:54" x14ac:dyDescent="0.25">
      <c r="M1803" s="382"/>
      <c r="BB1803" s="253" t="str">
        <f t="array" ref="BB1803">_xlfn.IFS(AQ1803="","",LEN(AQ1803)-LEN(SUBSTITUTE(AQ1803,".",""))=3,LEFT(AQ1803,vitri(".",AQ1803,3)-1),LEN(AQ1803)-LEN(SUBSTITUTE(AQ1803,".",""))=2,LEFT(AQ1803,vitri(".",AQ1803,2)-1),TRUE,LEFT(AQ1803,vitri(".",AQ1803,1)-1))</f>
        <v/>
      </c>
    </row>
    <row r="1804" spans="13:54" x14ac:dyDescent="0.25">
      <c r="M1804" s="382"/>
      <c r="BB1804" s="253" t="str">
        <f t="array" ref="BB1804">_xlfn.IFS(AQ1804="","",LEN(AQ1804)-LEN(SUBSTITUTE(AQ1804,".",""))=3,LEFT(AQ1804,vitri(".",AQ1804,3)-1),LEN(AQ1804)-LEN(SUBSTITUTE(AQ1804,".",""))=2,LEFT(AQ1804,vitri(".",AQ1804,2)-1),TRUE,LEFT(AQ1804,vitri(".",AQ1804,1)-1))</f>
        <v/>
      </c>
    </row>
    <row r="1805" spans="13:54" x14ac:dyDescent="0.25">
      <c r="M1805" s="382"/>
      <c r="BB1805" s="253" t="str">
        <f t="array" ref="BB1805">_xlfn.IFS(AQ1805="","",LEN(AQ1805)-LEN(SUBSTITUTE(AQ1805,".",""))=3,LEFT(AQ1805,vitri(".",AQ1805,3)-1),LEN(AQ1805)-LEN(SUBSTITUTE(AQ1805,".",""))=2,LEFT(AQ1805,vitri(".",AQ1805,2)-1),TRUE,LEFT(AQ1805,vitri(".",AQ1805,1)-1))</f>
        <v/>
      </c>
    </row>
    <row r="1806" spans="13:54" x14ac:dyDescent="0.25">
      <c r="M1806" s="382"/>
      <c r="BB1806" s="253" t="str">
        <f t="array" ref="BB1806">_xlfn.IFS(AQ1806="","",LEN(AQ1806)-LEN(SUBSTITUTE(AQ1806,".",""))=3,LEFT(AQ1806,vitri(".",AQ1806,3)-1),LEN(AQ1806)-LEN(SUBSTITUTE(AQ1806,".",""))=2,LEFT(AQ1806,vitri(".",AQ1806,2)-1),TRUE,LEFT(AQ1806,vitri(".",AQ1806,1)-1))</f>
        <v/>
      </c>
    </row>
    <row r="1807" spans="13:54" x14ac:dyDescent="0.25">
      <c r="M1807" s="382"/>
      <c r="BB1807" s="253" t="str">
        <f t="array" ref="BB1807">_xlfn.IFS(AQ1807="","",LEN(AQ1807)-LEN(SUBSTITUTE(AQ1807,".",""))=3,LEFT(AQ1807,vitri(".",AQ1807,3)-1),LEN(AQ1807)-LEN(SUBSTITUTE(AQ1807,".",""))=2,LEFT(AQ1807,vitri(".",AQ1807,2)-1),TRUE,LEFT(AQ1807,vitri(".",AQ1807,1)-1))</f>
        <v/>
      </c>
    </row>
    <row r="1808" spans="13:54" x14ac:dyDescent="0.25">
      <c r="M1808" s="382"/>
      <c r="BB1808" s="253" t="str">
        <f t="array" ref="BB1808">_xlfn.IFS(AQ1808="","",LEN(AQ1808)-LEN(SUBSTITUTE(AQ1808,".",""))=3,LEFT(AQ1808,vitri(".",AQ1808,3)-1),LEN(AQ1808)-LEN(SUBSTITUTE(AQ1808,".",""))=2,LEFT(AQ1808,vitri(".",AQ1808,2)-1),TRUE,LEFT(AQ1808,vitri(".",AQ1808,1)-1))</f>
        <v/>
      </c>
    </row>
    <row r="1809" spans="13:54" x14ac:dyDescent="0.25">
      <c r="M1809" s="382"/>
      <c r="BB1809" s="253" t="str">
        <f t="array" ref="BB1809">_xlfn.IFS(AQ1809="","",LEN(AQ1809)-LEN(SUBSTITUTE(AQ1809,".",""))=3,LEFT(AQ1809,vitri(".",AQ1809,3)-1),LEN(AQ1809)-LEN(SUBSTITUTE(AQ1809,".",""))=2,LEFT(AQ1809,vitri(".",AQ1809,2)-1),TRUE,LEFT(AQ1809,vitri(".",AQ1809,1)-1))</f>
        <v/>
      </c>
    </row>
    <row r="1810" spans="13:54" x14ac:dyDescent="0.25">
      <c r="M1810" s="382"/>
      <c r="BB1810" s="253" t="str">
        <f t="array" ref="BB1810">_xlfn.IFS(AQ1810="","",LEN(AQ1810)-LEN(SUBSTITUTE(AQ1810,".",""))=3,LEFT(AQ1810,vitri(".",AQ1810,3)-1),LEN(AQ1810)-LEN(SUBSTITUTE(AQ1810,".",""))=2,LEFT(AQ1810,vitri(".",AQ1810,2)-1),TRUE,LEFT(AQ1810,vitri(".",AQ1810,1)-1))</f>
        <v/>
      </c>
    </row>
    <row r="1811" spans="13:54" x14ac:dyDescent="0.25">
      <c r="M1811" s="382"/>
      <c r="BB1811" s="253" t="str">
        <f t="array" ref="BB1811">_xlfn.IFS(AQ1811="","",LEN(AQ1811)-LEN(SUBSTITUTE(AQ1811,".",""))=3,LEFT(AQ1811,vitri(".",AQ1811,3)-1),LEN(AQ1811)-LEN(SUBSTITUTE(AQ1811,".",""))=2,LEFT(AQ1811,vitri(".",AQ1811,2)-1),TRUE,LEFT(AQ1811,vitri(".",AQ1811,1)-1))</f>
        <v/>
      </c>
    </row>
    <row r="1812" spans="13:54" x14ac:dyDescent="0.25">
      <c r="M1812" s="382"/>
      <c r="BB1812" s="253" t="str">
        <f t="array" ref="BB1812">_xlfn.IFS(AQ1812="","",LEN(AQ1812)-LEN(SUBSTITUTE(AQ1812,".",""))=3,LEFT(AQ1812,vitri(".",AQ1812,3)-1),LEN(AQ1812)-LEN(SUBSTITUTE(AQ1812,".",""))=2,LEFT(AQ1812,vitri(".",AQ1812,2)-1),TRUE,LEFT(AQ1812,vitri(".",AQ1812,1)-1))</f>
        <v/>
      </c>
    </row>
    <row r="1813" spans="13:54" x14ac:dyDescent="0.25">
      <c r="M1813" s="382"/>
      <c r="BB1813" s="253" t="str">
        <f t="array" ref="BB1813">_xlfn.IFS(AQ1813="","",LEN(AQ1813)-LEN(SUBSTITUTE(AQ1813,".",""))=3,LEFT(AQ1813,vitri(".",AQ1813,3)-1),LEN(AQ1813)-LEN(SUBSTITUTE(AQ1813,".",""))=2,LEFT(AQ1813,vitri(".",AQ1813,2)-1),TRUE,LEFT(AQ1813,vitri(".",AQ1813,1)-1))</f>
        <v/>
      </c>
    </row>
    <row r="1814" spans="13:54" x14ac:dyDescent="0.25">
      <c r="M1814" s="382"/>
      <c r="BB1814" s="253" t="str">
        <f t="array" ref="BB1814">_xlfn.IFS(AQ1814="","",LEN(AQ1814)-LEN(SUBSTITUTE(AQ1814,".",""))=3,LEFT(AQ1814,vitri(".",AQ1814,3)-1),LEN(AQ1814)-LEN(SUBSTITUTE(AQ1814,".",""))=2,LEFT(AQ1814,vitri(".",AQ1814,2)-1),TRUE,LEFT(AQ1814,vitri(".",AQ1814,1)-1))</f>
        <v/>
      </c>
    </row>
    <row r="1815" spans="13:54" x14ac:dyDescent="0.25">
      <c r="M1815" s="382"/>
      <c r="BB1815" s="253" t="str">
        <f t="array" ref="BB1815">_xlfn.IFS(AQ1815="","",LEN(AQ1815)-LEN(SUBSTITUTE(AQ1815,".",""))=3,LEFT(AQ1815,vitri(".",AQ1815,3)-1),LEN(AQ1815)-LEN(SUBSTITUTE(AQ1815,".",""))=2,LEFT(AQ1815,vitri(".",AQ1815,2)-1),TRUE,LEFT(AQ1815,vitri(".",AQ1815,1)-1))</f>
        <v/>
      </c>
    </row>
    <row r="1816" spans="13:54" x14ac:dyDescent="0.25">
      <c r="M1816" s="382"/>
      <c r="BB1816" s="253" t="str">
        <f t="array" ref="BB1816">_xlfn.IFS(AQ1816="","",LEN(AQ1816)-LEN(SUBSTITUTE(AQ1816,".",""))=3,LEFT(AQ1816,vitri(".",AQ1816,3)-1),LEN(AQ1816)-LEN(SUBSTITUTE(AQ1816,".",""))=2,LEFT(AQ1816,vitri(".",AQ1816,2)-1),TRUE,LEFT(AQ1816,vitri(".",AQ1816,1)-1))</f>
        <v/>
      </c>
    </row>
    <row r="1817" spans="13:54" x14ac:dyDescent="0.25">
      <c r="M1817" s="382"/>
      <c r="BB1817" s="253" t="str">
        <f t="array" ref="BB1817">_xlfn.IFS(AQ1817="","",LEN(AQ1817)-LEN(SUBSTITUTE(AQ1817,".",""))=3,LEFT(AQ1817,vitri(".",AQ1817,3)-1),LEN(AQ1817)-LEN(SUBSTITUTE(AQ1817,".",""))=2,LEFT(AQ1817,vitri(".",AQ1817,2)-1),TRUE,LEFT(AQ1817,vitri(".",AQ1817,1)-1))</f>
        <v/>
      </c>
    </row>
    <row r="1818" spans="13:54" x14ac:dyDescent="0.25">
      <c r="M1818" s="382"/>
      <c r="BB1818" s="253" t="str">
        <f t="array" ref="BB1818">_xlfn.IFS(AQ1818="","",LEN(AQ1818)-LEN(SUBSTITUTE(AQ1818,".",""))=3,LEFT(AQ1818,vitri(".",AQ1818,3)-1),LEN(AQ1818)-LEN(SUBSTITUTE(AQ1818,".",""))=2,LEFT(AQ1818,vitri(".",AQ1818,2)-1),TRUE,LEFT(AQ1818,vitri(".",AQ1818,1)-1))</f>
        <v/>
      </c>
    </row>
    <row r="1819" spans="13:54" x14ac:dyDescent="0.25">
      <c r="M1819" s="382"/>
      <c r="BB1819" s="253" t="str">
        <f t="array" ref="BB1819">_xlfn.IFS(AQ1819="","",LEN(AQ1819)-LEN(SUBSTITUTE(AQ1819,".",""))=3,LEFT(AQ1819,vitri(".",AQ1819,3)-1),LEN(AQ1819)-LEN(SUBSTITUTE(AQ1819,".",""))=2,LEFT(AQ1819,vitri(".",AQ1819,2)-1),TRUE,LEFT(AQ1819,vitri(".",AQ1819,1)-1))</f>
        <v/>
      </c>
    </row>
    <row r="1820" spans="13:54" x14ac:dyDescent="0.25">
      <c r="M1820" s="382"/>
      <c r="BB1820" s="253" t="str">
        <f t="array" ref="BB1820">_xlfn.IFS(AQ1820="","",LEN(AQ1820)-LEN(SUBSTITUTE(AQ1820,".",""))=3,LEFT(AQ1820,vitri(".",AQ1820,3)-1),LEN(AQ1820)-LEN(SUBSTITUTE(AQ1820,".",""))=2,LEFT(AQ1820,vitri(".",AQ1820,2)-1),TRUE,LEFT(AQ1820,vitri(".",AQ1820,1)-1))</f>
        <v/>
      </c>
    </row>
    <row r="1821" spans="13:54" x14ac:dyDescent="0.25">
      <c r="M1821" s="382"/>
      <c r="BB1821" s="253" t="str">
        <f t="array" ref="BB1821">_xlfn.IFS(AQ1821="","",LEN(AQ1821)-LEN(SUBSTITUTE(AQ1821,".",""))=3,LEFT(AQ1821,vitri(".",AQ1821,3)-1),LEN(AQ1821)-LEN(SUBSTITUTE(AQ1821,".",""))=2,LEFT(AQ1821,vitri(".",AQ1821,2)-1),TRUE,LEFT(AQ1821,vitri(".",AQ1821,1)-1))</f>
        <v/>
      </c>
    </row>
    <row r="1822" spans="13:54" x14ac:dyDescent="0.25">
      <c r="M1822" s="382"/>
      <c r="BB1822" s="253" t="str">
        <f t="array" ref="BB1822">_xlfn.IFS(AQ1822="","",LEN(AQ1822)-LEN(SUBSTITUTE(AQ1822,".",""))=3,LEFT(AQ1822,vitri(".",AQ1822,3)-1),LEN(AQ1822)-LEN(SUBSTITUTE(AQ1822,".",""))=2,LEFT(AQ1822,vitri(".",AQ1822,2)-1),TRUE,LEFT(AQ1822,vitri(".",AQ1822,1)-1))</f>
        <v/>
      </c>
    </row>
    <row r="1823" spans="13:54" x14ac:dyDescent="0.25">
      <c r="M1823" s="382"/>
      <c r="BB1823" s="253" t="str">
        <f t="array" ref="BB1823">_xlfn.IFS(AQ1823="","",LEN(AQ1823)-LEN(SUBSTITUTE(AQ1823,".",""))=3,LEFT(AQ1823,vitri(".",AQ1823,3)-1),LEN(AQ1823)-LEN(SUBSTITUTE(AQ1823,".",""))=2,LEFT(AQ1823,vitri(".",AQ1823,2)-1),TRUE,LEFT(AQ1823,vitri(".",AQ1823,1)-1))</f>
        <v/>
      </c>
    </row>
    <row r="1824" spans="13:54" x14ac:dyDescent="0.25">
      <c r="M1824" s="382"/>
      <c r="BB1824" s="253" t="str">
        <f t="array" ref="BB1824">_xlfn.IFS(AQ1824="","",LEN(AQ1824)-LEN(SUBSTITUTE(AQ1824,".",""))=3,LEFT(AQ1824,vitri(".",AQ1824,3)-1),LEN(AQ1824)-LEN(SUBSTITUTE(AQ1824,".",""))=2,LEFT(AQ1824,vitri(".",AQ1824,2)-1),TRUE,LEFT(AQ1824,vitri(".",AQ1824,1)-1))</f>
        <v/>
      </c>
    </row>
    <row r="1825" spans="13:54" x14ac:dyDescent="0.25">
      <c r="M1825" s="382"/>
      <c r="BB1825" s="253" t="str">
        <f t="array" ref="BB1825">_xlfn.IFS(AQ1825="","",LEN(AQ1825)-LEN(SUBSTITUTE(AQ1825,".",""))=3,LEFT(AQ1825,vitri(".",AQ1825,3)-1),LEN(AQ1825)-LEN(SUBSTITUTE(AQ1825,".",""))=2,LEFT(AQ1825,vitri(".",AQ1825,2)-1),TRUE,LEFT(AQ1825,vitri(".",AQ1825,1)-1))</f>
        <v/>
      </c>
    </row>
    <row r="1826" spans="13:54" x14ac:dyDescent="0.25">
      <c r="M1826" s="382"/>
      <c r="BB1826" s="253" t="str">
        <f t="array" ref="BB1826">_xlfn.IFS(AQ1826="","",LEN(AQ1826)-LEN(SUBSTITUTE(AQ1826,".",""))=3,LEFT(AQ1826,vitri(".",AQ1826,3)-1),LEN(AQ1826)-LEN(SUBSTITUTE(AQ1826,".",""))=2,LEFT(AQ1826,vitri(".",AQ1826,2)-1),TRUE,LEFT(AQ1826,vitri(".",AQ1826,1)-1))</f>
        <v/>
      </c>
    </row>
    <row r="1827" spans="13:54" x14ac:dyDescent="0.25">
      <c r="M1827" s="382"/>
      <c r="BB1827" s="253" t="str">
        <f t="array" ref="BB1827">_xlfn.IFS(AQ1827="","",LEN(AQ1827)-LEN(SUBSTITUTE(AQ1827,".",""))=3,LEFT(AQ1827,vitri(".",AQ1827,3)-1),LEN(AQ1827)-LEN(SUBSTITUTE(AQ1827,".",""))=2,LEFT(AQ1827,vitri(".",AQ1827,2)-1),TRUE,LEFT(AQ1827,vitri(".",AQ1827,1)-1))</f>
        <v/>
      </c>
    </row>
    <row r="1828" spans="13:54" x14ac:dyDescent="0.25">
      <c r="M1828" s="382"/>
      <c r="BB1828" s="253" t="str">
        <f t="array" ref="BB1828">_xlfn.IFS(AQ1828="","",LEN(AQ1828)-LEN(SUBSTITUTE(AQ1828,".",""))=3,LEFT(AQ1828,vitri(".",AQ1828,3)-1),LEN(AQ1828)-LEN(SUBSTITUTE(AQ1828,".",""))=2,LEFT(AQ1828,vitri(".",AQ1828,2)-1),TRUE,LEFT(AQ1828,vitri(".",AQ1828,1)-1))</f>
        <v/>
      </c>
    </row>
    <row r="1829" spans="13:54" x14ac:dyDescent="0.25">
      <c r="M1829" s="382"/>
      <c r="BB1829" s="253" t="str">
        <f t="array" ref="BB1829">_xlfn.IFS(AQ1829="","",LEN(AQ1829)-LEN(SUBSTITUTE(AQ1829,".",""))=3,LEFT(AQ1829,vitri(".",AQ1829,3)-1),LEN(AQ1829)-LEN(SUBSTITUTE(AQ1829,".",""))=2,LEFT(AQ1829,vitri(".",AQ1829,2)-1),TRUE,LEFT(AQ1829,vitri(".",AQ1829,1)-1))</f>
        <v/>
      </c>
    </row>
    <row r="1830" spans="13:54" x14ac:dyDescent="0.25">
      <c r="M1830" s="382"/>
      <c r="BB1830" s="253" t="str">
        <f t="array" ref="BB1830">_xlfn.IFS(AQ1830="","",LEN(AQ1830)-LEN(SUBSTITUTE(AQ1830,".",""))=3,LEFT(AQ1830,vitri(".",AQ1830,3)-1),LEN(AQ1830)-LEN(SUBSTITUTE(AQ1830,".",""))=2,LEFT(AQ1830,vitri(".",AQ1830,2)-1),TRUE,LEFT(AQ1830,vitri(".",AQ1830,1)-1))</f>
        <v/>
      </c>
    </row>
    <row r="1831" spans="13:54" x14ac:dyDescent="0.25">
      <c r="M1831" s="382"/>
      <c r="BB1831" s="253" t="str">
        <f t="array" ref="BB1831">_xlfn.IFS(AQ1831="","",LEN(AQ1831)-LEN(SUBSTITUTE(AQ1831,".",""))=3,LEFT(AQ1831,vitri(".",AQ1831,3)-1),LEN(AQ1831)-LEN(SUBSTITUTE(AQ1831,".",""))=2,LEFT(AQ1831,vitri(".",AQ1831,2)-1),TRUE,LEFT(AQ1831,vitri(".",AQ1831,1)-1))</f>
        <v/>
      </c>
    </row>
    <row r="1832" spans="13:54" x14ac:dyDescent="0.25">
      <c r="M1832" s="382"/>
      <c r="BB1832" s="253" t="str">
        <f t="array" ref="BB1832">_xlfn.IFS(AQ1832="","",LEN(AQ1832)-LEN(SUBSTITUTE(AQ1832,".",""))=3,LEFT(AQ1832,vitri(".",AQ1832,3)-1),LEN(AQ1832)-LEN(SUBSTITUTE(AQ1832,".",""))=2,LEFT(AQ1832,vitri(".",AQ1832,2)-1),TRUE,LEFT(AQ1832,vitri(".",AQ1832,1)-1))</f>
        <v/>
      </c>
    </row>
    <row r="1833" spans="13:54" x14ac:dyDescent="0.25">
      <c r="M1833" s="382"/>
      <c r="BB1833" s="253" t="str">
        <f t="array" ref="BB1833">_xlfn.IFS(AQ1833="","",LEN(AQ1833)-LEN(SUBSTITUTE(AQ1833,".",""))=3,LEFT(AQ1833,vitri(".",AQ1833,3)-1),LEN(AQ1833)-LEN(SUBSTITUTE(AQ1833,".",""))=2,LEFT(AQ1833,vitri(".",AQ1833,2)-1),TRUE,LEFT(AQ1833,vitri(".",AQ1833,1)-1))</f>
        <v/>
      </c>
    </row>
    <row r="1834" spans="13:54" x14ac:dyDescent="0.25">
      <c r="M1834" s="382"/>
      <c r="BB1834" s="253" t="str">
        <f t="array" ref="BB1834">_xlfn.IFS(AQ1834="","",LEN(AQ1834)-LEN(SUBSTITUTE(AQ1834,".",""))=3,LEFT(AQ1834,vitri(".",AQ1834,3)-1),LEN(AQ1834)-LEN(SUBSTITUTE(AQ1834,".",""))=2,LEFT(AQ1834,vitri(".",AQ1834,2)-1),TRUE,LEFT(AQ1834,vitri(".",AQ1834,1)-1))</f>
        <v/>
      </c>
    </row>
    <row r="1835" spans="13:54" x14ac:dyDescent="0.25">
      <c r="M1835" s="382"/>
      <c r="BB1835" s="253" t="str">
        <f t="array" ref="BB1835">_xlfn.IFS(AQ1835="","",LEN(AQ1835)-LEN(SUBSTITUTE(AQ1835,".",""))=3,LEFT(AQ1835,vitri(".",AQ1835,3)-1),LEN(AQ1835)-LEN(SUBSTITUTE(AQ1835,".",""))=2,LEFT(AQ1835,vitri(".",AQ1835,2)-1),TRUE,LEFT(AQ1835,vitri(".",AQ1835,1)-1))</f>
        <v/>
      </c>
    </row>
    <row r="1836" spans="13:54" x14ac:dyDescent="0.25">
      <c r="M1836" s="382"/>
      <c r="BB1836" s="253" t="str">
        <f t="array" ref="BB1836">_xlfn.IFS(AQ1836="","",LEN(AQ1836)-LEN(SUBSTITUTE(AQ1836,".",""))=3,LEFT(AQ1836,vitri(".",AQ1836,3)-1),LEN(AQ1836)-LEN(SUBSTITUTE(AQ1836,".",""))=2,LEFT(AQ1836,vitri(".",AQ1836,2)-1),TRUE,LEFT(AQ1836,vitri(".",AQ1836,1)-1))</f>
        <v/>
      </c>
    </row>
    <row r="1837" spans="13:54" x14ac:dyDescent="0.25">
      <c r="M1837" s="382"/>
      <c r="BB1837" s="253" t="str">
        <f t="array" ref="BB1837">_xlfn.IFS(AQ1837="","",LEN(AQ1837)-LEN(SUBSTITUTE(AQ1837,".",""))=3,LEFT(AQ1837,vitri(".",AQ1837,3)-1),LEN(AQ1837)-LEN(SUBSTITUTE(AQ1837,".",""))=2,LEFT(AQ1837,vitri(".",AQ1837,2)-1),TRUE,LEFT(AQ1837,vitri(".",AQ1837,1)-1))</f>
        <v/>
      </c>
    </row>
    <row r="1838" spans="13:54" x14ac:dyDescent="0.25">
      <c r="M1838" s="382"/>
      <c r="BB1838" s="253" t="str">
        <f t="array" ref="BB1838">_xlfn.IFS(AQ1838="","",LEN(AQ1838)-LEN(SUBSTITUTE(AQ1838,".",""))=3,LEFT(AQ1838,vitri(".",AQ1838,3)-1),LEN(AQ1838)-LEN(SUBSTITUTE(AQ1838,".",""))=2,LEFT(AQ1838,vitri(".",AQ1838,2)-1),TRUE,LEFT(AQ1838,vitri(".",AQ1838,1)-1))</f>
        <v/>
      </c>
    </row>
    <row r="1839" spans="13:54" x14ac:dyDescent="0.25">
      <c r="M1839" s="382"/>
      <c r="BB1839" s="253" t="str">
        <f t="array" ref="BB1839">_xlfn.IFS(AQ1839="","",LEN(AQ1839)-LEN(SUBSTITUTE(AQ1839,".",""))=3,LEFT(AQ1839,vitri(".",AQ1839,3)-1),LEN(AQ1839)-LEN(SUBSTITUTE(AQ1839,".",""))=2,LEFT(AQ1839,vitri(".",AQ1839,2)-1),TRUE,LEFT(AQ1839,vitri(".",AQ1839,1)-1))</f>
        <v/>
      </c>
    </row>
    <row r="1840" spans="13:54" x14ac:dyDescent="0.25">
      <c r="M1840" s="382"/>
      <c r="BB1840" s="253" t="str">
        <f t="array" ref="BB1840">_xlfn.IFS(AQ1840="","",LEN(AQ1840)-LEN(SUBSTITUTE(AQ1840,".",""))=3,LEFT(AQ1840,vitri(".",AQ1840,3)-1),LEN(AQ1840)-LEN(SUBSTITUTE(AQ1840,".",""))=2,LEFT(AQ1840,vitri(".",AQ1840,2)-1),TRUE,LEFT(AQ1840,vitri(".",AQ1840,1)-1))</f>
        <v/>
      </c>
    </row>
    <row r="1841" spans="13:54" x14ac:dyDescent="0.25">
      <c r="M1841" s="382"/>
      <c r="BB1841" s="253" t="str">
        <f t="array" ref="BB1841">_xlfn.IFS(AQ1841="","",LEN(AQ1841)-LEN(SUBSTITUTE(AQ1841,".",""))=3,LEFT(AQ1841,vitri(".",AQ1841,3)-1),LEN(AQ1841)-LEN(SUBSTITUTE(AQ1841,".",""))=2,LEFT(AQ1841,vitri(".",AQ1841,2)-1),TRUE,LEFT(AQ1841,vitri(".",AQ1841,1)-1))</f>
        <v/>
      </c>
    </row>
    <row r="1842" spans="13:54" x14ac:dyDescent="0.25">
      <c r="M1842" s="382"/>
      <c r="BB1842" s="253" t="str">
        <f t="array" ref="BB1842">_xlfn.IFS(AQ1842="","",LEN(AQ1842)-LEN(SUBSTITUTE(AQ1842,".",""))=3,LEFT(AQ1842,vitri(".",AQ1842,3)-1),LEN(AQ1842)-LEN(SUBSTITUTE(AQ1842,".",""))=2,LEFT(AQ1842,vitri(".",AQ1842,2)-1),TRUE,LEFT(AQ1842,vitri(".",AQ1842,1)-1))</f>
        <v/>
      </c>
    </row>
    <row r="1843" spans="13:54" x14ac:dyDescent="0.25">
      <c r="M1843" s="382"/>
      <c r="BB1843" s="253" t="str">
        <f t="array" ref="BB1843">_xlfn.IFS(AQ1843="","",LEN(AQ1843)-LEN(SUBSTITUTE(AQ1843,".",""))=3,LEFT(AQ1843,vitri(".",AQ1843,3)-1),LEN(AQ1843)-LEN(SUBSTITUTE(AQ1843,".",""))=2,LEFT(AQ1843,vitri(".",AQ1843,2)-1),TRUE,LEFT(AQ1843,vitri(".",AQ1843,1)-1))</f>
        <v/>
      </c>
    </row>
    <row r="1844" spans="13:54" x14ac:dyDescent="0.25">
      <c r="M1844" s="382"/>
      <c r="BB1844" s="253" t="str">
        <f t="array" ref="BB1844">_xlfn.IFS(AQ1844="","",LEN(AQ1844)-LEN(SUBSTITUTE(AQ1844,".",""))=3,LEFT(AQ1844,vitri(".",AQ1844,3)-1),LEN(AQ1844)-LEN(SUBSTITUTE(AQ1844,".",""))=2,LEFT(AQ1844,vitri(".",AQ1844,2)-1),TRUE,LEFT(AQ1844,vitri(".",AQ1844,1)-1))</f>
        <v/>
      </c>
    </row>
    <row r="1845" spans="13:54" x14ac:dyDescent="0.25">
      <c r="M1845" s="382"/>
      <c r="BB1845" s="253" t="str">
        <f t="array" ref="BB1845">_xlfn.IFS(AQ1845="","",LEN(AQ1845)-LEN(SUBSTITUTE(AQ1845,".",""))=3,LEFT(AQ1845,vitri(".",AQ1845,3)-1),LEN(AQ1845)-LEN(SUBSTITUTE(AQ1845,".",""))=2,LEFT(AQ1845,vitri(".",AQ1845,2)-1),TRUE,LEFT(AQ1845,vitri(".",AQ1845,1)-1))</f>
        <v/>
      </c>
    </row>
    <row r="1846" spans="13:54" x14ac:dyDescent="0.25">
      <c r="M1846" s="382"/>
      <c r="BB1846" s="253" t="str">
        <f t="array" ref="BB1846">_xlfn.IFS(AQ1846="","",LEN(AQ1846)-LEN(SUBSTITUTE(AQ1846,".",""))=3,LEFT(AQ1846,vitri(".",AQ1846,3)-1),LEN(AQ1846)-LEN(SUBSTITUTE(AQ1846,".",""))=2,LEFT(AQ1846,vitri(".",AQ1846,2)-1),TRUE,LEFT(AQ1846,vitri(".",AQ1846,1)-1))</f>
        <v/>
      </c>
    </row>
    <row r="1847" spans="13:54" x14ac:dyDescent="0.25">
      <c r="M1847" s="382"/>
      <c r="BB1847" s="253" t="str">
        <f t="array" ref="BB1847">_xlfn.IFS(AQ1847="","",LEN(AQ1847)-LEN(SUBSTITUTE(AQ1847,".",""))=3,LEFT(AQ1847,vitri(".",AQ1847,3)-1),LEN(AQ1847)-LEN(SUBSTITUTE(AQ1847,".",""))=2,LEFT(AQ1847,vitri(".",AQ1847,2)-1),TRUE,LEFT(AQ1847,vitri(".",AQ1847,1)-1))</f>
        <v/>
      </c>
    </row>
    <row r="1848" spans="13:54" x14ac:dyDescent="0.25">
      <c r="M1848" s="382"/>
      <c r="BB1848" s="253" t="str">
        <f t="array" ref="BB1848">_xlfn.IFS(AQ1848="","",LEN(AQ1848)-LEN(SUBSTITUTE(AQ1848,".",""))=3,LEFT(AQ1848,vitri(".",AQ1848,3)-1),LEN(AQ1848)-LEN(SUBSTITUTE(AQ1848,".",""))=2,LEFT(AQ1848,vitri(".",AQ1848,2)-1),TRUE,LEFT(AQ1848,vitri(".",AQ1848,1)-1))</f>
        <v/>
      </c>
    </row>
    <row r="1849" spans="13:54" x14ac:dyDescent="0.25">
      <c r="M1849" s="382"/>
      <c r="BB1849" s="253" t="str">
        <f t="array" ref="BB1849">_xlfn.IFS(AQ1849="","",LEN(AQ1849)-LEN(SUBSTITUTE(AQ1849,".",""))=3,LEFT(AQ1849,vitri(".",AQ1849,3)-1),LEN(AQ1849)-LEN(SUBSTITUTE(AQ1849,".",""))=2,LEFT(AQ1849,vitri(".",AQ1849,2)-1),TRUE,LEFT(AQ1849,vitri(".",AQ1849,1)-1))</f>
        <v/>
      </c>
    </row>
    <row r="1850" spans="13:54" x14ac:dyDescent="0.25">
      <c r="M1850" s="382"/>
      <c r="BB1850" s="253" t="str">
        <f t="array" ref="BB1850">_xlfn.IFS(AQ1850="","",LEN(AQ1850)-LEN(SUBSTITUTE(AQ1850,".",""))=3,LEFT(AQ1850,vitri(".",AQ1850,3)-1),LEN(AQ1850)-LEN(SUBSTITUTE(AQ1850,".",""))=2,LEFT(AQ1850,vitri(".",AQ1850,2)-1),TRUE,LEFT(AQ1850,vitri(".",AQ1850,1)-1))</f>
        <v/>
      </c>
    </row>
    <row r="1851" spans="13:54" x14ac:dyDescent="0.25">
      <c r="M1851" s="382"/>
      <c r="BB1851" s="253" t="str">
        <f t="array" ref="BB1851">_xlfn.IFS(AQ1851="","",LEN(AQ1851)-LEN(SUBSTITUTE(AQ1851,".",""))=3,LEFT(AQ1851,vitri(".",AQ1851,3)-1),LEN(AQ1851)-LEN(SUBSTITUTE(AQ1851,".",""))=2,LEFT(AQ1851,vitri(".",AQ1851,2)-1),TRUE,LEFT(AQ1851,vitri(".",AQ1851,1)-1))</f>
        <v/>
      </c>
    </row>
    <row r="1852" spans="13:54" x14ac:dyDescent="0.25">
      <c r="M1852" s="382"/>
      <c r="BB1852" s="253" t="str">
        <f t="array" ref="BB1852">_xlfn.IFS(AQ1852="","",LEN(AQ1852)-LEN(SUBSTITUTE(AQ1852,".",""))=3,LEFT(AQ1852,vitri(".",AQ1852,3)-1),LEN(AQ1852)-LEN(SUBSTITUTE(AQ1852,".",""))=2,LEFT(AQ1852,vitri(".",AQ1852,2)-1),TRUE,LEFT(AQ1852,vitri(".",AQ1852,1)-1))</f>
        <v/>
      </c>
    </row>
    <row r="1853" spans="13:54" x14ac:dyDescent="0.25">
      <c r="M1853" s="382"/>
      <c r="BB1853" s="253" t="str">
        <f t="array" ref="BB1853">_xlfn.IFS(AQ1853="","",LEN(AQ1853)-LEN(SUBSTITUTE(AQ1853,".",""))=3,LEFT(AQ1853,vitri(".",AQ1853,3)-1),LEN(AQ1853)-LEN(SUBSTITUTE(AQ1853,".",""))=2,LEFT(AQ1853,vitri(".",AQ1853,2)-1),TRUE,LEFT(AQ1853,vitri(".",AQ1853,1)-1))</f>
        <v/>
      </c>
    </row>
    <row r="1854" spans="13:54" x14ac:dyDescent="0.25">
      <c r="M1854" s="382"/>
      <c r="BB1854" s="253" t="str">
        <f t="array" ref="BB1854">_xlfn.IFS(AQ1854="","",LEN(AQ1854)-LEN(SUBSTITUTE(AQ1854,".",""))=3,LEFT(AQ1854,vitri(".",AQ1854,3)-1),LEN(AQ1854)-LEN(SUBSTITUTE(AQ1854,".",""))=2,LEFT(AQ1854,vitri(".",AQ1854,2)-1),TRUE,LEFT(AQ1854,vitri(".",AQ1854,1)-1))</f>
        <v/>
      </c>
    </row>
    <row r="1855" spans="13:54" x14ac:dyDescent="0.25">
      <c r="M1855" s="382"/>
      <c r="BB1855" s="253" t="str">
        <f t="array" ref="BB1855">_xlfn.IFS(AQ1855="","",LEN(AQ1855)-LEN(SUBSTITUTE(AQ1855,".",""))=3,LEFT(AQ1855,vitri(".",AQ1855,3)-1),LEN(AQ1855)-LEN(SUBSTITUTE(AQ1855,".",""))=2,LEFT(AQ1855,vitri(".",AQ1855,2)-1),TRUE,LEFT(AQ1855,vitri(".",AQ1855,1)-1))</f>
        <v/>
      </c>
    </row>
    <row r="1856" spans="13:54" x14ac:dyDescent="0.25">
      <c r="M1856" s="382"/>
      <c r="BB1856" s="253" t="str">
        <f t="array" ref="BB1856">_xlfn.IFS(AQ1856="","",LEN(AQ1856)-LEN(SUBSTITUTE(AQ1856,".",""))=3,LEFT(AQ1856,vitri(".",AQ1856,3)-1),LEN(AQ1856)-LEN(SUBSTITUTE(AQ1856,".",""))=2,LEFT(AQ1856,vitri(".",AQ1856,2)-1),TRUE,LEFT(AQ1856,vitri(".",AQ1856,1)-1))</f>
        <v/>
      </c>
    </row>
    <row r="1857" spans="13:54" x14ac:dyDescent="0.25">
      <c r="M1857" s="382"/>
      <c r="BB1857" s="253" t="str">
        <f t="array" ref="BB1857">_xlfn.IFS(AQ1857="","",LEN(AQ1857)-LEN(SUBSTITUTE(AQ1857,".",""))=3,LEFT(AQ1857,vitri(".",AQ1857,3)-1),LEN(AQ1857)-LEN(SUBSTITUTE(AQ1857,".",""))=2,LEFT(AQ1857,vitri(".",AQ1857,2)-1),TRUE,LEFT(AQ1857,vitri(".",AQ1857,1)-1))</f>
        <v/>
      </c>
    </row>
    <row r="1858" spans="13:54" x14ac:dyDescent="0.25">
      <c r="M1858" s="382"/>
      <c r="BB1858" s="253" t="str">
        <f t="array" ref="BB1858">_xlfn.IFS(AQ1858="","",LEN(AQ1858)-LEN(SUBSTITUTE(AQ1858,".",""))=3,LEFT(AQ1858,vitri(".",AQ1858,3)-1),LEN(AQ1858)-LEN(SUBSTITUTE(AQ1858,".",""))=2,LEFT(AQ1858,vitri(".",AQ1858,2)-1),TRUE,LEFT(AQ1858,vitri(".",AQ1858,1)-1))</f>
        <v/>
      </c>
    </row>
    <row r="1859" spans="13:54" x14ac:dyDescent="0.25">
      <c r="M1859" s="382"/>
      <c r="BB1859" s="253" t="str">
        <f t="array" ref="BB1859">_xlfn.IFS(AQ1859="","",LEN(AQ1859)-LEN(SUBSTITUTE(AQ1859,".",""))=3,LEFT(AQ1859,vitri(".",AQ1859,3)-1),LEN(AQ1859)-LEN(SUBSTITUTE(AQ1859,".",""))=2,LEFT(AQ1859,vitri(".",AQ1859,2)-1),TRUE,LEFT(AQ1859,vitri(".",AQ1859,1)-1))</f>
        <v/>
      </c>
    </row>
    <row r="1860" spans="13:54" x14ac:dyDescent="0.25">
      <c r="M1860" s="382"/>
      <c r="BB1860" s="253" t="str">
        <f t="array" ref="BB1860">_xlfn.IFS(AQ1860="","",LEN(AQ1860)-LEN(SUBSTITUTE(AQ1860,".",""))=3,LEFT(AQ1860,vitri(".",AQ1860,3)-1),LEN(AQ1860)-LEN(SUBSTITUTE(AQ1860,".",""))=2,LEFT(AQ1860,vitri(".",AQ1860,2)-1),TRUE,LEFT(AQ1860,vitri(".",AQ1860,1)-1))</f>
        <v/>
      </c>
    </row>
    <row r="1861" spans="13:54" x14ac:dyDescent="0.25">
      <c r="M1861" s="382"/>
      <c r="BB1861" s="253" t="str">
        <f t="array" ref="BB1861">_xlfn.IFS(AQ1861="","",LEN(AQ1861)-LEN(SUBSTITUTE(AQ1861,".",""))=3,LEFT(AQ1861,vitri(".",AQ1861,3)-1),LEN(AQ1861)-LEN(SUBSTITUTE(AQ1861,".",""))=2,LEFT(AQ1861,vitri(".",AQ1861,2)-1),TRUE,LEFT(AQ1861,vitri(".",AQ1861,1)-1))</f>
        <v/>
      </c>
    </row>
    <row r="1862" spans="13:54" x14ac:dyDescent="0.25">
      <c r="M1862" s="382"/>
      <c r="BB1862" s="253" t="str">
        <f t="array" ref="BB1862">_xlfn.IFS(AQ1862="","",LEN(AQ1862)-LEN(SUBSTITUTE(AQ1862,".",""))=3,LEFT(AQ1862,vitri(".",AQ1862,3)-1),LEN(AQ1862)-LEN(SUBSTITUTE(AQ1862,".",""))=2,LEFT(AQ1862,vitri(".",AQ1862,2)-1),TRUE,LEFT(AQ1862,vitri(".",AQ1862,1)-1))</f>
        <v/>
      </c>
    </row>
    <row r="1863" spans="13:54" x14ac:dyDescent="0.25">
      <c r="M1863" s="382"/>
      <c r="BB1863" s="253" t="str">
        <f t="array" ref="BB1863">_xlfn.IFS(AQ1863="","",LEN(AQ1863)-LEN(SUBSTITUTE(AQ1863,".",""))=3,LEFT(AQ1863,vitri(".",AQ1863,3)-1),LEN(AQ1863)-LEN(SUBSTITUTE(AQ1863,".",""))=2,LEFT(AQ1863,vitri(".",AQ1863,2)-1),TRUE,LEFT(AQ1863,vitri(".",AQ1863,1)-1))</f>
        <v/>
      </c>
    </row>
    <row r="1864" spans="13:54" x14ac:dyDescent="0.25">
      <c r="M1864" s="382"/>
      <c r="BB1864" s="253" t="str">
        <f t="array" ref="BB1864">_xlfn.IFS(AQ1864="","",LEN(AQ1864)-LEN(SUBSTITUTE(AQ1864,".",""))=3,LEFT(AQ1864,vitri(".",AQ1864,3)-1),LEN(AQ1864)-LEN(SUBSTITUTE(AQ1864,".",""))=2,LEFT(AQ1864,vitri(".",AQ1864,2)-1),TRUE,LEFT(AQ1864,vitri(".",AQ1864,1)-1))</f>
        <v/>
      </c>
    </row>
    <row r="1865" spans="13:54" x14ac:dyDescent="0.25">
      <c r="M1865" s="382"/>
      <c r="BB1865" s="253" t="str">
        <f t="array" ref="BB1865">_xlfn.IFS(AQ1865="","",LEN(AQ1865)-LEN(SUBSTITUTE(AQ1865,".",""))=3,LEFT(AQ1865,vitri(".",AQ1865,3)-1),LEN(AQ1865)-LEN(SUBSTITUTE(AQ1865,".",""))=2,LEFT(AQ1865,vitri(".",AQ1865,2)-1),TRUE,LEFT(AQ1865,vitri(".",AQ1865,1)-1))</f>
        <v/>
      </c>
    </row>
    <row r="1866" spans="13:54" x14ac:dyDescent="0.25">
      <c r="M1866" s="382"/>
      <c r="BB1866" s="253" t="str">
        <f t="array" ref="BB1866">_xlfn.IFS(AQ1866="","",LEN(AQ1866)-LEN(SUBSTITUTE(AQ1866,".",""))=3,LEFT(AQ1866,vitri(".",AQ1866,3)-1),LEN(AQ1866)-LEN(SUBSTITUTE(AQ1866,".",""))=2,LEFT(AQ1866,vitri(".",AQ1866,2)-1),TRUE,LEFT(AQ1866,vitri(".",AQ1866,1)-1))</f>
        <v/>
      </c>
    </row>
    <row r="1867" spans="13:54" x14ac:dyDescent="0.25">
      <c r="M1867" s="382"/>
      <c r="BB1867" s="253" t="str">
        <f t="array" ref="BB1867">_xlfn.IFS(AQ1867="","",LEN(AQ1867)-LEN(SUBSTITUTE(AQ1867,".",""))=3,LEFT(AQ1867,vitri(".",AQ1867,3)-1),LEN(AQ1867)-LEN(SUBSTITUTE(AQ1867,".",""))=2,LEFT(AQ1867,vitri(".",AQ1867,2)-1),TRUE,LEFT(AQ1867,vitri(".",AQ1867,1)-1))</f>
        <v/>
      </c>
    </row>
    <row r="1868" spans="13:54" x14ac:dyDescent="0.25">
      <c r="M1868" s="382"/>
      <c r="BB1868" s="253" t="str">
        <f t="array" ref="BB1868">_xlfn.IFS(AQ1868="","",LEN(AQ1868)-LEN(SUBSTITUTE(AQ1868,".",""))=3,LEFT(AQ1868,vitri(".",AQ1868,3)-1),LEN(AQ1868)-LEN(SUBSTITUTE(AQ1868,".",""))=2,LEFT(AQ1868,vitri(".",AQ1868,2)-1),TRUE,LEFT(AQ1868,vitri(".",AQ1868,1)-1))</f>
        <v/>
      </c>
    </row>
    <row r="1869" spans="13:54" x14ac:dyDescent="0.25">
      <c r="M1869" s="382"/>
      <c r="BB1869" s="253" t="str">
        <f t="array" ref="BB1869">_xlfn.IFS(AQ1869="","",LEN(AQ1869)-LEN(SUBSTITUTE(AQ1869,".",""))=3,LEFT(AQ1869,vitri(".",AQ1869,3)-1),LEN(AQ1869)-LEN(SUBSTITUTE(AQ1869,".",""))=2,LEFT(AQ1869,vitri(".",AQ1869,2)-1),TRUE,LEFT(AQ1869,vitri(".",AQ1869,1)-1))</f>
        <v/>
      </c>
    </row>
    <row r="1870" spans="13:54" x14ac:dyDescent="0.25">
      <c r="M1870" s="382"/>
      <c r="BB1870" s="253" t="str">
        <f t="array" ref="BB1870">_xlfn.IFS(AQ1870="","",LEN(AQ1870)-LEN(SUBSTITUTE(AQ1870,".",""))=3,LEFT(AQ1870,vitri(".",AQ1870,3)-1),LEN(AQ1870)-LEN(SUBSTITUTE(AQ1870,".",""))=2,LEFT(AQ1870,vitri(".",AQ1870,2)-1),TRUE,LEFT(AQ1870,vitri(".",AQ1870,1)-1))</f>
        <v/>
      </c>
    </row>
    <row r="1871" spans="13:54" x14ac:dyDescent="0.25">
      <c r="M1871" s="382"/>
      <c r="BB1871" s="253" t="str">
        <f t="array" ref="BB1871">_xlfn.IFS(AQ1871="","",LEN(AQ1871)-LEN(SUBSTITUTE(AQ1871,".",""))=3,LEFT(AQ1871,vitri(".",AQ1871,3)-1),LEN(AQ1871)-LEN(SUBSTITUTE(AQ1871,".",""))=2,LEFT(AQ1871,vitri(".",AQ1871,2)-1),TRUE,LEFT(AQ1871,vitri(".",AQ1871,1)-1))</f>
        <v/>
      </c>
    </row>
    <row r="1872" spans="13:54" x14ac:dyDescent="0.25">
      <c r="M1872" s="382"/>
      <c r="BB1872" s="253" t="str">
        <f t="array" ref="BB1872">_xlfn.IFS(AQ1872="","",LEN(AQ1872)-LEN(SUBSTITUTE(AQ1872,".",""))=3,LEFT(AQ1872,vitri(".",AQ1872,3)-1),LEN(AQ1872)-LEN(SUBSTITUTE(AQ1872,".",""))=2,LEFT(AQ1872,vitri(".",AQ1872,2)-1),TRUE,LEFT(AQ1872,vitri(".",AQ1872,1)-1))</f>
        <v/>
      </c>
    </row>
    <row r="1873" spans="13:54" x14ac:dyDescent="0.25">
      <c r="M1873" s="382"/>
      <c r="BB1873" s="253" t="str">
        <f t="array" ref="BB1873">_xlfn.IFS(AQ1873="","",LEN(AQ1873)-LEN(SUBSTITUTE(AQ1873,".",""))=3,LEFT(AQ1873,vitri(".",AQ1873,3)-1),LEN(AQ1873)-LEN(SUBSTITUTE(AQ1873,".",""))=2,LEFT(AQ1873,vitri(".",AQ1873,2)-1),TRUE,LEFT(AQ1873,vitri(".",AQ1873,1)-1))</f>
        <v/>
      </c>
    </row>
    <row r="1874" spans="13:54" x14ac:dyDescent="0.25">
      <c r="M1874" s="382"/>
      <c r="BB1874" s="253" t="str">
        <f t="array" ref="BB1874">_xlfn.IFS(AQ1874="","",LEN(AQ1874)-LEN(SUBSTITUTE(AQ1874,".",""))=3,LEFT(AQ1874,vitri(".",AQ1874,3)-1),LEN(AQ1874)-LEN(SUBSTITUTE(AQ1874,".",""))=2,LEFT(AQ1874,vitri(".",AQ1874,2)-1),TRUE,LEFT(AQ1874,vitri(".",AQ1874,1)-1))</f>
        <v/>
      </c>
    </row>
    <row r="1875" spans="13:54" x14ac:dyDescent="0.25">
      <c r="M1875" s="382"/>
      <c r="BB1875" s="253" t="str">
        <f t="array" ref="BB1875">_xlfn.IFS(AQ1875="","",LEN(AQ1875)-LEN(SUBSTITUTE(AQ1875,".",""))=3,LEFT(AQ1875,vitri(".",AQ1875,3)-1),LEN(AQ1875)-LEN(SUBSTITUTE(AQ1875,".",""))=2,LEFT(AQ1875,vitri(".",AQ1875,2)-1),TRUE,LEFT(AQ1875,vitri(".",AQ1875,1)-1))</f>
        <v/>
      </c>
    </row>
    <row r="1876" spans="13:54" x14ac:dyDescent="0.25">
      <c r="M1876" s="382"/>
      <c r="BB1876" s="253" t="str">
        <f t="array" ref="BB1876">_xlfn.IFS(AQ1876="","",LEN(AQ1876)-LEN(SUBSTITUTE(AQ1876,".",""))=3,LEFT(AQ1876,vitri(".",AQ1876,3)-1),LEN(AQ1876)-LEN(SUBSTITUTE(AQ1876,".",""))=2,LEFT(AQ1876,vitri(".",AQ1876,2)-1),TRUE,LEFT(AQ1876,vitri(".",AQ1876,1)-1))</f>
        <v/>
      </c>
    </row>
    <row r="1877" spans="13:54" x14ac:dyDescent="0.25">
      <c r="M1877" s="382"/>
      <c r="BB1877" s="253" t="str">
        <f t="array" ref="BB1877">_xlfn.IFS(AQ1877="","",LEN(AQ1877)-LEN(SUBSTITUTE(AQ1877,".",""))=3,LEFT(AQ1877,vitri(".",AQ1877,3)-1),LEN(AQ1877)-LEN(SUBSTITUTE(AQ1877,".",""))=2,LEFT(AQ1877,vitri(".",AQ1877,2)-1),TRUE,LEFT(AQ1877,vitri(".",AQ1877,1)-1))</f>
        <v/>
      </c>
    </row>
    <row r="1878" spans="13:54" x14ac:dyDescent="0.25">
      <c r="M1878" s="382"/>
      <c r="BB1878" s="253" t="str">
        <f t="array" ref="BB1878">_xlfn.IFS(AQ1878="","",LEN(AQ1878)-LEN(SUBSTITUTE(AQ1878,".",""))=3,LEFT(AQ1878,vitri(".",AQ1878,3)-1),LEN(AQ1878)-LEN(SUBSTITUTE(AQ1878,".",""))=2,LEFT(AQ1878,vitri(".",AQ1878,2)-1),TRUE,LEFT(AQ1878,vitri(".",AQ1878,1)-1))</f>
        <v/>
      </c>
    </row>
    <row r="1879" spans="13:54" x14ac:dyDescent="0.25">
      <c r="M1879" s="382"/>
      <c r="BB1879" s="253" t="str">
        <f t="array" ref="BB1879">_xlfn.IFS(AQ1879="","",LEN(AQ1879)-LEN(SUBSTITUTE(AQ1879,".",""))=3,LEFT(AQ1879,vitri(".",AQ1879,3)-1),LEN(AQ1879)-LEN(SUBSTITUTE(AQ1879,".",""))=2,LEFT(AQ1879,vitri(".",AQ1879,2)-1),TRUE,LEFT(AQ1879,vitri(".",AQ1879,1)-1))</f>
        <v/>
      </c>
    </row>
    <row r="1880" spans="13:54" x14ac:dyDescent="0.25">
      <c r="M1880" s="382"/>
      <c r="BB1880" s="253" t="str">
        <f t="array" ref="BB1880">_xlfn.IFS(AQ1880="","",LEN(AQ1880)-LEN(SUBSTITUTE(AQ1880,".",""))=3,LEFT(AQ1880,vitri(".",AQ1880,3)-1),LEN(AQ1880)-LEN(SUBSTITUTE(AQ1880,".",""))=2,LEFT(AQ1880,vitri(".",AQ1880,2)-1),TRUE,LEFT(AQ1880,vitri(".",AQ1880,1)-1))</f>
        <v/>
      </c>
    </row>
    <row r="1881" spans="13:54" x14ac:dyDescent="0.25">
      <c r="M1881" s="382"/>
      <c r="BB1881" s="253" t="str">
        <f t="array" ref="BB1881">_xlfn.IFS(AQ1881="","",LEN(AQ1881)-LEN(SUBSTITUTE(AQ1881,".",""))=3,LEFT(AQ1881,vitri(".",AQ1881,3)-1),LEN(AQ1881)-LEN(SUBSTITUTE(AQ1881,".",""))=2,LEFT(AQ1881,vitri(".",AQ1881,2)-1),TRUE,LEFT(AQ1881,vitri(".",AQ1881,1)-1))</f>
        <v/>
      </c>
    </row>
    <row r="1882" spans="13:54" x14ac:dyDescent="0.25">
      <c r="M1882" s="382"/>
      <c r="BB1882" s="253" t="str">
        <f t="array" ref="BB1882">_xlfn.IFS(AQ1882="","",LEN(AQ1882)-LEN(SUBSTITUTE(AQ1882,".",""))=3,LEFT(AQ1882,vitri(".",AQ1882,3)-1),LEN(AQ1882)-LEN(SUBSTITUTE(AQ1882,".",""))=2,LEFT(AQ1882,vitri(".",AQ1882,2)-1),TRUE,LEFT(AQ1882,vitri(".",AQ1882,1)-1))</f>
        <v/>
      </c>
    </row>
    <row r="1883" spans="13:54" x14ac:dyDescent="0.25">
      <c r="M1883" s="382"/>
      <c r="BB1883" s="253" t="str">
        <f t="array" ref="BB1883">_xlfn.IFS(AQ1883="","",LEN(AQ1883)-LEN(SUBSTITUTE(AQ1883,".",""))=3,LEFT(AQ1883,vitri(".",AQ1883,3)-1),LEN(AQ1883)-LEN(SUBSTITUTE(AQ1883,".",""))=2,LEFT(AQ1883,vitri(".",AQ1883,2)-1),TRUE,LEFT(AQ1883,vitri(".",AQ1883,1)-1))</f>
        <v/>
      </c>
    </row>
    <row r="1884" spans="13:54" x14ac:dyDescent="0.25">
      <c r="M1884" s="382"/>
      <c r="BB1884" s="253" t="str">
        <f t="array" ref="BB1884">_xlfn.IFS(AQ1884="","",LEN(AQ1884)-LEN(SUBSTITUTE(AQ1884,".",""))=3,LEFT(AQ1884,vitri(".",AQ1884,3)-1),LEN(AQ1884)-LEN(SUBSTITUTE(AQ1884,".",""))=2,LEFT(AQ1884,vitri(".",AQ1884,2)-1),TRUE,LEFT(AQ1884,vitri(".",AQ1884,1)-1))</f>
        <v/>
      </c>
    </row>
    <row r="1885" spans="13:54" x14ac:dyDescent="0.25">
      <c r="M1885" s="382"/>
      <c r="BB1885" s="253" t="str">
        <f t="array" ref="BB1885">_xlfn.IFS(AQ1885="","",LEN(AQ1885)-LEN(SUBSTITUTE(AQ1885,".",""))=3,LEFT(AQ1885,vitri(".",AQ1885,3)-1),LEN(AQ1885)-LEN(SUBSTITUTE(AQ1885,".",""))=2,LEFT(AQ1885,vitri(".",AQ1885,2)-1),TRUE,LEFT(AQ1885,vitri(".",AQ1885,1)-1))</f>
        <v/>
      </c>
    </row>
    <row r="1886" spans="13:54" x14ac:dyDescent="0.25">
      <c r="M1886" s="382"/>
      <c r="BB1886" s="253" t="str">
        <f t="array" ref="BB1886">_xlfn.IFS(AQ1886="","",LEN(AQ1886)-LEN(SUBSTITUTE(AQ1886,".",""))=3,LEFT(AQ1886,vitri(".",AQ1886,3)-1),LEN(AQ1886)-LEN(SUBSTITUTE(AQ1886,".",""))=2,LEFT(AQ1886,vitri(".",AQ1886,2)-1),TRUE,LEFT(AQ1886,vitri(".",AQ1886,1)-1))</f>
        <v/>
      </c>
    </row>
    <row r="1887" spans="13:54" x14ac:dyDescent="0.25">
      <c r="M1887" s="382"/>
      <c r="BB1887" s="253" t="str">
        <f t="array" ref="BB1887">_xlfn.IFS(AQ1887="","",LEN(AQ1887)-LEN(SUBSTITUTE(AQ1887,".",""))=3,LEFT(AQ1887,vitri(".",AQ1887,3)-1),LEN(AQ1887)-LEN(SUBSTITUTE(AQ1887,".",""))=2,LEFT(AQ1887,vitri(".",AQ1887,2)-1),TRUE,LEFT(AQ1887,vitri(".",AQ1887,1)-1))</f>
        <v/>
      </c>
    </row>
    <row r="1888" spans="13:54" x14ac:dyDescent="0.25">
      <c r="M1888" s="382"/>
      <c r="BB1888" s="253" t="str">
        <f t="array" ref="BB1888">_xlfn.IFS(AQ1888="","",LEN(AQ1888)-LEN(SUBSTITUTE(AQ1888,".",""))=3,LEFT(AQ1888,vitri(".",AQ1888,3)-1),LEN(AQ1888)-LEN(SUBSTITUTE(AQ1888,".",""))=2,LEFT(AQ1888,vitri(".",AQ1888,2)-1),TRUE,LEFT(AQ1888,vitri(".",AQ1888,1)-1))</f>
        <v/>
      </c>
    </row>
    <row r="1889" spans="13:54" x14ac:dyDescent="0.25">
      <c r="M1889" s="382"/>
      <c r="BB1889" s="253" t="str">
        <f t="array" ref="BB1889">_xlfn.IFS(AQ1889="","",LEN(AQ1889)-LEN(SUBSTITUTE(AQ1889,".",""))=3,LEFT(AQ1889,vitri(".",AQ1889,3)-1),LEN(AQ1889)-LEN(SUBSTITUTE(AQ1889,".",""))=2,LEFT(AQ1889,vitri(".",AQ1889,2)-1),TRUE,LEFT(AQ1889,vitri(".",AQ1889,1)-1))</f>
        <v/>
      </c>
    </row>
    <row r="1890" spans="13:54" x14ac:dyDescent="0.25">
      <c r="M1890" s="382"/>
      <c r="BB1890" s="253" t="str">
        <f t="array" ref="BB1890">_xlfn.IFS(AQ1890="","",LEN(AQ1890)-LEN(SUBSTITUTE(AQ1890,".",""))=3,LEFT(AQ1890,vitri(".",AQ1890,3)-1),LEN(AQ1890)-LEN(SUBSTITUTE(AQ1890,".",""))=2,LEFT(AQ1890,vitri(".",AQ1890,2)-1),TRUE,LEFT(AQ1890,vitri(".",AQ1890,1)-1))</f>
        <v/>
      </c>
    </row>
    <row r="1891" spans="13:54" x14ac:dyDescent="0.25">
      <c r="M1891" s="382"/>
      <c r="BB1891" s="253" t="str">
        <f t="array" ref="BB1891">_xlfn.IFS(AQ1891="","",LEN(AQ1891)-LEN(SUBSTITUTE(AQ1891,".",""))=3,LEFT(AQ1891,vitri(".",AQ1891,3)-1),LEN(AQ1891)-LEN(SUBSTITUTE(AQ1891,".",""))=2,LEFT(AQ1891,vitri(".",AQ1891,2)-1),TRUE,LEFT(AQ1891,vitri(".",AQ1891,1)-1))</f>
        <v/>
      </c>
    </row>
    <row r="1892" spans="13:54" x14ac:dyDescent="0.25">
      <c r="M1892" s="382"/>
      <c r="BB1892" s="253" t="str">
        <f t="array" ref="BB1892">_xlfn.IFS(AQ1892="","",LEN(AQ1892)-LEN(SUBSTITUTE(AQ1892,".",""))=3,LEFT(AQ1892,vitri(".",AQ1892,3)-1),LEN(AQ1892)-LEN(SUBSTITUTE(AQ1892,".",""))=2,LEFT(AQ1892,vitri(".",AQ1892,2)-1),TRUE,LEFT(AQ1892,vitri(".",AQ1892,1)-1))</f>
        <v/>
      </c>
    </row>
    <row r="1893" spans="13:54" x14ac:dyDescent="0.25">
      <c r="M1893" s="382"/>
      <c r="BB1893" s="253" t="str">
        <f t="array" ref="BB1893">_xlfn.IFS(AQ1893="","",LEN(AQ1893)-LEN(SUBSTITUTE(AQ1893,".",""))=3,LEFT(AQ1893,vitri(".",AQ1893,3)-1),LEN(AQ1893)-LEN(SUBSTITUTE(AQ1893,".",""))=2,LEFT(AQ1893,vitri(".",AQ1893,2)-1),TRUE,LEFT(AQ1893,vitri(".",AQ1893,1)-1))</f>
        <v/>
      </c>
    </row>
    <row r="1894" spans="13:54" x14ac:dyDescent="0.25">
      <c r="M1894" s="382"/>
      <c r="BB1894" s="253" t="str">
        <f t="array" ref="BB1894">_xlfn.IFS(AQ1894="","",LEN(AQ1894)-LEN(SUBSTITUTE(AQ1894,".",""))=3,LEFT(AQ1894,vitri(".",AQ1894,3)-1),LEN(AQ1894)-LEN(SUBSTITUTE(AQ1894,".",""))=2,LEFT(AQ1894,vitri(".",AQ1894,2)-1),TRUE,LEFT(AQ1894,vitri(".",AQ1894,1)-1))</f>
        <v/>
      </c>
    </row>
    <row r="1895" spans="13:54" x14ac:dyDescent="0.25">
      <c r="M1895" s="382"/>
      <c r="BB1895" s="253" t="str">
        <f t="array" ref="BB1895">_xlfn.IFS(AQ1895="","",LEN(AQ1895)-LEN(SUBSTITUTE(AQ1895,".",""))=3,LEFT(AQ1895,vitri(".",AQ1895,3)-1),LEN(AQ1895)-LEN(SUBSTITUTE(AQ1895,".",""))=2,LEFT(AQ1895,vitri(".",AQ1895,2)-1),TRUE,LEFT(AQ1895,vitri(".",AQ1895,1)-1))</f>
        <v/>
      </c>
    </row>
    <row r="1896" spans="13:54" x14ac:dyDescent="0.25">
      <c r="M1896" s="382"/>
      <c r="BB1896" s="253" t="str">
        <f t="array" ref="BB1896">_xlfn.IFS(AQ1896="","",LEN(AQ1896)-LEN(SUBSTITUTE(AQ1896,".",""))=3,LEFT(AQ1896,vitri(".",AQ1896,3)-1),LEN(AQ1896)-LEN(SUBSTITUTE(AQ1896,".",""))=2,LEFT(AQ1896,vitri(".",AQ1896,2)-1),TRUE,LEFT(AQ1896,vitri(".",AQ1896,1)-1))</f>
        <v/>
      </c>
    </row>
    <row r="1897" spans="13:54" x14ac:dyDescent="0.25">
      <c r="M1897" s="382"/>
      <c r="BB1897" s="253" t="str">
        <f t="array" ref="BB1897">_xlfn.IFS(AQ1897="","",LEN(AQ1897)-LEN(SUBSTITUTE(AQ1897,".",""))=3,LEFT(AQ1897,vitri(".",AQ1897,3)-1),LEN(AQ1897)-LEN(SUBSTITUTE(AQ1897,".",""))=2,LEFT(AQ1897,vitri(".",AQ1897,2)-1),TRUE,LEFT(AQ1897,vitri(".",AQ1897,1)-1))</f>
        <v/>
      </c>
    </row>
    <row r="1898" spans="13:54" x14ac:dyDescent="0.25">
      <c r="M1898" s="382"/>
      <c r="BB1898" s="253" t="str">
        <f t="array" ref="BB1898">_xlfn.IFS(AQ1898="","",LEN(AQ1898)-LEN(SUBSTITUTE(AQ1898,".",""))=3,LEFT(AQ1898,vitri(".",AQ1898,3)-1),LEN(AQ1898)-LEN(SUBSTITUTE(AQ1898,".",""))=2,LEFT(AQ1898,vitri(".",AQ1898,2)-1),TRUE,LEFT(AQ1898,vitri(".",AQ1898,1)-1))</f>
        <v/>
      </c>
    </row>
    <row r="1899" spans="13:54" x14ac:dyDescent="0.25">
      <c r="M1899" s="382"/>
      <c r="BB1899" s="253" t="str">
        <f t="array" ref="BB1899">_xlfn.IFS(AQ1899="","",LEN(AQ1899)-LEN(SUBSTITUTE(AQ1899,".",""))=3,LEFT(AQ1899,vitri(".",AQ1899,3)-1),LEN(AQ1899)-LEN(SUBSTITUTE(AQ1899,".",""))=2,LEFT(AQ1899,vitri(".",AQ1899,2)-1),TRUE,LEFT(AQ1899,vitri(".",AQ1899,1)-1))</f>
        <v/>
      </c>
    </row>
    <row r="1900" spans="13:54" x14ac:dyDescent="0.25">
      <c r="M1900" s="382"/>
      <c r="BB1900" s="253" t="str">
        <f t="array" ref="BB1900">_xlfn.IFS(AQ1900="","",LEN(AQ1900)-LEN(SUBSTITUTE(AQ1900,".",""))=3,LEFT(AQ1900,vitri(".",AQ1900,3)-1),LEN(AQ1900)-LEN(SUBSTITUTE(AQ1900,".",""))=2,LEFT(AQ1900,vitri(".",AQ1900,2)-1),TRUE,LEFT(AQ1900,vitri(".",AQ1900,1)-1))</f>
        <v/>
      </c>
    </row>
    <row r="1901" spans="13:54" x14ac:dyDescent="0.25">
      <c r="M1901" s="382"/>
      <c r="BB1901" s="253" t="str">
        <f t="array" ref="BB1901">_xlfn.IFS(AQ1901="","",LEN(AQ1901)-LEN(SUBSTITUTE(AQ1901,".",""))=3,LEFT(AQ1901,vitri(".",AQ1901,3)-1),LEN(AQ1901)-LEN(SUBSTITUTE(AQ1901,".",""))=2,LEFT(AQ1901,vitri(".",AQ1901,2)-1),TRUE,LEFT(AQ1901,vitri(".",AQ1901,1)-1))</f>
        <v/>
      </c>
    </row>
    <row r="1902" spans="13:54" x14ac:dyDescent="0.25">
      <c r="M1902" s="382"/>
      <c r="BB1902" s="253" t="str">
        <f t="array" ref="BB1902">_xlfn.IFS(AQ1902="","",LEN(AQ1902)-LEN(SUBSTITUTE(AQ1902,".",""))=3,LEFT(AQ1902,vitri(".",AQ1902,3)-1),LEN(AQ1902)-LEN(SUBSTITUTE(AQ1902,".",""))=2,LEFT(AQ1902,vitri(".",AQ1902,2)-1),TRUE,LEFT(AQ1902,vitri(".",AQ1902,1)-1))</f>
        <v/>
      </c>
    </row>
    <row r="1903" spans="13:54" x14ac:dyDescent="0.25">
      <c r="M1903" s="382"/>
      <c r="BB1903" s="253" t="str">
        <f t="array" ref="BB1903">_xlfn.IFS(AQ1903="","",LEN(AQ1903)-LEN(SUBSTITUTE(AQ1903,".",""))=3,LEFT(AQ1903,vitri(".",AQ1903,3)-1),LEN(AQ1903)-LEN(SUBSTITUTE(AQ1903,".",""))=2,LEFT(AQ1903,vitri(".",AQ1903,2)-1),TRUE,LEFT(AQ1903,vitri(".",AQ1903,1)-1))</f>
        <v/>
      </c>
    </row>
    <row r="1904" spans="13:54" x14ac:dyDescent="0.25">
      <c r="M1904" s="382"/>
      <c r="BB1904" s="253" t="str">
        <f t="array" ref="BB1904">_xlfn.IFS(AQ1904="","",LEN(AQ1904)-LEN(SUBSTITUTE(AQ1904,".",""))=3,LEFT(AQ1904,vitri(".",AQ1904,3)-1),LEN(AQ1904)-LEN(SUBSTITUTE(AQ1904,".",""))=2,LEFT(AQ1904,vitri(".",AQ1904,2)-1),TRUE,LEFT(AQ1904,vitri(".",AQ1904,1)-1))</f>
        <v/>
      </c>
    </row>
    <row r="1905" spans="13:54" x14ac:dyDescent="0.25">
      <c r="M1905" s="382"/>
      <c r="BB1905" s="253" t="str">
        <f t="array" ref="BB1905">_xlfn.IFS(AQ1905="","",LEN(AQ1905)-LEN(SUBSTITUTE(AQ1905,".",""))=3,LEFT(AQ1905,vitri(".",AQ1905,3)-1),LEN(AQ1905)-LEN(SUBSTITUTE(AQ1905,".",""))=2,LEFT(AQ1905,vitri(".",AQ1905,2)-1),TRUE,LEFT(AQ1905,vitri(".",AQ1905,1)-1))</f>
        <v/>
      </c>
    </row>
    <row r="1906" spans="13:54" x14ac:dyDescent="0.25">
      <c r="M1906" s="382"/>
      <c r="BB1906" s="253" t="str">
        <f t="array" ref="BB1906">_xlfn.IFS(AQ1906="","",LEN(AQ1906)-LEN(SUBSTITUTE(AQ1906,".",""))=3,LEFT(AQ1906,vitri(".",AQ1906,3)-1),LEN(AQ1906)-LEN(SUBSTITUTE(AQ1906,".",""))=2,LEFT(AQ1906,vitri(".",AQ1906,2)-1),TRUE,LEFT(AQ1906,vitri(".",AQ1906,1)-1))</f>
        <v/>
      </c>
    </row>
    <row r="1907" spans="13:54" x14ac:dyDescent="0.25">
      <c r="M1907" s="382"/>
      <c r="BB1907" s="253" t="str">
        <f t="array" ref="BB1907">_xlfn.IFS(AQ1907="","",LEN(AQ1907)-LEN(SUBSTITUTE(AQ1907,".",""))=3,LEFT(AQ1907,vitri(".",AQ1907,3)-1),LEN(AQ1907)-LEN(SUBSTITUTE(AQ1907,".",""))=2,LEFT(AQ1907,vitri(".",AQ1907,2)-1),TRUE,LEFT(AQ1907,vitri(".",AQ1907,1)-1))</f>
        <v/>
      </c>
    </row>
    <row r="1908" spans="13:54" x14ac:dyDescent="0.25">
      <c r="M1908" s="382"/>
      <c r="BB1908" s="253" t="str">
        <f t="array" ref="BB1908">_xlfn.IFS(AQ1908="","",LEN(AQ1908)-LEN(SUBSTITUTE(AQ1908,".",""))=3,LEFT(AQ1908,vitri(".",AQ1908,3)-1),LEN(AQ1908)-LEN(SUBSTITUTE(AQ1908,".",""))=2,LEFT(AQ1908,vitri(".",AQ1908,2)-1),TRUE,LEFT(AQ1908,vitri(".",AQ1908,1)-1))</f>
        <v/>
      </c>
    </row>
    <row r="1909" spans="13:54" x14ac:dyDescent="0.25">
      <c r="M1909" s="382"/>
      <c r="BB1909" s="253" t="str">
        <f t="array" ref="BB1909">_xlfn.IFS(AQ1909="","",LEN(AQ1909)-LEN(SUBSTITUTE(AQ1909,".",""))=3,LEFT(AQ1909,vitri(".",AQ1909,3)-1),LEN(AQ1909)-LEN(SUBSTITUTE(AQ1909,".",""))=2,LEFT(AQ1909,vitri(".",AQ1909,2)-1),TRUE,LEFT(AQ1909,vitri(".",AQ1909,1)-1))</f>
        <v/>
      </c>
    </row>
    <row r="1910" spans="13:54" x14ac:dyDescent="0.25">
      <c r="M1910" s="382"/>
      <c r="BB1910" s="253" t="str">
        <f t="array" ref="BB1910">_xlfn.IFS(AQ1910="","",LEN(AQ1910)-LEN(SUBSTITUTE(AQ1910,".",""))=3,LEFT(AQ1910,vitri(".",AQ1910,3)-1),LEN(AQ1910)-LEN(SUBSTITUTE(AQ1910,".",""))=2,LEFT(AQ1910,vitri(".",AQ1910,2)-1),TRUE,LEFT(AQ1910,vitri(".",AQ1910,1)-1))</f>
        <v/>
      </c>
    </row>
    <row r="1911" spans="13:54" x14ac:dyDescent="0.25">
      <c r="M1911" s="382"/>
      <c r="BB1911" s="253" t="str">
        <f t="array" ref="BB1911">_xlfn.IFS(AQ1911="","",LEN(AQ1911)-LEN(SUBSTITUTE(AQ1911,".",""))=3,LEFT(AQ1911,vitri(".",AQ1911,3)-1),LEN(AQ1911)-LEN(SUBSTITUTE(AQ1911,".",""))=2,LEFT(AQ1911,vitri(".",AQ1911,2)-1),TRUE,LEFT(AQ1911,vitri(".",AQ1911,1)-1))</f>
        <v/>
      </c>
    </row>
    <row r="1912" spans="13:54" x14ac:dyDescent="0.25">
      <c r="M1912" s="382"/>
      <c r="BB1912" s="253" t="str">
        <f t="array" ref="BB1912">_xlfn.IFS(AQ1912="","",LEN(AQ1912)-LEN(SUBSTITUTE(AQ1912,".",""))=3,LEFT(AQ1912,vitri(".",AQ1912,3)-1),LEN(AQ1912)-LEN(SUBSTITUTE(AQ1912,".",""))=2,LEFT(AQ1912,vitri(".",AQ1912,2)-1),TRUE,LEFT(AQ1912,vitri(".",AQ1912,1)-1))</f>
        <v/>
      </c>
    </row>
    <row r="1913" spans="13:54" x14ac:dyDescent="0.25">
      <c r="M1913" s="382"/>
      <c r="BB1913" s="253" t="str">
        <f t="array" ref="BB1913">_xlfn.IFS(AQ1913="","",LEN(AQ1913)-LEN(SUBSTITUTE(AQ1913,".",""))=3,LEFT(AQ1913,vitri(".",AQ1913,3)-1),LEN(AQ1913)-LEN(SUBSTITUTE(AQ1913,".",""))=2,LEFT(AQ1913,vitri(".",AQ1913,2)-1),TRUE,LEFT(AQ1913,vitri(".",AQ1913,1)-1))</f>
        <v/>
      </c>
    </row>
    <row r="1914" spans="13:54" x14ac:dyDescent="0.25">
      <c r="M1914" s="382"/>
      <c r="BB1914" s="253" t="str">
        <f t="array" ref="BB1914">_xlfn.IFS(AQ1914="","",LEN(AQ1914)-LEN(SUBSTITUTE(AQ1914,".",""))=3,LEFT(AQ1914,vitri(".",AQ1914,3)-1),LEN(AQ1914)-LEN(SUBSTITUTE(AQ1914,".",""))=2,LEFT(AQ1914,vitri(".",AQ1914,2)-1),TRUE,LEFT(AQ1914,vitri(".",AQ1914,1)-1))</f>
        <v/>
      </c>
    </row>
    <row r="1915" spans="13:54" x14ac:dyDescent="0.25">
      <c r="M1915" s="382"/>
      <c r="BB1915" s="253" t="str">
        <f t="array" ref="BB1915">_xlfn.IFS(AQ1915="","",LEN(AQ1915)-LEN(SUBSTITUTE(AQ1915,".",""))=3,LEFT(AQ1915,vitri(".",AQ1915,3)-1),LEN(AQ1915)-LEN(SUBSTITUTE(AQ1915,".",""))=2,LEFT(AQ1915,vitri(".",AQ1915,2)-1),TRUE,LEFT(AQ1915,vitri(".",AQ1915,1)-1))</f>
        <v/>
      </c>
    </row>
    <row r="1916" spans="13:54" x14ac:dyDescent="0.25">
      <c r="M1916" s="382"/>
      <c r="BB1916" s="253" t="str">
        <f t="array" ref="BB1916">_xlfn.IFS(AQ1916="","",LEN(AQ1916)-LEN(SUBSTITUTE(AQ1916,".",""))=3,LEFT(AQ1916,vitri(".",AQ1916,3)-1),LEN(AQ1916)-LEN(SUBSTITUTE(AQ1916,".",""))=2,LEFT(AQ1916,vitri(".",AQ1916,2)-1),TRUE,LEFT(AQ1916,vitri(".",AQ1916,1)-1))</f>
        <v/>
      </c>
    </row>
    <row r="1917" spans="13:54" x14ac:dyDescent="0.25">
      <c r="M1917" s="382"/>
      <c r="BB1917" s="253" t="str">
        <f t="array" ref="BB1917">_xlfn.IFS(AQ1917="","",LEN(AQ1917)-LEN(SUBSTITUTE(AQ1917,".",""))=3,LEFT(AQ1917,vitri(".",AQ1917,3)-1),LEN(AQ1917)-LEN(SUBSTITUTE(AQ1917,".",""))=2,LEFT(AQ1917,vitri(".",AQ1917,2)-1),TRUE,LEFT(AQ1917,vitri(".",AQ1917,1)-1))</f>
        <v/>
      </c>
    </row>
    <row r="1918" spans="13:54" x14ac:dyDescent="0.25">
      <c r="M1918" s="382"/>
      <c r="BB1918" s="253" t="str">
        <f t="array" ref="BB1918">_xlfn.IFS(AQ1918="","",LEN(AQ1918)-LEN(SUBSTITUTE(AQ1918,".",""))=3,LEFT(AQ1918,vitri(".",AQ1918,3)-1),LEN(AQ1918)-LEN(SUBSTITUTE(AQ1918,".",""))=2,LEFT(AQ1918,vitri(".",AQ1918,2)-1),TRUE,LEFT(AQ1918,vitri(".",AQ1918,1)-1))</f>
        <v/>
      </c>
    </row>
    <row r="1919" spans="13:54" x14ac:dyDescent="0.25">
      <c r="M1919" s="382"/>
      <c r="BB1919" s="253" t="str">
        <f t="array" ref="BB1919">_xlfn.IFS(AQ1919="","",LEN(AQ1919)-LEN(SUBSTITUTE(AQ1919,".",""))=3,LEFT(AQ1919,vitri(".",AQ1919,3)-1),LEN(AQ1919)-LEN(SUBSTITUTE(AQ1919,".",""))=2,LEFT(AQ1919,vitri(".",AQ1919,2)-1),TRUE,LEFT(AQ1919,vitri(".",AQ1919,1)-1))</f>
        <v/>
      </c>
    </row>
    <row r="1920" spans="13:54" x14ac:dyDescent="0.25">
      <c r="M1920" s="382"/>
      <c r="BB1920" s="253" t="str">
        <f t="array" ref="BB1920">_xlfn.IFS(AQ1920="","",LEN(AQ1920)-LEN(SUBSTITUTE(AQ1920,".",""))=3,LEFT(AQ1920,vitri(".",AQ1920,3)-1),LEN(AQ1920)-LEN(SUBSTITUTE(AQ1920,".",""))=2,LEFT(AQ1920,vitri(".",AQ1920,2)-1),TRUE,LEFT(AQ1920,vitri(".",AQ1920,1)-1))</f>
        <v/>
      </c>
    </row>
    <row r="1921" spans="13:54" x14ac:dyDescent="0.25">
      <c r="M1921" s="382"/>
      <c r="BB1921" s="253" t="str">
        <f t="array" ref="BB1921">_xlfn.IFS(AQ1921="","",LEN(AQ1921)-LEN(SUBSTITUTE(AQ1921,".",""))=3,LEFT(AQ1921,vitri(".",AQ1921,3)-1),LEN(AQ1921)-LEN(SUBSTITUTE(AQ1921,".",""))=2,LEFT(AQ1921,vitri(".",AQ1921,2)-1),TRUE,LEFT(AQ1921,vitri(".",AQ1921,1)-1))</f>
        <v/>
      </c>
    </row>
    <row r="1922" spans="13:54" x14ac:dyDescent="0.25">
      <c r="M1922" s="382"/>
      <c r="BB1922" s="253" t="str">
        <f t="array" ref="BB1922">_xlfn.IFS(AQ1922="","",LEN(AQ1922)-LEN(SUBSTITUTE(AQ1922,".",""))=3,LEFT(AQ1922,vitri(".",AQ1922,3)-1),LEN(AQ1922)-LEN(SUBSTITUTE(AQ1922,".",""))=2,LEFT(AQ1922,vitri(".",AQ1922,2)-1),TRUE,LEFT(AQ1922,vitri(".",AQ1922,1)-1))</f>
        <v/>
      </c>
    </row>
    <row r="1923" spans="13:54" x14ac:dyDescent="0.25">
      <c r="M1923" s="382"/>
      <c r="BB1923" s="253" t="str">
        <f t="array" ref="BB1923">_xlfn.IFS(AQ1923="","",LEN(AQ1923)-LEN(SUBSTITUTE(AQ1923,".",""))=3,LEFT(AQ1923,vitri(".",AQ1923,3)-1),LEN(AQ1923)-LEN(SUBSTITUTE(AQ1923,".",""))=2,LEFT(AQ1923,vitri(".",AQ1923,2)-1),TRUE,LEFT(AQ1923,vitri(".",AQ1923,1)-1))</f>
        <v/>
      </c>
    </row>
    <row r="1924" spans="13:54" x14ac:dyDescent="0.25">
      <c r="M1924" s="382"/>
      <c r="BB1924" s="253" t="str">
        <f t="array" ref="BB1924">_xlfn.IFS(AQ1924="","",LEN(AQ1924)-LEN(SUBSTITUTE(AQ1924,".",""))=3,LEFT(AQ1924,vitri(".",AQ1924,3)-1),LEN(AQ1924)-LEN(SUBSTITUTE(AQ1924,".",""))=2,LEFT(AQ1924,vitri(".",AQ1924,2)-1),TRUE,LEFT(AQ1924,vitri(".",AQ1924,1)-1))</f>
        <v/>
      </c>
    </row>
    <row r="1925" spans="13:54" x14ac:dyDescent="0.25">
      <c r="M1925" s="382"/>
      <c r="BB1925" s="253" t="str">
        <f t="array" ref="BB1925">_xlfn.IFS(AQ1925="","",LEN(AQ1925)-LEN(SUBSTITUTE(AQ1925,".",""))=3,LEFT(AQ1925,vitri(".",AQ1925,3)-1),LEN(AQ1925)-LEN(SUBSTITUTE(AQ1925,".",""))=2,LEFT(AQ1925,vitri(".",AQ1925,2)-1),TRUE,LEFT(AQ1925,vitri(".",AQ1925,1)-1))</f>
        <v/>
      </c>
    </row>
    <row r="1926" spans="13:54" x14ac:dyDescent="0.25">
      <c r="M1926" s="382"/>
      <c r="BB1926" s="253" t="str">
        <f t="array" ref="BB1926">_xlfn.IFS(AQ1926="","",LEN(AQ1926)-LEN(SUBSTITUTE(AQ1926,".",""))=3,LEFT(AQ1926,vitri(".",AQ1926,3)-1),LEN(AQ1926)-LEN(SUBSTITUTE(AQ1926,".",""))=2,LEFT(AQ1926,vitri(".",AQ1926,2)-1),TRUE,LEFT(AQ1926,vitri(".",AQ1926,1)-1))</f>
        <v/>
      </c>
    </row>
    <row r="1927" spans="13:54" x14ac:dyDescent="0.25">
      <c r="M1927" s="382"/>
      <c r="BB1927" s="253" t="str">
        <f t="array" ref="BB1927">_xlfn.IFS(AQ1927="","",LEN(AQ1927)-LEN(SUBSTITUTE(AQ1927,".",""))=3,LEFT(AQ1927,vitri(".",AQ1927,3)-1),LEN(AQ1927)-LEN(SUBSTITUTE(AQ1927,".",""))=2,LEFT(AQ1927,vitri(".",AQ1927,2)-1),TRUE,LEFT(AQ1927,vitri(".",AQ1927,1)-1))</f>
        <v/>
      </c>
    </row>
    <row r="1928" spans="13:54" x14ac:dyDescent="0.25">
      <c r="M1928" s="382"/>
      <c r="BB1928" s="253" t="str">
        <f t="array" ref="BB1928">_xlfn.IFS(AQ1928="","",LEN(AQ1928)-LEN(SUBSTITUTE(AQ1928,".",""))=3,LEFT(AQ1928,vitri(".",AQ1928,3)-1),LEN(AQ1928)-LEN(SUBSTITUTE(AQ1928,".",""))=2,LEFT(AQ1928,vitri(".",AQ1928,2)-1),TRUE,LEFT(AQ1928,vitri(".",AQ1928,1)-1))</f>
        <v/>
      </c>
    </row>
    <row r="1929" spans="13:54" x14ac:dyDescent="0.25">
      <c r="M1929" s="382"/>
      <c r="BB1929" s="253" t="str">
        <f t="array" ref="BB1929">_xlfn.IFS(AQ1929="","",LEN(AQ1929)-LEN(SUBSTITUTE(AQ1929,".",""))=3,LEFT(AQ1929,vitri(".",AQ1929,3)-1),LEN(AQ1929)-LEN(SUBSTITUTE(AQ1929,".",""))=2,LEFT(AQ1929,vitri(".",AQ1929,2)-1),TRUE,LEFT(AQ1929,vitri(".",AQ1929,1)-1))</f>
        <v/>
      </c>
    </row>
    <row r="1930" spans="13:54" x14ac:dyDescent="0.25">
      <c r="M1930" s="382"/>
      <c r="BB1930" s="253" t="str">
        <f t="array" ref="BB1930">_xlfn.IFS(AQ1930="","",LEN(AQ1930)-LEN(SUBSTITUTE(AQ1930,".",""))=3,LEFT(AQ1930,vitri(".",AQ1930,3)-1),LEN(AQ1930)-LEN(SUBSTITUTE(AQ1930,".",""))=2,LEFT(AQ1930,vitri(".",AQ1930,2)-1),TRUE,LEFT(AQ1930,vitri(".",AQ1930,1)-1))</f>
        <v/>
      </c>
    </row>
    <row r="1931" spans="13:54" x14ac:dyDescent="0.25">
      <c r="M1931" s="382"/>
      <c r="BB1931" s="253" t="str">
        <f t="array" ref="BB1931">_xlfn.IFS(AQ1931="","",LEN(AQ1931)-LEN(SUBSTITUTE(AQ1931,".",""))=3,LEFT(AQ1931,vitri(".",AQ1931,3)-1),LEN(AQ1931)-LEN(SUBSTITUTE(AQ1931,".",""))=2,LEFT(AQ1931,vitri(".",AQ1931,2)-1),TRUE,LEFT(AQ1931,vitri(".",AQ1931,1)-1))</f>
        <v/>
      </c>
    </row>
    <row r="1932" spans="13:54" x14ac:dyDescent="0.25">
      <c r="M1932" s="382"/>
      <c r="BB1932" s="253" t="str">
        <f t="array" ref="BB1932">_xlfn.IFS(AQ1932="","",LEN(AQ1932)-LEN(SUBSTITUTE(AQ1932,".",""))=3,LEFT(AQ1932,vitri(".",AQ1932,3)-1),LEN(AQ1932)-LEN(SUBSTITUTE(AQ1932,".",""))=2,LEFT(AQ1932,vitri(".",AQ1932,2)-1),TRUE,LEFT(AQ1932,vitri(".",AQ1932,1)-1))</f>
        <v/>
      </c>
    </row>
    <row r="1933" spans="13:54" x14ac:dyDescent="0.25">
      <c r="M1933" s="382"/>
      <c r="BB1933" s="253" t="str">
        <f t="array" ref="BB1933">_xlfn.IFS(AQ1933="","",LEN(AQ1933)-LEN(SUBSTITUTE(AQ1933,".",""))=3,LEFT(AQ1933,vitri(".",AQ1933,3)-1),LEN(AQ1933)-LEN(SUBSTITUTE(AQ1933,".",""))=2,LEFT(AQ1933,vitri(".",AQ1933,2)-1),TRUE,LEFT(AQ1933,vitri(".",AQ1933,1)-1))</f>
        <v/>
      </c>
    </row>
    <row r="1934" spans="13:54" x14ac:dyDescent="0.25">
      <c r="M1934" s="382"/>
      <c r="BB1934" s="253" t="str">
        <f t="array" ref="BB1934">_xlfn.IFS(AQ1934="","",LEN(AQ1934)-LEN(SUBSTITUTE(AQ1934,".",""))=3,LEFT(AQ1934,vitri(".",AQ1934,3)-1),LEN(AQ1934)-LEN(SUBSTITUTE(AQ1934,".",""))=2,LEFT(AQ1934,vitri(".",AQ1934,2)-1),TRUE,LEFT(AQ1934,vitri(".",AQ1934,1)-1))</f>
        <v/>
      </c>
    </row>
    <row r="1935" spans="13:54" x14ac:dyDescent="0.25">
      <c r="M1935" s="382"/>
      <c r="BB1935" s="253" t="str">
        <f t="array" ref="BB1935">_xlfn.IFS(AQ1935="","",LEN(AQ1935)-LEN(SUBSTITUTE(AQ1935,".",""))=3,LEFT(AQ1935,vitri(".",AQ1935,3)-1),LEN(AQ1935)-LEN(SUBSTITUTE(AQ1935,".",""))=2,LEFT(AQ1935,vitri(".",AQ1935,2)-1),TRUE,LEFT(AQ1935,vitri(".",AQ1935,1)-1))</f>
        <v/>
      </c>
    </row>
    <row r="1936" spans="13:54" x14ac:dyDescent="0.25">
      <c r="M1936" s="382"/>
      <c r="BB1936" s="253" t="str">
        <f t="array" ref="BB1936">_xlfn.IFS(AQ1936="","",LEN(AQ1936)-LEN(SUBSTITUTE(AQ1936,".",""))=3,LEFT(AQ1936,vitri(".",AQ1936,3)-1),LEN(AQ1936)-LEN(SUBSTITUTE(AQ1936,".",""))=2,LEFT(AQ1936,vitri(".",AQ1936,2)-1),TRUE,LEFT(AQ1936,vitri(".",AQ1936,1)-1))</f>
        <v/>
      </c>
    </row>
    <row r="1937" spans="13:54" x14ac:dyDescent="0.25">
      <c r="M1937" s="382"/>
      <c r="BB1937" s="253" t="str">
        <f t="array" ref="BB1937">_xlfn.IFS(AQ1937="","",LEN(AQ1937)-LEN(SUBSTITUTE(AQ1937,".",""))=3,LEFT(AQ1937,vitri(".",AQ1937,3)-1),LEN(AQ1937)-LEN(SUBSTITUTE(AQ1937,".",""))=2,LEFT(AQ1937,vitri(".",AQ1937,2)-1),TRUE,LEFT(AQ1937,vitri(".",AQ1937,1)-1))</f>
        <v/>
      </c>
    </row>
    <row r="1938" spans="13:54" x14ac:dyDescent="0.25">
      <c r="M1938" s="382"/>
      <c r="BB1938" s="253" t="str">
        <f t="array" ref="BB1938">_xlfn.IFS(AQ1938="","",LEN(AQ1938)-LEN(SUBSTITUTE(AQ1938,".",""))=3,LEFT(AQ1938,vitri(".",AQ1938,3)-1),LEN(AQ1938)-LEN(SUBSTITUTE(AQ1938,".",""))=2,LEFT(AQ1938,vitri(".",AQ1938,2)-1),TRUE,LEFT(AQ1938,vitri(".",AQ1938,1)-1))</f>
        <v/>
      </c>
    </row>
    <row r="1939" spans="13:54" x14ac:dyDescent="0.25">
      <c r="M1939" s="382"/>
      <c r="BB1939" s="253" t="str">
        <f t="array" ref="BB1939">_xlfn.IFS(AQ1939="","",LEN(AQ1939)-LEN(SUBSTITUTE(AQ1939,".",""))=3,LEFT(AQ1939,vitri(".",AQ1939,3)-1),LEN(AQ1939)-LEN(SUBSTITUTE(AQ1939,".",""))=2,LEFT(AQ1939,vitri(".",AQ1939,2)-1),TRUE,LEFT(AQ1939,vitri(".",AQ1939,1)-1))</f>
        <v/>
      </c>
    </row>
    <row r="1940" spans="13:54" x14ac:dyDescent="0.25">
      <c r="M1940" s="382"/>
      <c r="BB1940" s="253" t="str">
        <f t="array" ref="BB1940">_xlfn.IFS(AQ1940="","",LEN(AQ1940)-LEN(SUBSTITUTE(AQ1940,".",""))=3,LEFT(AQ1940,vitri(".",AQ1940,3)-1),LEN(AQ1940)-LEN(SUBSTITUTE(AQ1940,".",""))=2,LEFT(AQ1940,vitri(".",AQ1940,2)-1),TRUE,LEFT(AQ1940,vitri(".",AQ1940,1)-1))</f>
        <v/>
      </c>
    </row>
    <row r="1941" spans="13:54" x14ac:dyDescent="0.25">
      <c r="M1941" s="382"/>
      <c r="BB1941" s="253" t="str">
        <f t="array" ref="BB1941">_xlfn.IFS(AQ1941="","",LEN(AQ1941)-LEN(SUBSTITUTE(AQ1941,".",""))=3,LEFT(AQ1941,vitri(".",AQ1941,3)-1),LEN(AQ1941)-LEN(SUBSTITUTE(AQ1941,".",""))=2,LEFT(AQ1941,vitri(".",AQ1941,2)-1),TRUE,LEFT(AQ1941,vitri(".",AQ1941,1)-1))</f>
        <v/>
      </c>
    </row>
    <row r="1942" spans="13:54" x14ac:dyDescent="0.25">
      <c r="M1942" s="382"/>
      <c r="BB1942" s="253" t="str">
        <f t="array" ref="BB1942">_xlfn.IFS(AQ1942="","",LEN(AQ1942)-LEN(SUBSTITUTE(AQ1942,".",""))=3,LEFT(AQ1942,vitri(".",AQ1942,3)-1),LEN(AQ1942)-LEN(SUBSTITUTE(AQ1942,".",""))=2,LEFT(AQ1942,vitri(".",AQ1942,2)-1),TRUE,LEFT(AQ1942,vitri(".",AQ1942,1)-1))</f>
        <v/>
      </c>
    </row>
    <row r="1943" spans="13:54" x14ac:dyDescent="0.25">
      <c r="M1943" s="382"/>
      <c r="BB1943" s="253" t="str">
        <f t="array" ref="BB1943">_xlfn.IFS(AQ1943="","",LEN(AQ1943)-LEN(SUBSTITUTE(AQ1943,".",""))=3,LEFT(AQ1943,vitri(".",AQ1943,3)-1),LEN(AQ1943)-LEN(SUBSTITUTE(AQ1943,".",""))=2,LEFT(AQ1943,vitri(".",AQ1943,2)-1),TRUE,LEFT(AQ1943,vitri(".",AQ1943,1)-1))</f>
        <v/>
      </c>
    </row>
    <row r="1944" spans="13:54" x14ac:dyDescent="0.25">
      <c r="M1944" s="382"/>
      <c r="BB1944" s="253" t="str">
        <f t="array" ref="BB1944">_xlfn.IFS(AQ1944="","",LEN(AQ1944)-LEN(SUBSTITUTE(AQ1944,".",""))=3,LEFT(AQ1944,vitri(".",AQ1944,3)-1),LEN(AQ1944)-LEN(SUBSTITUTE(AQ1944,".",""))=2,LEFT(AQ1944,vitri(".",AQ1944,2)-1),TRUE,LEFT(AQ1944,vitri(".",AQ1944,1)-1))</f>
        <v/>
      </c>
    </row>
    <row r="1945" spans="13:54" x14ac:dyDescent="0.25">
      <c r="M1945" s="382"/>
      <c r="BB1945" s="253" t="str">
        <f t="array" ref="BB1945">_xlfn.IFS(AQ1945="","",LEN(AQ1945)-LEN(SUBSTITUTE(AQ1945,".",""))=3,LEFT(AQ1945,vitri(".",AQ1945,3)-1),LEN(AQ1945)-LEN(SUBSTITUTE(AQ1945,".",""))=2,LEFT(AQ1945,vitri(".",AQ1945,2)-1),TRUE,LEFT(AQ1945,vitri(".",AQ1945,1)-1))</f>
        <v/>
      </c>
    </row>
    <row r="1946" spans="13:54" x14ac:dyDescent="0.25">
      <c r="M1946" s="382"/>
      <c r="BB1946" s="253" t="str">
        <f t="array" ref="BB1946">_xlfn.IFS(AQ1946="","",LEN(AQ1946)-LEN(SUBSTITUTE(AQ1946,".",""))=3,LEFT(AQ1946,vitri(".",AQ1946,3)-1),LEN(AQ1946)-LEN(SUBSTITUTE(AQ1946,".",""))=2,LEFT(AQ1946,vitri(".",AQ1946,2)-1),TRUE,LEFT(AQ1946,vitri(".",AQ1946,1)-1))</f>
        <v/>
      </c>
    </row>
    <row r="1947" spans="13:54" x14ac:dyDescent="0.25">
      <c r="M1947" s="382"/>
      <c r="BB1947" s="253" t="str">
        <f t="array" ref="BB1947">_xlfn.IFS(AQ1947="","",LEN(AQ1947)-LEN(SUBSTITUTE(AQ1947,".",""))=3,LEFT(AQ1947,vitri(".",AQ1947,3)-1),LEN(AQ1947)-LEN(SUBSTITUTE(AQ1947,".",""))=2,LEFT(AQ1947,vitri(".",AQ1947,2)-1),TRUE,LEFT(AQ1947,vitri(".",AQ1947,1)-1))</f>
        <v/>
      </c>
    </row>
    <row r="1948" spans="13:54" x14ac:dyDescent="0.25">
      <c r="M1948" s="382"/>
      <c r="BB1948" s="253" t="str">
        <f t="array" ref="BB1948">_xlfn.IFS(AQ1948="","",LEN(AQ1948)-LEN(SUBSTITUTE(AQ1948,".",""))=3,LEFT(AQ1948,vitri(".",AQ1948,3)-1),LEN(AQ1948)-LEN(SUBSTITUTE(AQ1948,".",""))=2,LEFT(AQ1948,vitri(".",AQ1948,2)-1),TRUE,LEFT(AQ1948,vitri(".",AQ1948,1)-1))</f>
        <v/>
      </c>
    </row>
    <row r="1949" spans="13:54" x14ac:dyDescent="0.25">
      <c r="M1949" s="382"/>
      <c r="BB1949" s="253" t="str">
        <f t="array" ref="BB1949">_xlfn.IFS(AQ1949="","",LEN(AQ1949)-LEN(SUBSTITUTE(AQ1949,".",""))=3,LEFT(AQ1949,vitri(".",AQ1949,3)-1),LEN(AQ1949)-LEN(SUBSTITUTE(AQ1949,".",""))=2,LEFT(AQ1949,vitri(".",AQ1949,2)-1),TRUE,LEFT(AQ1949,vitri(".",AQ1949,1)-1))</f>
        <v/>
      </c>
    </row>
    <row r="1950" spans="13:54" x14ac:dyDescent="0.25">
      <c r="M1950" s="382"/>
      <c r="BB1950" s="253" t="str">
        <f t="array" ref="BB1950">_xlfn.IFS(AQ1950="","",LEN(AQ1950)-LEN(SUBSTITUTE(AQ1950,".",""))=3,LEFT(AQ1950,vitri(".",AQ1950,3)-1),LEN(AQ1950)-LEN(SUBSTITUTE(AQ1950,".",""))=2,LEFT(AQ1950,vitri(".",AQ1950,2)-1),TRUE,LEFT(AQ1950,vitri(".",AQ1950,1)-1))</f>
        <v/>
      </c>
    </row>
    <row r="1951" spans="13:54" x14ac:dyDescent="0.25">
      <c r="M1951" s="382"/>
      <c r="BB1951" s="253" t="str">
        <f t="array" ref="BB1951">_xlfn.IFS(AQ1951="","",LEN(AQ1951)-LEN(SUBSTITUTE(AQ1951,".",""))=3,LEFT(AQ1951,vitri(".",AQ1951,3)-1),LEN(AQ1951)-LEN(SUBSTITUTE(AQ1951,".",""))=2,LEFT(AQ1951,vitri(".",AQ1951,2)-1),TRUE,LEFT(AQ1951,vitri(".",AQ1951,1)-1))</f>
        <v/>
      </c>
    </row>
    <row r="1952" spans="13:54" x14ac:dyDescent="0.25">
      <c r="M1952" s="382"/>
      <c r="BB1952" s="253" t="str">
        <f t="array" ref="BB1952">_xlfn.IFS(AQ1952="","",LEN(AQ1952)-LEN(SUBSTITUTE(AQ1952,".",""))=3,LEFT(AQ1952,vitri(".",AQ1952,3)-1),LEN(AQ1952)-LEN(SUBSTITUTE(AQ1952,".",""))=2,LEFT(AQ1952,vitri(".",AQ1952,2)-1),TRUE,LEFT(AQ1952,vitri(".",AQ1952,1)-1))</f>
        <v/>
      </c>
    </row>
    <row r="1953" spans="13:54" x14ac:dyDescent="0.25">
      <c r="M1953" s="382"/>
      <c r="BB1953" s="253" t="str">
        <f t="array" ref="BB1953">_xlfn.IFS(AQ1953="","",LEN(AQ1953)-LEN(SUBSTITUTE(AQ1953,".",""))=3,LEFT(AQ1953,vitri(".",AQ1953,3)-1),LEN(AQ1953)-LEN(SUBSTITUTE(AQ1953,".",""))=2,LEFT(AQ1953,vitri(".",AQ1953,2)-1),TRUE,LEFT(AQ1953,vitri(".",AQ1953,1)-1))</f>
        <v/>
      </c>
    </row>
    <row r="1954" spans="13:54" x14ac:dyDescent="0.25">
      <c r="M1954" s="382"/>
      <c r="BB1954" s="253" t="str">
        <f t="array" ref="BB1954">_xlfn.IFS(AQ1954="","",LEN(AQ1954)-LEN(SUBSTITUTE(AQ1954,".",""))=3,LEFT(AQ1954,vitri(".",AQ1954,3)-1),LEN(AQ1954)-LEN(SUBSTITUTE(AQ1954,".",""))=2,LEFT(AQ1954,vitri(".",AQ1954,2)-1),TRUE,LEFT(AQ1954,vitri(".",AQ1954,1)-1))</f>
        <v/>
      </c>
    </row>
    <row r="1955" spans="13:54" x14ac:dyDescent="0.25">
      <c r="M1955" s="382"/>
      <c r="BB1955" s="253" t="str">
        <f t="array" ref="BB1955">_xlfn.IFS(AQ1955="","",LEN(AQ1955)-LEN(SUBSTITUTE(AQ1955,".",""))=3,LEFT(AQ1955,vitri(".",AQ1955,3)-1),LEN(AQ1955)-LEN(SUBSTITUTE(AQ1955,".",""))=2,LEFT(AQ1955,vitri(".",AQ1955,2)-1),TRUE,LEFT(AQ1955,vitri(".",AQ1955,1)-1))</f>
        <v/>
      </c>
    </row>
    <row r="1956" spans="13:54" x14ac:dyDescent="0.25">
      <c r="M1956" s="382"/>
      <c r="BB1956" s="253" t="str">
        <f t="array" ref="BB1956">_xlfn.IFS(AQ1956="","",LEN(AQ1956)-LEN(SUBSTITUTE(AQ1956,".",""))=3,LEFT(AQ1956,vitri(".",AQ1956,3)-1),LEN(AQ1956)-LEN(SUBSTITUTE(AQ1956,".",""))=2,LEFT(AQ1956,vitri(".",AQ1956,2)-1),TRUE,LEFT(AQ1956,vitri(".",AQ1956,1)-1))</f>
        <v/>
      </c>
    </row>
    <row r="1957" spans="13:54" x14ac:dyDescent="0.25">
      <c r="M1957" s="382"/>
      <c r="BB1957" s="253" t="str">
        <f t="array" ref="BB1957">_xlfn.IFS(AQ1957="","",LEN(AQ1957)-LEN(SUBSTITUTE(AQ1957,".",""))=3,LEFT(AQ1957,vitri(".",AQ1957,3)-1),LEN(AQ1957)-LEN(SUBSTITUTE(AQ1957,".",""))=2,LEFT(AQ1957,vitri(".",AQ1957,2)-1),TRUE,LEFT(AQ1957,vitri(".",AQ1957,1)-1))</f>
        <v/>
      </c>
    </row>
    <row r="1958" spans="13:54" x14ac:dyDescent="0.25">
      <c r="M1958" s="382"/>
      <c r="BB1958" s="253" t="str">
        <f t="array" ref="BB1958">_xlfn.IFS(AQ1958="","",LEN(AQ1958)-LEN(SUBSTITUTE(AQ1958,".",""))=3,LEFT(AQ1958,vitri(".",AQ1958,3)-1),LEN(AQ1958)-LEN(SUBSTITUTE(AQ1958,".",""))=2,LEFT(AQ1958,vitri(".",AQ1958,2)-1),TRUE,LEFT(AQ1958,vitri(".",AQ1958,1)-1))</f>
        <v/>
      </c>
    </row>
    <row r="1959" spans="13:54" x14ac:dyDescent="0.25">
      <c r="M1959" s="382"/>
      <c r="BB1959" s="253" t="str">
        <f t="array" ref="BB1959">_xlfn.IFS(AQ1959="","",LEN(AQ1959)-LEN(SUBSTITUTE(AQ1959,".",""))=3,LEFT(AQ1959,vitri(".",AQ1959,3)-1),LEN(AQ1959)-LEN(SUBSTITUTE(AQ1959,".",""))=2,LEFT(AQ1959,vitri(".",AQ1959,2)-1),TRUE,LEFT(AQ1959,vitri(".",AQ1959,1)-1))</f>
        <v/>
      </c>
    </row>
    <row r="1960" spans="13:54" x14ac:dyDescent="0.25">
      <c r="M1960" s="382"/>
      <c r="BB1960" s="253" t="str">
        <f t="array" ref="BB1960">_xlfn.IFS(AQ1960="","",LEN(AQ1960)-LEN(SUBSTITUTE(AQ1960,".",""))=3,LEFT(AQ1960,vitri(".",AQ1960,3)-1),LEN(AQ1960)-LEN(SUBSTITUTE(AQ1960,".",""))=2,LEFT(AQ1960,vitri(".",AQ1960,2)-1),TRUE,LEFT(AQ1960,vitri(".",AQ1960,1)-1))</f>
        <v/>
      </c>
    </row>
    <row r="1961" spans="13:54" x14ac:dyDescent="0.25">
      <c r="M1961" s="382"/>
      <c r="BB1961" s="253" t="str">
        <f t="array" ref="BB1961">_xlfn.IFS(AQ1961="","",LEN(AQ1961)-LEN(SUBSTITUTE(AQ1961,".",""))=3,LEFT(AQ1961,vitri(".",AQ1961,3)-1),LEN(AQ1961)-LEN(SUBSTITUTE(AQ1961,".",""))=2,LEFT(AQ1961,vitri(".",AQ1961,2)-1),TRUE,LEFT(AQ1961,vitri(".",AQ1961,1)-1))</f>
        <v/>
      </c>
    </row>
    <row r="1962" spans="13:54" x14ac:dyDescent="0.25">
      <c r="M1962" s="382"/>
      <c r="BB1962" s="253" t="str">
        <f t="array" ref="BB1962">_xlfn.IFS(AQ1962="","",LEN(AQ1962)-LEN(SUBSTITUTE(AQ1962,".",""))=3,LEFT(AQ1962,vitri(".",AQ1962,3)-1),LEN(AQ1962)-LEN(SUBSTITUTE(AQ1962,".",""))=2,LEFT(AQ1962,vitri(".",AQ1962,2)-1),TRUE,LEFT(AQ1962,vitri(".",AQ1962,1)-1))</f>
        <v/>
      </c>
    </row>
    <row r="1963" spans="13:54" x14ac:dyDescent="0.25">
      <c r="M1963" s="382"/>
      <c r="BB1963" s="253" t="str">
        <f t="array" ref="BB1963">_xlfn.IFS(AQ1963="","",LEN(AQ1963)-LEN(SUBSTITUTE(AQ1963,".",""))=3,LEFT(AQ1963,vitri(".",AQ1963,3)-1),LEN(AQ1963)-LEN(SUBSTITUTE(AQ1963,".",""))=2,LEFT(AQ1963,vitri(".",AQ1963,2)-1),TRUE,LEFT(AQ1963,vitri(".",AQ1963,1)-1))</f>
        <v/>
      </c>
    </row>
    <row r="1964" spans="13:54" x14ac:dyDescent="0.25">
      <c r="M1964" s="382"/>
      <c r="BB1964" s="253" t="str">
        <f t="array" ref="BB1964">_xlfn.IFS(AQ1964="","",LEN(AQ1964)-LEN(SUBSTITUTE(AQ1964,".",""))=3,LEFT(AQ1964,vitri(".",AQ1964,3)-1),LEN(AQ1964)-LEN(SUBSTITUTE(AQ1964,".",""))=2,LEFT(AQ1964,vitri(".",AQ1964,2)-1),TRUE,LEFT(AQ1964,vitri(".",AQ1964,1)-1))</f>
        <v/>
      </c>
    </row>
    <row r="1965" spans="13:54" x14ac:dyDescent="0.25">
      <c r="M1965" s="382"/>
      <c r="BB1965" s="253" t="str">
        <f t="array" ref="BB1965">_xlfn.IFS(AQ1965="","",LEN(AQ1965)-LEN(SUBSTITUTE(AQ1965,".",""))=3,LEFT(AQ1965,vitri(".",AQ1965,3)-1),LEN(AQ1965)-LEN(SUBSTITUTE(AQ1965,".",""))=2,LEFT(AQ1965,vitri(".",AQ1965,2)-1),TRUE,LEFT(AQ1965,vitri(".",AQ1965,1)-1))</f>
        <v/>
      </c>
    </row>
    <row r="1966" spans="13:54" x14ac:dyDescent="0.25">
      <c r="M1966" s="382"/>
      <c r="BB1966" s="253" t="str">
        <f t="array" ref="BB1966">_xlfn.IFS(AQ1966="","",LEN(AQ1966)-LEN(SUBSTITUTE(AQ1966,".",""))=3,LEFT(AQ1966,vitri(".",AQ1966,3)-1),LEN(AQ1966)-LEN(SUBSTITUTE(AQ1966,".",""))=2,LEFT(AQ1966,vitri(".",AQ1966,2)-1),TRUE,LEFT(AQ1966,vitri(".",AQ1966,1)-1))</f>
        <v/>
      </c>
    </row>
    <row r="1967" spans="13:54" x14ac:dyDescent="0.25">
      <c r="M1967" s="382"/>
      <c r="BB1967" s="253" t="str">
        <f t="array" ref="BB1967">_xlfn.IFS(AQ1967="","",LEN(AQ1967)-LEN(SUBSTITUTE(AQ1967,".",""))=3,LEFT(AQ1967,vitri(".",AQ1967,3)-1),LEN(AQ1967)-LEN(SUBSTITUTE(AQ1967,".",""))=2,LEFT(AQ1967,vitri(".",AQ1967,2)-1),TRUE,LEFT(AQ1967,vitri(".",AQ1967,1)-1))</f>
        <v/>
      </c>
    </row>
    <row r="1968" spans="13:54" x14ac:dyDescent="0.25">
      <c r="M1968" s="382"/>
      <c r="BB1968" s="253" t="str">
        <f t="array" ref="BB1968">_xlfn.IFS(AQ1968="","",LEN(AQ1968)-LEN(SUBSTITUTE(AQ1968,".",""))=3,LEFT(AQ1968,vitri(".",AQ1968,3)-1),LEN(AQ1968)-LEN(SUBSTITUTE(AQ1968,".",""))=2,LEFT(AQ1968,vitri(".",AQ1968,2)-1),TRUE,LEFT(AQ1968,vitri(".",AQ1968,1)-1))</f>
        <v/>
      </c>
    </row>
    <row r="1969" spans="13:54" x14ac:dyDescent="0.25">
      <c r="M1969" s="382"/>
      <c r="BB1969" s="253" t="str">
        <f t="array" ref="BB1969">_xlfn.IFS(AQ1969="","",LEN(AQ1969)-LEN(SUBSTITUTE(AQ1969,".",""))=3,LEFT(AQ1969,vitri(".",AQ1969,3)-1),LEN(AQ1969)-LEN(SUBSTITUTE(AQ1969,".",""))=2,LEFT(AQ1969,vitri(".",AQ1969,2)-1),TRUE,LEFT(AQ1969,vitri(".",AQ1969,1)-1))</f>
        <v/>
      </c>
    </row>
    <row r="1970" spans="13:54" x14ac:dyDescent="0.25">
      <c r="M1970" s="382"/>
      <c r="BB1970" s="253" t="str">
        <f t="array" ref="BB1970">_xlfn.IFS(AQ1970="","",LEN(AQ1970)-LEN(SUBSTITUTE(AQ1970,".",""))=3,LEFT(AQ1970,vitri(".",AQ1970,3)-1),LEN(AQ1970)-LEN(SUBSTITUTE(AQ1970,".",""))=2,LEFT(AQ1970,vitri(".",AQ1970,2)-1),TRUE,LEFT(AQ1970,vitri(".",AQ1970,1)-1))</f>
        <v/>
      </c>
    </row>
    <row r="1971" spans="13:54" x14ac:dyDescent="0.25">
      <c r="M1971" s="382"/>
      <c r="BB1971" s="253" t="str">
        <f t="array" ref="BB1971">_xlfn.IFS(AQ1971="","",LEN(AQ1971)-LEN(SUBSTITUTE(AQ1971,".",""))=3,LEFT(AQ1971,vitri(".",AQ1971,3)-1),LEN(AQ1971)-LEN(SUBSTITUTE(AQ1971,".",""))=2,LEFT(AQ1971,vitri(".",AQ1971,2)-1),TRUE,LEFT(AQ1971,vitri(".",AQ1971,1)-1))</f>
        <v/>
      </c>
    </row>
    <row r="1972" spans="13:54" x14ac:dyDescent="0.25">
      <c r="M1972" s="382"/>
      <c r="BB1972" s="253" t="str">
        <f t="array" ref="BB1972">_xlfn.IFS(AQ1972="","",LEN(AQ1972)-LEN(SUBSTITUTE(AQ1972,".",""))=3,LEFT(AQ1972,vitri(".",AQ1972,3)-1),LEN(AQ1972)-LEN(SUBSTITUTE(AQ1972,".",""))=2,LEFT(AQ1972,vitri(".",AQ1972,2)-1),TRUE,LEFT(AQ1972,vitri(".",AQ1972,1)-1))</f>
        <v/>
      </c>
    </row>
    <row r="1973" spans="13:54" x14ac:dyDescent="0.25">
      <c r="M1973" s="382"/>
      <c r="BB1973" s="253" t="str">
        <f t="array" ref="BB1973">_xlfn.IFS(AQ1973="","",LEN(AQ1973)-LEN(SUBSTITUTE(AQ1973,".",""))=3,LEFT(AQ1973,vitri(".",AQ1973,3)-1),LEN(AQ1973)-LEN(SUBSTITUTE(AQ1973,".",""))=2,LEFT(AQ1973,vitri(".",AQ1973,2)-1),TRUE,LEFT(AQ1973,vitri(".",AQ1973,1)-1))</f>
        <v/>
      </c>
    </row>
    <row r="1974" spans="13:54" x14ac:dyDescent="0.25">
      <c r="M1974" s="382"/>
      <c r="BB1974" s="253" t="str">
        <f t="array" ref="BB1974">_xlfn.IFS(AQ1974="","",LEN(AQ1974)-LEN(SUBSTITUTE(AQ1974,".",""))=3,LEFT(AQ1974,vitri(".",AQ1974,3)-1),LEN(AQ1974)-LEN(SUBSTITUTE(AQ1974,".",""))=2,LEFT(AQ1974,vitri(".",AQ1974,2)-1),TRUE,LEFT(AQ1974,vitri(".",AQ1974,1)-1))</f>
        <v/>
      </c>
    </row>
    <row r="1975" spans="13:54" x14ac:dyDescent="0.25">
      <c r="M1975" s="382"/>
      <c r="BB1975" s="253" t="str">
        <f t="array" ref="BB1975">_xlfn.IFS(AQ1975="","",LEN(AQ1975)-LEN(SUBSTITUTE(AQ1975,".",""))=3,LEFT(AQ1975,vitri(".",AQ1975,3)-1),LEN(AQ1975)-LEN(SUBSTITUTE(AQ1975,".",""))=2,LEFT(AQ1975,vitri(".",AQ1975,2)-1),TRUE,LEFT(AQ1975,vitri(".",AQ1975,1)-1))</f>
        <v/>
      </c>
    </row>
    <row r="1976" spans="13:54" x14ac:dyDescent="0.25">
      <c r="M1976" s="382"/>
      <c r="BB1976" s="253" t="str">
        <f t="array" ref="BB1976">_xlfn.IFS(AQ1976="","",LEN(AQ1976)-LEN(SUBSTITUTE(AQ1976,".",""))=3,LEFT(AQ1976,vitri(".",AQ1976,3)-1),LEN(AQ1976)-LEN(SUBSTITUTE(AQ1976,".",""))=2,LEFT(AQ1976,vitri(".",AQ1976,2)-1),TRUE,LEFT(AQ1976,vitri(".",AQ1976,1)-1))</f>
        <v/>
      </c>
    </row>
    <row r="1977" spans="13:54" x14ac:dyDescent="0.25">
      <c r="M1977" s="382"/>
      <c r="BB1977" s="253" t="str">
        <f t="array" ref="BB1977">_xlfn.IFS(AQ1977="","",LEN(AQ1977)-LEN(SUBSTITUTE(AQ1977,".",""))=3,LEFT(AQ1977,vitri(".",AQ1977,3)-1),LEN(AQ1977)-LEN(SUBSTITUTE(AQ1977,".",""))=2,LEFT(AQ1977,vitri(".",AQ1977,2)-1),TRUE,LEFT(AQ1977,vitri(".",AQ1977,1)-1))</f>
        <v/>
      </c>
    </row>
    <row r="1978" spans="13:54" x14ac:dyDescent="0.25">
      <c r="M1978" s="382"/>
      <c r="BB1978" s="253" t="str">
        <f t="array" ref="BB1978">_xlfn.IFS(AQ1978="","",LEN(AQ1978)-LEN(SUBSTITUTE(AQ1978,".",""))=3,LEFT(AQ1978,vitri(".",AQ1978,3)-1),LEN(AQ1978)-LEN(SUBSTITUTE(AQ1978,".",""))=2,LEFT(AQ1978,vitri(".",AQ1978,2)-1),TRUE,LEFT(AQ1978,vitri(".",AQ1978,1)-1))</f>
        <v/>
      </c>
    </row>
    <row r="1979" spans="13:54" x14ac:dyDescent="0.25">
      <c r="M1979" s="382"/>
      <c r="BB1979" s="253" t="str">
        <f t="array" ref="BB1979">_xlfn.IFS(AQ1979="","",LEN(AQ1979)-LEN(SUBSTITUTE(AQ1979,".",""))=3,LEFT(AQ1979,vitri(".",AQ1979,3)-1),LEN(AQ1979)-LEN(SUBSTITUTE(AQ1979,".",""))=2,LEFT(AQ1979,vitri(".",AQ1979,2)-1),TRUE,LEFT(AQ1979,vitri(".",AQ1979,1)-1))</f>
        <v/>
      </c>
    </row>
    <row r="1980" spans="13:54" x14ac:dyDescent="0.25">
      <c r="M1980" s="382"/>
      <c r="BB1980" s="253" t="str">
        <f t="array" ref="BB1980">_xlfn.IFS(AQ1980="","",LEN(AQ1980)-LEN(SUBSTITUTE(AQ1980,".",""))=3,LEFT(AQ1980,vitri(".",AQ1980,3)-1),LEN(AQ1980)-LEN(SUBSTITUTE(AQ1980,".",""))=2,LEFT(AQ1980,vitri(".",AQ1980,2)-1),TRUE,LEFT(AQ1980,vitri(".",AQ1980,1)-1))</f>
        <v/>
      </c>
    </row>
    <row r="1981" spans="13:54" x14ac:dyDescent="0.25">
      <c r="M1981" s="382"/>
      <c r="BB1981" s="253" t="str">
        <f t="array" ref="BB1981">_xlfn.IFS(AQ1981="","",LEN(AQ1981)-LEN(SUBSTITUTE(AQ1981,".",""))=3,LEFT(AQ1981,vitri(".",AQ1981,3)-1),LEN(AQ1981)-LEN(SUBSTITUTE(AQ1981,".",""))=2,LEFT(AQ1981,vitri(".",AQ1981,2)-1),TRUE,LEFT(AQ1981,vitri(".",AQ1981,1)-1))</f>
        <v/>
      </c>
    </row>
    <row r="1982" spans="13:54" x14ac:dyDescent="0.25">
      <c r="M1982" s="382"/>
      <c r="BB1982" s="253" t="str">
        <f t="array" ref="BB1982">_xlfn.IFS(AQ1982="","",LEN(AQ1982)-LEN(SUBSTITUTE(AQ1982,".",""))=3,LEFT(AQ1982,vitri(".",AQ1982,3)-1),LEN(AQ1982)-LEN(SUBSTITUTE(AQ1982,".",""))=2,LEFT(AQ1982,vitri(".",AQ1982,2)-1),TRUE,LEFT(AQ1982,vitri(".",AQ1982,1)-1))</f>
        <v/>
      </c>
    </row>
    <row r="1983" spans="13:54" x14ac:dyDescent="0.25">
      <c r="M1983" s="382"/>
      <c r="BB1983" s="253" t="str">
        <f t="array" ref="BB1983">_xlfn.IFS(AQ1983="","",LEN(AQ1983)-LEN(SUBSTITUTE(AQ1983,".",""))=3,LEFT(AQ1983,vitri(".",AQ1983,3)-1),LEN(AQ1983)-LEN(SUBSTITUTE(AQ1983,".",""))=2,LEFT(AQ1983,vitri(".",AQ1983,2)-1),TRUE,LEFT(AQ1983,vitri(".",AQ1983,1)-1))</f>
        <v/>
      </c>
    </row>
    <row r="1984" spans="13:54" x14ac:dyDescent="0.25">
      <c r="M1984" s="382"/>
      <c r="BB1984" s="253" t="str">
        <f t="array" ref="BB1984">_xlfn.IFS(AQ1984="","",LEN(AQ1984)-LEN(SUBSTITUTE(AQ1984,".",""))=3,LEFT(AQ1984,vitri(".",AQ1984,3)-1),LEN(AQ1984)-LEN(SUBSTITUTE(AQ1984,".",""))=2,LEFT(AQ1984,vitri(".",AQ1984,2)-1),TRUE,LEFT(AQ1984,vitri(".",AQ1984,1)-1))</f>
        <v/>
      </c>
    </row>
    <row r="1985" spans="13:54" x14ac:dyDescent="0.25">
      <c r="M1985" s="382"/>
      <c r="BB1985" s="253" t="str">
        <f t="array" ref="BB1985">_xlfn.IFS(AQ1985="","",LEN(AQ1985)-LEN(SUBSTITUTE(AQ1985,".",""))=3,LEFT(AQ1985,vitri(".",AQ1985,3)-1),LEN(AQ1985)-LEN(SUBSTITUTE(AQ1985,".",""))=2,LEFT(AQ1985,vitri(".",AQ1985,2)-1),TRUE,LEFT(AQ1985,vitri(".",AQ1985,1)-1))</f>
        <v/>
      </c>
    </row>
    <row r="1986" spans="13:54" x14ac:dyDescent="0.25">
      <c r="M1986" s="382"/>
      <c r="BB1986" s="253" t="str">
        <f t="array" ref="BB1986">_xlfn.IFS(AQ1986="","",LEN(AQ1986)-LEN(SUBSTITUTE(AQ1986,".",""))=3,LEFT(AQ1986,vitri(".",AQ1986,3)-1),LEN(AQ1986)-LEN(SUBSTITUTE(AQ1986,".",""))=2,LEFT(AQ1986,vitri(".",AQ1986,2)-1),TRUE,LEFT(AQ1986,vitri(".",AQ1986,1)-1))</f>
        <v/>
      </c>
    </row>
    <row r="1987" spans="13:54" x14ac:dyDescent="0.25">
      <c r="M1987" s="382"/>
      <c r="BB1987" s="253" t="str">
        <f t="array" ref="BB1987">_xlfn.IFS(AQ1987="","",LEN(AQ1987)-LEN(SUBSTITUTE(AQ1987,".",""))=3,LEFT(AQ1987,vitri(".",AQ1987,3)-1),LEN(AQ1987)-LEN(SUBSTITUTE(AQ1987,".",""))=2,LEFT(AQ1987,vitri(".",AQ1987,2)-1),TRUE,LEFT(AQ1987,vitri(".",AQ1987,1)-1))</f>
        <v/>
      </c>
    </row>
    <row r="1988" spans="13:54" x14ac:dyDescent="0.25">
      <c r="M1988" s="382"/>
      <c r="BB1988" s="253" t="str">
        <f t="array" ref="BB1988">_xlfn.IFS(AQ1988="","",LEN(AQ1988)-LEN(SUBSTITUTE(AQ1988,".",""))=3,LEFT(AQ1988,vitri(".",AQ1988,3)-1),LEN(AQ1988)-LEN(SUBSTITUTE(AQ1988,".",""))=2,LEFT(AQ1988,vitri(".",AQ1988,2)-1),TRUE,LEFT(AQ1988,vitri(".",AQ1988,1)-1))</f>
        <v/>
      </c>
    </row>
    <row r="1989" spans="13:54" x14ac:dyDescent="0.25">
      <c r="M1989" s="382"/>
      <c r="BB1989" s="253" t="str">
        <f t="array" ref="BB1989">_xlfn.IFS(AQ1989="","",LEN(AQ1989)-LEN(SUBSTITUTE(AQ1989,".",""))=3,LEFT(AQ1989,vitri(".",AQ1989,3)-1),LEN(AQ1989)-LEN(SUBSTITUTE(AQ1989,".",""))=2,LEFT(AQ1989,vitri(".",AQ1989,2)-1),TRUE,LEFT(AQ1989,vitri(".",AQ1989,1)-1))</f>
        <v/>
      </c>
    </row>
    <row r="1990" spans="13:54" x14ac:dyDescent="0.25">
      <c r="M1990" s="382"/>
      <c r="BB1990" s="253" t="str">
        <f t="array" ref="BB1990">_xlfn.IFS(AQ1990="","",LEN(AQ1990)-LEN(SUBSTITUTE(AQ1990,".",""))=3,LEFT(AQ1990,vitri(".",AQ1990,3)-1),LEN(AQ1990)-LEN(SUBSTITUTE(AQ1990,".",""))=2,LEFT(AQ1990,vitri(".",AQ1990,2)-1),TRUE,LEFT(AQ1990,vitri(".",AQ1990,1)-1))</f>
        <v/>
      </c>
    </row>
    <row r="1991" spans="13:54" x14ac:dyDescent="0.25">
      <c r="M1991" s="382"/>
      <c r="BB1991" s="253" t="str">
        <f t="array" ref="BB1991">_xlfn.IFS(AQ1991="","",LEN(AQ1991)-LEN(SUBSTITUTE(AQ1991,".",""))=3,LEFT(AQ1991,vitri(".",AQ1991,3)-1),LEN(AQ1991)-LEN(SUBSTITUTE(AQ1991,".",""))=2,LEFT(AQ1991,vitri(".",AQ1991,2)-1),TRUE,LEFT(AQ1991,vitri(".",AQ1991,1)-1))</f>
        <v/>
      </c>
    </row>
    <row r="1992" spans="13:54" x14ac:dyDescent="0.25">
      <c r="M1992" s="382"/>
      <c r="BB1992" s="253" t="str">
        <f t="array" ref="BB1992">_xlfn.IFS(AQ1992="","",LEN(AQ1992)-LEN(SUBSTITUTE(AQ1992,".",""))=3,LEFT(AQ1992,vitri(".",AQ1992,3)-1),LEN(AQ1992)-LEN(SUBSTITUTE(AQ1992,".",""))=2,LEFT(AQ1992,vitri(".",AQ1992,2)-1),TRUE,LEFT(AQ1992,vitri(".",AQ1992,1)-1))</f>
        <v/>
      </c>
    </row>
    <row r="1993" spans="13:54" x14ac:dyDescent="0.25">
      <c r="M1993" s="382"/>
      <c r="BB1993" s="253" t="str">
        <f t="array" ref="BB1993">_xlfn.IFS(AQ1993="","",LEN(AQ1993)-LEN(SUBSTITUTE(AQ1993,".",""))=3,LEFT(AQ1993,vitri(".",AQ1993,3)-1),LEN(AQ1993)-LEN(SUBSTITUTE(AQ1993,".",""))=2,LEFT(AQ1993,vitri(".",AQ1993,2)-1),TRUE,LEFT(AQ1993,vitri(".",AQ1993,1)-1))</f>
        <v/>
      </c>
    </row>
    <row r="1994" spans="13:54" x14ac:dyDescent="0.25">
      <c r="M1994" s="382"/>
      <c r="BB1994" s="253" t="str">
        <f t="array" ref="BB1994">_xlfn.IFS(AQ1994="","",LEN(AQ1994)-LEN(SUBSTITUTE(AQ1994,".",""))=3,LEFT(AQ1994,vitri(".",AQ1994,3)-1),LEN(AQ1994)-LEN(SUBSTITUTE(AQ1994,".",""))=2,LEFT(AQ1994,vitri(".",AQ1994,2)-1),TRUE,LEFT(AQ1994,vitri(".",AQ1994,1)-1))</f>
        <v/>
      </c>
    </row>
    <row r="1995" spans="13:54" x14ac:dyDescent="0.25">
      <c r="M1995" s="382"/>
      <c r="BB1995" s="253" t="str">
        <f t="array" ref="BB1995">_xlfn.IFS(AQ1995="","",LEN(AQ1995)-LEN(SUBSTITUTE(AQ1995,".",""))=3,LEFT(AQ1995,vitri(".",AQ1995,3)-1),LEN(AQ1995)-LEN(SUBSTITUTE(AQ1995,".",""))=2,LEFT(AQ1995,vitri(".",AQ1995,2)-1),TRUE,LEFT(AQ1995,vitri(".",AQ1995,1)-1))</f>
        <v/>
      </c>
    </row>
    <row r="1996" spans="13:54" x14ac:dyDescent="0.25">
      <c r="M1996" s="382"/>
      <c r="BB1996" s="253" t="str">
        <f t="array" ref="BB1996">_xlfn.IFS(AQ1996="","",LEN(AQ1996)-LEN(SUBSTITUTE(AQ1996,".",""))=3,LEFT(AQ1996,vitri(".",AQ1996,3)-1),LEN(AQ1996)-LEN(SUBSTITUTE(AQ1996,".",""))=2,LEFT(AQ1996,vitri(".",AQ1996,2)-1),TRUE,LEFT(AQ1996,vitri(".",AQ1996,1)-1))</f>
        <v/>
      </c>
    </row>
    <row r="1997" spans="13:54" x14ac:dyDescent="0.25">
      <c r="M1997" s="382"/>
      <c r="BB1997" s="253" t="str">
        <f t="array" ref="BB1997">_xlfn.IFS(AQ1997="","",LEN(AQ1997)-LEN(SUBSTITUTE(AQ1997,".",""))=3,LEFT(AQ1997,vitri(".",AQ1997,3)-1),LEN(AQ1997)-LEN(SUBSTITUTE(AQ1997,".",""))=2,LEFT(AQ1997,vitri(".",AQ1997,2)-1),TRUE,LEFT(AQ1997,vitri(".",AQ1997,1)-1))</f>
        <v/>
      </c>
    </row>
    <row r="1998" spans="13:54" x14ac:dyDescent="0.25">
      <c r="M1998" s="382"/>
      <c r="BB1998" s="253" t="str">
        <f t="array" ref="BB1998">_xlfn.IFS(AQ1998="","",LEN(AQ1998)-LEN(SUBSTITUTE(AQ1998,".",""))=3,LEFT(AQ1998,vitri(".",AQ1998,3)-1),LEN(AQ1998)-LEN(SUBSTITUTE(AQ1998,".",""))=2,LEFT(AQ1998,vitri(".",AQ1998,2)-1),TRUE,LEFT(AQ1998,vitri(".",AQ1998,1)-1))</f>
        <v/>
      </c>
    </row>
    <row r="1999" spans="13:54" x14ac:dyDescent="0.25">
      <c r="M1999" s="382"/>
      <c r="BB1999" s="253" t="str">
        <f t="array" ref="BB1999">_xlfn.IFS(AQ1999="","",LEN(AQ1999)-LEN(SUBSTITUTE(AQ1999,".",""))=3,LEFT(AQ1999,vitri(".",AQ1999,3)-1),LEN(AQ1999)-LEN(SUBSTITUTE(AQ1999,".",""))=2,LEFT(AQ1999,vitri(".",AQ1999,2)-1),TRUE,LEFT(AQ1999,vitri(".",AQ1999,1)-1))</f>
        <v/>
      </c>
    </row>
    <row r="2000" spans="13:54" x14ac:dyDescent="0.25">
      <c r="M2000" s="382"/>
      <c r="BB2000" s="253" t="str">
        <f t="array" ref="BB2000">_xlfn.IFS(AQ2000="","",LEN(AQ2000)-LEN(SUBSTITUTE(AQ2000,".",""))=3,LEFT(AQ2000,vitri(".",AQ2000,3)-1),LEN(AQ2000)-LEN(SUBSTITUTE(AQ2000,".",""))=2,LEFT(AQ2000,vitri(".",AQ2000,2)-1),TRUE,LEFT(AQ2000,vitri(".",AQ2000,1)-1))</f>
        <v/>
      </c>
    </row>
  </sheetData>
  <sheetProtection algorithmName="SHA-512" hashValue="39WJdvUeicrJj8c4ZYjxSyN4+axAZY+cJw3XFu9UQ00ozzGFXem5VHHbRvvW1A3CsfD955VxfrD6U6dCk6RZSg==" saltValue="bjLXjGmayanRgBBJ0Zw4SA==" spinCount="100000" sheet="1" objects="1" scenarios="1" selectLockedCells="1" selectUnlockedCells="1"/>
  <sortState xmlns:xlrd2="http://schemas.microsoft.com/office/spreadsheetml/2017/richdata2" ref="AQ4:AQ9">
    <sortCondition ref="AQ4:AQ9"/>
  </sortState>
  <phoneticPr fontId="1" type="noConversion"/>
  <conditionalFormatting sqref="Y6:Y37">
    <cfRule type="expression" dxfId="63" priority="13">
      <formula>MOD(ROW(),2)&gt;0</formula>
    </cfRule>
  </conditionalFormatting>
  <conditionalFormatting sqref="AA4:AA62">
    <cfRule type="expression" dxfId="62" priority="12">
      <formula>MOD(ROW(),2)&gt;0</formula>
    </cfRule>
  </conditionalFormatting>
  <conditionalFormatting sqref="AL6:AL37">
    <cfRule type="expression" dxfId="61" priority="11">
      <formula>MOD(ROW(),2)&gt;0</formula>
    </cfRule>
  </conditionalFormatting>
  <conditionalFormatting sqref="AN4:AN62">
    <cfRule type="expression" dxfId="60" priority="10">
      <formula>MOD(ROW(),2)&gt;0</formula>
    </cfRule>
  </conditionalFormatting>
  <conditionalFormatting sqref="M4:M78">
    <cfRule type="duplicateValues" dxfId="59" priority="2"/>
    <cfRule type="duplicateValues" dxfId="58" priority="4"/>
    <cfRule type="duplicateValues" dxfId="57" priority="6"/>
    <cfRule type="duplicateValues" dxfId="56" priority="8"/>
  </conditionalFormatting>
  <conditionalFormatting sqref="K4:K78">
    <cfRule type="duplicateValues" dxfId="55" priority="1"/>
    <cfRule type="duplicateValues" dxfId="54" priority="3"/>
    <cfRule type="duplicateValues" dxfId="53" priority="5"/>
    <cfRule type="duplicateValues" dxfId="52" priority="7"/>
  </conditionalFormatting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1"/>
  <dimension ref="A1:K200"/>
  <sheetViews>
    <sheetView zoomScale="110" zoomScaleNormal="110" workbookViewId="0">
      <pane xSplit="1" ySplit="3" topLeftCell="B4" activePane="bottomRight" state="frozen"/>
      <selection activeCell="I29" sqref="I29"/>
      <selection pane="topRight" activeCell="I29" sqref="I29"/>
      <selection pane="bottomLeft" activeCell="I29" sqref="I29"/>
      <selection pane="bottomRight" activeCell="H4" sqref="H4:I56"/>
    </sheetView>
  </sheetViews>
  <sheetFormatPr defaultColWidth="9.140625" defaultRowHeight="15.75" x14ac:dyDescent="0.25"/>
  <cols>
    <col min="1" max="1" width="7.7109375" style="20" customWidth="1"/>
    <col min="2" max="2" width="23.42578125" style="21" customWidth="1"/>
    <col min="3" max="3" width="10.85546875" style="22" customWidth="1"/>
    <col min="4" max="4" width="8.42578125" style="23" customWidth="1"/>
    <col min="5" max="5" width="25.42578125" style="22" customWidth="1"/>
    <col min="6" max="6" width="12.5703125" style="22" customWidth="1"/>
    <col min="7" max="7" width="8.42578125" style="23" customWidth="1"/>
    <col min="8" max="8" width="25.5703125" style="22" customWidth="1"/>
    <col min="10" max="10" width="19.7109375" style="5" customWidth="1"/>
    <col min="11" max="16384" width="9.140625" style="9"/>
  </cols>
  <sheetData>
    <row r="1" spans="1:11" ht="22.5" customHeight="1" x14ac:dyDescent="0.25">
      <c r="A1" s="11" t="s">
        <v>6</v>
      </c>
      <c r="B1" s="12"/>
      <c r="C1" s="13"/>
      <c r="D1" s="14"/>
      <c r="E1" s="13"/>
      <c r="F1" s="13"/>
      <c r="G1" s="14"/>
      <c r="H1" s="15"/>
      <c r="J1" s="4"/>
    </row>
    <row r="2" spans="1:11" ht="15" customHeight="1" x14ac:dyDescent="0.25">
      <c r="A2" s="16"/>
      <c r="B2" s="201"/>
      <c r="C2" s="201"/>
      <c r="D2" s="200" t="str">
        <f>IFERROR(VLOOKUP($C$2,$C$4:$D$2000,2,FALSE),"")</f>
        <v/>
      </c>
      <c r="E2" s="201"/>
      <c r="F2" s="201" t="str">
        <f>IFERROR(VLOOKUP(E2,E4:F1002,2,FALSE),"")</f>
        <v/>
      </c>
      <c r="G2" s="200"/>
      <c r="H2" s="201"/>
      <c r="I2" s="201"/>
      <c r="J2" s="8" t="s">
        <v>185</v>
      </c>
    </row>
    <row r="3" spans="1:11" ht="15" customHeight="1" x14ac:dyDescent="0.25">
      <c r="A3" s="16"/>
      <c r="B3" s="17" t="s">
        <v>7</v>
      </c>
      <c r="C3" s="19" t="s">
        <v>8</v>
      </c>
      <c r="D3" s="18"/>
      <c r="E3" s="17" t="s">
        <v>246</v>
      </c>
      <c r="F3" s="19" t="s">
        <v>8</v>
      </c>
      <c r="G3" s="18"/>
      <c r="H3" s="17" t="s">
        <v>247</v>
      </c>
      <c r="I3" s="19" t="s">
        <v>8</v>
      </c>
      <c r="J3" s="8" t="s">
        <v>184</v>
      </c>
    </row>
    <row r="4" spans="1:11" ht="15.75" customHeight="1" x14ac:dyDescent="0.25">
      <c r="B4" s="22" t="s">
        <v>17</v>
      </c>
      <c r="C4" s="21" t="s">
        <v>5</v>
      </c>
      <c r="E4"/>
      <c r="F4"/>
      <c r="H4"/>
    </row>
    <row r="5" spans="1:11" ht="15" customHeight="1" x14ac:dyDescent="0.25">
      <c r="B5" s="22" t="s">
        <v>1</v>
      </c>
      <c r="C5" s="21" t="s">
        <v>5</v>
      </c>
      <c r="E5" t="s">
        <v>5</v>
      </c>
      <c r="F5" t="s">
        <v>5</v>
      </c>
      <c r="H5" t="s">
        <v>5</v>
      </c>
      <c r="I5" t="s">
        <v>5</v>
      </c>
      <c r="K5" s="22"/>
    </row>
    <row r="6" spans="1:11" x14ac:dyDescent="0.25">
      <c r="B6" s="22" t="s">
        <v>11</v>
      </c>
      <c r="C6" s="21" t="s">
        <v>5</v>
      </c>
      <c r="E6" t="s">
        <v>23</v>
      </c>
      <c r="F6" t="s">
        <v>24</v>
      </c>
      <c r="H6" t="s">
        <v>27</v>
      </c>
      <c r="I6" t="s">
        <v>103</v>
      </c>
      <c r="J6" s="6"/>
    </row>
    <row r="7" spans="1:11" x14ac:dyDescent="0.25">
      <c r="B7" s="22" t="s">
        <v>12</v>
      </c>
      <c r="C7" s="21" t="s">
        <v>5</v>
      </c>
      <c r="E7" t="s">
        <v>188</v>
      </c>
      <c r="F7" t="s">
        <v>189</v>
      </c>
      <c r="H7" t="s">
        <v>25</v>
      </c>
      <c r="I7" t="s">
        <v>26</v>
      </c>
      <c r="J7" s="6"/>
    </row>
    <row r="8" spans="1:11" ht="15.75" customHeight="1" x14ac:dyDescent="0.25">
      <c r="B8" s="22" t="s">
        <v>13</v>
      </c>
      <c r="C8" s="21" t="s">
        <v>5</v>
      </c>
      <c r="E8" t="s">
        <v>19</v>
      </c>
      <c r="F8" t="s">
        <v>20</v>
      </c>
      <c r="H8" t="s">
        <v>28</v>
      </c>
      <c r="I8" t="s">
        <v>29</v>
      </c>
      <c r="J8" s="6"/>
    </row>
    <row r="9" spans="1:11" ht="15.75" customHeight="1" x14ac:dyDescent="0.25">
      <c r="B9" s="22" t="s">
        <v>14</v>
      </c>
      <c r="C9" s="21" t="s">
        <v>5</v>
      </c>
      <c r="E9" t="s">
        <v>21</v>
      </c>
      <c r="F9" t="s">
        <v>22</v>
      </c>
      <c r="H9" t="s">
        <v>30</v>
      </c>
      <c r="I9" t="s">
        <v>31</v>
      </c>
      <c r="J9" s="6"/>
    </row>
    <row r="10" spans="1:11" ht="15.75" customHeight="1" x14ac:dyDescent="0.25">
      <c r="B10" t="s">
        <v>16</v>
      </c>
      <c r="C10" t="s">
        <v>5</v>
      </c>
      <c r="E10" t="s">
        <v>192</v>
      </c>
      <c r="F10" t="s">
        <v>22</v>
      </c>
      <c r="H10" t="s">
        <v>195</v>
      </c>
      <c r="I10" t="s">
        <v>196</v>
      </c>
    </row>
    <row r="11" spans="1:11" ht="15" customHeight="1" x14ac:dyDescent="0.25">
      <c r="B11" t="s">
        <v>186</v>
      </c>
      <c r="C11" t="s">
        <v>5</v>
      </c>
      <c r="E11" t="s">
        <v>187</v>
      </c>
      <c r="F11" t="s">
        <v>36</v>
      </c>
      <c r="H11" t="s">
        <v>200</v>
      </c>
      <c r="I11" t="s">
        <v>201</v>
      </c>
    </row>
    <row r="12" spans="1:11" ht="15" customHeight="1" x14ac:dyDescent="0.25">
      <c r="B12" t="s">
        <v>249</v>
      </c>
      <c r="C12" t="s">
        <v>111</v>
      </c>
      <c r="E12" t="s">
        <v>190</v>
      </c>
      <c r="F12" t="s">
        <v>191</v>
      </c>
      <c r="H12" t="s">
        <v>205</v>
      </c>
      <c r="I12" t="s">
        <v>206</v>
      </c>
    </row>
    <row r="13" spans="1:11" ht="15" customHeight="1" x14ac:dyDescent="0.25">
      <c r="B13" t="s">
        <v>32</v>
      </c>
      <c r="C13" t="s">
        <v>115</v>
      </c>
      <c r="E13" t="s">
        <v>199</v>
      </c>
      <c r="F13" t="s">
        <v>24</v>
      </c>
      <c r="H13" t="s">
        <v>203</v>
      </c>
      <c r="I13" t="s">
        <v>204</v>
      </c>
    </row>
    <row r="14" spans="1:11" ht="15" customHeight="1" x14ac:dyDescent="0.25">
      <c r="B14" t="s">
        <v>0</v>
      </c>
      <c r="C14" t="s">
        <v>95</v>
      </c>
      <c r="E14" t="s">
        <v>117</v>
      </c>
      <c r="F14" t="s">
        <v>24</v>
      </c>
      <c r="H14" t="s">
        <v>207</v>
      </c>
      <c r="I14" t="s">
        <v>208</v>
      </c>
    </row>
    <row r="15" spans="1:11" ht="15" customHeight="1" x14ac:dyDescent="0.25">
      <c r="B15" t="s">
        <v>15</v>
      </c>
      <c r="C15" t="s">
        <v>113</v>
      </c>
      <c r="E15" t="s">
        <v>202</v>
      </c>
      <c r="F15" t="s">
        <v>40</v>
      </c>
      <c r="H15" t="s">
        <v>41</v>
      </c>
      <c r="I15" t="s">
        <v>41</v>
      </c>
    </row>
    <row r="16" spans="1:11" ht="15" customHeight="1" x14ac:dyDescent="0.25">
      <c r="B16" t="s">
        <v>18</v>
      </c>
      <c r="C16" t="s">
        <v>116</v>
      </c>
      <c r="E16" t="s">
        <v>39</v>
      </c>
      <c r="F16" t="s">
        <v>20</v>
      </c>
      <c r="H16" t="s">
        <v>209</v>
      </c>
      <c r="I16" t="s">
        <v>20</v>
      </c>
    </row>
    <row r="17" spans="2:9" ht="15.75" customHeight="1" x14ac:dyDescent="0.25">
      <c r="B17"/>
      <c r="C17"/>
      <c r="E17" t="s">
        <v>197</v>
      </c>
      <c r="F17" t="s">
        <v>198</v>
      </c>
      <c r="H17" t="s">
        <v>46</v>
      </c>
      <c r="I17" t="s">
        <v>47</v>
      </c>
    </row>
    <row r="18" spans="2:9" ht="15.75" customHeight="1" x14ac:dyDescent="0.25">
      <c r="B18"/>
      <c r="C18"/>
      <c r="E18" t="s">
        <v>38</v>
      </c>
      <c r="F18" t="s">
        <v>198</v>
      </c>
      <c r="H18"/>
    </row>
    <row r="19" spans="2:9" ht="15.75" customHeight="1" x14ac:dyDescent="0.25">
      <c r="B19"/>
      <c r="C19"/>
      <c r="E19" t="s">
        <v>579</v>
      </c>
      <c r="F19" t="s">
        <v>20</v>
      </c>
      <c r="H19"/>
    </row>
    <row r="20" spans="2:9" ht="15.75" customHeight="1" x14ac:dyDescent="0.25">
      <c r="B20"/>
      <c r="C20"/>
      <c r="E20" t="s">
        <v>193</v>
      </c>
      <c r="F20" t="s">
        <v>194</v>
      </c>
      <c r="H20"/>
    </row>
    <row r="21" spans="2:9" ht="15.75" customHeight="1" x14ac:dyDescent="0.25">
      <c r="B21"/>
      <c r="C21"/>
      <c r="E21" t="s">
        <v>580</v>
      </c>
      <c r="F21" t="s">
        <v>22</v>
      </c>
      <c r="H21"/>
    </row>
    <row r="22" spans="2:9" ht="15.75" customHeight="1" x14ac:dyDescent="0.25">
      <c r="B22"/>
      <c r="C22"/>
      <c r="E22" t="s">
        <v>35</v>
      </c>
      <c r="F22" t="s">
        <v>36</v>
      </c>
      <c r="H22"/>
    </row>
    <row r="23" spans="2:9" ht="15.75" customHeight="1" x14ac:dyDescent="0.25">
      <c r="B23"/>
      <c r="C23"/>
      <c r="E23" t="s">
        <v>94</v>
      </c>
      <c r="F23" t="s">
        <v>95</v>
      </c>
      <c r="H23"/>
    </row>
    <row r="24" spans="2:9" ht="15.75" customHeight="1" x14ac:dyDescent="0.25">
      <c r="B24"/>
      <c r="C24"/>
      <c r="E24"/>
      <c r="F24"/>
      <c r="H24"/>
    </row>
    <row r="25" spans="2:9" ht="15.75" customHeight="1" x14ac:dyDescent="0.25">
      <c r="B25"/>
      <c r="C25"/>
      <c r="E25"/>
      <c r="F25"/>
      <c r="H25"/>
    </row>
    <row r="26" spans="2:9" ht="15.75" customHeight="1" x14ac:dyDescent="0.25">
      <c r="B26"/>
      <c r="C26"/>
      <c r="E26"/>
      <c r="F26"/>
      <c r="H26"/>
    </row>
    <row r="27" spans="2:9" ht="15.75" customHeight="1" x14ac:dyDescent="0.25">
      <c r="B27"/>
      <c r="C27"/>
      <c r="E27"/>
      <c r="F27"/>
      <c r="H27"/>
    </row>
    <row r="28" spans="2:9" ht="15.75" customHeight="1" x14ac:dyDescent="0.25">
      <c r="B28"/>
      <c r="C28"/>
      <c r="E28"/>
      <c r="F28"/>
      <c r="H28"/>
    </row>
    <row r="29" spans="2:9" ht="15.75" customHeight="1" x14ac:dyDescent="0.25">
      <c r="B29"/>
      <c r="C29"/>
      <c r="E29"/>
      <c r="F29"/>
      <c r="H29"/>
    </row>
    <row r="30" spans="2:9" ht="15.75" customHeight="1" x14ac:dyDescent="0.25">
      <c r="B30"/>
      <c r="C30"/>
      <c r="E30"/>
      <c r="F30"/>
      <c r="H30"/>
    </row>
    <row r="31" spans="2:9" ht="15.75" customHeight="1" x14ac:dyDescent="0.25">
      <c r="B31"/>
      <c r="C31"/>
      <c r="E31"/>
      <c r="F31"/>
      <c r="H31"/>
    </row>
    <row r="32" spans="2:9" ht="15.75" customHeight="1" x14ac:dyDescent="0.25">
      <c r="B32"/>
      <c r="C32"/>
      <c r="E32"/>
      <c r="F32"/>
      <c r="H32"/>
    </row>
    <row r="33" spans="2:8" ht="15.75" customHeight="1" x14ac:dyDescent="0.25">
      <c r="B33"/>
      <c r="C33"/>
      <c r="E33"/>
      <c r="F33"/>
      <c r="H33"/>
    </row>
    <row r="34" spans="2:8" ht="15.75" customHeight="1" x14ac:dyDescent="0.25">
      <c r="B34"/>
      <c r="C34"/>
      <c r="E34"/>
      <c r="F34"/>
      <c r="H34"/>
    </row>
    <row r="35" spans="2:8" ht="15.75" customHeight="1" x14ac:dyDescent="0.25">
      <c r="B35"/>
      <c r="C35"/>
      <c r="E35"/>
      <c r="F35"/>
      <c r="H35"/>
    </row>
    <row r="36" spans="2:8" x14ac:dyDescent="0.25">
      <c r="B36"/>
      <c r="C36"/>
      <c r="E36"/>
      <c r="F36"/>
      <c r="H36"/>
    </row>
    <row r="37" spans="2:8" ht="15.75" customHeight="1" x14ac:dyDescent="0.25">
      <c r="B37"/>
      <c r="C37"/>
      <c r="E37"/>
      <c r="F37"/>
      <c r="H37"/>
    </row>
    <row r="38" spans="2:8" ht="15.75" customHeight="1" x14ac:dyDescent="0.25">
      <c r="B38"/>
      <c r="C38"/>
      <c r="E38"/>
      <c r="F38"/>
      <c r="H38"/>
    </row>
    <row r="39" spans="2:8" ht="15.75" customHeight="1" x14ac:dyDescent="0.25">
      <c r="B39"/>
      <c r="C39"/>
      <c r="E39"/>
      <c r="F39"/>
      <c r="H39"/>
    </row>
    <row r="40" spans="2:8" ht="15.75" customHeight="1" x14ac:dyDescent="0.25">
      <c r="B40"/>
      <c r="C40"/>
      <c r="E40"/>
      <c r="F40"/>
      <c r="H40"/>
    </row>
    <row r="41" spans="2:8" x14ac:dyDescent="0.25">
      <c r="B41"/>
      <c r="C41"/>
      <c r="E41"/>
      <c r="F41"/>
      <c r="H41"/>
    </row>
    <row r="42" spans="2:8" x14ac:dyDescent="0.25">
      <c r="B42"/>
      <c r="C42"/>
      <c r="E42"/>
      <c r="F42"/>
      <c r="H42"/>
    </row>
    <row r="43" spans="2:8" x14ac:dyDescent="0.25">
      <c r="B43"/>
      <c r="C43"/>
      <c r="E43"/>
      <c r="F43"/>
      <c r="H43"/>
    </row>
    <row r="44" spans="2:8" x14ac:dyDescent="0.25">
      <c r="B44"/>
      <c r="C44"/>
      <c r="E44"/>
      <c r="F44"/>
      <c r="H44"/>
    </row>
    <row r="45" spans="2:8" x14ac:dyDescent="0.25">
      <c r="B45"/>
      <c r="C45"/>
      <c r="E45"/>
      <c r="F45"/>
      <c r="H45"/>
    </row>
    <row r="46" spans="2:8" x14ac:dyDescent="0.25">
      <c r="B46"/>
      <c r="C46"/>
      <c r="E46"/>
      <c r="F46"/>
      <c r="H46"/>
    </row>
    <row r="47" spans="2:8" x14ac:dyDescent="0.25">
      <c r="B47"/>
      <c r="C47"/>
      <c r="E47"/>
      <c r="F47"/>
      <c r="H47"/>
    </row>
    <row r="48" spans="2:8" x14ac:dyDescent="0.25">
      <c r="B48"/>
      <c r="C48"/>
      <c r="E48"/>
      <c r="F48"/>
      <c r="H48"/>
    </row>
    <row r="49" spans="2:9" x14ac:dyDescent="0.25">
      <c r="B49"/>
      <c r="C49"/>
      <c r="E49"/>
      <c r="F49"/>
      <c r="H49"/>
    </row>
    <row r="50" spans="2:9" x14ac:dyDescent="0.25">
      <c r="B50"/>
      <c r="C50"/>
      <c r="E50"/>
      <c r="F50"/>
      <c r="H50"/>
    </row>
    <row r="51" spans="2:9" x14ac:dyDescent="0.25">
      <c r="B51"/>
      <c r="C51"/>
      <c r="E51"/>
      <c r="F51"/>
      <c r="H51"/>
    </row>
    <row r="52" spans="2:9" x14ac:dyDescent="0.25">
      <c r="B52"/>
      <c r="C52"/>
      <c r="E52"/>
      <c r="F52"/>
      <c r="H52"/>
    </row>
    <row r="53" spans="2:9" x14ac:dyDescent="0.25">
      <c r="B53"/>
      <c r="C53"/>
      <c r="E53"/>
      <c r="F53"/>
      <c r="H53"/>
    </row>
    <row r="54" spans="2:9" x14ac:dyDescent="0.25">
      <c r="B54"/>
      <c r="C54"/>
      <c r="E54"/>
      <c r="F54"/>
      <c r="H54"/>
    </row>
    <row r="55" spans="2:9" x14ac:dyDescent="0.25">
      <c r="B55"/>
      <c r="C55"/>
      <c r="E55"/>
      <c r="F55"/>
      <c r="H55"/>
    </row>
    <row r="56" spans="2:9" x14ac:dyDescent="0.25">
      <c r="B56"/>
      <c r="C56"/>
      <c r="E56"/>
      <c r="F56"/>
      <c r="H56"/>
    </row>
    <row r="57" spans="2:9" x14ac:dyDescent="0.25">
      <c r="B57"/>
      <c r="C57"/>
      <c r="E57"/>
      <c r="F57"/>
      <c r="H57"/>
    </row>
    <row r="58" spans="2:9" x14ac:dyDescent="0.25">
      <c r="B58"/>
      <c r="C58"/>
      <c r="E58"/>
      <c r="F58"/>
      <c r="H58"/>
    </row>
    <row r="59" spans="2:9" x14ac:dyDescent="0.25">
      <c r="B59" t="s">
        <v>18</v>
      </c>
      <c r="C59" t="s">
        <v>116</v>
      </c>
      <c r="E59" t="s">
        <v>94</v>
      </c>
      <c r="F59" t="s">
        <v>95</v>
      </c>
      <c r="H59" t="s">
        <v>46</v>
      </c>
      <c r="I59" t="s">
        <v>47</v>
      </c>
    </row>
    <row r="60" spans="2:9" x14ac:dyDescent="0.25">
      <c r="B60"/>
      <c r="C60"/>
      <c r="E60"/>
      <c r="F60"/>
      <c r="H60"/>
    </row>
    <row r="61" spans="2:9" x14ac:dyDescent="0.25">
      <c r="B61"/>
      <c r="C61"/>
      <c r="E61"/>
      <c r="F61"/>
      <c r="H61"/>
    </row>
    <row r="62" spans="2:9" x14ac:dyDescent="0.25">
      <c r="B62"/>
      <c r="C62"/>
      <c r="E62"/>
      <c r="F62"/>
      <c r="H62"/>
    </row>
    <row r="63" spans="2:9" x14ac:dyDescent="0.25">
      <c r="B63"/>
      <c r="C63"/>
      <c r="E63"/>
      <c r="F63"/>
      <c r="H63"/>
    </row>
    <row r="64" spans="2:9" x14ac:dyDescent="0.25">
      <c r="B64"/>
      <c r="C64"/>
      <c r="E64"/>
      <c r="F64"/>
      <c r="H64"/>
    </row>
    <row r="65" spans="2:8" x14ac:dyDescent="0.25">
      <c r="B65"/>
      <c r="C65"/>
      <c r="E65"/>
      <c r="F65"/>
      <c r="H65"/>
    </row>
    <row r="66" spans="2:8" x14ac:dyDescent="0.25">
      <c r="B66"/>
      <c r="C66"/>
      <c r="E66"/>
      <c r="F66"/>
      <c r="H66"/>
    </row>
    <row r="67" spans="2:8" x14ac:dyDescent="0.25">
      <c r="B67"/>
      <c r="C67"/>
      <c r="E67"/>
      <c r="F67"/>
      <c r="H67"/>
    </row>
    <row r="68" spans="2:8" x14ac:dyDescent="0.25">
      <c r="B68"/>
      <c r="C68"/>
      <c r="E68"/>
      <c r="F68"/>
      <c r="H68"/>
    </row>
    <row r="69" spans="2:8" x14ac:dyDescent="0.25">
      <c r="B69"/>
      <c r="C69"/>
      <c r="E69"/>
      <c r="F69"/>
      <c r="H69"/>
    </row>
    <row r="70" spans="2:8" x14ac:dyDescent="0.25">
      <c r="B70"/>
      <c r="C70"/>
      <c r="E70"/>
      <c r="F70"/>
      <c r="H70"/>
    </row>
    <row r="71" spans="2:8" x14ac:dyDescent="0.25">
      <c r="B71"/>
      <c r="C71"/>
      <c r="E71"/>
      <c r="F71"/>
      <c r="H71"/>
    </row>
    <row r="72" spans="2:8" x14ac:dyDescent="0.25">
      <c r="B72"/>
      <c r="C72"/>
      <c r="E72"/>
      <c r="F72"/>
      <c r="H72"/>
    </row>
    <row r="73" spans="2:8" x14ac:dyDescent="0.25">
      <c r="B73" s="22"/>
    </row>
    <row r="74" spans="2:8" x14ac:dyDescent="0.25">
      <c r="B74" s="22"/>
    </row>
    <row r="75" spans="2:8" x14ac:dyDescent="0.25">
      <c r="B75" s="22"/>
    </row>
    <row r="76" spans="2:8" x14ac:dyDescent="0.25">
      <c r="B76" s="22"/>
    </row>
    <row r="77" spans="2:8" x14ac:dyDescent="0.25">
      <c r="B77" s="22"/>
    </row>
    <row r="78" spans="2:8" x14ac:dyDescent="0.25">
      <c r="B78" s="22"/>
    </row>
    <row r="79" spans="2:8" x14ac:dyDescent="0.25">
      <c r="B79" s="22"/>
    </row>
    <row r="80" spans="2:8" x14ac:dyDescent="0.25">
      <c r="B80" s="22"/>
    </row>
    <row r="81" spans="2:2" x14ac:dyDescent="0.25">
      <c r="B81" s="22"/>
    </row>
    <row r="82" spans="2:2" x14ac:dyDescent="0.25">
      <c r="B82" s="22"/>
    </row>
    <row r="83" spans="2:2" x14ac:dyDescent="0.25">
      <c r="B83" s="22"/>
    </row>
    <row r="84" spans="2:2" x14ac:dyDescent="0.25">
      <c r="B84" s="22"/>
    </row>
    <row r="85" spans="2:2" x14ac:dyDescent="0.25">
      <c r="B85" s="22"/>
    </row>
    <row r="86" spans="2:2" x14ac:dyDescent="0.25">
      <c r="B86" s="22"/>
    </row>
    <row r="87" spans="2:2" x14ac:dyDescent="0.25">
      <c r="B87" s="22"/>
    </row>
    <row r="88" spans="2:2" x14ac:dyDescent="0.25">
      <c r="B88" s="22"/>
    </row>
    <row r="89" spans="2:2" x14ac:dyDescent="0.25">
      <c r="B89" s="22"/>
    </row>
    <row r="90" spans="2:2" x14ac:dyDescent="0.25">
      <c r="B90" s="22"/>
    </row>
    <row r="91" spans="2:2" x14ac:dyDescent="0.25">
      <c r="B91" s="22"/>
    </row>
    <row r="92" spans="2:2" x14ac:dyDescent="0.25">
      <c r="B92" s="22"/>
    </row>
    <row r="93" spans="2:2" x14ac:dyDescent="0.25">
      <c r="B93" s="22"/>
    </row>
    <row r="94" spans="2:2" x14ac:dyDescent="0.25">
      <c r="B94" s="22"/>
    </row>
    <row r="95" spans="2:2" x14ac:dyDescent="0.25">
      <c r="B95" s="22"/>
    </row>
    <row r="96" spans="2:2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2"/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2"/>
    </row>
    <row r="116" spans="2:2" x14ac:dyDescent="0.25">
      <c r="B116" s="22"/>
    </row>
    <row r="117" spans="2:2" x14ac:dyDescent="0.25">
      <c r="B117" s="22"/>
    </row>
    <row r="118" spans="2:2" x14ac:dyDescent="0.25">
      <c r="B118" s="22"/>
    </row>
    <row r="119" spans="2:2" x14ac:dyDescent="0.25">
      <c r="B119" s="22"/>
    </row>
    <row r="120" spans="2:2" x14ac:dyDescent="0.25">
      <c r="B120" s="22"/>
    </row>
    <row r="121" spans="2:2" x14ac:dyDescent="0.25">
      <c r="B121" s="22"/>
    </row>
    <row r="122" spans="2:2" x14ac:dyDescent="0.25">
      <c r="B122" s="22"/>
    </row>
    <row r="123" spans="2:2" x14ac:dyDescent="0.25">
      <c r="B123" s="22"/>
    </row>
    <row r="124" spans="2:2" x14ac:dyDescent="0.25">
      <c r="B124" s="22"/>
    </row>
    <row r="125" spans="2:2" x14ac:dyDescent="0.25">
      <c r="B125" s="22"/>
    </row>
    <row r="126" spans="2:2" x14ac:dyDescent="0.25">
      <c r="B126" s="22"/>
    </row>
    <row r="127" spans="2:2" x14ac:dyDescent="0.25">
      <c r="B127" s="22"/>
    </row>
    <row r="128" spans="2:2" x14ac:dyDescent="0.25">
      <c r="B128" s="22"/>
    </row>
    <row r="129" spans="2:2" x14ac:dyDescent="0.25">
      <c r="B129" s="22"/>
    </row>
    <row r="130" spans="2:2" x14ac:dyDescent="0.25">
      <c r="B130" s="22"/>
    </row>
    <row r="131" spans="2:2" x14ac:dyDescent="0.25">
      <c r="B131" s="22"/>
    </row>
    <row r="132" spans="2:2" x14ac:dyDescent="0.25">
      <c r="B132" s="22"/>
    </row>
    <row r="133" spans="2:2" x14ac:dyDescent="0.25">
      <c r="B133" s="22"/>
    </row>
    <row r="134" spans="2:2" x14ac:dyDescent="0.25">
      <c r="B134" s="22"/>
    </row>
    <row r="135" spans="2:2" x14ac:dyDescent="0.25">
      <c r="B135" s="22"/>
    </row>
    <row r="136" spans="2:2" x14ac:dyDescent="0.25">
      <c r="B136" s="22"/>
    </row>
    <row r="137" spans="2:2" x14ac:dyDescent="0.25">
      <c r="B137" s="22"/>
    </row>
    <row r="138" spans="2:2" x14ac:dyDescent="0.25">
      <c r="B138" s="22"/>
    </row>
    <row r="139" spans="2:2" x14ac:dyDescent="0.25">
      <c r="B139" s="22"/>
    </row>
    <row r="140" spans="2:2" x14ac:dyDescent="0.25">
      <c r="B140" s="22"/>
    </row>
    <row r="141" spans="2:2" x14ac:dyDescent="0.25">
      <c r="B141" s="22"/>
    </row>
    <row r="142" spans="2:2" x14ac:dyDescent="0.25">
      <c r="B142" s="22"/>
    </row>
    <row r="143" spans="2:2" x14ac:dyDescent="0.25">
      <c r="B143" s="22"/>
    </row>
    <row r="144" spans="2:2" x14ac:dyDescent="0.25">
      <c r="B144" s="22"/>
    </row>
    <row r="145" spans="2:2" x14ac:dyDescent="0.25">
      <c r="B145" s="22"/>
    </row>
    <row r="146" spans="2:2" x14ac:dyDescent="0.25">
      <c r="B146" s="22"/>
    </row>
    <row r="147" spans="2:2" x14ac:dyDescent="0.25">
      <c r="B147" s="22"/>
    </row>
    <row r="148" spans="2:2" x14ac:dyDescent="0.25">
      <c r="B148" s="22"/>
    </row>
    <row r="149" spans="2:2" x14ac:dyDescent="0.25">
      <c r="B149" s="22"/>
    </row>
    <row r="150" spans="2:2" x14ac:dyDescent="0.25">
      <c r="B150" s="22"/>
    </row>
    <row r="151" spans="2:2" x14ac:dyDescent="0.25">
      <c r="B151" s="22"/>
    </row>
    <row r="152" spans="2:2" x14ac:dyDescent="0.25">
      <c r="B152" s="22"/>
    </row>
    <row r="153" spans="2:2" x14ac:dyDescent="0.25">
      <c r="B153" s="22"/>
    </row>
    <row r="154" spans="2:2" x14ac:dyDescent="0.25">
      <c r="B154" s="22"/>
    </row>
    <row r="155" spans="2:2" x14ac:dyDescent="0.25">
      <c r="B155" s="22"/>
    </row>
    <row r="156" spans="2:2" x14ac:dyDescent="0.25">
      <c r="B156" s="22"/>
    </row>
    <row r="157" spans="2:2" x14ac:dyDescent="0.25">
      <c r="B157" s="22"/>
    </row>
    <row r="158" spans="2:2" x14ac:dyDescent="0.25">
      <c r="B158" s="22"/>
    </row>
    <row r="159" spans="2:2" x14ac:dyDescent="0.25">
      <c r="B159" s="22"/>
    </row>
    <row r="160" spans="2:2" x14ac:dyDescent="0.25">
      <c r="B160" s="22"/>
    </row>
    <row r="161" spans="2:2" x14ac:dyDescent="0.25">
      <c r="B161" s="22"/>
    </row>
    <row r="162" spans="2:2" x14ac:dyDescent="0.25">
      <c r="B162" s="22"/>
    </row>
    <row r="163" spans="2:2" x14ac:dyDescent="0.25">
      <c r="B163" s="22"/>
    </row>
    <row r="164" spans="2:2" x14ac:dyDescent="0.25">
      <c r="B164" s="22"/>
    </row>
    <row r="165" spans="2:2" x14ac:dyDescent="0.25">
      <c r="B165" s="22"/>
    </row>
    <row r="166" spans="2:2" x14ac:dyDescent="0.25">
      <c r="B166" s="22"/>
    </row>
    <row r="167" spans="2:2" x14ac:dyDescent="0.25">
      <c r="B167" s="22"/>
    </row>
    <row r="168" spans="2:2" x14ac:dyDescent="0.25">
      <c r="B168" s="22"/>
    </row>
    <row r="169" spans="2:2" x14ac:dyDescent="0.25">
      <c r="B169" s="22"/>
    </row>
    <row r="170" spans="2:2" x14ac:dyDescent="0.25">
      <c r="B170" s="22"/>
    </row>
    <row r="171" spans="2:2" x14ac:dyDescent="0.25">
      <c r="B171" s="22"/>
    </row>
    <row r="172" spans="2:2" x14ac:dyDescent="0.25">
      <c r="B172" s="22"/>
    </row>
    <row r="173" spans="2:2" x14ac:dyDescent="0.25">
      <c r="B173" s="22"/>
    </row>
    <row r="174" spans="2:2" x14ac:dyDescent="0.25">
      <c r="B174" s="22"/>
    </row>
    <row r="175" spans="2:2" x14ac:dyDescent="0.25">
      <c r="B175" s="22"/>
    </row>
    <row r="176" spans="2:2" x14ac:dyDescent="0.25">
      <c r="B176" s="22"/>
    </row>
    <row r="177" spans="2:2" x14ac:dyDescent="0.25">
      <c r="B177" s="22"/>
    </row>
    <row r="178" spans="2:2" x14ac:dyDescent="0.25">
      <c r="B178" s="22"/>
    </row>
    <row r="179" spans="2:2" x14ac:dyDescent="0.25">
      <c r="B179" s="22"/>
    </row>
    <row r="180" spans="2:2" x14ac:dyDescent="0.25">
      <c r="B180" s="22"/>
    </row>
    <row r="181" spans="2:2" x14ac:dyDescent="0.25">
      <c r="B181" s="22"/>
    </row>
    <row r="182" spans="2:2" x14ac:dyDescent="0.25">
      <c r="B182" s="22"/>
    </row>
    <row r="183" spans="2:2" x14ac:dyDescent="0.25">
      <c r="B183" s="22"/>
    </row>
    <row r="184" spans="2:2" x14ac:dyDescent="0.25">
      <c r="B184" s="22"/>
    </row>
    <row r="185" spans="2:2" x14ac:dyDescent="0.25">
      <c r="B185" s="22"/>
    </row>
    <row r="186" spans="2:2" x14ac:dyDescent="0.25">
      <c r="B186" s="22"/>
    </row>
    <row r="187" spans="2:2" x14ac:dyDescent="0.25">
      <c r="B187" s="22"/>
    </row>
    <row r="188" spans="2:2" x14ac:dyDescent="0.25">
      <c r="B188" s="22"/>
    </row>
    <row r="189" spans="2:2" x14ac:dyDescent="0.25">
      <c r="B189" s="22"/>
    </row>
    <row r="190" spans="2:2" x14ac:dyDescent="0.25">
      <c r="B190" s="22"/>
    </row>
    <row r="191" spans="2:2" x14ac:dyDescent="0.25">
      <c r="B191" s="22"/>
    </row>
    <row r="192" spans="2:2" x14ac:dyDescent="0.25">
      <c r="B192" s="22"/>
    </row>
    <row r="193" spans="2:2" x14ac:dyDescent="0.25">
      <c r="B193" s="22"/>
    </row>
    <row r="194" spans="2:2" x14ac:dyDescent="0.25">
      <c r="B194" s="22"/>
    </row>
    <row r="195" spans="2:2" x14ac:dyDescent="0.25">
      <c r="B195" s="22"/>
    </row>
    <row r="196" spans="2:2" x14ac:dyDescent="0.25">
      <c r="B196" s="22"/>
    </row>
    <row r="197" spans="2:2" x14ac:dyDescent="0.25">
      <c r="B197" s="22"/>
    </row>
    <row r="198" spans="2:2" x14ac:dyDescent="0.25">
      <c r="B198" s="22"/>
    </row>
    <row r="199" spans="2:2" x14ac:dyDescent="0.25">
      <c r="B199" s="22"/>
    </row>
    <row r="200" spans="2:2" x14ac:dyDescent="0.25">
      <c r="B200" s="22"/>
    </row>
  </sheetData>
  <sortState xmlns:xlrd2="http://schemas.microsoft.com/office/spreadsheetml/2017/richdata2" ref="H5:I24">
    <sortCondition ref="H4"/>
  </sortState>
  <phoneticPr fontId="1" type="noConversion"/>
  <conditionalFormatting sqref="H16">
    <cfRule type="expression" dxfId="51" priority="5">
      <formula>MOD(ROW(),2)&gt;0</formula>
    </cfRule>
  </conditionalFormatting>
  <conditionalFormatting sqref="J2:J3">
    <cfRule type="expression" dxfId="50" priority="4">
      <formula>MOD(ROW(),2)&gt;0</formula>
    </cfRule>
  </conditionalFormatting>
  <conditionalFormatting sqref="H15">
    <cfRule type="expression" dxfId="49" priority="1">
      <formula>MOD(ROW(),2)&gt;0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"/>
  <dimension ref="A1:BX2000"/>
  <sheetViews>
    <sheetView zoomScaleNormal="100" workbookViewId="0">
      <pane ySplit="3" topLeftCell="A4" activePane="bottomLeft" state="frozen"/>
      <selection pane="bottomLeft" activeCell="K4" sqref="K4:K2000"/>
    </sheetView>
  </sheetViews>
  <sheetFormatPr defaultColWidth="9.140625" defaultRowHeight="15.75" x14ac:dyDescent="0.25"/>
  <cols>
    <col min="1" max="1" width="5.85546875" style="34" customWidth="1"/>
    <col min="2" max="2" width="17.42578125" style="35" customWidth="1"/>
    <col min="3" max="3" width="29.5703125" style="44" customWidth="1"/>
    <col min="4" max="4" width="16.5703125" style="44" customWidth="1"/>
    <col min="5" max="5" width="24.5703125" style="44" customWidth="1"/>
    <col min="6" max="6" width="18.5703125" style="44" customWidth="1"/>
    <col min="7" max="7" width="26.42578125" style="44" customWidth="1"/>
    <col min="8" max="8" width="18.5703125" style="44" customWidth="1"/>
    <col min="9" max="9" width="33.140625" style="360" customWidth="1"/>
    <col min="10" max="10" width="7.85546875" style="44" customWidth="1"/>
    <col min="11" max="11" width="7.85546875" style="362" customWidth="1"/>
    <col min="12" max="12" width="16" style="219" customWidth="1"/>
    <col min="13" max="13" width="21.140625" style="219" customWidth="1"/>
    <col min="14" max="14" width="5.7109375" style="219" customWidth="1"/>
    <col min="15" max="15" width="5.140625" style="220" customWidth="1"/>
    <col min="16" max="16" width="15.5703125" style="220" customWidth="1"/>
    <col min="17" max="17" width="29.5703125" style="241" customWidth="1"/>
    <col min="18" max="18" width="15.85546875" style="242" customWidth="1"/>
    <col min="19" max="19" width="24.7109375" style="241" customWidth="1"/>
    <col min="20" max="20" width="18.140625" style="220" customWidth="1"/>
    <col min="21" max="21" width="26.28515625" style="241" customWidth="1"/>
    <col min="22" max="22" width="30.42578125" style="220" customWidth="1"/>
    <col min="23" max="23" width="29.5703125" style="265" customWidth="1"/>
    <col min="24" max="25" width="9.140625" style="356"/>
    <col min="26" max="26" width="8.5703125" style="310" customWidth="1"/>
    <col min="27" max="27" width="9.140625" style="206"/>
    <col min="28" max="28" width="9.140625" style="25"/>
    <col min="29" max="29" width="14.140625" style="35" customWidth="1"/>
    <col min="30" max="30" width="29.5703125" style="44" customWidth="1"/>
    <col min="31" max="31" width="17.42578125" style="45" customWidth="1"/>
    <col min="32" max="32" width="30.28515625" style="44" customWidth="1"/>
    <col min="33" max="33" width="18.7109375" style="46" customWidth="1"/>
    <col min="34" max="34" width="29" style="44" customWidth="1"/>
    <col min="35" max="35" width="27.42578125" style="46" customWidth="1"/>
    <col min="36" max="36" width="29.5703125" style="69" customWidth="1"/>
    <col min="37" max="38" width="9.140625" style="118"/>
    <col min="39" max="39" width="9.140625" style="253"/>
    <col min="40" max="40" width="8" style="220" customWidth="1"/>
    <col min="41" max="41" width="43.7109375" style="241" customWidth="1"/>
    <col min="42" max="42" width="9.140625" style="220"/>
    <col min="43" max="43" width="53.140625" style="220" customWidth="1"/>
    <col min="44" max="44" width="9.140625" style="220"/>
    <col min="45" max="45" width="27" style="241" customWidth="1"/>
    <col min="46" max="46" width="9.140625" style="220"/>
    <col min="47" max="51" width="9.140625" style="253"/>
    <col min="52" max="52" width="125.42578125" style="253" customWidth="1"/>
    <col min="53" max="53" width="14" style="253" customWidth="1"/>
    <col min="54" max="54" width="37.42578125" style="307" customWidth="1"/>
    <col min="55" max="76" width="9.140625" style="253"/>
    <col min="77" max="16384" width="9.140625" style="26"/>
  </cols>
  <sheetData>
    <row r="1" spans="1:76" s="28" customFormat="1" ht="16.5" customHeight="1" x14ac:dyDescent="0.25">
      <c r="A1" s="301"/>
      <c r="B1" s="49"/>
      <c r="C1" s="50"/>
      <c r="D1" s="50"/>
      <c r="E1" s="50"/>
      <c r="F1" s="50"/>
      <c r="G1" s="50"/>
      <c r="H1" s="50"/>
      <c r="I1" s="136"/>
      <c r="J1" s="50"/>
      <c r="K1" s="50"/>
      <c r="L1" s="213">
        <f>MAX(Z4:Z2000)</f>
        <v>19</v>
      </c>
      <c r="M1" s="207">
        <v>12</v>
      </c>
      <c r="N1" s="207">
        <v>13</v>
      </c>
      <c r="O1" s="207">
        <v>14</v>
      </c>
      <c r="P1" s="207">
        <v>15</v>
      </c>
      <c r="Q1" s="207">
        <v>16</v>
      </c>
      <c r="R1" s="207">
        <v>17</v>
      </c>
      <c r="S1" s="207">
        <v>18</v>
      </c>
      <c r="T1" s="207">
        <v>19</v>
      </c>
      <c r="U1" s="207">
        <v>20</v>
      </c>
      <c r="V1" s="207">
        <v>21</v>
      </c>
      <c r="W1" s="207">
        <v>22</v>
      </c>
      <c r="X1" s="232">
        <v>23</v>
      </c>
      <c r="Y1" s="232"/>
      <c r="Z1" s="207">
        <v>24</v>
      </c>
      <c r="AA1" s="47"/>
      <c r="AC1" s="49"/>
      <c r="AD1" s="50"/>
      <c r="AE1" s="50"/>
      <c r="AF1" s="51"/>
      <c r="AG1" s="50"/>
      <c r="AH1" s="50"/>
      <c r="AI1" s="50"/>
      <c r="AJ1" s="65"/>
      <c r="AK1" s="52"/>
      <c r="AL1" s="52"/>
      <c r="AM1" s="47"/>
      <c r="AN1" s="207">
        <v>40</v>
      </c>
      <c r="AO1" s="224"/>
      <c r="AP1" s="207">
        <v>42</v>
      </c>
      <c r="AQ1" s="207"/>
      <c r="AR1" s="207">
        <v>44</v>
      </c>
      <c r="AS1" s="258"/>
      <c r="AT1" s="259" t="s">
        <v>1584</v>
      </c>
      <c r="AU1" s="47"/>
      <c r="AV1" s="47"/>
      <c r="AW1" s="47"/>
      <c r="AX1" s="47"/>
      <c r="AY1" s="47"/>
      <c r="AZ1" s="47"/>
      <c r="BA1" s="47"/>
      <c r="BB1" s="305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 t="s">
        <v>571</v>
      </c>
      <c r="BP1" s="47" t="s">
        <v>577</v>
      </c>
      <c r="BQ1" s="47"/>
      <c r="BR1" s="47"/>
      <c r="BS1" s="47"/>
      <c r="BT1" s="47"/>
      <c r="BU1" s="47"/>
      <c r="BV1" s="47"/>
      <c r="BW1" s="47"/>
      <c r="BX1" s="47"/>
    </row>
    <row r="2" spans="1:76" s="7" customFormat="1" ht="0.95" customHeight="1" x14ac:dyDescent="0.25">
      <c r="A2" s="302"/>
      <c r="B2" s="53"/>
      <c r="C2" s="203" t="s">
        <v>32</v>
      </c>
      <c r="D2" s="203" t="str">
        <f>IFERROR(VLOOKUP($C$2,$C$4:$D$2000,2,FALSE),"")</f>
        <v>FOU</v>
      </c>
      <c r="E2" s="203" t="s">
        <v>117</v>
      </c>
      <c r="F2" s="203" t="str">
        <f>IFERROR(VLOOKUP(E2,E4:F1002,2,FALSE),"")</f>
        <v>IRR</v>
      </c>
      <c r="G2" s="203" t="s">
        <v>200</v>
      </c>
      <c r="H2" s="203" t="str">
        <f>IFERROR(VLOOKUP(G2,G4:H1002,2,FALSE),"")</f>
        <v>PCA</v>
      </c>
      <c r="I2" s="359"/>
      <c r="J2" s="203"/>
      <c r="K2" s="203"/>
      <c r="L2" s="208">
        <f>COUNTA(X4:X2000)</f>
        <v>53</v>
      </c>
      <c r="M2" s="208" t="s">
        <v>510</v>
      </c>
      <c r="N2" s="209"/>
      <c r="O2" s="210"/>
      <c r="P2" s="349"/>
      <c r="Q2" s="350" t="s">
        <v>0</v>
      </c>
      <c r="R2" s="350" t="str">
        <f>IFERROR(VLOOKUP($Q$2,$C$4:$D$2000,2,FALSE),"")</f>
        <v>FRA</v>
      </c>
      <c r="S2" s="350" t="s">
        <v>202</v>
      </c>
      <c r="T2" s="350" t="str">
        <f>IFERROR(VLOOKUP($S$2,$E$4:$F$2000,2,FALSE),"")</f>
        <v>PIP</v>
      </c>
      <c r="U2" s="350" t="s">
        <v>28</v>
      </c>
      <c r="V2" s="350" t="str">
        <f>IFERROR(VLOOKUP($U$2,$G$4:$H$2002,2,FALSE),"")</f>
        <v>STE</v>
      </c>
      <c r="W2" s="349"/>
      <c r="X2" s="221"/>
      <c r="Y2" s="221"/>
      <c r="Z2" s="212"/>
      <c r="AA2" s="63"/>
      <c r="AC2" s="53"/>
      <c r="AD2" s="53" t="s">
        <v>32</v>
      </c>
      <c r="AE2" s="53" t="s">
        <v>115</v>
      </c>
      <c r="AF2" s="53" t="s">
        <v>117</v>
      </c>
      <c r="AG2" s="54" t="s">
        <v>24</v>
      </c>
      <c r="AH2" s="53" t="s">
        <v>200</v>
      </c>
      <c r="AI2" s="54" t="s">
        <v>201</v>
      </c>
      <c r="AJ2" s="66"/>
      <c r="AK2" s="55"/>
      <c r="AL2" s="119"/>
      <c r="AM2" s="63"/>
      <c r="AN2" s="225">
        <f>COUNT(AN4:AN1002)</f>
        <v>0</v>
      </c>
      <c r="AO2" s="226"/>
      <c r="AP2" s="210"/>
      <c r="AQ2" s="210"/>
      <c r="AR2" s="210"/>
      <c r="AS2" s="226"/>
      <c r="AT2" s="227" t="str">
        <f>AT1&amp;"\"&amp;AQ4</f>
        <v>G:\Shared drives\T&amp;T Staffs\61. Khoa Van TRAN\BIM 5D\5D Workflow\5D Database\5D Database management\Test Folder\ARCHITECTURE\</v>
      </c>
      <c r="AU2" s="63"/>
      <c r="AV2" s="63"/>
      <c r="AW2" s="63"/>
      <c r="AX2" s="63"/>
      <c r="AY2" s="63"/>
      <c r="AZ2" s="63"/>
      <c r="BA2" s="63"/>
      <c r="BB2" s="305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 t="s">
        <v>572</v>
      </c>
      <c r="BP2" s="63"/>
      <c r="BQ2" s="63"/>
      <c r="BR2" s="63"/>
      <c r="BS2" s="63"/>
      <c r="BT2" s="63"/>
      <c r="BU2" s="63"/>
      <c r="BV2" s="63"/>
      <c r="BW2" s="63"/>
      <c r="BX2" s="63"/>
    </row>
    <row r="3" spans="1:76" s="64" customFormat="1" ht="15" customHeight="1" x14ac:dyDescent="0.25">
      <c r="A3" s="303"/>
      <c r="B3" s="276" t="s">
        <v>475</v>
      </c>
      <c r="C3" s="277" t="s">
        <v>7</v>
      </c>
      <c r="D3" s="277" t="s">
        <v>510</v>
      </c>
      <c r="E3" s="277" t="s">
        <v>555</v>
      </c>
      <c r="F3" s="277" t="s">
        <v>495</v>
      </c>
      <c r="G3" s="277" t="s">
        <v>556</v>
      </c>
      <c r="H3" s="277" t="s">
        <v>557</v>
      </c>
      <c r="I3" s="276" t="s">
        <v>9</v>
      </c>
      <c r="J3" s="277" t="s">
        <v>499</v>
      </c>
      <c r="K3" s="361" t="s">
        <v>498</v>
      </c>
      <c r="L3" s="213">
        <f>MAX(K:K)</f>
        <v>53</v>
      </c>
      <c r="M3" s="213"/>
      <c r="N3" s="213"/>
      <c r="O3" s="210"/>
      <c r="P3" s="225" t="str">
        <f t="shared" ref="P3:X3" si="0">B3</f>
        <v>Family</v>
      </c>
      <c r="Q3" s="225" t="str">
        <f t="shared" si="0"/>
        <v>Categories</v>
      </c>
      <c r="R3" s="225" t="str">
        <f t="shared" si="0"/>
        <v>Abbr Categories</v>
      </c>
      <c r="S3" s="225" t="str">
        <f t="shared" si="0"/>
        <v>Types</v>
      </c>
      <c r="T3" s="225" t="str">
        <f t="shared" si="0"/>
        <v>Abbr Types</v>
      </c>
      <c r="U3" s="225" t="str">
        <f t="shared" si="0"/>
        <v>SubTypes</v>
      </c>
      <c r="V3" s="225" t="str">
        <f t="shared" si="0"/>
        <v>Abbr SubTypes</v>
      </c>
      <c r="W3" s="225" t="str">
        <f t="shared" si="0"/>
        <v>Falimy Name</v>
      </c>
      <c r="X3" s="351" t="str">
        <f t="shared" si="0"/>
        <v>Num.</v>
      </c>
      <c r="Y3" s="351" t="s">
        <v>498</v>
      </c>
      <c r="Z3" s="308"/>
      <c r="AA3" s="63"/>
      <c r="AB3" s="63"/>
      <c r="AC3" s="59" t="s">
        <v>475</v>
      </c>
      <c r="AD3" s="60" t="s">
        <v>7</v>
      </c>
      <c r="AE3" s="61" t="s">
        <v>510</v>
      </c>
      <c r="AF3" s="59" t="s">
        <v>555</v>
      </c>
      <c r="AG3" s="62" t="s">
        <v>495</v>
      </c>
      <c r="AH3" s="59" t="s">
        <v>556</v>
      </c>
      <c r="AI3" s="62" t="s">
        <v>557</v>
      </c>
      <c r="AJ3" s="59" t="s">
        <v>9</v>
      </c>
      <c r="AK3" s="99" t="s">
        <v>499</v>
      </c>
      <c r="AL3" s="120" t="s">
        <v>498</v>
      </c>
      <c r="AN3" s="312"/>
      <c r="AO3" s="260"/>
      <c r="AP3" s="260" t="s">
        <v>498</v>
      </c>
      <c r="AQ3" s="225" t="s">
        <v>505</v>
      </c>
      <c r="AR3" s="260" t="s">
        <v>498</v>
      </c>
      <c r="AS3" s="230" t="s">
        <v>504</v>
      </c>
      <c r="AT3" s="227" t="str">
        <f>AT1&amp;"\"&amp;AS4</f>
        <v>G:\Shared drives\T&amp;T Staffs\61. Khoa Van TRAN\BIM 5D\5D Workflow\5D Database\5D Database management\Test Folder\ARCHITECTURE\</v>
      </c>
      <c r="BB3" s="304"/>
      <c r="BO3" s="64" t="s">
        <v>573</v>
      </c>
    </row>
    <row r="4" spans="1:76" s="10" customFormat="1" ht="15" customHeight="1" x14ac:dyDescent="0.25">
      <c r="A4" s="29"/>
      <c r="B4" s="35" t="s">
        <v>185</v>
      </c>
      <c r="C4" s="36" t="s">
        <v>1</v>
      </c>
      <c r="D4" s="36" t="s">
        <v>5</v>
      </c>
      <c r="E4" s="36" t="s">
        <v>5</v>
      </c>
      <c r="F4" s="36" t="s">
        <v>5</v>
      </c>
      <c r="G4" s="36" t="s">
        <v>5</v>
      </c>
      <c r="H4" s="36" t="s">
        <v>5</v>
      </c>
      <c r="I4" s="360" t="s">
        <v>1</v>
      </c>
      <c r="J4" s="36">
        <v>1</v>
      </c>
      <c r="K4" s="385">
        <v>1</v>
      </c>
      <c r="L4" s="214"/>
      <c r="M4" s="214" t="s">
        <v>279</v>
      </c>
      <c r="N4" s="214"/>
      <c r="O4" s="214"/>
      <c r="P4" s="352" t="s">
        <v>185</v>
      </c>
      <c r="Q4" s="262" t="s">
        <v>1</v>
      </c>
      <c r="R4" s="262" t="s">
        <v>5</v>
      </c>
      <c r="S4" s="262" t="s">
        <v>5</v>
      </c>
      <c r="T4" s="262" t="s">
        <v>5</v>
      </c>
      <c r="U4" s="262" t="s">
        <v>5</v>
      </c>
      <c r="V4" s="262" t="s">
        <v>5</v>
      </c>
      <c r="W4" s="264" t="s">
        <v>1</v>
      </c>
      <c r="X4" s="320">
        <v>1</v>
      </c>
      <c r="Y4" s="387">
        <v>1</v>
      </c>
      <c r="Z4" s="309">
        <f>X4*1</f>
        <v>1</v>
      </c>
      <c r="AA4" s="254"/>
      <c r="AC4" s="30" t="s">
        <v>185</v>
      </c>
      <c r="AD4" s="31" t="s">
        <v>1</v>
      </c>
      <c r="AE4" s="32" t="s">
        <v>5</v>
      </c>
      <c r="AF4" s="31" t="s">
        <v>5</v>
      </c>
      <c r="AG4" s="33" t="s">
        <v>5</v>
      </c>
      <c r="AH4" s="31" t="s">
        <v>5</v>
      </c>
      <c r="AI4" s="33" t="s">
        <v>5</v>
      </c>
      <c r="AJ4" s="70" t="s">
        <v>1</v>
      </c>
      <c r="AK4" s="114">
        <v>1</v>
      </c>
      <c r="AL4" s="115">
        <v>1</v>
      </c>
      <c r="AM4" s="254"/>
      <c r="AN4" s="210" t="str">
        <f>IF(AO4="","",AN3+1)</f>
        <v/>
      </c>
      <c r="AO4" s="262"/>
      <c r="AP4" s="210" t="str">
        <f>AN4</f>
        <v/>
      </c>
      <c r="AQ4" s="324"/>
      <c r="AR4" s="210">
        <v>1</v>
      </c>
      <c r="AS4" s="261"/>
      <c r="AT4" s="227" t="str">
        <f>AT1&amp;"\"&amp;AQ5</f>
        <v>G:\Shared drives\T&amp;T Staffs\61. Khoa Van TRAN\BIM 5D\5D Workflow\5D Database\5D Database management\Test Folder\ARCHITECTURE\S_WIN_SKL_ALU_11.xls</v>
      </c>
      <c r="AU4" s="254"/>
      <c r="AV4" s="254"/>
      <c r="AW4" s="254"/>
      <c r="AX4" s="254"/>
      <c r="AY4" s="254"/>
      <c r="AZ4" s="254"/>
      <c r="BA4" s="254"/>
      <c r="BB4" s="306" t="str">
        <f>IF(AO4="","",LEFT(AO4,SEARCH(".",AO4)-1))</f>
        <v/>
      </c>
      <c r="BC4" s="254"/>
      <c r="BD4" s="254"/>
      <c r="BE4" s="254"/>
      <c r="BF4" s="254"/>
      <c r="BG4" s="254"/>
      <c r="BH4" s="254"/>
      <c r="BI4" s="254"/>
      <c r="BJ4" s="254"/>
      <c r="BK4" s="254"/>
      <c r="BL4" s="254"/>
      <c r="BM4" s="254"/>
      <c r="BN4" s="254"/>
      <c r="BO4" s="254" t="s">
        <v>574</v>
      </c>
      <c r="BP4" s="254"/>
      <c r="BQ4" s="254"/>
      <c r="BR4" s="254"/>
      <c r="BS4" s="254"/>
      <c r="BT4" s="254"/>
      <c r="BU4" s="254"/>
      <c r="BV4" s="254"/>
      <c r="BW4" s="254"/>
      <c r="BX4" s="254"/>
    </row>
    <row r="5" spans="1:76" s="10" customFormat="1" x14ac:dyDescent="0.25">
      <c r="A5" s="34"/>
      <c r="B5" s="35" t="s">
        <v>185</v>
      </c>
      <c r="C5" s="36" t="s">
        <v>11</v>
      </c>
      <c r="D5" s="36" t="s">
        <v>5</v>
      </c>
      <c r="E5" s="36" t="s">
        <v>5</v>
      </c>
      <c r="F5" s="36" t="s">
        <v>5</v>
      </c>
      <c r="G5" s="36" t="s">
        <v>5</v>
      </c>
      <c r="H5" s="36" t="s">
        <v>5</v>
      </c>
      <c r="I5" s="360" t="s">
        <v>11</v>
      </c>
      <c r="J5" s="36">
        <v>1</v>
      </c>
      <c r="K5" s="385">
        <v>2</v>
      </c>
      <c r="L5" s="214"/>
      <c r="M5" s="214"/>
      <c r="N5" s="214"/>
      <c r="O5" s="214"/>
      <c r="P5" s="352" t="s">
        <v>185</v>
      </c>
      <c r="Q5" s="262" t="s">
        <v>11</v>
      </c>
      <c r="R5" s="262" t="s">
        <v>5</v>
      </c>
      <c r="S5" s="262" t="s">
        <v>5</v>
      </c>
      <c r="T5" s="262" t="s">
        <v>5</v>
      </c>
      <c r="U5" s="262" t="s">
        <v>5</v>
      </c>
      <c r="V5" s="262" t="s">
        <v>5</v>
      </c>
      <c r="W5" s="264" t="s">
        <v>11</v>
      </c>
      <c r="X5" s="320">
        <v>1</v>
      </c>
      <c r="Y5" s="387">
        <v>2</v>
      </c>
      <c r="Z5" s="308">
        <f>X5*1</f>
        <v>1</v>
      </c>
      <c r="AA5" s="254"/>
      <c r="AC5" s="35" t="s">
        <v>185</v>
      </c>
      <c r="AD5" s="36" t="s">
        <v>11</v>
      </c>
      <c r="AE5" s="37" t="s">
        <v>5</v>
      </c>
      <c r="AF5" s="36" t="s">
        <v>5</v>
      </c>
      <c r="AG5" s="38" t="s">
        <v>5</v>
      </c>
      <c r="AH5" s="36" t="s">
        <v>5</v>
      </c>
      <c r="AI5" s="38" t="s">
        <v>5</v>
      </c>
      <c r="AJ5" s="67" t="s">
        <v>11</v>
      </c>
      <c r="AK5" s="115">
        <v>1</v>
      </c>
      <c r="AL5" s="115">
        <v>2</v>
      </c>
      <c r="AM5" s="254"/>
      <c r="AN5" s="210" t="str">
        <f>IF(AO5="","",AN4+1)</f>
        <v/>
      </c>
      <c r="AO5" s="262"/>
      <c r="AP5" s="210">
        <v>2</v>
      </c>
      <c r="AQ5" s="214" t="s">
        <v>1501</v>
      </c>
      <c r="AR5" s="210">
        <v>2</v>
      </c>
      <c r="AS5" s="262" t="s">
        <v>1502</v>
      </c>
      <c r="AT5" s="227" t="str">
        <f>AT1&amp;"\"&amp;AS5</f>
        <v>G:\Shared drives\T&amp;T Staffs\61. Khoa Van TRAN\BIM 5D\5D Workflow\5D Database\5D Database management\Test Folder\ARCHITECTURE\S_FOU_TGL_PCA_11.xls</v>
      </c>
      <c r="AU5" s="254"/>
      <c r="AV5" s="254"/>
      <c r="AW5" s="254"/>
      <c r="AX5" s="254"/>
      <c r="AY5" s="254"/>
      <c r="AZ5" s="254"/>
      <c r="BA5" s="254"/>
      <c r="BB5" s="306" t="str">
        <f t="shared" ref="BB5:BB68" si="1">IF(AO5="","",LEFT(AO5,SEARCH(".",AO5)-1))</f>
        <v/>
      </c>
      <c r="BC5" s="254"/>
      <c r="BD5" s="254"/>
      <c r="BE5" s="254"/>
      <c r="BF5" s="254"/>
      <c r="BG5" s="254"/>
      <c r="BH5" s="254"/>
      <c r="BI5" s="254"/>
      <c r="BJ5" s="254"/>
      <c r="BK5" s="254"/>
      <c r="BL5" s="254"/>
      <c r="BM5" s="254"/>
      <c r="BN5" s="254"/>
      <c r="BO5" s="254" t="s">
        <v>575</v>
      </c>
      <c r="BP5" s="254"/>
      <c r="BQ5" s="254"/>
      <c r="BR5" s="254"/>
      <c r="BS5" s="254"/>
      <c r="BT5" s="254"/>
      <c r="BU5" s="254"/>
      <c r="BV5" s="254"/>
      <c r="BW5" s="254"/>
      <c r="BX5" s="254"/>
    </row>
    <row r="6" spans="1:76" s="10" customFormat="1" x14ac:dyDescent="0.25">
      <c r="A6" s="34"/>
      <c r="B6" s="35" t="s">
        <v>185</v>
      </c>
      <c r="C6" s="36" t="s">
        <v>12</v>
      </c>
      <c r="D6" s="36" t="s">
        <v>5</v>
      </c>
      <c r="E6" s="36" t="s">
        <v>5</v>
      </c>
      <c r="F6" s="36" t="s">
        <v>5</v>
      </c>
      <c r="G6" s="36" t="s">
        <v>5</v>
      </c>
      <c r="H6" s="36" t="s">
        <v>5</v>
      </c>
      <c r="I6" s="360" t="s">
        <v>12</v>
      </c>
      <c r="J6" s="36">
        <v>1</v>
      </c>
      <c r="K6" s="385">
        <v>3</v>
      </c>
      <c r="L6" s="214"/>
      <c r="M6" s="214"/>
      <c r="N6" s="214"/>
      <c r="O6" s="214"/>
      <c r="P6" s="352" t="s">
        <v>185</v>
      </c>
      <c r="Q6" s="262" t="s">
        <v>12</v>
      </c>
      <c r="R6" s="262" t="s">
        <v>5</v>
      </c>
      <c r="S6" s="262" t="s">
        <v>5</v>
      </c>
      <c r="T6" s="262" t="s">
        <v>5</v>
      </c>
      <c r="U6" s="262" t="s">
        <v>5</v>
      </c>
      <c r="V6" s="262" t="s">
        <v>5</v>
      </c>
      <c r="W6" s="264" t="s">
        <v>12</v>
      </c>
      <c r="X6" s="320">
        <v>1</v>
      </c>
      <c r="Y6" s="387">
        <v>3</v>
      </c>
      <c r="Z6" s="308">
        <f t="shared" ref="Z6:Z65" si="2">X6*1</f>
        <v>1</v>
      </c>
      <c r="AA6" s="254"/>
      <c r="AC6" s="35" t="s">
        <v>185</v>
      </c>
      <c r="AD6" s="36" t="s">
        <v>12</v>
      </c>
      <c r="AE6" s="37" t="s">
        <v>5</v>
      </c>
      <c r="AF6" s="36" t="s">
        <v>5</v>
      </c>
      <c r="AG6" s="38" t="s">
        <v>5</v>
      </c>
      <c r="AH6" s="36" t="s">
        <v>5</v>
      </c>
      <c r="AI6" s="38" t="s">
        <v>5</v>
      </c>
      <c r="AJ6" s="67" t="s">
        <v>12</v>
      </c>
      <c r="AK6" s="115">
        <v>1</v>
      </c>
      <c r="AL6" s="115">
        <v>3</v>
      </c>
      <c r="AM6" s="254"/>
      <c r="AN6" s="210" t="str">
        <f t="shared" ref="AN6:AN71" si="3">IF(AO6="","",AN5+1)</f>
        <v/>
      </c>
      <c r="AO6" s="262"/>
      <c r="AP6" s="210" t="str">
        <f t="shared" ref="AP6:AP71" si="4">IF(AN6="","",AN6)</f>
        <v/>
      </c>
      <c r="AQ6" s="214"/>
      <c r="AR6" s="210"/>
      <c r="AS6" s="262"/>
      <c r="AT6" s="214"/>
      <c r="AU6" s="254"/>
      <c r="AV6" s="254"/>
      <c r="AW6" s="254"/>
      <c r="AX6" s="254"/>
      <c r="AY6" s="254"/>
      <c r="AZ6" s="254"/>
      <c r="BA6" s="254"/>
      <c r="BB6" s="306" t="str">
        <f t="shared" si="1"/>
        <v/>
      </c>
      <c r="BC6" s="254"/>
      <c r="BD6" s="254"/>
      <c r="BE6" s="254"/>
      <c r="BF6" s="254"/>
      <c r="BG6" s="254"/>
      <c r="BH6" s="254"/>
      <c r="BI6" s="254"/>
      <c r="BJ6" s="254"/>
      <c r="BK6" s="254"/>
      <c r="BL6" s="254"/>
      <c r="BM6" s="254"/>
      <c r="BN6" s="254"/>
      <c r="BO6" s="254" t="s">
        <v>576</v>
      </c>
      <c r="BP6" s="254"/>
      <c r="BQ6" s="254"/>
      <c r="BR6" s="254"/>
      <c r="BS6" s="254"/>
      <c r="BT6" s="254"/>
      <c r="BU6" s="254"/>
      <c r="BV6" s="254"/>
      <c r="BW6" s="254"/>
      <c r="BX6" s="254"/>
    </row>
    <row r="7" spans="1:76" s="10" customFormat="1" ht="15.75" customHeight="1" x14ac:dyDescent="0.25">
      <c r="A7" s="34"/>
      <c r="B7" s="35" t="s">
        <v>185</v>
      </c>
      <c r="C7" s="36" t="s">
        <v>13</v>
      </c>
      <c r="D7" s="36" t="s">
        <v>5</v>
      </c>
      <c r="E7" s="36" t="s">
        <v>5</v>
      </c>
      <c r="F7" s="36" t="s">
        <v>5</v>
      </c>
      <c r="G7" s="36" t="s">
        <v>5</v>
      </c>
      <c r="H7" s="36" t="s">
        <v>5</v>
      </c>
      <c r="I7" s="360" t="s">
        <v>13</v>
      </c>
      <c r="J7" s="36">
        <v>1</v>
      </c>
      <c r="K7" s="385">
        <v>4</v>
      </c>
      <c r="L7" s="215"/>
      <c r="M7" s="215" t="str">
        <f>I3</f>
        <v>Falimy Name</v>
      </c>
      <c r="N7" s="214"/>
      <c r="O7" s="214"/>
      <c r="P7" s="352" t="s">
        <v>185</v>
      </c>
      <c r="Q7" s="262" t="s">
        <v>13</v>
      </c>
      <c r="R7" s="262" t="s">
        <v>5</v>
      </c>
      <c r="S7" s="262" t="s">
        <v>5</v>
      </c>
      <c r="T7" s="262" t="s">
        <v>5</v>
      </c>
      <c r="U7" s="262" t="s">
        <v>5</v>
      </c>
      <c r="V7" s="262" t="s">
        <v>5</v>
      </c>
      <c r="W7" s="264" t="s">
        <v>13</v>
      </c>
      <c r="X7" s="320">
        <v>1</v>
      </c>
      <c r="Y7" s="387">
        <v>4</v>
      </c>
      <c r="Z7" s="308">
        <f t="shared" si="2"/>
        <v>1</v>
      </c>
      <c r="AA7" s="254"/>
      <c r="AC7" s="35" t="s">
        <v>185</v>
      </c>
      <c r="AD7" s="36" t="s">
        <v>13</v>
      </c>
      <c r="AE7" s="37" t="s">
        <v>5</v>
      </c>
      <c r="AF7" s="36" t="s">
        <v>5</v>
      </c>
      <c r="AG7" s="38" t="s">
        <v>5</v>
      </c>
      <c r="AH7" s="36" t="s">
        <v>5</v>
      </c>
      <c r="AI7" s="38" t="s">
        <v>5</v>
      </c>
      <c r="AJ7" s="67" t="s">
        <v>13</v>
      </c>
      <c r="AK7" s="115">
        <v>1</v>
      </c>
      <c r="AL7" s="115">
        <v>4</v>
      </c>
      <c r="AM7" s="254"/>
      <c r="AN7" s="210" t="str">
        <f t="shared" si="3"/>
        <v/>
      </c>
      <c r="AO7" s="262"/>
      <c r="AP7" s="210" t="str">
        <f t="shared" si="4"/>
        <v/>
      </c>
      <c r="AQ7" s="214"/>
      <c r="AR7" s="210"/>
      <c r="AS7" s="262"/>
      <c r="AT7" s="214"/>
      <c r="AU7" s="254"/>
      <c r="AV7" s="254"/>
      <c r="AW7" s="254"/>
      <c r="AX7" s="254"/>
      <c r="AY7" s="254"/>
      <c r="AZ7" s="254"/>
      <c r="BA7" s="254"/>
      <c r="BB7" s="306" t="str">
        <f t="shared" si="1"/>
        <v/>
      </c>
      <c r="BC7" s="254"/>
      <c r="BD7" s="254"/>
      <c r="BE7" s="254"/>
      <c r="BF7" s="254"/>
      <c r="BG7" s="254"/>
      <c r="BH7" s="254"/>
      <c r="BI7" s="254"/>
      <c r="BJ7" s="254"/>
      <c r="BK7" s="254"/>
      <c r="BL7" s="254"/>
      <c r="BM7" s="254"/>
      <c r="BN7" s="254"/>
      <c r="BO7" s="254" t="s">
        <v>577</v>
      </c>
      <c r="BP7" s="254"/>
      <c r="BQ7" s="254"/>
      <c r="BR7" s="254"/>
      <c r="BS7" s="254"/>
      <c r="BT7" s="254"/>
      <c r="BU7" s="254"/>
      <c r="BV7" s="254"/>
      <c r="BW7" s="254"/>
      <c r="BX7" s="254"/>
    </row>
    <row r="8" spans="1:76" s="10" customFormat="1" ht="15.75" customHeight="1" x14ac:dyDescent="0.25">
      <c r="A8" s="34"/>
      <c r="B8" s="35" t="s">
        <v>185</v>
      </c>
      <c r="C8" s="44" t="s">
        <v>14</v>
      </c>
      <c r="D8" s="44" t="s">
        <v>5</v>
      </c>
      <c r="E8" s="44" t="s">
        <v>5</v>
      </c>
      <c r="F8" s="44" t="s">
        <v>5</v>
      </c>
      <c r="G8" s="44" t="s">
        <v>5</v>
      </c>
      <c r="H8" s="44" t="s">
        <v>5</v>
      </c>
      <c r="I8" s="360" t="s">
        <v>14</v>
      </c>
      <c r="J8" s="44">
        <v>1</v>
      </c>
      <c r="K8" s="386">
        <v>5</v>
      </c>
      <c r="L8" s="215"/>
      <c r="M8" s="215" t="str">
        <f>C3</f>
        <v>Categories</v>
      </c>
      <c r="N8" s="214"/>
      <c r="O8" s="214"/>
      <c r="P8" s="352" t="s">
        <v>185</v>
      </c>
      <c r="Q8" s="241" t="s">
        <v>14</v>
      </c>
      <c r="R8" s="241" t="s">
        <v>5</v>
      </c>
      <c r="S8" s="241" t="s">
        <v>5</v>
      </c>
      <c r="T8" s="241" t="s">
        <v>5</v>
      </c>
      <c r="U8" s="241" t="s">
        <v>5</v>
      </c>
      <c r="V8" s="241" t="s">
        <v>5</v>
      </c>
      <c r="W8" s="264" t="s">
        <v>14</v>
      </c>
      <c r="X8" s="296">
        <v>1</v>
      </c>
      <c r="Y8" s="388">
        <v>5</v>
      </c>
      <c r="Z8" s="308">
        <f t="shared" si="2"/>
        <v>1</v>
      </c>
      <c r="AA8" s="254"/>
      <c r="AC8" s="35" t="s">
        <v>185</v>
      </c>
      <c r="AD8" s="36" t="s">
        <v>14</v>
      </c>
      <c r="AE8" s="37" t="s">
        <v>5</v>
      </c>
      <c r="AF8" s="36" t="s">
        <v>5</v>
      </c>
      <c r="AG8" s="38" t="s">
        <v>5</v>
      </c>
      <c r="AH8" s="36" t="s">
        <v>5</v>
      </c>
      <c r="AI8" s="38" t="s">
        <v>5</v>
      </c>
      <c r="AJ8" s="67" t="s">
        <v>14</v>
      </c>
      <c r="AK8" s="115">
        <v>1</v>
      </c>
      <c r="AL8" s="115">
        <v>5</v>
      </c>
      <c r="AM8" s="254"/>
      <c r="AN8" s="210" t="str">
        <f t="shared" si="3"/>
        <v/>
      </c>
      <c r="AO8" s="262"/>
      <c r="AP8" s="210" t="str">
        <f t="shared" si="4"/>
        <v/>
      </c>
      <c r="AQ8" s="214"/>
      <c r="AR8" s="210"/>
      <c r="AS8" s="262"/>
      <c r="AT8" s="214"/>
      <c r="AU8" s="254"/>
      <c r="AV8" s="254"/>
      <c r="AW8" s="254"/>
      <c r="AX8" s="254"/>
      <c r="AY8" s="254"/>
      <c r="AZ8" s="254"/>
      <c r="BA8" s="254"/>
      <c r="BB8" s="306" t="str">
        <f t="shared" si="1"/>
        <v/>
      </c>
      <c r="BC8" s="254"/>
      <c r="BD8" s="254"/>
      <c r="BE8" s="254"/>
      <c r="BF8" s="254"/>
      <c r="BG8" s="254"/>
      <c r="BH8" s="254"/>
      <c r="BI8" s="254"/>
      <c r="BJ8" s="254"/>
      <c r="BK8" s="254"/>
      <c r="BL8" s="254"/>
      <c r="BM8" s="254"/>
      <c r="BN8" s="254"/>
      <c r="BO8" s="254"/>
      <c r="BP8" s="254"/>
      <c r="BQ8" s="254"/>
      <c r="BR8" s="254"/>
      <c r="BS8" s="254"/>
      <c r="BT8" s="254"/>
      <c r="BU8" s="254"/>
      <c r="BV8" s="254"/>
      <c r="BW8" s="254"/>
      <c r="BX8" s="254"/>
    </row>
    <row r="9" spans="1:76" s="10" customFormat="1" ht="15.75" customHeight="1" x14ac:dyDescent="0.25">
      <c r="A9" s="34"/>
      <c r="B9" s="35" t="s">
        <v>185</v>
      </c>
      <c r="C9" s="36" t="s">
        <v>16</v>
      </c>
      <c r="D9" s="36" t="s">
        <v>5</v>
      </c>
      <c r="E9" s="36" t="s">
        <v>5</v>
      </c>
      <c r="F9" s="36" t="s">
        <v>5</v>
      </c>
      <c r="G9" s="36" t="s">
        <v>5</v>
      </c>
      <c r="H9" s="36" t="s">
        <v>5</v>
      </c>
      <c r="I9" s="360" t="s">
        <v>16</v>
      </c>
      <c r="J9" s="36">
        <v>1</v>
      </c>
      <c r="K9" s="385">
        <v>6</v>
      </c>
      <c r="L9" s="216"/>
      <c r="M9" s="216" t="str">
        <f>E3</f>
        <v>Types</v>
      </c>
      <c r="N9" s="214"/>
      <c r="O9" s="214"/>
      <c r="P9" s="352" t="s">
        <v>185</v>
      </c>
      <c r="Q9" s="262" t="s">
        <v>16</v>
      </c>
      <c r="R9" s="262" t="s">
        <v>5</v>
      </c>
      <c r="S9" s="262" t="s">
        <v>5</v>
      </c>
      <c r="T9" s="262" t="s">
        <v>5</v>
      </c>
      <c r="U9" s="262" t="s">
        <v>5</v>
      </c>
      <c r="V9" s="262" t="s">
        <v>5</v>
      </c>
      <c r="W9" s="264" t="s">
        <v>16</v>
      </c>
      <c r="X9" s="320">
        <v>1</v>
      </c>
      <c r="Y9" s="387">
        <v>6</v>
      </c>
      <c r="Z9" s="308">
        <f t="shared" si="2"/>
        <v>1</v>
      </c>
      <c r="AA9" s="254"/>
      <c r="AC9" s="35" t="s">
        <v>185</v>
      </c>
      <c r="AD9" s="36" t="s">
        <v>16</v>
      </c>
      <c r="AE9" s="37" t="s">
        <v>5</v>
      </c>
      <c r="AF9" s="36" t="s">
        <v>5</v>
      </c>
      <c r="AG9" s="38" t="s">
        <v>5</v>
      </c>
      <c r="AH9" s="36" t="s">
        <v>5</v>
      </c>
      <c r="AI9" s="38" t="s">
        <v>5</v>
      </c>
      <c r="AJ9" s="67" t="s">
        <v>16</v>
      </c>
      <c r="AK9" s="115">
        <v>1</v>
      </c>
      <c r="AL9" s="115">
        <v>6</v>
      </c>
      <c r="AM9" s="254"/>
      <c r="AN9" s="210" t="str">
        <f t="shared" si="3"/>
        <v/>
      </c>
      <c r="AO9" s="262"/>
      <c r="AP9" s="210" t="str">
        <f t="shared" si="4"/>
        <v/>
      </c>
      <c r="AQ9" s="214"/>
      <c r="AR9" s="210"/>
      <c r="AS9" s="262"/>
      <c r="AT9" s="214"/>
      <c r="AU9" s="254"/>
      <c r="AV9" s="254"/>
      <c r="AW9" s="254"/>
      <c r="AX9" s="254"/>
      <c r="AY9" s="254"/>
      <c r="AZ9" s="254"/>
      <c r="BA9" s="254"/>
      <c r="BB9" s="306" t="str">
        <f t="shared" si="1"/>
        <v/>
      </c>
      <c r="BC9" s="254"/>
      <c r="BD9" s="254"/>
      <c r="BE9" s="254"/>
      <c r="BF9" s="254"/>
      <c r="BG9" s="254"/>
      <c r="BH9" s="254"/>
      <c r="BI9" s="254"/>
      <c r="BJ9" s="254"/>
      <c r="BK9" s="254"/>
      <c r="BL9" s="254"/>
      <c r="BM9" s="254"/>
      <c r="BN9" s="254"/>
      <c r="BO9" s="254"/>
      <c r="BP9" s="254"/>
      <c r="BQ9" s="254"/>
      <c r="BR9" s="254"/>
      <c r="BS9" s="254"/>
      <c r="BT9" s="254"/>
      <c r="BU9" s="254"/>
      <c r="BV9" s="254"/>
      <c r="BW9" s="254"/>
      <c r="BX9" s="254"/>
    </row>
    <row r="10" spans="1:76" s="10" customFormat="1" ht="15" customHeight="1" x14ac:dyDescent="0.25">
      <c r="A10" s="34"/>
      <c r="B10" s="35" t="s">
        <v>185</v>
      </c>
      <c r="C10" s="36" t="s">
        <v>17</v>
      </c>
      <c r="D10" s="36" t="s">
        <v>5</v>
      </c>
      <c r="E10" s="36"/>
      <c r="F10" s="36"/>
      <c r="G10" s="36"/>
      <c r="H10" s="36"/>
      <c r="I10" s="360" t="s">
        <v>578</v>
      </c>
      <c r="J10" s="36" t="s">
        <v>253</v>
      </c>
      <c r="K10" s="385">
        <v>8</v>
      </c>
      <c r="L10" s="264"/>
      <c r="M10" s="264" t="str">
        <f>G3</f>
        <v>SubTypes</v>
      </c>
      <c r="N10" s="214"/>
      <c r="O10" s="214"/>
      <c r="P10" s="352" t="s">
        <v>185</v>
      </c>
      <c r="Q10" s="262" t="s">
        <v>17</v>
      </c>
      <c r="R10" s="262" t="s">
        <v>5</v>
      </c>
      <c r="S10" s="262"/>
      <c r="T10" s="262"/>
      <c r="U10" s="262"/>
      <c r="V10" s="262"/>
      <c r="W10" s="264" t="s">
        <v>578</v>
      </c>
      <c r="X10" s="320" t="s">
        <v>253</v>
      </c>
      <c r="Y10" s="387">
        <v>8</v>
      </c>
      <c r="Z10" s="308">
        <f t="shared" si="2"/>
        <v>1</v>
      </c>
      <c r="AA10" s="254"/>
      <c r="AC10" s="35" t="s">
        <v>185</v>
      </c>
      <c r="AD10" s="36" t="s">
        <v>17</v>
      </c>
      <c r="AE10" s="37" t="s">
        <v>5</v>
      </c>
      <c r="AF10" s="36"/>
      <c r="AG10" s="38"/>
      <c r="AH10" s="36"/>
      <c r="AI10" s="38"/>
      <c r="AJ10" s="67" t="s">
        <v>578</v>
      </c>
      <c r="AK10" s="115" t="s">
        <v>253</v>
      </c>
      <c r="AL10" s="115">
        <v>8</v>
      </c>
      <c r="AM10" s="254"/>
      <c r="AN10" s="210" t="str">
        <f t="shared" si="3"/>
        <v/>
      </c>
      <c r="AO10" s="262"/>
      <c r="AP10" s="210" t="str">
        <f t="shared" si="4"/>
        <v/>
      </c>
      <c r="AQ10" s="214"/>
      <c r="AR10" s="210"/>
      <c r="AS10" s="262"/>
      <c r="AT10" s="214"/>
      <c r="AU10" s="254"/>
      <c r="AV10" s="254"/>
      <c r="AW10" s="254"/>
      <c r="AX10" s="254"/>
      <c r="AY10" s="254"/>
      <c r="AZ10" s="254"/>
      <c r="BA10" s="254"/>
      <c r="BB10" s="306" t="str">
        <f t="shared" si="1"/>
        <v/>
      </c>
      <c r="BC10" s="254"/>
      <c r="BD10" s="254"/>
      <c r="BE10" s="254"/>
      <c r="BF10" s="254"/>
      <c r="BG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BX10" s="254"/>
    </row>
    <row r="11" spans="1:76" s="10" customFormat="1" ht="15" customHeight="1" x14ac:dyDescent="0.25">
      <c r="A11" s="34"/>
      <c r="B11" s="35" t="s">
        <v>185</v>
      </c>
      <c r="C11" s="44" t="s">
        <v>186</v>
      </c>
      <c r="D11" s="44" t="s">
        <v>5</v>
      </c>
      <c r="E11" s="44" t="s">
        <v>5</v>
      </c>
      <c r="F11" s="44" t="s">
        <v>5</v>
      </c>
      <c r="G11" s="44" t="s">
        <v>5</v>
      </c>
      <c r="H11" s="44" t="s">
        <v>5</v>
      </c>
      <c r="I11" s="360" t="s">
        <v>186</v>
      </c>
      <c r="J11" s="44">
        <v>1</v>
      </c>
      <c r="K11" s="386">
        <v>7</v>
      </c>
      <c r="L11" s="279"/>
      <c r="M11" s="279" t="str">
        <f>D3</f>
        <v>Abbr Categories</v>
      </c>
      <c r="N11" s="214"/>
      <c r="O11" s="214"/>
      <c r="P11" s="352" t="s">
        <v>185</v>
      </c>
      <c r="Q11" s="241" t="s">
        <v>186</v>
      </c>
      <c r="R11" s="241" t="s">
        <v>5</v>
      </c>
      <c r="S11" s="241" t="s">
        <v>5</v>
      </c>
      <c r="T11" s="241" t="s">
        <v>5</v>
      </c>
      <c r="U11" s="241" t="s">
        <v>5</v>
      </c>
      <c r="V11" s="241" t="s">
        <v>5</v>
      </c>
      <c r="W11" s="264" t="s">
        <v>186</v>
      </c>
      <c r="X11" s="296">
        <v>1</v>
      </c>
      <c r="Y11" s="388">
        <v>7</v>
      </c>
      <c r="Z11" s="308">
        <f t="shared" si="2"/>
        <v>1</v>
      </c>
      <c r="AA11" s="254"/>
      <c r="AC11" s="35" t="s">
        <v>185</v>
      </c>
      <c r="AD11" s="36" t="s">
        <v>186</v>
      </c>
      <c r="AE11" s="37" t="s">
        <v>5</v>
      </c>
      <c r="AF11" s="36" t="s">
        <v>5</v>
      </c>
      <c r="AG11" s="38" t="s">
        <v>5</v>
      </c>
      <c r="AH11" s="36" t="s">
        <v>5</v>
      </c>
      <c r="AI11" s="38" t="s">
        <v>5</v>
      </c>
      <c r="AJ11" s="67" t="s">
        <v>186</v>
      </c>
      <c r="AK11" s="115">
        <v>1</v>
      </c>
      <c r="AL11" s="115">
        <v>7</v>
      </c>
      <c r="AM11" s="254"/>
      <c r="AN11" s="210" t="str">
        <f t="shared" si="3"/>
        <v/>
      </c>
      <c r="AO11" s="261"/>
      <c r="AP11" s="210" t="str">
        <f t="shared" si="4"/>
        <v/>
      </c>
      <c r="AQ11" s="214"/>
      <c r="AR11" s="210"/>
      <c r="AS11" s="262"/>
      <c r="AT11" s="214"/>
      <c r="AU11" s="254"/>
      <c r="AV11" s="254"/>
      <c r="AW11" s="254"/>
      <c r="AX11" s="254"/>
      <c r="AY11" s="254"/>
      <c r="AZ11" s="254"/>
      <c r="BA11" s="254"/>
      <c r="BB11" s="306" t="str">
        <f t="shared" si="1"/>
        <v/>
      </c>
      <c r="BC11" s="254"/>
      <c r="BD11" s="254"/>
      <c r="BE11" s="254"/>
      <c r="BF11" s="254"/>
      <c r="BG11" s="254"/>
      <c r="BH11" s="254"/>
      <c r="BI11" s="254"/>
      <c r="BJ11" s="254"/>
      <c r="BK11" s="254"/>
      <c r="BL11" s="254"/>
      <c r="BM11" s="254"/>
      <c r="BN11" s="254"/>
      <c r="BO11" s="254"/>
      <c r="BP11" s="254"/>
      <c r="BQ11" s="254"/>
      <c r="BR11" s="254"/>
      <c r="BS11" s="254"/>
      <c r="BT11" s="254"/>
      <c r="BU11" s="254"/>
      <c r="BV11" s="254"/>
      <c r="BW11" s="254"/>
      <c r="BX11" s="254"/>
    </row>
    <row r="12" spans="1:76" s="10" customFormat="1" ht="15" customHeight="1" x14ac:dyDescent="0.25">
      <c r="A12" s="34"/>
      <c r="B12" s="35" t="s">
        <v>184</v>
      </c>
      <c r="C12" s="36" t="s">
        <v>249</v>
      </c>
      <c r="D12" s="36" t="s">
        <v>111</v>
      </c>
      <c r="E12" s="36" t="s">
        <v>23</v>
      </c>
      <c r="F12" s="36" t="s">
        <v>24</v>
      </c>
      <c r="G12" s="36" t="s">
        <v>27</v>
      </c>
      <c r="H12" s="36" t="s">
        <v>103</v>
      </c>
      <c r="I12" s="360" t="str">
        <f>IF(OR( H12="",H12="-"),CONCATENATE("S","_",D12,"_",F12,"_",TEXT(J12,"00")),CONCATENATE("S","_",D12,"_",F12,"_",H12,"_",TEXT(J12,"00")))</f>
        <v>S_COL_IRR_CIP_01</v>
      </c>
      <c r="J12" s="36">
        <v>1</v>
      </c>
      <c r="K12" s="385">
        <v>12</v>
      </c>
      <c r="L12" s="279"/>
      <c r="M12" s="354" t="str">
        <f>F3</f>
        <v>Abbr Types</v>
      </c>
      <c r="N12" s="214"/>
      <c r="O12" s="214"/>
      <c r="P12" s="352" t="s">
        <v>184</v>
      </c>
      <c r="Q12" s="262" t="s">
        <v>249</v>
      </c>
      <c r="R12" s="262" t="s">
        <v>111</v>
      </c>
      <c r="S12" s="262" t="s">
        <v>23</v>
      </c>
      <c r="T12" s="262" t="s">
        <v>24</v>
      </c>
      <c r="U12" s="262" t="s">
        <v>27</v>
      </c>
      <c r="V12" s="262" t="s">
        <v>103</v>
      </c>
      <c r="W12" s="264" t="s">
        <v>581</v>
      </c>
      <c r="X12" s="320">
        <v>1</v>
      </c>
      <c r="Y12" s="387">
        <v>12</v>
      </c>
      <c r="Z12" s="308">
        <f>X12*1</f>
        <v>1</v>
      </c>
      <c r="AA12" s="254"/>
      <c r="AC12" s="35" t="s">
        <v>184</v>
      </c>
      <c r="AD12" s="36" t="s">
        <v>249</v>
      </c>
      <c r="AE12" s="37" t="s">
        <v>111</v>
      </c>
      <c r="AF12" s="36" t="s">
        <v>23</v>
      </c>
      <c r="AG12" s="38" t="s">
        <v>24</v>
      </c>
      <c r="AH12" s="36" t="s">
        <v>27</v>
      </c>
      <c r="AI12" s="38" t="s">
        <v>103</v>
      </c>
      <c r="AJ12" s="67" t="s">
        <v>581</v>
      </c>
      <c r="AK12" s="115">
        <v>1</v>
      </c>
      <c r="AL12" s="115">
        <v>12</v>
      </c>
      <c r="AM12" s="254"/>
      <c r="AN12" s="210" t="str">
        <f t="shared" si="3"/>
        <v/>
      </c>
      <c r="AO12" s="262"/>
      <c r="AP12" s="210" t="str">
        <f t="shared" si="4"/>
        <v/>
      </c>
      <c r="AQ12" s="214"/>
      <c r="AR12" s="210"/>
      <c r="AS12" s="262"/>
      <c r="AT12" s="214"/>
      <c r="AU12" s="254"/>
      <c r="AV12" s="254"/>
      <c r="AW12" s="254"/>
      <c r="AX12" s="254"/>
      <c r="AY12" s="254"/>
      <c r="AZ12" s="254"/>
      <c r="BA12" s="254"/>
      <c r="BB12" s="306" t="str">
        <f t="shared" si="1"/>
        <v/>
      </c>
      <c r="BC12" s="254"/>
      <c r="BD12" s="254"/>
      <c r="BE12" s="254"/>
      <c r="BF12" s="254"/>
      <c r="BG12" s="254"/>
      <c r="BH12" s="254"/>
      <c r="BI12" s="254"/>
      <c r="BJ12" s="254"/>
      <c r="BK12" s="254"/>
      <c r="BL12" s="254"/>
      <c r="BM12" s="254"/>
      <c r="BN12" s="254"/>
      <c r="BO12" s="254"/>
      <c r="BP12" s="254"/>
      <c r="BQ12" s="254"/>
      <c r="BR12" s="254"/>
      <c r="BS12" s="254"/>
      <c r="BT12" s="254"/>
      <c r="BU12" s="254"/>
      <c r="BV12" s="254"/>
      <c r="BW12" s="254"/>
      <c r="BX12" s="254"/>
    </row>
    <row r="13" spans="1:76" s="10" customFormat="1" ht="15" customHeight="1" x14ac:dyDescent="0.25">
      <c r="A13" s="34"/>
      <c r="B13" s="35" t="s">
        <v>184</v>
      </c>
      <c r="C13" s="36" t="s">
        <v>249</v>
      </c>
      <c r="D13" s="36" t="s">
        <v>111</v>
      </c>
      <c r="E13" s="36" t="s">
        <v>23</v>
      </c>
      <c r="F13" s="36" t="s">
        <v>24</v>
      </c>
      <c r="G13" s="36" t="s">
        <v>25</v>
      </c>
      <c r="H13" s="36" t="s">
        <v>26</v>
      </c>
      <c r="I13" s="360" t="str">
        <f t="shared" ref="I13:I56" si="5">IF(OR( H13="",H13="-"),CONCATENATE("S","_",D13,"_",F13,"_",TEXT(J13,"00")),CONCATENATE("S","_",D13,"_",F13,"_",H13,"_",TEXT(J13,"00")))</f>
        <v>S_COL_IRR_PRC_02</v>
      </c>
      <c r="J13" s="36">
        <v>2</v>
      </c>
      <c r="K13" s="385">
        <v>13</v>
      </c>
      <c r="L13" s="279"/>
      <c r="M13" s="354" t="str">
        <f>H3</f>
        <v>Abbr SubTypes</v>
      </c>
      <c r="N13" s="214"/>
      <c r="O13" s="214"/>
      <c r="P13" s="352" t="s">
        <v>184</v>
      </c>
      <c r="Q13" s="262" t="s">
        <v>249</v>
      </c>
      <c r="R13" s="262" t="s">
        <v>111</v>
      </c>
      <c r="S13" s="262" t="s">
        <v>23</v>
      </c>
      <c r="T13" s="262" t="s">
        <v>24</v>
      </c>
      <c r="U13" s="262" t="s">
        <v>25</v>
      </c>
      <c r="V13" s="262" t="s">
        <v>26</v>
      </c>
      <c r="W13" s="264" t="s">
        <v>582</v>
      </c>
      <c r="X13" s="320">
        <v>2</v>
      </c>
      <c r="Y13" s="387">
        <v>13</v>
      </c>
      <c r="Z13" s="308">
        <f t="shared" si="2"/>
        <v>2</v>
      </c>
      <c r="AA13" s="254"/>
      <c r="AC13" s="35" t="s">
        <v>184</v>
      </c>
      <c r="AD13" s="36" t="s">
        <v>249</v>
      </c>
      <c r="AE13" s="37" t="s">
        <v>111</v>
      </c>
      <c r="AF13" s="36" t="s">
        <v>23</v>
      </c>
      <c r="AG13" s="38" t="s">
        <v>24</v>
      </c>
      <c r="AH13" s="36" t="s">
        <v>25</v>
      </c>
      <c r="AI13" s="38" t="s">
        <v>26</v>
      </c>
      <c r="AJ13" s="67" t="s">
        <v>582</v>
      </c>
      <c r="AK13" s="115">
        <v>2</v>
      </c>
      <c r="AL13" s="115">
        <v>13</v>
      </c>
      <c r="AM13" s="254"/>
      <c r="AN13" s="210" t="str">
        <f t="shared" si="3"/>
        <v/>
      </c>
      <c r="AO13" s="262"/>
      <c r="AP13" s="210" t="str">
        <f t="shared" si="4"/>
        <v/>
      </c>
      <c r="AQ13" s="214"/>
      <c r="AR13" s="210"/>
      <c r="AS13" s="262"/>
      <c r="AT13" s="214"/>
      <c r="AU13" s="254"/>
      <c r="AV13" s="254"/>
      <c r="AW13" s="254"/>
      <c r="AX13" s="254"/>
      <c r="AY13" s="254"/>
      <c r="AZ13" s="254"/>
      <c r="BA13" s="254"/>
      <c r="BB13" s="306" t="str">
        <f t="shared" si="1"/>
        <v/>
      </c>
      <c r="BC13" s="254"/>
      <c r="BD13" s="254"/>
      <c r="BE13" s="254"/>
      <c r="BF13" s="254"/>
      <c r="BG13" s="254"/>
      <c r="BH13" s="254"/>
      <c r="BI13" s="254"/>
      <c r="BJ13" s="254"/>
      <c r="BK13" s="254"/>
      <c r="BL13" s="254"/>
      <c r="BM13" s="254"/>
      <c r="BN13" s="254"/>
      <c r="BO13" s="254"/>
      <c r="BP13" s="254"/>
      <c r="BQ13" s="254"/>
      <c r="BR13" s="254"/>
      <c r="BS13" s="254"/>
      <c r="BT13" s="254"/>
      <c r="BU13" s="254"/>
      <c r="BV13" s="254"/>
      <c r="BW13" s="254"/>
      <c r="BX13" s="254"/>
    </row>
    <row r="14" spans="1:76" s="10" customFormat="1" ht="15" customHeight="1" x14ac:dyDescent="0.25">
      <c r="A14" s="34"/>
      <c r="B14" s="35" t="s">
        <v>184</v>
      </c>
      <c r="C14" s="36" t="s">
        <v>249</v>
      </c>
      <c r="D14" s="36" t="s">
        <v>111</v>
      </c>
      <c r="E14" s="36" t="s">
        <v>23</v>
      </c>
      <c r="F14" s="36" t="s">
        <v>24</v>
      </c>
      <c r="G14" s="36" t="s">
        <v>28</v>
      </c>
      <c r="H14" s="36" t="s">
        <v>29</v>
      </c>
      <c r="I14" s="360" t="str">
        <f t="shared" si="5"/>
        <v>S_COL_IRR_STE_03</v>
      </c>
      <c r="J14" s="36">
        <v>3</v>
      </c>
      <c r="K14" s="385">
        <v>14</v>
      </c>
      <c r="L14" s="322"/>
      <c r="M14" s="214"/>
      <c r="N14" s="214"/>
      <c r="O14" s="214"/>
      <c r="P14" s="352" t="s">
        <v>184</v>
      </c>
      <c r="Q14" s="262" t="s">
        <v>249</v>
      </c>
      <c r="R14" s="262" t="s">
        <v>111</v>
      </c>
      <c r="S14" s="262" t="s">
        <v>23</v>
      </c>
      <c r="T14" s="262" t="s">
        <v>24</v>
      </c>
      <c r="U14" s="262" t="s">
        <v>28</v>
      </c>
      <c r="V14" s="262" t="s">
        <v>29</v>
      </c>
      <c r="W14" s="264" t="s">
        <v>583</v>
      </c>
      <c r="X14" s="320">
        <v>3</v>
      </c>
      <c r="Y14" s="387">
        <v>14</v>
      </c>
      <c r="Z14" s="308">
        <f t="shared" si="2"/>
        <v>3</v>
      </c>
      <c r="AA14" s="254"/>
      <c r="AC14" s="35" t="s">
        <v>184</v>
      </c>
      <c r="AD14" s="36" t="s">
        <v>249</v>
      </c>
      <c r="AE14" s="37" t="s">
        <v>111</v>
      </c>
      <c r="AF14" s="36" t="s">
        <v>23</v>
      </c>
      <c r="AG14" s="38" t="s">
        <v>24</v>
      </c>
      <c r="AH14" s="36" t="s">
        <v>28</v>
      </c>
      <c r="AI14" s="38" t="s">
        <v>29</v>
      </c>
      <c r="AJ14" s="67" t="s">
        <v>583</v>
      </c>
      <c r="AK14" s="115">
        <v>3</v>
      </c>
      <c r="AL14" s="115">
        <v>14</v>
      </c>
      <c r="AM14" s="254"/>
      <c r="AN14" s="210" t="str">
        <f t="shared" si="3"/>
        <v/>
      </c>
      <c r="AO14" s="263"/>
      <c r="AP14" s="210" t="str">
        <f t="shared" si="4"/>
        <v/>
      </c>
      <c r="AQ14" s="214"/>
      <c r="AR14" s="210"/>
      <c r="AS14" s="262"/>
      <c r="AT14" s="214"/>
      <c r="AU14" s="254"/>
      <c r="AV14" s="254"/>
      <c r="AW14" s="254"/>
      <c r="AX14" s="254"/>
      <c r="AY14" s="254"/>
      <c r="AZ14" s="254"/>
      <c r="BA14" s="254"/>
      <c r="BB14" s="306" t="str">
        <f t="shared" si="1"/>
        <v/>
      </c>
      <c r="BC14" s="254"/>
      <c r="BD14" s="254"/>
      <c r="BE14" s="254"/>
      <c r="BF14" s="254"/>
      <c r="BG14" s="254"/>
      <c r="BH14" s="254"/>
      <c r="BI14" s="254"/>
      <c r="BJ14" s="254"/>
      <c r="BK14" s="254"/>
      <c r="BL14" s="254"/>
      <c r="BM14" s="254"/>
      <c r="BN14" s="254"/>
      <c r="BO14" s="254"/>
      <c r="BP14" s="254"/>
      <c r="BQ14" s="254"/>
      <c r="BR14" s="254"/>
      <c r="BS14" s="254"/>
      <c r="BT14" s="254"/>
      <c r="BU14" s="254"/>
      <c r="BV14" s="254"/>
      <c r="BW14" s="254"/>
      <c r="BX14" s="254"/>
    </row>
    <row r="15" spans="1:76" s="10" customFormat="1" ht="15" customHeight="1" x14ac:dyDescent="0.25">
      <c r="A15" s="34"/>
      <c r="B15" s="35" t="s">
        <v>184</v>
      </c>
      <c r="C15" s="44" t="s">
        <v>249</v>
      </c>
      <c r="D15" s="44" t="s">
        <v>111</v>
      </c>
      <c r="E15" s="44" t="s">
        <v>23</v>
      </c>
      <c r="F15" s="44" t="s">
        <v>24</v>
      </c>
      <c r="G15" s="44" t="s">
        <v>30</v>
      </c>
      <c r="H15" s="44" t="s">
        <v>31</v>
      </c>
      <c r="I15" s="360" t="str">
        <f t="shared" si="5"/>
        <v>S_COL_IRR_WOO_04</v>
      </c>
      <c r="J15" s="44">
        <v>4</v>
      </c>
      <c r="K15" s="386">
        <v>15</v>
      </c>
      <c r="L15" s="214"/>
      <c r="M15" s="214"/>
      <c r="N15" s="214"/>
      <c r="O15" s="214"/>
      <c r="P15" s="352" t="s">
        <v>184</v>
      </c>
      <c r="Q15" s="241" t="s">
        <v>249</v>
      </c>
      <c r="R15" s="241" t="s">
        <v>111</v>
      </c>
      <c r="S15" s="241" t="s">
        <v>23</v>
      </c>
      <c r="T15" s="241" t="s">
        <v>24</v>
      </c>
      <c r="U15" s="241" t="s">
        <v>30</v>
      </c>
      <c r="V15" s="241" t="s">
        <v>31</v>
      </c>
      <c r="W15" s="264" t="s">
        <v>584</v>
      </c>
      <c r="X15" s="296">
        <v>4</v>
      </c>
      <c r="Y15" s="388">
        <v>15</v>
      </c>
      <c r="Z15" s="308">
        <f t="shared" si="2"/>
        <v>4</v>
      </c>
      <c r="AA15" s="254"/>
      <c r="AC15" s="35" t="s">
        <v>184</v>
      </c>
      <c r="AD15" s="36" t="s">
        <v>249</v>
      </c>
      <c r="AE15" s="37" t="s">
        <v>111</v>
      </c>
      <c r="AF15" s="36" t="s">
        <v>23</v>
      </c>
      <c r="AG15" s="38" t="s">
        <v>24</v>
      </c>
      <c r="AH15" s="36" t="s">
        <v>30</v>
      </c>
      <c r="AI15" s="38" t="s">
        <v>31</v>
      </c>
      <c r="AJ15" s="67" t="s">
        <v>584</v>
      </c>
      <c r="AK15" s="115">
        <v>4</v>
      </c>
      <c r="AL15" s="115">
        <v>15</v>
      </c>
      <c r="AM15" s="254"/>
      <c r="AN15" s="210" t="str">
        <f t="shared" si="3"/>
        <v/>
      </c>
      <c r="AO15" s="262"/>
      <c r="AP15" s="210" t="str">
        <f t="shared" si="4"/>
        <v/>
      </c>
      <c r="AQ15" s="214"/>
      <c r="AR15" s="210" t="s">
        <v>503</v>
      </c>
      <c r="AS15" s="262"/>
      <c r="AT15" s="214"/>
      <c r="AU15" s="254"/>
      <c r="AV15" s="254"/>
      <c r="AW15" s="254"/>
      <c r="AX15" s="254"/>
      <c r="AY15" s="254"/>
      <c r="AZ15" s="254"/>
      <c r="BA15" s="254"/>
      <c r="BB15" s="306" t="str">
        <f t="shared" si="1"/>
        <v/>
      </c>
      <c r="BC15" s="254"/>
      <c r="BD15" s="254"/>
      <c r="BE15" s="254"/>
      <c r="BF15" s="254"/>
      <c r="BG15" s="254"/>
      <c r="BH15" s="254"/>
      <c r="BI15" s="254"/>
      <c r="BJ15" s="254"/>
      <c r="BK15" s="254"/>
      <c r="BL15" s="254"/>
      <c r="BM15" s="254"/>
      <c r="BN15" s="254"/>
      <c r="BO15" s="254"/>
      <c r="BP15" s="254"/>
      <c r="BQ15" s="254"/>
      <c r="BR15" s="254"/>
      <c r="BS15" s="254"/>
      <c r="BT15" s="254"/>
      <c r="BU15" s="254"/>
      <c r="BV15" s="254"/>
      <c r="BW15" s="254"/>
      <c r="BX15" s="254"/>
    </row>
    <row r="16" spans="1:76" s="10" customFormat="1" ht="15" customHeight="1" x14ac:dyDescent="0.25">
      <c r="A16" s="34"/>
      <c r="B16" s="35" t="s">
        <v>184</v>
      </c>
      <c r="C16" s="44" t="s">
        <v>249</v>
      </c>
      <c r="D16" s="44" t="s">
        <v>111</v>
      </c>
      <c r="E16" s="44" t="s">
        <v>188</v>
      </c>
      <c r="F16" s="44" t="s">
        <v>189</v>
      </c>
      <c r="G16" s="44" t="s">
        <v>27</v>
      </c>
      <c r="H16" s="44" t="s">
        <v>103</v>
      </c>
      <c r="I16" s="360" t="str">
        <f t="shared" si="5"/>
        <v>S_COL_ISH_CIP_05</v>
      </c>
      <c r="J16" s="44">
        <v>5</v>
      </c>
      <c r="K16" s="386">
        <v>16</v>
      </c>
      <c r="L16" s="214"/>
      <c r="M16" s="214"/>
      <c r="N16" s="214"/>
      <c r="O16" s="214"/>
      <c r="P16" s="352" t="s">
        <v>184</v>
      </c>
      <c r="Q16" s="241" t="s">
        <v>249</v>
      </c>
      <c r="R16" s="241" t="s">
        <v>111</v>
      </c>
      <c r="S16" s="241" t="s">
        <v>188</v>
      </c>
      <c r="T16" s="241" t="s">
        <v>189</v>
      </c>
      <c r="U16" s="241" t="s">
        <v>27</v>
      </c>
      <c r="V16" s="241" t="s">
        <v>103</v>
      </c>
      <c r="W16" s="264" t="s">
        <v>585</v>
      </c>
      <c r="X16" s="296">
        <v>5</v>
      </c>
      <c r="Y16" s="388">
        <v>16</v>
      </c>
      <c r="Z16" s="308">
        <f t="shared" si="2"/>
        <v>5</v>
      </c>
      <c r="AA16" s="254"/>
      <c r="AC16" s="35" t="s">
        <v>184</v>
      </c>
      <c r="AD16" s="36" t="s">
        <v>249</v>
      </c>
      <c r="AE16" s="37" t="s">
        <v>111</v>
      </c>
      <c r="AF16" s="36" t="s">
        <v>188</v>
      </c>
      <c r="AG16" s="38" t="s">
        <v>189</v>
      </c>
      <c r="AH16" s="36" t="s">
        <v>27</v>
      </c>
      <c r="AI16" s="38" t="s">
        <v>103</v>
      </c>
      <c r="AJ16" s="67" t="s">
        <v>585</v>
      </c>
      <c r="AK16" s="115">
        <v>5</v>
      </c>
      <c r="AL16" s="115">
        <v>16</v>
      </c>
      <c r="AM16" s="254"/>
      <c r="AN16" s="210" t="str">
        <f t="shared" si="3"/>
        <v/>
      </c>
      <c r="AO16" s="262"/>
      <c r="AP16" s="210" t="str">
        <f t="shared" si="4"/>
        <v/>
      </c>
      <c r="AQ16" s="214"/>
      <c r="AR16" s="210" t="s">
        <v>503</v>
      </c>
      <c r="AS16" s="262"/>
      <c r="AT16" s="214"/>
      <c r="AU16" s="254"/>
      <c r="AV16" s="254"/>
      <c r="AW16" s="254"/>
      <c r="AX16" s="254"/>
      <c r="AY16" s="254"/>
      <c r="AZ16" s="254"/>
      <c r="BA16" s="254"/>
      <c r="BB16" s="306" t="str">
        <f t="shared" si="1"/>
        <v/>
      </c>
      <c r="BC16" s="254"/>
      <c r="BD16" s="254"/>
      <c r="BE16" s="254"/>
      <c r="BF16" s="254"/>
      <c r="BG16" s="254"/>
      <c r="BH16" s="254"/>
      <c r="BI16" s="254"/>
      <c r="BJ16" s="254"/>
      <c r="BK16" s="254"/>
      <c r="BL16" s="254"/>
      <c r="BM16" s="254"/>
      <c r="BN16" s="254"/>
      <c r="BO16" s="254"/>
      <c r="BP16" s="254"/>
      <c r="BQ16" s="254"/>
      <c r="BR16" s="254"/>
      <c r="BS16" s="254"/>
      <c r="BT16" s="254"/>
      <c r="BU16" s="254"/>
      <c r="BV16" s="254"/>
      <c r="BW16" s="254"/>
      <c r="BX16" s="254"/>
    </row>
    <row r="17" spans="1:76" s="10" customFormat="1" ht="15" customHeight="1" x14ac:dyDescent="0.25">
      <c r="A17" s="34"/>
      <c r="B17" s="35" t="s">
        <v>184</v>
      </c>
      <c r="C17" s="36" t="s">
        <v>249</v>
      </c>
      <c r="D17" s="36" t="s">
        <v>111</v>
      </c>
      <c r="E17" s="36" t="s">
        <v>188</v>
      </c>
      <c r="F17" s="36" t="s">
        <v>189</v>
      </c>
      <c r="G17" s="36" t="s">
        <v>25</v>
      </c>
      <c r="H17" s="36" t="s">
        <v>26</v>
      </c>
      <c r="I17" s="360" t="str">
        <f t="shared" si="5"/>
        <v>S_COL_ISH_PRC_06</v>
      </c>
      <c r="J17" s="36">
        <v>6</v>
      </c>
      <c r="K17" s="385">
        <v>17</v>
      </c>
      <c r="L17" s="214"/>
      <c r="M17" s="214"/>
      <c r="N17" s="214"/>
      <c r="O17" s="214"/>
      <c r="P17" s="352" t="s">
        <v>184</v>
      </c>
      <c r="Q17" s="262" t="s">
        <v>249</v>
      </c>
      <c r="R17" s="262" t="s">
        <v>111</v>
      </c>
      <c r="S17" s="262" t="s">
        <v>188</v>
      </c>
      <c r="T17" s="262" t="s">
        <v>189</v>
      </c>
      <c r="U17" s="262" t="s">
        <v>25</v>
      </c>
      <c r="V17" s="262" t="s">
        <v>26</v>
      </c>
      <c r="W17" s="264" t="s">
        <v>586</v>
      </c>
      <c r="X17" s="320">
        <v>6</v>
      </c>
      <c r="Y17" s="387">
        <v>17</v>
      </c>
      <c r="Z17" s="308">
        <f t="shared" si="2"/>
        <v>6</v>
      </c>
      <c r="AA17" s="254"/>
      <c r="AC17" s="35" t="s">
        <v>184</v>
      </c>
      <c r="AD17" s="36" t="s">
        <v>249</v>
      </c>
      <c r="AE17" s="37" t="s">
        <v>111</v>
      </c>
      <c r="AF17" s="36" t="s">
        <v>188</v>
      </c>
      <c r="AG17" s="38" t="s">
        <v>189</v>
      </c>
      <c r="AH17" s="36" t="s">
        <v>25</v>
      </c>
      <c r="AI17" s="38" t="s">
        <v>26</v>
      </c>
      <c r="AJ17" s="67" t="s">
        <v>586</v>
      </c>
      <c r="AK17" s="115">
        <v>6</v>
      </c>
      <c r="AL17" s="115">
        <v>17</v>
      </c>
      <c r="AM17" s="254"/>
      <c r="AN17" s="210" t="str">
        <f t="shared" si="3"/>
        <v/>
      </c>
      <c r="AO17" s="262"/>
      <c r="AP17" s="210" t="str">
        <f t="shared" si="4"/>
        <v/>
      </c>
      <c r="AQ17" s="214"/>
      <c r="AR17" s="210" t="s">
        <v>503</v>
      </c>
      <c r="AS17" s="262"/>
      <c r="AT17" s="214"/>
      <c r="AU17" s="254"/>
      <c r="AV17" s="254"/>
      <c r="AW17" s="254"/>
      <c r="AX17" s="254"/>
      <c r="AY17" s="254"/>
      <c r="AZ17" s="254"/>
      <c r="BA17" s="254"/>
      <c r="BB17" s="306" t="str">
        <f t="shared" si="1"/>
        <v/>
      </c>
      <c r="BC17" s="254"/>
      <c r="BD17" s="254"/>
      <c r="BE17" s="254"/>
      <c r="BF17" s="254"/>
      <c r="BG17" s="254"/>
      <c r="BH17" s="254"/>
      <c r="BI17" s="254"/>
      <c r="BJ17" s="254"/>
      <c r="BK17" s="254"/>
      <c r="BL17" s="254"/>
      <c r="BM17" s="254"/>
      <c r="BN17" s="254"/>
      <c r="BO17" s="254"/>
      <c r="BP17" s="254"/>
      <c r="BQ17" s="254"/>
      <c r="BR17" s="254"/>
      <c r="BS17" s="254"/>
      <c r="BT17" s="254"/>
      <c r="BU17" s="254"/>
      <c r="BV17" s="254"/>
      <c r="BW17" s="254"/>
      <c r="BX17" s="254"/>
    </row>
    <row r="18" spans="1:76" s="10" customFormat="1" ht="15" customHeight="1" x14ac:dyDescent="0.25">
      <c r="A18" s="34"/>
      <c r="B18" s="35" t="s">
        <v>184</v>
      </c>
      <c r="C18" s="36" t="s">
        <v>249</v>
      </c>
      <c r="D18" s="36" t="s">
        <v>111</v>
      </c>
      <c r="E18" s="36" t="s">
        <v>188</v>
      </c>
      <c r="F18" s="36" t="s">
        <v>189</v>
      </c>
      <c r="G18" s="36" t="s">
        <v>28</v>
      </c>
      <c r="H18" s="36" t="s">
        <v>29</v>
      </c>
      <c r="I18" s="360" t="str">
        <f t="shared" si="5"/>
        <v>S_COL_ISH_STE_07</v>
      </c>
      <c r="J18" s="36">
        <v>7</v>
      </c>
      <c r="K18" s="385">
        <v>18</v>
      </c>
      <c r="L18" s="214"/>
      <c r="M18" s="214"/>
      <c r="N18" s="214"/>
      <c r="O18" s="214"/>
      <c r="P18" s="352" t="s">
        <v>184</v>
      </c>
      <c r="Q18" s="262" t="s">
        <v>249</v>
      </c>
      <c r="R18" s="262" t="s">
        <v>111</v>
      </c>
      <c r="S18" s="262" t="s">
        <v>188</v>
      </c>
      <c r="T18" s="262" t="s">
        <v>189</v>
      </c>
      <c r="U18" s="262" t="s">
        <v>28</v>
      </c>
      <c r="V18" s="262" t="s">
        <v>29</v>
      </c>
      <c r="W18" s="264" t="s">
        <v>587</v>
      </c>
      <c r="X18" s="320">
        <v>7</v>
      </c>
      <c r="Y18" s="387">
        <v>18</v>
      </c>
      <c r="Z18" s="308">
        <f t="shared" si="2"/>
        <v>7</v>
      </c>
      <c r="AA18" s="254"/>
      <c r="AC18" s="35" t="s">
        <v>184</v>
      </c>
      <c r="AD18" s="36" t="s">
        <v>249</v>
      </c>
      <c r="AE18" s="37" t="s">
        <v>111</v>
      </c>
      <c r="AF18" s="36" t="s">
        <v>188</v>
      </c>
      <c r="AG18" s="38" t="s">
        <v>189</v>
      </c>
      <c r="AH18" s="36" t="s">
        <v>28</v>
      </c>
      <c r="AI18" s="38" t="s">
        <v>29</v>
      </c>
      <c r="AJ18" s="67" t="s">
        <v>587</v>
      </c>
      <c r="AK18" s="115">
        <v>7</v>
      </c>
      <c r="AL18" s="115">
        <v>18</v>
      </c>
      <c r="AM18" s="254"/>
      <c r="AN18" s="210" t="str">
        <f t="shared" si="3"/>
        <v/>
      </c>
      <c r="AO18" s="262"/>
      <c r="AP18" s="210" t="str">
        <f t="shared" si="4"/>
        <v/>
      </c>
      <c r="AQ18" s="214"/>
      <c r="AR18" s="210" t="s">
        <v>503</v>
      </c>
      <c r="AS18" s="262"/>
      <c r="AT18" s="214"/>
      <c r="AU18" s="254"/>
      <c r="AV18" s="254"/>
      <c r="AW18" s="254"/>
      <c r="AX18" s="254"/>
      <c r="AY18" s="254"/>
      <c r="AZ18" s="254"/>
      <c r="BA18" s="254"/>
      <c r="BB18" s="306" t="str">
        <f t="shared" si="1"/>
        <v/>
      </c>
      <c r="BC18" s="254"/>
      <c r="BD18" s="254"/>
      <c r="BE18" s="254"/>
      <c r="BF18" s="254"/>
      <c r="BG18" s="254"/>
      <c r="BH18" s="254"/>
      <c r="BI18" s="254"/>
      <c r="BJ18" s="254"/>
      <c r="BK18" s="254"/>
      <c r="BL18" s="254"/>
      <c r="BM18" s="254"/>
      <c r="BN18" s="254"/>
      <c r="BO18" s="254"/>
      <c r="BP18" s="254"/>
      <c r="BQ18" s="254"/>
      <c r="BR18" s="254"/>
      <c r="BS18" s="254"/>
      <c r="BT18" s="254"/>
      <c r="BU18" s="254"/>
      <c r="BV18" s="254"/>
      <c r="BW18" s="254"/>
      <c r="BX18" s="254"/>
    </row>
    <row r="19" spans="1:76" s="10" customFormat="1" ht="15.75" customHeight="1" x14ac:dyDescent="0.25">
      <c r="A19" s="34"/>
      <c r="B19" s="35" t="s">
        <v>184</v>
      </c>
      <c r="C19" s="44" t="s">
        <v>249</v>
      </c>
      <c r="D19" s="44" t="s">
        <v>111</v>
      </c>
      <c r="E19" s="44" t="s">
        <v>19</v>
      </c>
      <c r="F19" s="44" t="s">
        <v>20</v>
      </c>
      <c r="G19" s="44" t="s">
        <v>27</v>
      </c>
      <c r="H19" s="44" t="s">
        <v>103</v>
      </c>
      <c r="I19" s="360" t="str">
        <f t="shared" si="5"/>
        <v>S_COL_REC_CIP_08</v>
      </c>
      <c r="J19" s="44">
        <v>8</v>
      </c>
      <c r="K19" s="386">
        <v>19</v>
      </c>
      <c r="L19" s="214"/>
      <c r="M19" s="214"/>
      <c r="N19" s="214"/>
      <c r="O19" s="214"/>
      <c r="P19" s="352" t="s">
        <v>184</v>
      </c>
      <c r="Q19" s="241" t="s">
        <v>249</v>
      </c>
      <c r="R19" s="241" t="s">
        <v>111</v>
      </c>
      <c r="S19" s="241" t="s">
        <v>19</v>
      </c>
      <c r="T19" s="241" t="s">
        <v>20</v>
      </c>
      <c r="U19" s="241" t="s">
        <v>27</v>
      </c>
      <c r="V19" s="241" t="s">
        <v>103</v>
      </c>
      <c r="W19" s="264" t="s">
        <v>268</v>
      </c>
      <c r="X19" s="296">
        <v>8</v>
      </c>
      <c r="Y19" s="388">
        <v>19</v>
      </c>
      <c r="Z19" s="308">
        <f t="shared" si="2"/>
        <v>8</v>
      </c>
      <c r="AA19" s="254"/>
      <c r="AC19" s="35" t="s">
        <v>184</v>
      </c>
      <c r="AD19" s="36" t="s">
        <v>249</v>
      </c>
      <c r="AE19" s="37" t="s">
        <v>111</v>
      </c>
      <c r="AF19" s="36" t="s">
        <v>19</v>
      </c>
      <c r="AG19" s="38" t="s">
        <v>20</v>
      </c>
      <c r="AH19" s="36" t="s">
        <v>27</v>
      </c>
      <c r="AI19" s="38" t="s">
        <v>103</v>
      </c>
      <c r="AJ19" s="67" t="s">
        <v>268</v>
      </c>
      <c r="AK19" s="115">
        <v>8</v>
      </c>
      <c r="AL19" s="115">
        <v>19</v>
      </c>
      <c r="AM19" s="254"/>
      <c r="AN19" s="210" t="str">
        <f t="shared" si="3"/>
        <v/>
      </c>
      <c r="AO19" s="262"/>
      <c r="AP19" s="210" t="str">
        <f t="shared" si="4"/>
        <v/>
      </c>
      <c r="AQ19" s="214"/>
      <c r="AR19" s="210" t="s">
        <v>503</v>
      </c>
      <c r="AS19" s="262"/>
      <c r="AT19" s="214"/>
      <c r="AU19" s="254"/>
      <c r="AV19" s="254"/>
      <c r="AW19" s="254"/>
      <c r="AX19" s="254"/>
      <c r="AY19" s="254"/>
      <c r="AZ19" s="254"/>
      <c r="BA19" s="254"/>
      <c r="BB19" s="306" t="str">
        <f t="shared" si="1"/>
        <v/>
      </c>
      <c r="BC19" s="254"/>
      <c r="BD19" s="254"/>
      <c r="BE19" s="254"/>
      <c r="BF19" s="254"/>
      <c r="BG19" s="254"/>
      <c r="BH19" s="254"/>
      <c r="BI19" s="254"/>
      <c r="BJ19" s="254"/>
      <c r="BK19" s="254"/>
      <c r="BL19" s="254"/>
      <c r="BM19" s="254"/>
      <c r="BN19" s="254"/>
      <c r="BO19" s="254"/>
      <c r="BP19" s="254"/>
      <c r="BQ19" s="254"/>
      <c r="BR19" s="254"/>
      <c r="BS19" s="254"/>
      <c r="BT19" s="254"/>
      <c r="BU19" s="254"/>
      <c r="BV19" s="254"/>
      <c r="BW19" s="254"/>
      <c r="BX19" s="254"/>
    </row>
    <row r="20" spans="1:76" s="10" customFormat="1" ht="15" customHeight="1" x14ac:dyDescent="0.25">
      <c r="A20" s="34"/>
      <c r="B20" s="35" t="s">
        <v>184</v>
      </c>
      <c r="C20" s="44" t="s">
        <v>249</v>
      </c>
      <c r="D20" s="44" t="s">
        <v>111</v>
      </c>
      <c r="E20" s="44" t="s">
        <v>19</v>
      </c>
      <c r="F20" s="44" t="s">
        <v>20</v>
      </c>
      <c r="G20" s="44" t="s">
        <v>25</v>
      </c>
      <c r="H20" s="44" t="s">
        <v>26</v>
      </c>
      <c r="I20" s="360" t="str">
        <f t="shared" si="5"/>
        <v>S_COL_REC_PRC_09</v>
      </c>
      <c r="J20" s="44">
        <v>9</v>
      </c>
      <c r="K20" s="386">
        <v>20</v>
      </c>
      <c r="L20" s="214"/>
      <c r="M20" s="214"/>
      <c r="N20" s="214"/>
      <c r="O20" s="214"/>
      <c r="P20" s="352" t="s">
        <v>184</v>
      </c>
      <c r="Q20" s="241" t="s">
        <v>249</v>
      </c>
      <c r="R20" s="241" t="s">
        <v>111</v>
      </c>
      <c r="S20" s="241" t="s">
        <v>19</v>
      </c>
      <c r="T20" s="241" t="s">
        <v>20</v>
      </c>
      <c r="U20" s="241" t="s">
        <v>25</v>
      </c>
      <c r="V20" s="241" t="s">
        <v>26</v>
      </c>
      <c r="W20" s="264" t="s">
        <v>269</v>
      </c>
      <c r="X20" s="296">
        <v>9</v>
      </c>
      <c r="Y20" s="388">
        <v>20</v>
      </c>
      <c r="Z20" s="308">
        <f t="shared" si="2"/>
        <v>9</v>
      </c>
      <c r="AA20" s="254"/>
      <c r="AC20" s="35" t="s">
        <v>184</v>
      </c>
      <c r="AD20" s="36" t="s">
        <v>249</v>
      </c>
      <c r="AE20" s="37" t="s">
        <v>111</v>
      </c>
      <c r="AF20" s="36" t="s">
        <v>19</v>
      </c>
      <c r="AG20" s="38" t="s">
        <v>20</v>
      </c>
      <c r="AH20" s="36" t="s">
        <v>25</v>
      </c>
      <c r="AI20" s="38" t="s">
        <v>26</v>
      </c>
      <c r="AJ20" s="67" t="s">
        <v>269</v>
      </c>
      <c r="AK20" s="115">
        <v>9</v>
      </c>
      <c r="AL20" s="115">
        <v>20</v>
      </c>
      <c r="AM20" s="254"/>
      <c r="AN20" s="210" t="str">
        <f t="shared" si="3"/>
        <v/>
      </c>
      <c r="AO20" s="262"/>
      <c r="AP20" s="210" t="str">
        <f t="shared" si="4"/>
        <v/>
      </c>
      <c r="AQ20" s="214"/>
      <c r="AR20" s="210" t="s">
        <v>503</v>
      </c>
      <c r="AS20" s="262"/>
      <c r="AT20" s="214"/>
      <c r="AU20" s="254"/>
      <c r="AV20" s="254"/>
      <c r="AW20" s="254"/>
      <c r="AX20" s="254"/>
      <c r="AY20" s="254"/>
      <c r="AZ20" s="254"/>
      <c r="BA20" s="254"/>
      <c r="BB20" s="306" t="str">
        <f t="shared" si="1"/>
        <v/>
      </c>
      <c r="BC20" s="254"/>
      <c r="BD20" s="254"/>
      <c r="BE20" s="254"/>
      <c r="BF20" s="254"/>
      <c r="BG20" s="254"/>
      <c r="BH20" s="254"/>
      <c r="BI20" s="254"/>
      <c r="BJ20" s="254"/>
      <c r="BK20" s="254"/>
      <c r="BL20" s="254"/>
      <c r="BM20" s="254"/>
      <c r="BN20" s="254"/>
      <c r="BO20" s="254"/>
      <c r="BP20" s="254"/>
      <c r="BQ20" s="254"/>
      <c r="BR20" s="254"/>
      <c r="BS20" s="254"/>
      <c r="BT20" s="254"/>
      <c r="BU20" s="254"/>
      <c r="BV20" s="254"/>
      <c r="BW20" s="254"/>
      <c r="BX20" s="254"/>
    </row>
    <row r="21" spans="1:76" s="10" customFormat="1" ht="15" customHeight="1" x14ac:dyDescent="0.25">
      <c r="A21" s="34"/>
      <c r="B21" s="35" t="s">
        <v>184</v>
      </c>
      <c r="C21" s="44" t="s">
        <v>249</v>
      </c>
      <c r="D21" s="44" t="s">
        <v>111</v>
      </c>
      <c r="E21" s="44" t="s">
        <v>19</v>
      </c>
      <c r="F21" s="44" t="s">
        <v>20</v>
      </c>
      <c r="G21" s="44" t="s">
        <v>28</v>
      </c>
      <c r="H21" s="44" t="s">
        <v>29</v>
      </c>
      <c r="I21" s="360" t="str">
        <f t="shared" si="5"/>
        <v>S_COL_REC_STE_10</v>
      </c>
      <c r="J21" s="44">
        <v>10</v>
      </c>
      <c r="K21" s="386">
        <v>21</v>
      </c>
      <c r="L21" s="214"/>
      <c r="M21" s="214"/>
      <c r="N21" s="214"/>
      <c r="O21" s="214"/>
      <c r="P21" s="352" t="s">
        <v>184</v>
      </c>
      <c r="Q21" s="241" t="s">
        <v>249</v>
      </c>
      <c r="R21" s="241" t="s">
        <v>111</v>
      </c>
      <c r="S21" s="241" t="s">
        <v>19</v>
      </c>
      <c r="T21" s="241" t="s">
        <v>20</v>
      </c>
      <c r="U21" s="241" t="s">
        <v>28</v>
      </c>
      <c r="V21" s="241" t="s">
        <v>29</v>
      </c>
      <c r="W21" s="264" t="s">
        <v>270</v>
      </c>
      <c r="X21" s="296">
        <v>10</v>
      </c>
      <c r="Y21" s="388">
        <v>21</v>
      </c>
      <c r="Z21" s="308">
        <f t="shared" si="2"/>
        <v>10</v>
      </c>
      <c r="AA21" s="254"/>
      <c r="AC21" s="35" t="s">
        <v>184</v>
      </c>
      <c r="AD21" s="36" t="s">
        <v>249</v>
      </c>
      <c r="AE21" s="37" t="s">
        <v>111</v>
      </c>
      <c r="AF21" s="36" t="s">
        <v>19</v>
      </c>
      <c r="AG21" s="38" t="s">
        <v>20</v>
      </c>
      <c r="AH21" s="36" t="s">
        <v>28</v>
      </c>
      <c r="AI21" s="38" t="s">
        <v>29</v>
      </c>
      <c r="AJ21" s="67" t="s">
        <v>270</v>
      </c>
      <c r="AK21" s="115">
        <v>10</v>
      </c>
      <c r="AL21" s="115">
        <v>21</v>
      </c>
      <c r="AM21" s="254"/>
      <c r="AN21" s="210" t="str">
        <f t="shared" si="3"/>
        <v/>
      </c>
      <c r="AO21" s="262"/>
      <c r="AP21" s="210" t="str">
        <f t="shared" si="4"/>
        <v/>
      </c>
      <c r="AQ21" s="214"/>
      <c r="AR21" s="210" t="s">
        <v>503</v>
      </c>
      <c r="AS21" s="262"/>
      <c r="AT21" s="214"/>
      <c r="AU21" s="254"/>
      <c r="AV21" s="254"/>
      <c r="AW21" s="254"/>
      <c r="AX21" s="254"/>
      <c r="AY21" s="254"/>
      <c r="AZ21" s="254"/>
      <c r="BA21" s="254"/>
      <c r="BB21" s="306" t="str">
        <f t="shared" si="1"/>
        <v/>
      </c>
      <c r="BC21" s="254"/>
      <c r="BD21" s="254"/>
      <c r="BE21" s="254"/>
      <c r="BF21" s="254"/>
      <c r="BG21" s="254"/>
      <c r="BH21" s="254"/>
      <c r="BI21" s="254"/>
      <c r="BJ21" s="254"/>
      <c r="BK21" s="254"/>
      <c r="BL21" s="254"/>
      <c r="BM21" s="254"/>
      <c r="BN21" s="254"/>
      <c r="BO21" s="254"/>
      <c r="BP21" s="254"/>
      <c r="BQ21" s="254"/>
      <c r="BR21" s="254"/>
      <c r="BS21" s="254"/>
      <c r="BT21" s="254"/>
      <c r="BU21" s="254"/>
      <c r="BV21" s="254"/>
      <c r="BW21" s="254"/>
      <c r="BX21" s="254"/>
    </row>
    <row r="22" spans="1:76" s="10" customFormat="1" ht="15" customHeight="1" x14ac:dyDescent="0.25">
      <c r="A22" s="34"/>
      <c r="B22" s="35" t="s">
        <v>184</v>
      </c>
      <c r="C22" s="44" t="s">
        <v>249</v>
      </c>
      <c r="D22" s="44" t="s">
        <v>111</v>
      </c>
      <c r="E22" s="44" t="s">
        <v>19</v>
      </c>
      <c r="F22" s="44" t="s">
        <v>20</v>
      </c>
      <c r="G22" s="44" t="s">
        <v>30</v>
      </c>
      <c r="H22" s="44" t="s">
        <v>31</v>
      </c>
      <c r="I22" s="360" t="str">
        <f t="shared" si="5"/>
        <v>S_COL_REC_WOO_11</v>
      </c>
      <c r="J22" s="44">
        <v>11</v>
      </c>
      <c r="K22" s="386">
        <v>22</v>
      </c>
      <c r="L22" s="214"/>
      <c r="M22" s="214"/>
      <c r="N22" s="214"/>
      <c r="O22" s="214"/>
      <c r="P22" s="352" t="s">
        <v>184</v>
      </c>
      <c r="Q22" s="241" t="s">
        <v>249</v>
      </c>
      <c r="R22" s="241" t="s">
        <v>111</v>
      </c>
      <c r="S22" s="241" t="s">
        <v>19</v>
      </c>
      <c r="T22" s="241" t="s">
        <v>20</v>
      </c>
      <c r="U22" s="241" t="s">
        <v>30</v>
      </c>
      <c r="V22" s="241" t="s">
        <v>31</v>
      </c>
      <c r="W22" s="264" t="s">
        <v>271</v>
      </c>
      <c r="X22" s="296">
        <v>11</v>
      </c>
      <c r="Y22" s="388">
        <v>22</v>
      </c>
      <c r="Z22" s="308">
        <f t="shared" si="2"/>
        <v>11</v>
      </c>
      <c r="AA22" s="254"/>
      <c r="AC22" s="35" t="s">
        <v>184</v>
      </c>
      <c r="AD22" s="36" t="s">
        <v>249</v>
      </c>
      <c r="AE22" s="37" t="s">
        <v>111</v>
      </c>
      <c r="AF22" s="36" t="s">
        <v>19</v>
      </c>
      <c r="AG22" s="38" t="s">
        <v>20</v>
      </c>
      <c r="AH22" s="36" t="s">
        <v>30</v>
      </c>
      <c r="AI22" s="38" t="s">
        <v>31</v>
      </c>
      <c r="AJ22" s="67" t="s">
        <v>271</v>
      </c>
      <c r="AK22" s="115">
        <v>11</v>
      </c>
      <c r="AL22" s="115">
        <v>22</v>
      </c>
      <c r="AM22" s="254"/>
      <c r="AN22" s="210" t="str">
        <f t="shared" si="3"/>
        <v/>
      </c>
      <c r="AO22" s="262"/>
      <c r="AP22" s="210" t="str">
        <f t="shared" si="4"/>
        <v/>
      </c>
      <c r="AQ22" s="214"/>
      <c r="AR22" s="210" t="s">
        <v>503</v>
      </c>
      <c r="AS22" s="262"/>
      <c r="AT22" s="214"/>
      <c r="AU22" s="254"/>
      <c r="AV22" s="254"/>
      <c r="AW22" s="254"/>
      <c r="AX22" s="254"/>
      <c r="AY22" s="254"/>
      <c r="AZ22" s="254"/>
      <c r="BA22" s="254"/>
      <c r="BB22" s="306" t="str">
        <f t="shared" si="1"/>
        <v/>
      </c>
      <c r="BC22" s="254"/>
      <c r="BD22" s="254"/>
      <c r="BE22" s="254"/>
      <c r="BF22" s="254"/>
      <c r="BG22" s="254"/>
      <c r="BH22" s="254"/>
      <c r="BI22" s="254"/>
      <c r="BJ22" s="254"/>
      <c r="BK22" s="254"/>
      <c r="BL22" s="254"/>
      <c r="BM22" s="254"/>
      <c r="BN22" s="254"/>
      <c r="BO22" s="254"/>
      <c r="BP22" s="254"/>
      <c r="BQ22" s="254"/>
      <c r="BR22" s="254"/>
      <c r="BS22" s="254"/>
      <c r="BT22" s="254"/>
      <c r="BU22" s="254"/>
      <c r="BV22" s="254"/>
      <c r="BW22" s="254"/>
      <c r="BX22" s="254"/>
    </row>
    <row r="23" spans="1:76" s="10" customFormat="1" ht="15" customHeight="1" x14ac:dyDescent="0.25">
      <c r="A23" s="34"/>
      <c r="B23" s="35" t="s">
        <v>184</v>
      </c>
      <c r="C23" s="44" t="s">
        <v>249</v>
      </c>
      <c r="D23" s="44" t="s">
        <v>111</v>
      </c>
      <c r="E23" s="44" t="s">
        <v>21</v>
      </c>
      <c r="F23" s="44" t="s">
        <v>22</v>
      </c>
      <c r="G23" s="44" t="s">
        <v>27</v>
      </c>
      <c r="H23" s="44" t="s">
        <v>103</v>
      </c>
      <c r="I23" s="360" t="str">
        <f t="shared" si="5"/>
        <v>S_COL_ROU_CIP_12</v>
      </c>
      <c r="J23" s="44">
        <v>12</v>
      </c>
      <c r="K23" s="386">
        <v>23</v>
      </c>
      <c r="L23" s="214"/>
      <c r="M23" s="214"/>
      <c r="N23" s="214"/>
      <c r="O23" s="214"/>
      <c r="P23" s="352" t="s">
        <v>184</v>
      </c>
      <c r="Q23" s="241" t="s">
        <v>249</v>
      </c>
      <c r="R23" s="241" t="s">
        <v>111</v>
      </c>
      <c r="S23" s="241" t="s">
        <v>21</v>
      </c>
      <c r="T23" s="241" t="s">
        <v>22</v>
      </c>
      <c r="U23" s="241" t="s">
        <v>27</v>
      </c>
      <c r="V23" s="241" t="s">
        <v>103</v>
      </c>
      <c r="W23" s="264" t="s">
        <v>272</v>
      </c>
      <c r="X23" s="296">
        <v>12</v>
      </c>
      <c r="Y23" s="388">
        <v>23</v>
      </c>
      <c r="Z23" s="308">
        <f t="shared" si="2"/>
        <v>12</v>
      </c>
      <c r="AA23" s="254"/>
      <c r="AC23" s="35" t="s">
        <v>184</v>
      </c>
      <c r="AD23" s="36" t="s">
        <v>249</v>
      </c>
      <c r="AE23" s="37" t="s">
        <v>111</v>
      </c>
      <c r="AF23" s="36" t="s">
        <v>21</v>
      </c>
      <c r="AG23" s="38" t="s">
        <v>22</v>
      </c>
      <c r="AH23" s="36" t="s">
        <v>27</v>
      </c>
      <c r="AI23" s="38" t="s">
        <v>103</v>
      </c>
      <c r="AJ23" s="67" t="s">
        <v>272</v>
      </c>
      <c r="AK23" s="115">
        <v>12</v>
      </c>
      <c r="AL23" s="115">
        <v>23</v>
      </c>
      <c r="AM23" s="254"/>
      <c r="AN23" s="210" t="str">
        <f t="shared" si="3"/>
        <v/>
      </c>
      <c r="AO23" s="262"/>
      <c r="AP23" s="210" t="str">
        <f t="shared" si="4"/>
        <v/>
      </c>
      <c r="AQ23" s="214"/>
      <c r="AR23" s="210" t="s">
        <v>503</v>
      </c>
      <c r="AS23" s="262"/>
      <c r="AT23" s="214"/>
      <c r="AU23" s="254"/>
      <c r="AV23" s="254"/>
      <c r="AW23" s="254"/>
      <c r="AX23" s="254"/>
      <c r="AY23" s="254"/>
      <c r="AZ23" s="254"/>
      <c r="BA23" s="254"/>
      <c r="BB23" s="306" t="str">
        <f t="shared" si="1"/>
        <v/>
      </c>
      <c r="BC23" s="254"/>
      <c r="BD23" s="254"/>
      <c r="BE23" s="254"/>
      <c r="BF23" s="254"/>
      <c r="BG23" s="254"/>
      <c r="BH23" s="254"/>
      <c r="BI23" s="254"/>
      <c r="BJ23" s="254"/>
      <c r="BK23" s="254"/>
      <c r="BL23" s="254"/>
      <c r="BM23" s="254"/>
      <c r="BN23" s="254"/>
      <c r="BO23" s="254"/>
      <c r="BP23" s="254"/>
      <c r="BQ23" s="254"/>
      <c r="BR23" s="254"/>
      <c r="BS23" s="254"/>
      <c r="BT23" s="254"/>
      <c r="BU23" s="254"/>
      <c r="BV23" s="254"/>
      <c r="BW23" s="254"/>
      <c r="BX23" s="254"/>
    </row>
    <row r="24" spans="1:76" s="10" customFormat="1" ht="15" customHeight="1" x14ac:dyDescent="0.25">
      <c r="A24" s="34"/>
      <c r="B24" s="35" t="s">
        <v>184</v>
      </c>
      <c r="C24" s="44" t="s">
        <v>249</v>
      </c>
      <c r="D24" s="44" t="s">
        <v>111</v>
      </c>
      <c r="E24" s="44" t="s">
        <v>21</v>
      </c>
      <c r="F24" s="44" t="s">
        <v>22</v>
      </c>
      <c r="G24" s="44" t="s">
        <v>25</v>
      </c>
      <c r="H24" s="44" t="s">
        <v>26</v>
      </c>
      <c r="I24" s="360" t="str">
        <f t="shared" si="5"/>
        <v>S_COL_ROU_PRC_13</v>
      </c>
      <c r="J24" s="44">
        <v>13</v>
      </c>
      <c r="K24" s="386">
        <v>24</v>
      </c>
      <c r="L24" s="214"/>
      <c r="M24" s="214"/>
      <c r="N24" s="214"/>
      <c r="O24" s="214"/>
      <c r="P24" s="352" t="s">
        <v>184</v>
      </c>
      <c r="Q24" s="241" t="s">
        <v>249</v>
      </c>
      <c r="R24" s="241" t="s">
        <v>111</v>
      </c>
      <c r="S24" s="241" t="s">
        <v>21</v>
      </c>
      <c r="T24" s="241" t="s">
        <v>22</v>
      </c>
      <c r="U24" s="241" t="s">
        <v>25</v>
      </c>
      <c r="V24" s="241" t="s">
        <v>26</v>
      </c>
      <c r="W24" s="264" t="s">
        <v>273</v>
      </c>
      <c r="X24" s="296">
        <v>13</v>
      </c>
      <c r="Y24" s="388">
        <v>24</v>
      </c>
      <c r="Z24" s="308">
        <f t="shared" si="2"/>
        <v>13</v>
      </c>
      <c r="AA24" s="254"/>
      <c r="AC24" s="35" t="s">
        <v>184</v>
      </c>
      <c r="AD24" s="36" t="s">
        <v>249</v>
      </c>
      <c r="AE24" s="37" t="s">
        <v>111</v>
      </c>
      <c r="AF24" s="36" t="s">
        <v>21</v>
      </c>
      <c r="AG24" s="38" t="s">
        <v>22</v>
      </c>
      <c r="AH24" s="36" t="s">
        <v>25</v>
      </c>
      <c r="AI24" s="38" t="s">
        <v>26</v>
      </c>
      <c r="AJ24" s="67" t="s">
        <v>273</v>
      </c>
      <c r="AK24" s="115">
        <v>13</v>
      </c>
      <c r="AL24" s="115">
        <v>24</v>
      </c>
      <c r="AM24" s="254"/>
      <c r="AN24" s="210" t="str">
        <f t="shared" si="3"/>
        <v/>
      </c>
      <c r="AO24" s="262"/>
      <c r="AP24" s="210" t="str">
        <f t="shared" si="4"/>
        <v/>
      </c>
      <c r="AQ24" s="214"/>
      <c r="AR24" s="210" t="s">
        <v>503</v>
      </c>
      <c r="AS24" s="262"/>
      <c r="AT24" s="214"/>
      <c r="AU24" s="254"/>
      <c r="AV24" s="254"/>
      <c r="AW24" s="254"/>
      <c r="AX24" s="254"/>
      <c r="AY24" s="254"/>
      <c r="AZ24" s="254"/>
      <c r="BA24" s="254"/>
      <c r="BB24" s="306" t="str">
        <f t="shared" si="1"/>
        <v/>
      </c>
      <c r="BC24" s="254"/>
      <c r="BD24" s="254"/>
      <c r="BE24" s="254"/>
      <c r="BF24" s="254"/>
      <c r="BG24" s="254"/>
      <c r="BH24" s="254"/>
      <c r="BI24" s="254"/>
      <c r="BJ24" s="254"/>
      <c r="BK24" s="254"/>
      <c r="BL24" s="254"/>
      <c r="BM24" s="254"/>
      <c r="BN24" s="254"/>
      <c r="BO24" s="254"/>
      <c r="BP24" s="254"/>
      <c r="BQ24" s="254"/>
      <c r="BR24" s="254"/>
      <c r="BS24" s="254"/>
      <c r="BT24" s="254"/>
      <c r="BU24" s="254"/>
      <c r="BV24" s="254"/>
      <c r="BW24" s="254"/>
      <c r="BX24" s="254"/>
    </row>
    <row r="25" spans="1:76" s="10" customFormat="1" ht="15" customHeight="1" x14ac:dyDescent="0.25">
      <c r="A25" s="34"/>
      <c r="B25" s="35" t="s">
        <v>184</v>
      </c>
      <c r="C25" s="44" t="s">
        <v>249</v>
      </c>
      <c r="D25" s="44" t="s">
        <v>111</v>
      </c>
      <c r="E25" s="44" t="s">
        <v>192</v>
      </c>
      <c r="F25" s="44" t="s">
        <v>22</v>
      </c>
      <c r="G25" s="44" t="s">
        <v>28</v>
      </c>
      <c r="H25" s="44" t="s">
        <v>29</v>
      </c>
      <c r="I25" s="360" t="str">
        <f t="shared" si="5"/>
        <v>S_COL_ROU_STE_14</v>
      </c>
      <c r="J25" s="44">
        <v>14</v>
      </c>
      <c r="K25" s="386">
        <v>25</v>
      </c>
      <c r="L25" s="214"/>
      <c r="M25" s="214"/>
      <c r="N25" s="214"/>
      <c r="O25" s="214"/>
      <c r="P25" s="352" t="s">
        <v>184</v>
      </c>
      <c r="Q25" s="241" t="s">
        <v>249</v>
      </c>
      <c r="R25" s="241" t="s">
        <v>111</v>
      </c>
      <c r="S25" s="241" t="s">
        <v>192</v>
      </c>
      <c r="T25" s="241" t="s">
        <v>22</v>
      </c>
      <c r="U25" s="241" t="s">
        <v>28</v>
      </c>
      <c r="V25" s="241" t="s">
        <v>29</v>
      </c>
      <c r="W25" s="264" t="s">
        <v>588</v>
      </c>
      <c r="X25" s="296">
        <v>14</v>
      </c>
      <c r="Y25" s="388">
        <v>25</v>
      </c>
      <c r="Z25" s="308">
        <f t="shared" si="2"/>
        <v>14</v>
      </c>
      <c r="AA25" s="254"/>
      <c r="AC25" s="35" t="s">
        <v>184</v>
      </c>
      <c r="AD25" s="36" t="s">
        <v>249</v>
      </c>
      <c r="AE25" s="37" t="s">
        <v>111</v>
      </c>
      <c r="AF25" s="36" t="s">
        <v>192</v>
      </c>
      <c r="AG25" s="38" t="s">
        <v>22</v>
      </c>
      <c r="AH25" s="36" t="s">
        <v>28</v>
      </c>
      <c r="AI25" s="38" t="s">
        <v>29</v>
      </c>
      <c r="AJ25" s="67" t="s">
        <v>588</v>
      </c>
      <c r="AK25" s="115">
        <v>14</v>
      </c>
      <c r="AL25" s="115">
        <v>25</v>
      </c>
      <c r="AM25" s="254"/>
      <c r="AN25" s="210" t="str">
        <f t="shared" si="3"/>
        <v/>
      </c>
      <c r="AO25" s="262"/>
      <c r="AP25" s="210" t="str">
        <f t="shared" si="4"/>
        <v/>
      </c>
      <c r="AQ25" s="214"/>
      <c r="AR25" s="210" t="s">
        <v>503</v>
      </c>
      <c r="AS25" s="262"/>
      <c r="AT25" s="214"/>
      <c r="AU25" s="254"/>
      <c r="AV25" s="254"/>
      <c r="AW25" s="254"/>
      <c r="AX25" s="254"/>
      <c r="AY25" s="254"/>
      <c r="AZ25" s="254"/>
      <c r="BA25" s="254"/>
      <c r="BB25" s="306" t="str">
        <f t="shared" si="1"/>
        <v/>
      </c>
      <c r="BC25" s="254"/>
      <c r="BD25" s="254"/>
      <c r="BE25" s="254"/>
      <c r="BF25" s="254"/>
      <c r="BG25" s="254"/>
      <c r="BH25" s="254"/>
      <c r="BI25" s="254"/>
      <c r="BJ25" s="254"/>
      <c r="BK25" s="254"/>
      <c r="BL25" s="254"/>
      <c r="BM25" s="254"/>
      <c r="BN25" s="254"/>
      <c r="BO25" s="254"/>
      <c r="BP25" s="254"/>
      <c r="BQ25" s="254"/>
      <c r="BR25" s="254"/>
      <c r="BS25" s="254"/>
      <c r="BT25" s="254"/>
      <c r="BU25" s="254"/>
      <c r="BV25" s="254"/>
      <c r="BW25" s="254"/>
      <c r="BX25" s="254"/>
    </row>
    <row r="26" spans="1:76" s="10" customFormat="1" ht="15" customHeight="1" x14ac:dyDescent="0.25">
      <c r="A26" s="34"/>
      <c r="B26" s="35" t="s">
        <v>184</v>
      </c>
      <c r="C26" s="44" t="s">
        <v>249</v>
      </c>
      <c r="D26" s="44" t="s">
        <v>111</v>
      </c>
      <c r="E26" s="44" t="s">
        <v>21</v>
      </c>
      <c r="F26" s="44" t="s">
        <v>22</v>
      </c>
      <c r="G26" s="44" t="s">
        <v>30</v>
      </c>
      <c r="H26" s="44" t="s">
        <v>31</v>
      </c>
      <c r="I26" s="360" t="str">
        <f t="shared" si="5"/>
        <v>S_COL_ROU_WOO_15</v>
      </c>
      <c r="J26" s="44">
        <v>15</v>
      </c>
      <c r="K26" s="386">
        <v>26</v>
      </c>
      <c r="L26" s="214"/>
      <c r="M26" s="214"/>
      <c r="N26" s="214"/>
      <c r="O26" s="214"/>
      <c r="P26" s="352" t="s">
        <v>184</v>
      </c>
      <c r="Q26" s="241" t="s">
        <v>249</v>
      </c>
      <c r="R26" s="241" t="s">
        <v>111</v>
      </c>
      <c r="S26" s="241" t="s">
        <v>21</v>
      </c>
      <c r="T26" s="241" t="s">
        <v>22</v>
      </c>
      <c r="U26" s="241" t="s">
        <v>30</v>
      </c>
      <c r="V26" s="241" t="s">
        <v>31</v>
      </c>
      <c r="W26" s="264" t="s">
        <v>589</v>
      </c>
      <c r="X26" s="296">
        <v>15</v>
      </c>
      <c r="Y26" s="388">
        <v>26</v>
      </c>
      <c r="Z26" s="308">
        <f t="shared" si="2"/>
        <v>15</v>
      </c>
      <c r="AA26" s="254"/>
      <c r="AC26" s="35" t="s">
        <v>184</v>
      </c>
      <c r="AD26" s="36" t="s">
        <v>249</v>
      </c>
      <c r="AE26" s="37" t="s">
        <v>111</v>
      </c>
      <c r="AF26" s="36" t="s">
        <v>21</v>
      </c>
      <c r="AG26" s="38" t="s">
        <v>22</v>
      </c>
      <c r="AH26" s="36" t="s">
        <v>30</v>
      </c>
      <c r="AI26" s="38" t="s">
        <v>31</v>
      </c>
      <c r="AJ26" s="67" t="s">
        <v>589</v>
      </c>
      <c r="AK26" s="115">
        <v>15</v>
      </c>
      <c r="AL26" s="115">
        <v>26</v>
      </c>
      <c r="AM26" s="254"/>
      <c r="AN26" s="210" t="str">
        <f t="shared" si="3"/>
        <v/>
      </c>
      <c r="AO26" s="262"/>
      <c r="AP26" s="210" t="str">
        <f t="shared" si="4"/>
        <v/>
      </c>
      <c r="AQ26" s="214"/>
      <c r="AR26" s="210" t="s">
        <v>503</v>
      </c>
      <c r="AS26" s="262"/>
      <c r="AT26" s="214"/>
      <c r="AU26" s="254"/>
      <c r="AV26" s="254"/>
      <c r="AW26" s="254"/>
      <c r="AX26" s="254"/>
      <c r="AY26" s="254"/>
      <c r="AZ26" s="254"/>
      <c r="BA26" s="254"/>
      <c r="BB26" s="306" t="str">
        <f t="shared" si="1"/>
        <v/>
      </c>
      <c r="BC26" s="254"/>
      <c r="BD26" s="254"/>
      <c r="BE26" s="254"/>
      <c r="BF26" s="254"/>
      <c r="BG26" s="254"/>
      <c r="BH26" s="254"/>
      <c r="BI26" s="254"/>
      <c r="BJ26" s="254"/>
      <c r="BK26" s="254"/>
      <c r="BL26" s="254"/>
      <c r="BM26" s="254"/>
      <c r="BN26" s="254"/>
      <c r="BO26" s="254"/>
      <c r="BP26" s="254"/>
      <c r="BQ26" s="254"/>
      <c r="BR26" s="254"/>
      <c r="BS26" s="254"/>
      <c r="BT26" s="254"/>
      <c r="BU26" s="254"/>
      <c r="BV26" s="254"/>
      <c r="BW26" s="254"/>
      <c r="BX26" s="254"/>
    </row>
    <row r="27" spans="1:76" s="10" customFormat="1" ht="15.75" customHeight="1" x14ac:dyDescent="0.25">
      <c r="A27" s="34"/>
      <c r="B27" s="35" t="s">
        <v>184</v>
      </c>
      <c r="C27" s="44" t="s">
        <v>249</v>
      </c>
      <c r="D27" s="44" t="s">
        <v>111</v>
      </c>
      <c r="E27" s="44" t="s">
        <v>187</v>
      </c>
      <c r="F27" s="44" t="s">
        <v>36</v>
      </c>
      <c r="G27" s="44" t="s">
        <v>28</v>
      </c>
      <c r="H27" s="44" t="s">
        <v>29</v>
      </c>
      <c r="I27" s="360" t="str">
        <f t="shared" si="5"/>
        <v>S_COL_SQU_STE_16</v>
      </c>
      <c r="J27" s="44">
        <v>16</v>
      </c>
      <c r="K27" s="386">
        <v>27</v>
      </c>
      <c r="L27" s="214"/>
      <c r="M27" s="214"/>
      <c r="N27" s="214"/>
      <c r="O27" s="214"/>
      <c r="P27" s="352" t="s">
        <v>184</v>
      </c>
      <c r="Q27" s="241" t="s">
        <v>249</v>
      </c>
      <c r="R27" s="241" t="s">
        <v>111</v>
      </c>
      <c r="S27" s="241" t="s">
        <v>187</v>
      </c>
      <c r="T27" s="241" t="s">
        <v>36</v>
      </c>
      <c r="U27" s="241" t="s">
        <v>28</v>
      </c>
      <c r="V27" s="241" t="s">
        <v>29</v>
      </c>
      <c r="W27" s="264" t="s">
        <v>274</v>
      </c>
      <c r="X27" s="296">
        <v>16</v>
      </c>
      <c r="Y27" s="388">
        <v>27</v>
      </c>
      <c r="Z27" s="308">
        <f t="shared" si="2"/>
        <v>16</v>
      </c>
      <c r="AA27" s="254"/>
      <c r="AC27" s="35" t="s">
        <v>184</v>
      </c>
      <c r="AD27" s="36" t="s">
        <v>249</v>
      </c>
      <c r="AE27" s="37" t="s">
        <v>111</v>
      </c>
      <c r="AF27" s="36" t="s">
        <v>187</v>
      </c>
      <c r="AG27" s="38" t="s">
        <v>36</v>
      </c>
      <c r="AH27" s="36" t="s">
        <v>28</v>
      </c>
      <c r="AI27" s="38" t="s">
        <v>29</v>
      </c>
      <c r="AJ27" s="67" t="s">
        <v>274</v>
      </c>
      <c r="AK27" s="115">
        <v>16</v>
      </c>
      <c r="AL27" s="115">
        <v>27</v>
      </c>
      <c r="AM27" s="254"/>
      <c r="AN27" s="210" t="str">
        <f t="shared" si="3"/>
        <v/>
      </c>
      <c r="AO27" s="262"/>
      <c r="AP27" s="210" t="str">
        <f t="shared" si="4"/>
        <v/>
      </c>
      <c r="AQ27" s="214"/>
      <c r="AR27" s="210" t="s">
        <v>503</v>
      </c>
      <c r="AS27" s="262"/>
      <c r="AT27" s="214"/>
      <c r="AU27" s="254"/>
      <c r="AV27" s="254"/>
      <c r="AW27" s="254"/>
      <c r="AX27" s="254"/>
      <c r="AY27" s="254"/>
      <c r="AZ27" s="254"/>
      <c r="BA27" s="254"/>
      <c r="BB27" s="306" t="str">
        <f t="shared" si="1"/>
        <v/>
      </c>
      <c r="BC27" s="254"/>
      <c r="BD27" s="254"/>
      <c r="BE27" s="254"/>
      <c r="BF27" s="254"/>
      <c r="BG27" s="254"/>
      <c r="BH27" s="254"/>
      <c r="BI27" s="254"/>
      <c r="BJ27" s="254"/>
      <c r="BK27" s="254"/>
      <c r="BL27" s="254"/>
      <c r="BM27" s="254"/>
      <c r="BN27" s="254"/>
      <c r="BO27" s="254"/>
      <c r="BP27" s="254"/>
      <c r="BQ27" s="254"/>
      <c r="BR27" s="254"/>
      <c r="BS27" s="254"/>
      <c r="BT27" s="254"/>
      <c r="BU27" s="254"/>
      <c r="BV27" s="254"/>
      <c r="BW27" s="254"/>
      <c r="BX27" s="254"/>
    </row>
    <row r="28" spans="1:76" s="10" customFormat="1" ht="15" customHeight="1" x14ac:dyDescent="0.25">
      <c r="A28" s="34"/>
      <c r="B28" s="35" t="s">
        <v>184</v>
      </c>
      <c r="C28" s="44" t="s">
        <v>249</v>
      </c>
      <c r="D28" s="44" t="s">
        <v>111</v>
      </c>
      <c r="E28" s="44" t="s">
        <v>190</v>
      </c>
      <c r="F28" s="44" t="s">
        <v>191</v>
      </c>
      <c r="G28" s="44" t="s">
        <v>27</v>
      </c>
      <c r="H28" s="44" t="s">
        <v>103</v>
      </c>
      <c r="I28" s="360" t="str">
        <f t="shared" si="5"/>
        <v>S_COL_TSH_CIP_17</v>
      </c>
      <c r="J28" s="44">
        <v>17</v>
      </c>
      <c r="K28" s="386">
        <v>28</v>
      </c>
      <c r="L28" s="214"/>
      <c r="M28" s="214"/>
      <c r="N28" s="214"/>
      <c r="O28" s="214"/>
      <c r="P28" s="352" t="s">
        <v>184</v>
      </c>
      <c r="Q28" s="241" t="s">
        <v>249</v>
      </c>
      <c r="R28" s="241" t="s">
        <v>111</v>
      </c>
      <c r="S28" s="241" t="s">
        <v>190</v>
      </c>
      <c r="T28" s="241" t="s">
        <v>191</v>
      </c>
      <c r="U28" s="241" t="s">
        <v>27</v>
      </c>
      <c r="V28" s="241" t="s">
        <v>103</v>
      </c>
      <c r="W28" s="264" t="s">
        <v>275</v>
      </c>
      <c r="X28" s="296">
        <v>17</v>
      </c>
      <c r="Y28" s="388">
        <v>28</v>
      </c>
      <c r="Z28" s="308">
        <f t="shared" si="2"/>
        <v>17</v>
      </c>
      <c r="AA28" s="254"/>
      <c r="AC28" s="35" t="s">
        <v>184</v>
      </c>
      <c r="AD28" s="36" t="s">
        <v>249</v>
      </c>
      <c r="AE28" s="37" t="s">
        <v>111</v>
      </c>
      <c r="AF28" s="36" t="s">
        <v>190</v>
      </c>
      <c r="AG28" s="38" t="s">
        <v>191</v>
      </c>
      <c r="AH28" s="36" t="s">
        <v>27</v>
      </c>
      <c r="AI28" s="38" t="s">
        <v>103</v>
      </c>
      <c r="AJ28" s="67" t="s">
        <v>275</v>
      </c>
      <c r="AK28" s="115">
        <v>17</v>
      </c>
      <c r="AL28" s="115">
        <v>28</v>
      </c>
      <c r="AM28" s="254"/>
      <c r="AN28" s="210" t="str">
        <f t="shared" si="3"/>
        <v/>
      </c>
      <c r="AO28" s="262"/>
      <c r="AP28" s="210" t="str">
        <f t="shared" si="4"/>
        <v/>
      </c>
      <c r="AQ28" s="214"/>
      <c r="AR28" s="210" t="s">
        <v>503</v>
      </c>
      <c r="AS28" s="262"/>
      <c r="AT28" s="214"/>
      <c r="AU28" s="254"/>
      <c r="AV28" s="254"/>
      <c r="AW28" s="254"/>
      <c r="AX28" s="254"/>
      <c r="AY28" s="254"/>
      <c r="AZ28" s="254"/>
      <c r="BA28" s="254"/>
      <c r="BB28" s="306" t="str">
        <f t="shared" si="1"/>
        <v/>
      </c>
      <c r="BC28" s="254"/>
      <c r="BD28" s="254"/>
      <c r="BE28" s="254"/>
      <c r="BF28" s="254"/>
      <c r="BG28" s="254"/>
      <c r="BH28" s="254"/>
      <c r="BI28" s="254"/>
      <c r="BJ28" s="254"/>
      <c r="BK28" s="254"/>
      <c r="BL28" s="254"/>
      <c r="BM28" s="254"/>
      <c r="BN28" s="254"/>
      <c r="BO28" s="254"/>
      <c r="BP28" s="254"/>
      <c r="BQ28" s="254"/>
      <c r="BR28" s="254"/>
      <c r="BS28" s="254"/>
      <c r="BT28" s="254"/>
      <c r="BU28" s="254"/>
      <c r="BV28" s="254"/>
      <c r="BW28" s="254"/>
      <c r="BX28" s="254"/>
    </row>
    <row r="29" spans="1:76" s="10" customFormat="1" ht="15.75" customHeight="1" x14ac:dyDescent="0.25">
      <c r="A29" s="34"/>
      <c r="B29" s="35" t="s">
        <v>184</v>
      </c>
      <c r="C29" s="44" t="s">
        <v>249</v>
      </c>
      <c r="D29" s="44" t="s">
        <v>111</v>
      </c>
      <c r="E29" s="44" t="s">
        <v>190</v>
      </c>
      <c r="F29" s="44" t="s">
        <v>191</v>
      </c>
      <c r="G29" s="44" t="s">
        <v>25</v>
      </c>
      <c r="H29" s="44" t="s">
        <v>26</v>
      </c>
      <c r="I29" s="360" t="str">
        <f t="shared" si="5"/>
        <v>S_COL_TSH_PRC_18</v>
      </c>
      <c r="J29" s="44">
        <v>18</v>
      </c>
      <c r="K29" s="386">
        <v>29</v>
      </c>
      <c r="L29" s="214"/>
      <c r="M29" s="214"/>
      <c r="N29" s="214"/>
      <c r="O29" s="214"/>
      <c r="P29" s="352" t="s">
        <v>184</v>
      </c>
      <c r="Q29" s="241" t="s">
        <v>249</v>
      </c>
      <c r="R29" s="241" t="s">
        <v>111</v>
      </c>
      <c r="S29" s="241" t="s">
        <v>190</v>
      </c>
      <c r="T29" s="241" t="s">
        <v>191</v>
      </c>
      <c r="U29" s="241" t="s">
        <v>25</v>
      </c>
      <c r="V29" s="241" t="s">
        <v>26</v>
      </c>
      <c r="W29" s="264" t="s">
        <v>276</v>
      </c>
      <c r="X29" s="296">
        <v>18</v>
      </c>
      <c r="Y29" s="388">
        <v>29</v>
      </c>
      <c r="Z29" s="308">
        <f t="shared" si="2"/>
        <v>18</v>
      </c>
      <c r="AA29" s="254"/>
      <c r="AC29" s="35" t="s">
        <v>184</v>
      </c>
      <c r="AD29" s="36" t="s">
        <v>249</v>
      </c>
      <c r="AE29" s="37" t="s">
        <v>111</v>
      </c>
      <c r="AF29" s="36" t="s">
        <v>190</v>
      </c>
      <c r="AG29" s="38" t="s">
        <v>191</v>
      </c>
      <c r="AH29" s="36" t="s">
        <v>25</v>
      </c>
      <c r="AI29" s="38" t="s">
        <v>26</v>
      </c>
      <c r="AJ29" s="67" t="s">
        <v>276</v>
      </c>
      <c r="AK29" s="115">
        <v>18</v>
      </c>
      <c r="AL29" s="115">
        <v>29</v>
      </c>
      <c r="AM29" s="254"/>
      <c r="AN29" s="210" t="str">
        <f t="shared" si="3"/>
        <v/>
      </c>
      <c r="AO29" s="262"/>
      <c r="AP29" s="210" t="str">
        <f t="shared" si="4"/>
        <v/>
      </c>
      <c r="AQ29" s="214"/>
      <c r="AR29" s="210" t="s">
        <v>503</v>
      </c>
      <c r="AS29" s="262"/>
      <c r="AT29" s="214"/>
      <c r="AU29" s="254"/>
      <c r="AV29" s="254"/>
      <c r="AW29" s="254"/>
      <c r="AX29" s="254"/>
      <c r="AY29" s="254"/>
      <c r="AZ29" s="254"/>
      <c r="BA29" s="254"/>
      <c r="BB29" s="306" t="str">
        <f t="shared" si="1"/>
        <v/>
      </c>
      <c r="BC29" s="254"/>
      <c r="BD29" s="254"/>
      <c r="BE29" s="254"/>
      <c r="BF29" s="254"/>
      <c r="BG29" s="254"/>
      <c r="BH29" s="254"/>
      <c r="BI29" s="254"/>
      <c r="BJ29" s="254"/>
      <c r="BK29" s="254"/>
      <c r="BL29" s="254"/>
      <c r="BM29" s="254"/>
      <c r="BN29" s="254"/>
      <c r="BO29" s="254"/>
      <c r="BP29" s="254"/>
      <c r="BQ29" s="254"/>
      <c r="BR29" s="254"/>
      <c r="BS29" s="254"/>
      <c r="BT29" s="254"/>
      <c r="BU29" s="254"/>
      <c r="BV29" s="254"/>
      <c r="BW29" s="254"/>
      <c r="BX29" s="254"/>
    </row>
    <row r="30" spans="1:76" s="10" customFormat="1" ht="15.75" customHeight="1" x14ac:dyDescent="0.25">
      <c r="A30" s="34"/>
      <c r="B30" s="35" t="s">
        <v>184</v>
      </c>
      <c r="C30" s="44" t="s">
        <v>249</v>
      </c>
      <c r="D30" s="44" t="s">
        <v>111</v>
      </c>
      <c r="E30" s="44" t="s">
        <v>190</v>
      </c>
      <c r="F30" s="44" t="s">
        <v>191</v>
      </c>
      <c r="G30" s="44" t="s">
        <v>28</v>
      </c>
      <c r="H30" s="44" t="s">
        <v>29</v>
      </c>
      <c r="I30" s="360" t="str">
        <f t="shared" si="5"/>
        <v>S_COL_TSH_STE_19</v>
      </c>
      <c r="J30" s="44">
        <v>19</v>
      </c>
      <c r="K30" s="386">
        <v>30</v>
      </c>
      <c r="L30" s="214"/>
      <c r="M30" s="214"/>
      <c r="N30" s="214"/>
      <c r="O30" s="214"/>
      <c r="P30" s="352" t="s">
        <v>184</v>
      </c>
      <c r="Q30" s="241" t="s">
        <v>249</v>
      </c>
      <c r="R30" s="241" t="s">
        <v>111</v>
      </c>
      <c r="S30" s="241" t="s">
        <v>190</v>
      </c>
      <c r="T30" s="241" t="s">
        <v>191</v>
      </c>
      <c r="U30" s="241" t="s">
        <v>28</v>
      </c>
      <c r="V30" s="241" t="s">
        <v>29</v>
      </c>
      <c r="W30" s="264" t="s">
        <v>277</v>
      </c>
      <c r="X30" s="296">
        <v>19</v>
      </c>
      <c r="Y30" s="388">
        <v>30</v>
      </c>
      <c r="Z30" s="308">
        <f t="shared" si="2"/>
        <v>19</v>
      </c>
      <c r="AA30" s="254"/>
      <c r="AC30" s="35" t="s">
        <v>184</v>
      </c>
      <c r="AD30" s="36" t="s">
        <v>249</v>
      </c>
      <c r="AE30" s="37" t="s">
        <v>111</v>
      </c>
      <c r="AF30" s="36" t="s">
        <v>190</v>
      </c>
      <c r="AG30" s="38" t="s">
        <v>191</v>
      </c>
      <c r="AH30" s="36" t="s">
        <v>28</v>
      </c>
      <c r="AI30" s="38" t="s">
        <v>29</v>
      </c>
      <c r="AJ30" s="67" t="s">
        <v>277</v>
      </c>
      <c r="AK30" s="115">
        <v>19</v>
      </c>
      <c r="AL30" s="115">
        <v>30</v>
      </c>
      <c r="AM30" s="254"/>
      <c r="AN30" s="210" t="str">
        <f t="shared" si="3"/>
        <v/>
      </c>
      <c r="AO30" s="262"/>
      <c r="AP30" s="210" t="str">
        <f t="shared" si="4"/>
        <v/>
      </c>
      <c r="AQ30" s="214"/>
      <c r="AR30" s="210" t="s">
        <v>503</v>
      </c>
      <c r="AS30" s="262"/>
      <c r="AT30" s="214"/>
      <c r="AU30" s="254"/>
      <c r="AV30" s="254"/>
      <c r="AW30" s="254"/>
      <c r="AX30" s="254"/>
      <c r="AY30" s="254"/>
      <c r="AZ30" s="254"/>
      <c r="BA30" s="254"/>
      <c r="BB30" s="306" t="str">
        <f t="shared" si="1"/>
        <v/>
      </c>
      <c r="BC30" s="254"/>
      <c r="BD30" s="254"/>
      <c r="BE30" s="254"/>
      <c r="BF30" s="254"/>
      <c r="BG30" s="254"/>
      <c r="BH30" s="254"/>
      <c r="BI30" s="254"/>
      <c r="BJ30" s="254"/>
      <c r="BK30" s="254"/>
      <c r="BL30" s="254"/>
      <c r="BM30" s="254"/>
      <c r="BN30" s="254"/>
      <c r="BO30" s="254"/>
      <c r="BP30" s="254"/>
      <c r="BQ30" s="254"/>
      <c r="BR30" s="254"/>
      <c r="BS30" s="254"/>
      <c r="BT30" s="254"/>
      <c r="BU30" s="254"/>
      <c r="BV30" s="254"/>
      <c r="BW30" s="254"/>
      <c r="BX30" s="254"/>
    </row>
    <row r="31" spans="1:76" s="10" customFormat="1" ht="15.75" customHeight="1" x14ac:dyDescent="0.25">
      <c r="A31" s="34"/>
      <c r="B31" s="35" t="s">
        <v>184</v>
      </c>
      <c r="C31" s="44" t="s">
        <v>32</v>
      </c>
      <c r="D31" s="44" t="s">
        <v>115</v>
      </c>
      <c r="E31" s="44" t="s">
        <v>199</v>
      </c>
      <c r="F31" s="44" t="s">
        <v>24</v>
      </c>
      <c r="G31" s="44" t="s">
        <v>195</v>
      </c>
      <c r="H31" s="44" t="s">
        <v>196</v>
      </c>
      <c r="I31" s="360" t="str">
        <f t="shared" si="5"/>
        <v>S_FOU_IRR_ISF_01</v>
      </c>
      <c r="J31" s="44" t="s">
        <v>253</v>
      </c>
      <c r="K31" s="386">
        <v>31</v>
      </c>
      <c r="L31" s="214"/>
      <c r="M31" s="214"/>
      <c r="N31" s="214"/>
      <c r="O31" s="214"/>
      <c r="P31" s="352" t="s">
        <v>184</v>
      </c>
      <c r="Q31" s="241" t="s">
        <v>32</v>
      </c>
      <c r="R31" s="241" t="s">
        <v>115</v>
      </c>
      <c r="S31" s="241" t="s">
        <v>199</v>
      </c>
      <c r="T31" s="241" t="s">
        <v>24</v>
      </c>
      <c r="U31" s="241" t="s">
        <v>195</v>
      </c>
      <c r="V31" s="241" t="s">
        <v>196</v>
      </c>
      <c r="W31" s="264" t="s">
        <v>278</v>
      </c>
      <c r="X31" s="296" t="s">
        <v>253</v>
      </c>
      <c r="Y31" s="388">
        <v>31</v>
      </c>
      <c r="Z31" s="308">
        <f t="shared" si="2"/>
        <v>1</v>
      </c>
      <c r="AA31" s="254"/>
      <c r="AC31" s="35" t="s">
        <v>184</v>
      </c>
      <c r="AD31" s="36" t="s">
        <v>32</v>
      </c>
      <c r="AE31" s="37" t="s">
        <v>115</v>
      </c>
      <c r="AF31" s="36" t="s">
        <v>199</v>
      </c>
      <c r="AG31" s="38" t="s">
        <v>24</v>
      </c>
      <c r="AH31" s="36" t="s">
        <v>195</v>
      </c>
      <c r="AI31" s="38" t="s">
        <v>196</v>
      </c>
      <c r="AJ31" s="67" t="s">
        <v>278</v>
      </c>
      <c r="AK31" s="115" t="s">
        <v>253</v>
      </c>
      <c r="AL31" s="115">
        <v>31</v>
      </c>
      <c r="AM31" s="254"/>
      <c r="AN31" s="210" t="str">
        <f t="shared" si="3"/>
        <v/>
      </c>
      <c r="AO31" s="262"/>
      <c r="AP31" s="210" t="str">
        <f t="shared" si="4"/>
        <v/>
      </c>
      <c r="AQ31" s="214"/>
      <c r="AR31" s="210" t="s">
        <v>503</v>
      </c>
      <c r="AS31" s="262"/>
      <c r="AT31" s="214"/>
      <c r="AU31" s="254"/>
      <c r="AV31" s="254"/>
      <c r="AW31" s="254"/>
      <c r="AX31" s="254"/>
      <c r="AY31" s="254"/>
      <c r="AZ31" s="254"/>
      <c r="BA31" s="254"/>
      <c r="BB31" s="306" t="str">
        <f t="shared" si="1"/>
        <v/>
      </c>
      <c r="BC31" s="254"/>
      <c r="BD31" s="254"/>
      <c r="BE31" s="254"/>
      <c r="BF31" s="254"/>
      <c r="BG31" s="254"/>
      <c r="BH31" s="254"/>
      <c r="BI31" s="254"/>
      <c r="BJ31" s="254"/>
      <c r="BK31" s="254"/>
      <c r="BL31" s="254"/>
      <c r="BM31" s="254"/>
      <c r="BN31" s="254"/>
      <c r="BO31" s="254"/>
      <c r="BP31" s="254"/>
      <c r="BQ31" s="254"/>
      <c r="BR31" s="254"/>
      <c r="BS31" s="254"/>
      <c r="BT31" s="254"/>
      <c r="BU31" s="254"/>
      <c r="BV31" s="254"/>
      <c r="BW31" s="254"/>
      <c r="BX31" s="254"/>
    </row>
    <row r="32" spans="1:76" s="10" customFormat="1" ht="15.75" customHeight="1" x14ac:dyDescent="0.25">
      <c r="A32" s="34"/>
      <c r="B32" s="35" t="s">
        <v>184</v>
      </c>
      <c r="C32" s="44" t="s">
        <v>32</v>
      </c>
      <c r="D32" s="44" t="s">
        <v>115</v>
      </c>
      <c r="E32" s="44" t="s">
        <v>117</v>
      </c>
      <c r="F32" s="44" t="s">
        <v>24</v>
      </c>
      <c r="G32" s="44" t="s">
        <v>200</v>
      </c>
      <c r="H32" s="44" t="s">
        <v>201</v>
      </c>
      <c r="I32" s="360" t="str">
        <f t="shared" si="5"/>
        <v>S_FOU_IRR_PCA_02</v>
      </c>
      <c r="J32" s="44" t="s">
        <v>254</v>
      </c>
      <c r="K32" s="386">
        <v>32</v>
      </c>
      <c r="L32" s="214"/>
      <c r="M32" s="214"/>
      <c r="N32" s="214"/>
      <c r="O32" s="214"/>
      <c r="P32" s="352" t="s">
        <v>184</v>
      </c>
      <c r="Q32" s="241" t="s">
        <v>32</v>
      </c>
      <c r="R32" s="241" t="s">
        <v>115</v>
      </c>
      <c r="S32" s="241" t="s">
        <v>117</v>
      </c>
      <c r="T32" s="241" t="s">
        <v>24</v>
      </c>
      <c r="U32" s="241" t="s">
        <v>200</v>
      </c>
      <c r="V32" s="241" t="s">
        <v>201</v>
      </c>
      <c r="W32" s="264" t="s">
        <v>279</v>
      </c>
      <c r="X32" s="296" t="s">
        <v>254</v>
      </c>
      <c r="Y32" s="388">
        <v>32</v>
      </c>
      <c r="Z32" s="308">
        <f t="shared" si="2"/>
        <v>2</v>
      </c>
      <c r="AA32" s="254"/>
      <c r="AC32" s="35" t="s">
        <v>184</v>
      </c>
      <c r="AD32" s="36" t="s">
        <v>32</v>
      </c>
      <c r="AE32" s="37" t="s">
        <v>115</v>
      </c>
      <c r="AF32" s="36" t="s">
        <v>117</v>
      </c>
      <c r="AG32" s="38" t="s">
        <v>24</v>
      </c>
      <c r="AH32" s="36" t="s">
        <v>200</v>
      </c>
      <c r="AI32" s="38" t="s">
        <v>201</v>
      </c>
      <c r="AJ32" s="67" t="s">
        <v>279</v>
      </c>
      <c r="AK32" s="115" t="s">
        <v>254</v>
      </c>
      <c r="AL32" s="115">
        <v>32</v>
      </c>
      <c r="AM32" s="254"/>
      <c r="AN32" s="210" t="str">
        <f t="shared" si="3"/>
        <v/>
      </c>
      <c r="AO32" s="261"/>
      <c r="AP32" s="210" t="str">
        <f t="shared" si="4"/>
        <v/>
      </c>
      <c r="AQ32" s="214"/>
      <c r="AR32" s="210" t="s">
        <v>503</v>
      </c>
      <c r="AS32" s="262"/>
      <c r="AT32" s="214"/>
      <c r="AU32" s="254"/>
      <c r="AV32" s="254"/>
      <c r="AW32" s="254"/>
      <c r="AX32" s="254"/>
      <c r="AY32" s="254"/>
      <c r="AZ32" s="254"/>
      <c r="BA32" s="254"/>
      <c r="BB32" s="306" t="str">
        <f t="shared" si="1"/>
        <v/>
      </c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</row>
    <row r="33" spans="1:76" s="10" customFormat="1" ht="15.75" customHeight="1" x14ac:dyDescent="0.25">
      <c r="A33" s="34"/>
      <c r="B33" s="35" t="s">
        <v>184</v>
      </c>
      <c r="C33" s="44" t="s">
        <v>32</v>
      </c>
      <c r="D33" s="44" t="s">
        <v>115</v>
      </c>
      <c r="E33" s="44" t="s">
        <v>202</v>
      </c>
      <c r="F33" s="44" t="s">
        <v>40</v>
      </c>
      <c r="G33" s="44" t="s">
        <v>205</v>
      </c>
      <c r="H33" s="44" t="s">
        <v>206</v>
      </c>
      <c r="I33" s="360" t="str">
        <f t="shared" si="5"/>
        <v>S_FOU_PIP_BOR_03</v>
      </c>
      <c r="J33" s="44" t="s">
        <v>255</v>
      </c>
      <c r="K33" s="386">
        <v>33</v>
      </c>
      <c r="L33" s="214"/>
      <c r="M33" s="214"/>
      <c r="N33" s="214"/>
      <c r="O33" s="214"/>
      <c r="P33" s="352" t="s">
        <v>184</v>
      </c>
      <c r="Q33" s="241" t="s">
        <v>32</v>
      </c>
      <c r="R33" s="241" t="s">
        <v>115</v>
      </c>
      <c r="S33" s="241" t="s">
        <v>202</v>
      </c>
      <c r="T33" s="241" t="s">
        <v>40</v>
      </c>
      <c r="U33" s="241" t="s">
        <v>205</v>
      </c>
      <c r="V33" s="241" t="s">
        <v>206</v>
      </c>
      <c r="W33" s="264" t="s">
        <v>280</v>
      </c>
      <c r="X33" s="296" t="s">
        <v>255</v>
      </c>
      <c r="Y33" s="388">
        <v>33</v>
      </c>
      <c r="Z33" s="308">
        <f t="shared" si="2"/>
        <v>3</v>
      </c>
      <c r="AA33" s="254"/>
      <c r="AC33" s="35" t="s">
        <v>184</v>
      </c>
      <c r="AD33" s="36" t="s">
        <v>32</v>
      </c>
      <c r="AE33" s="37" t="s">
        <v>115</v>
      </c>
      <c r="AF33" s="36" t="s">
        <v>202</v>
      </c>
      <c r="AG33" s="38" t="s">
        <v>40</v>
      </c>
      <c r="AH33" s="36" t="s">
        <v>205</v>
      </c>
      <c r="AI33" s="38" t="s">
        <v>206</v>
      </c>
      <c r="AJ33" s="67" t="s">
        <v>280</v>
      </c>
      <c r="AK33" s="115" t="s">
        <v>255</v>
      </c>
      <c r="AL33" s="115">
        <v>33</v>
      </c>
      <c r="AM33" s="254"/>
      <c r="AN33" s="210" t="str">
        <f t="shared" si="3"/>
        <v/>
      </c>
      <c r="AO33" s="262"/>
      <c r="AP33" s="210" t="str">
        <f t="shared" si="4"/>
        <v/>
      </c>
      <c r="AQ33" s="214"/>
      <c r="AR33" s="210" t="s">
        <v>503</v>
      </c>
      <c r="AS33" s="262"/>
      <c r="AT33" s="214"/>
      <c r="AU33" s="254"/>
      <c r="AV33" s="254"/>
      <c r="AW33" s="254"/>
      <c r="AX33" s="254"/>
      <c r="AY33" s="254"/>
      <c r="AZ33" s="254"/>
      <c r="BA33" s="254"/>
      <c r="BB33" s="306" t="str">
        <f t="shared" si="1"/>
        <v/>
      </c>
      <c r="BC33" s="254"/>
      <c r="BD33" s="254"/>
      <c r="BE33" s="254"/>
      <c r="BF33" s="254"/>
      <c r="BG33" s="254"/>
      <c r="BH33" s="254"/>
      <c r="BI33" s="254"/>
      <c r="BJ33" s="254"/>
      <c r="BK33" s="254"/>
      <c r="BL33" s="254"/>
      <c r="BM33" s="254"/>
      <c r="BN33" s="254"/>
      <c r="BO33" s="254"/>
      <c r="BP33" s="254"/>
      <c r="BQ33" s="254"/>
      <c r="BR33" s="254"/>
      <c r="BS33" s="254"/>
      <c r="BT33" s="254"/>
      <c r="BU33" s="254"/>
      <c r="BV33" s="254"/>
      <c r="BW33" s="254"/>
      <c r="BX33" s="254"/>
    </row>
    <row r="34" spans="1:76" s="27" customFormat="1" ht="15.75" customHeight="1" x14ac:dyDescent="0.25">
      <c r="A34" s="34"/>
      <c r="B34" s="35" t="s">
        <v>184</v>
      </c>
      <c r="C34" s="44" t="s">
        <v>32</v>
      </c>
      <c r="D34" s="44" t="s">
        <v>115</v>
      </c>
      <c r="E34" s="44" t="s">
        <v>202</v>
      </c>
      <c r="F34" s="44" t="s">
        <v>40</v>
      </c>
      <c r="G34" s="44" t="s">
        <v>203</v>
      </c>
      <c r="H34" s="44" t="s">
        <v>204</v>
      </c>
      <c r="I34" s="360" t="str">
        <f t="shared" si="5"/>
        <v>S_FOU_PIP_DRI_04</v>
      </c>
      <c r="J34" s="44" t="s">
        <v>256</v>
      </c>
      <c r="K34" s="386">
        <v>34</v>
      </c>
      <c r="L34" s="214"/>
      <c r="M34" s="217"/>
      <c r="N34" s="217"/>
      <c r="O34" s="217"/>
      <c r="P34" s="352" t="s">
        <v>184</v>
      </c>
      <c r="Q34" s="241" t="s">
        <v>32</v>
      </c>
      <c r="R34" s="241" t="s">
        <v>115</v>
      </c>
      <c r="S34" s="241" t="s">
        <v>202</v>
      </c>
      <c r="T34" s="241" t="s">
        <v>40</v>
      </c>
      <c r="U34" s="241" t="s">
        <v>203</v>
      </c>
      <c r="V34" s="241" t="s">
        <v>204</v>
      </c>
      <c r="W34" s="264" t="s">
        <v>281</v>
      </c>
      <c r="X34" s="296" t="s">
        <v>256</v>
      </c>
      <c r="Y34" s="388">
        <v>34</v>
      </c>
      <c r="Z34" s="308">
        <f t="shared" si="2"/>
        <v>4</v>
      </c>
      <c r="AA34" s="48"/>
      <c r="AC34" s="40" t="s">
        <v>184</v>
      </c>
      <c r="AD34" s="41" t="s">
        <v>32</v>
      </c>
      <c r="AE34" s="42" t="s">
        <v>115</v>
      </c>
      <c r="AF34" s="41" t="s">
        <v>202</v>
      </c>
      <c r="AG34" s="43" t="s">
        <v>40</v>
      </c>
      <c r="AH34" s="41" t="s">
        <v>203</v>
      </c>
      <c r="AI34" s="43" t="s">
        <v>204</v>
      </c>
      <c r="AJ34" s="68" t="s">
        <v>281</v>
      </c>
      <c r="AK34" s="115" t="s">
        <v>256</v>
      </c>
      <c r="AL34" s="115">
        <v>34</v>
      </c>
      <c r="AM34" s="48"/>
      <c r="AN34" s="210" t="str">
        <f t="shared" si="3"/>
        <v/>
      </c>
      <c r="AO34" s="262"/>
      <c r="AP34" s="210" t="str">
        <f t="shared" si="4"/>
        <v/>
      </c>
      <c r="AQ34" s="214"/>
      <c r="AR34" s="210" t="s">
        <v>503</v>
      </c>
      <c r="AS34" s="262"/>
      <c r="AT34" s="214"/>
      <c r="AU34" s="254"/>
      <c r="AV34" s="48"/>
      <c r="AW34" s="48"/>
      <c r="AX34" s="48"/>
      <c r="AY34" s="48"/>
      <c r="AZ34" s="48"/>
      <c r="BA34" s="48"/>
      <c r="BB34" s="306" t="str">
        <f t="shared" si="1"/>
        <v/>
      </c>
      <c r="BC34" s="48"/>
      <c r="BD34" s="48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8"/>
      <c r="BR34" s="48"/>
      <c r="BS34" s="48"/>
      <c r="BT34" s="48"/>
      <c r="BU34" s="48"/>
      <c r="BV34" s="48"/>
      <c r="BW34" s="48"/>
      <c r="BX34" s="48"/>
    </row>
    <row r="35" spans="1:76" s="10" customFormat="1" ht="15.75" customHeight="1" x14ac:dyDescent="0.25">
      <c r="A35" s="34"/>
      <c r="B35" s="35" t="s">
        <v>184</v>
      </c>
      <c r="C35" s="44" t="s">
        <v>32</v>
      </c>
      <c r="D35" s="44" t="s">
        <v>115</v>
      </c>
      <c r="E35" s="44" t="s">
        <v>202</v>
      </c>
      <c r="F35" s="44" t="s">
        <v>40</v>
      </c>
      <c r="G35" s="44" t="s">
        <v>207</v>
      </c>
      <c r="H35" s="44" t="s">
        <v>208</v>
      </c>
      <c r="I35" s="360" t="str">
        <f t="shared" si="5"/>
        <v>S_FOU_PIP_HOL_05</v>
      </c>
      <c r="J35" s="44" t="s">
        <v>257</v>
      </c>
      <c r="K35" s="386">
        <v>35</v>
      </c>
      <c r="L35" s="217"/>
      <c r="M35" s="214"/>
      <c r="N35" s="214"/>
      <c r="O35" s="214"/>
      <c r="P35" s="352" t="s">
        <v>184</v>
      </c>
      <c r="Q35" s="241" t="s">
        <v>32</v>
      </c>
      <c r="R35" s="241" t="s">
        <v>115</v>
      </c>
      <c r="S35" s="241" t="s">
        <v>202</v>
      </c>
      <c r="T35" s="241" t="s">
        <v>40</v>
      </c>
      <c r="U35" s="241" t="s">
        <v>207</v>
      </c>
      <c r="V35" s="241" t="s">
        <v>208</v>
      </c>
      <c r="W35" s="264" t="s">
        <v>282</v>
      </c>
      <c r="X35" s="296" t="s">
        <v>257</v>
      </c>
      <c r="Y35" s="388">
        <v>35</v>
      </c>
      <c r="Z35" s="308">
        <f t="shared" si="2"/>
        <v>5</v>
      </c>
      <c r="AA35" s="254"/>
      <c r="AC35" s="35" t="s">
        <v>184</v>
      </c>
      <c r="AD35" s="41" t="s">
        <v>32</v>
      </c>
      <c r="AE35" s="42" t="s">
        <v>115</v>
      </c>
      <c r="AF35" s="41" t="s">
        <v>202</v>
      </c>
      <c r="AG35" s="43" t="s">
        <v>40</v>
      </c>
      <c r="AH35" s="36" t="s">
        <v>207</v>
      </c>
      <c r="AI35" s="38" t="s">
        <v>208</v>
      </c>
      <c r="AJ35" s="67" t="s">
        <v>282</v>
      </c>
      <c r="AK35" s="115" t="s">
        <v>257</v>
      </c>
      <c r="AL35" s="115">
        <v>35</v>
      </c>
      <c r="AM35" s="254"/>
      <c r="AN35" s="210" t="str">
        <f t="shared" si="3"/>
        <v/>
      </c>
      <c r="AO35" s="262"/>
      <c r="AP35" s="210" t="str">
        <f t="shared" si="4"/>
        <v/>
      </c>
      <c r="AQ35" s="217"/>
      <c r="AR35" s="210" t="s">
        <v>503</v>
      </c>
      <c r="AS35" s="263"/>
      <c r="AT35" s="217"/>
      <c r="AU35" s="48"/>
      <c r="AV35" s="254"/>
      <c r="AW35" s="254"/>
      <c r="AX35" s="254"/>
      <c r="AY35" s="254"/>
      <c r="AZ35" s="254"/>
      <c r="BA35" s="254"/>
      <c r="BB35" s="306" t="str">
        <f t="shared" si="1"/>
        <v/>
      </c>
      <c r="BC35" s="254"/>
      <c r="BD35" s="254"/>
      <c r="BE35" s="254"/>
      <c r="BF35" s="254"/>
      <c r="BG35" s="254"/>
      <c r="BH35" s="254"/>
      <c r="BI35" s="254"/>
      <c r="BJ35" s="254"/>
      <c r="BK35" s="254"/>
      <c r="BL35" s="254"/>
      <c r="BM35" s="254"/>
      <c r="BN35" s="254"/>
      <c r="BO35" s="254"/>
      <c r="BP35" s="254"/>
      <c r="BQ35" s="254"/>
      <c r="BR35" s="254"/>
      <c r="BS35" s="254"/>
      <c r="BT35" s="254"/>
      <c r="BU35" s="254"/>
      <c r="BV35" s="254"/>
      <c r="BW35" s="254"/>
      <c r="BX35" s="254"/>
    </row>
    <row r="36" spans="1:76" s="10" customFormat="1" ht="15.75" customHeight="1" x14ac:dyDescent="0.25">
      <c r="A36" s="34"/>
      <c r="B36" s="35" t="s">
        <v>184</v>
      </c>
      <c r="C36" s="44" t="s">
        <v>32</v>
      </c>
      <c r="D36" s="44" t="s">
        <v>115</v>
      </c>
      <c r="E36" s="44" t="s">
        <v>202</v>
      </c>
      <c r="F36" s="44" t="s">
        <v>40</v>
      </c>
      <c r="G36" s="44" t="s">
        <v>41</v>
      </c>
      <c r="H36" s="44" t="s">
        <v>41</v>
      </c>
      <c r="I36" s="360" t="str">
        <f t="shared" si="5"/>
        <v>S_FOU_PIP_PHC_06</v>
      </c>
      <c r="J36" s="44" t="s">
        <v>258</v>
      </c>
      <c r="K36" s="386">
        <v>36</v>
      </c>
      <c r="L36" s="214"/>
      <c r="M36" s="214"/>
      <c r="N36" s="214"/>
      <c r="O36" s="214"/>
      <c r="P36" s="352" t="s">
        <v>184</v>
      </c>
      <c r="Q36" s="241" t="s">
        <v>32</v>
      </c>
      <c r="R36" s="241" t="s">
        <v>115</v>
      </c>
      <c r="S36" s="241" t="s">
        <v>202</v>
      </c>
      <c r="T36" s="241" t="s">
        <v>40</v>
      </c>
      <c r="U36" s="241" t="s">
        <v>41</v>
      </c>
      <c r="V36" s="241" t="s">
        <v>41</v>
      </c>
      <c r="W36" s="264" t="s">
        <v>283</v>
      </c>
      <c r="X36" s="296" t="s">
        <v>258</v>
      </c>
      <c r="Y36" s="388">
        <v>36</v>
      </c>
      <c r="Z36" s="308">
        <f t="shared" si="2"/>
        <v>6</v>
      </c>
      <c r="AA36" s="254"/>
      <c r="AC36" s="35" t="s">
        <v>184</v>
      </c>
      <c r="AD36" s="41" t="s">
        <v>32</v>
      </c>
      <c r="AE36" s="42" t="s">
        <v>115</v>
      </c>
      <c r="AF36" s="41" t="s">
        <v>202</v>
      </c>
      <c r="AG36" s="43" t="s">
        <v>40</v>
      </c>
      <c r="AH36" s="36" t="s">
        <v>41</v>
      </c>
      <c r="AI36" s="38" t="s">
        <v>41</v>
      </c>
      <c r="AJ36" s="67" t="s">
        <v>283</v>
      </c>
      <c r="AK36" s="116" t="s">
        <v>258</v>
      </c>
      <c r="AL36" s="115">
        <v>36</v>
      </c>
      <c r="AM36" s="254"/>
      <c r="AN36" s="210" t="str">
        <f t="shared" si="3"/>
        <v/>
      </c>
      <c r="AO36" s="262"/>
      <c r="AP36" s="210" t="str">
        <f t="shared" si="4"/>
        <v/>
      </c>
      <c r="AQ36" s="214"/>
      <c r="AR36" s="210" t="s">
        <v>503</v>
      </c>
      <c r="AS36" s="262"/>
      <c r="AT36" s="214"/>
      <c r="AU36" s="254"/>
      <c r="AV36" s="254"/>
      <c r="AW36" s="254"/>
      <c r="AX36" s="254"/>
      <c r="AY36" s="254"/>
      <c r="AZ36" s="254"/>
      <c r="BA36" s="254"/>
      <c r="BB36" s="306" t="str">
        <f t="shared" si="1"/>
        <v/>
      </c>
      <c r="BC36" s="254"/>
      <c r="BD36" s="254"/>
      <c r="BE36" s="254"/>
      <c r="BF36" s="254"/>
      <c r="BG36" s="254"/>
      <c r="BH36" s="254"/>
      <c r="BI36" s="254"/>
      <c r="BJ36" s="254"/>
      <c r="BK36" s="254"/>
      <c r="BL36" s="254"/>
      <c r="BM36" s="254"/>
      <c r="BN36" s="254"/>
      <c r="BO36" s="254"/>
      <c r="BP36" s="254"/>
      <c r="BQ36" s="254"/>
      <c r="BR36" s="254"/>
      <c r="BS36" s="254"/>
      <c r="BT36" s="254"/>
      <c r="BU36" s="254"/>
      <c r="BV36" s="254"/>
      <c r="BW36" s="254"/>
      <c r="BX36" s="254"/>
    </row>
    <row r="37" spans="1:76" s="10" customFormat="1" ht="15.75" customHeight="1" x14ac:dyDescent="0.25">
      <c r="A37" s="34"/>
      <c r="B37" s="35" t="s">
        <v>184</v>
      </c>
      <c r="C37" s="44" t="s">
        <v>32</v>
      </c>
      <c r="D37" s="44" t="s">
        <v>115</v>
      </c>
      <c r="E37" s="44" t="s">
        <v>202</v>
      </c>
      <c r="F37" s="44" t="s">
        <v>40</v>
      </c>
      <c r="G37" s="44" t="s">
        <v>209</v>
      </c>
      <c r="H37" s="44" t="s">
        <v>20</v>
      </c>
      <c r="I37" s="360" t="str">
        <f t="shared" si="5"/>
        <v>S_FOU_PIP_REC_07</v>
      </c>
      <c r="J37" s="44" t="s">
        <v>259</v>
      </c>
      <c r="K37" s="386">
        <v>37</v>
      </c>
      <c r="L37" s="214"/>
      <c r="M37" s="214"/>
      <c r="N37" s="214"/>
      <c r="O37" s="214"/>
      <c r="P37" s="352" t="s">
        <v>184</v>
      </c>
      <c r="Q37" s="241" t="s">
        <v>32</v>
      </c>
      <c r="R37" s="241" t="s">
        <v>115</v>
      </c>
      <c r="S37" s="241" t="s">
        <v>202</v>
      </c>
      <c r="T37" s="241" t="s">
        <v>40</v>
      </c>
      <c r="U37" s="241" t="s">
        <v>209</v>
      </c>
      <c r="V37" s="241" t="s">
        <v>20</v>
      </c>
      <c r="W37" s="264" t="s">
        <v>284</v>
      </c>
      <c r="X37" s="296" t="s">
        <v>259</v>
      </c>
      <c r="Y37" s="388">
        <v>37</v>
      </c>
      <c r="Z37" s="308">
        <f t="shared" si="2"/>
        <v>7</v>
      </c>
      <c r="AA37" s="254"/>
      <c r="AC37" s="35" t="s">
        <v>184</v>
      </c>
      <c r="AD37" s="41" t="s">
        <v>32</v>
      </c>
      <c r="AE37" s="42" t="s">
        <v>115</v>
      </c>
      <c r="AF37" s="41" t="s">
        <v>202</v>
      </c>
      <c r="AG37" s="43" t="s">
        <v>40</v>
      </c>
      <c r="AH37" s="36" t="s">
        <v>209</v>
      </c>
      <c r="AI37" s="38" t="s">
        <v>20</v>
      </c>
      <c r="AJ37" s="67" t="s">
        <v>284</v>
      </c>
      <c r="AK37" s="115" t="s">
        <v>259</v>
      </c>
      <c r="AL37" s="115">
        <v>37</v>
      </c>
      <c r="AM37" s="254"/>
      <c r="AN37" s="210" t="str">
        <f t="shared" si="3"/>
        <v/>
      </c>
      <c r="AO37" s="262"/>
      <c r="AP37" s="210" t="str">
        <f t="shared" si="4"/>
        <v/>
      </c>
      <c r="AQ37" s="214"/>
      <c r="AR37" s="210" t="s">
        <v>503</v>
      </c>
      <c r="AS37" s="262"/>
      <c r="AT37" s="214"/>
      <c r="AU37" s="254"/>
      <c r="AV37" s="254"/>
      <c r="AW37" s="254"/>
      <c r="AX37" s="254"/>
      <c r="AY37" s="254"/>
      <c r="AZ37" s="254"/>
      <c r="BA37" s="254"/>
      <c r="BB37" s="306" t="str">
        <f t="shared" si="1"/>
        <v/>
      </c>
      <c r="BC37" s="254"/>
      <c r="BD37" s="254"/>
      <c r="BE37" s="254"/>
      <c r="BF37" s="254"/>
      <c r="BG37" s="254"/>
      <c r="BH37" s="254"/>
      <c r="BI37" s="254"/>
      <c r="BJ37" s="254"/>
      <c r="BK37" s="254"/>
      <c r="BL37" s="254"/>
      <c r="BM37" s="254"/>
      <c r="BN37" s="254"/>
      <c r="BO37" s="254"/>
      <c r="BP37" s="254"/>
      <c r="BQ37" s="254"/>
      <c r="BR37" s="254"/>
      <c r="BS37" s="254"/>
      <c r="BT37" s="254"/>
      <c r="BU37" s="254"/>
      <c r="BV37" s="254"/>
      <c r="BW37" s="254"/>
      <c r="BX37" s="254"/>
    </row>
    <row r="38" spans="1:76" s="10" customFormat="1" ht="15.75" customHeight="1" x14ac:dyDescent="0.25">
      <c r="A38" s="34"/>
      <c r="B38" s="35" t="s">
        <v>184</v>
      </c>
      <c r="C38" s="44" t="s">
        <v>32</v>
      </c>
      <c r="D38" s="44" t="s">
        <v>115</v>
      </c>
      <c r="E38" s="44" t="s">
        <v>202</v>
      </c>
      <c r="F38" s="44" t="s">
        <v>40</v>
      </c>
      <c r="G38" s="44" t="s">
        <v>28</v>
      </c>
      <c r="H38" s="44" t="s">
        <v>29</v>
      </c>
      <c r="I38" s="360" t="str">
        <f t="shared" si="5"/>
        <v>S_FOU_PIP_STE_08</v>
      </c>
      <c r="J38" s="44" t="s">
        <v>260</v>
      </c>
      <c r="K38" s="386">
        <v>38</v>
      </c>
      <c r="L38" s="214"/>
      <c r="M38" s="214"/>
      <c r="N38" s="214"/>
      <c r="O38" s="214"/>
      <c r="P38" s="352" t="s">
        <v>184</v>
      </c>
      <c r="Q38" s="241" t="s">
        <v>32</v>
      </c>
      <c r="R38" s="241" t="s">
        <v>115</v>
      </c>
      <c r="S38" s="241" t="s">
        <v>202</v>
      </c>
      <c r="T38" s="241" t="s">
        <v>40</v>
      </c>
      <c r="U38" s="241" t="s">
        <v>28</v>
      </c>
      <c r="V38" s="241" t="s">
        <v>29</v>
      </c>
      <c r="W38" s="264" t="s">
        <v>285</v>
      </c>
      <c r="X38" s="296" t="s">
        <v>260</v>
      </c>
      <c r="Y38" s="388">
        <v>38</v>
      </c>
      <c r="Z38" s="308">
        <f t="shared" si="2"/>
        <v>8</v>
      </c>
      <c r="AA38" s="254"/>
      <c r="AC38" s="35" t="s">
        <v>184</v>
      </c>
      <c r="AD38" s="41" t="s">
        <v>32</v>
      </c>
      <c r="AE38" s="42" t="s">
        <v>115</v>
      </c>
      <c r="AF38" s="41" t="s">
        <v>202</v>
      </c>
      <c r="AG38" s="43" t="s">
        <v>40</v>
      </c>
      <c r="AH38" s="36" t="s">
        <v>28</v>
      </c>
      <c r="AI38" s="38" t="s">
        <v>29</v>
      </c>
      <c r="AJ38" s="67" t="s">
        <v>285</v>
      </c>
      <c r="AK38" s="115" t="s">
        <v>260</v>
      </c>
      <c r="AL38" s="115">
        <v>38</v>
      </c>
      <c r="AM38" s="254"/>
      <c r="AN38" s="210" t="str">
        <f t="shared" si="3"/>
        <v/>
      </c>
      <c r="AO38" s="262"/>
      <c r="AP38" s="210" t="str">
        <f t="shared" si="4"/>
        <v/>
      </c>
      <c r="AQ38" s="214"/>
      <c r="AR38" s="210" t="s">
        <v>503</v>
      </c>
      <c r="AS38" s="262"/>
      <c r="AT38" s="214"/>
      <c r="AU38" s="254"/>
      <c r="AV38" s="254"/>
      <c r="AW38" s="254"/>
      <c r="AX38" s="254"/>
      <c r="AY38" s="254"/>
      <c r="AZ38" s="254"/>
      <c r="BA38" s="254"/>
      <c r="BB38" s="306" t="str">
        <f t="shared" si="1"/>
        <v/>
      </c>
      <c r="BC38" s="254"/>
      <c r="BD38" s="254"/>
      <c r="BE38" s="254"/>
      <c r="BF38" s="254"/>
      <c r="BG38" s="254"/>
      <c r="BH38" s="254"/>
      <c r="BI38" s="254"/>
      <c r="BJ38" s="254"/>
      <c r="BK38" s="254"/>
      <c r="BL38" s="254"/>
      <c r="BM38" s="254"/>
      <c r="BN38" s="254"/>
      <c r="BO38" s="254"/>
      <c r="BP38" s="254"/>
      <c r="BQ38" s="254"/>
      <c r="BR38" s="254"/>
      <c r="BS38" s="254"/>
      <c r="BT38" s="254"/>
      <c r="BU38" s="254"/>
      <c r="BV38" s="254"/>
      <c r="BW38" s="254"/>
      <c r="BX38" s="254"/>
    </row>
    <row r="39" spans="1:76" s="10" customFormat="1" ht="15.75" customHeight="1" x14ac:dyDescent="0.25">
      <c r="A39" s="34"/>
      <c r="B39" s="35" t="s">
        <v>184</v>
      </c>
      <c r="C39" s="44" t="s">
        <v>32</v>
      </c>
      <c r="D39" s="44" t="s">
        <v>115</v>
      </c>
      <c r="E39" s="44" t="s">
        <v>39</v>
      </c>
      <c r="F39" s="44" t="s">
        <v>20</v>
      </c>
      <c r="G39" s="44" t="s">
        <v>195</v>
      </c>
      <c r="H39" s="44" t="s">
        <v>196</v>
      </c>
      <c r="I39" s="360" t="str">
        <f t="shared" si="5"/>
        <v>S_FOU_REC_ISF_09</v>
      </c>
      <c r="J39" s="44" t="s">
        <v>261</v>
      </c>
      <c r="K39" s="386">
        <v>39</v>
      </c>
      <c r="L39" s="214"/>
      <c r="M39" s="214"/>
      <c r="N39" s="214"/>
      <c r="O39" s="214"/>
      <c r="P39" s="352" t="s">
        <v>184</v>
      </c>
      <c r="Q39" s="241" t="s">
        <v>32</v>
      </c>
      <c r="R39" s="241" t="s">
        <v>115</v>
      </c>
      <c r="S39" s="241" t="s">
        <v>39</v>
      </c>
      <c r="T39" s="241" t="s">
        <v>20</v>
      </c>
      <c r="U39" s="241" t="s">
        <v>195</v>
      </c>
      <c r="V39" s="241" t="s">
        <v>196</v>
      </c>
      <c r="W39" s="264" t="s">
        <v>286</v>
      </c>
      <c r="X39" s="296" t="s">
        <v>261</v>
      </c>
      <c r="Y39" s="388">
        <v>39</v>
      </c>
      <c r="Z39" s="308">
        <f t="shared" si="2"/>
        <v>9</v>
      </c>
      <c r="AA39" s="254"/>
      <c r="AC39" s="35" t="s">
        <v>184</v>
      </c>
      <c r="AD39" s="41" t="s">
        <v>32</v>
      </c>
      <c r="AE39" s="42" t="s">
        <v>115</v>
      </c>
      <c r="AF39" s="41" t="s">
        <v>39</v>
      </c>
      <c r="AG39" s="43" t="s">
        <v>20</v>
      </c>
      <c r="AH39" s="36" t="s">
        <v>195</v>
      </c>
      <c r="AI39" s="38" t="s">
        <v>196</v>
      </c>
      <c r="AJ39" s="67" t="s">
        <v>286</v>
      </c>
      <c r="AK39" s="115" t="s">
        <v>261</v>
      </c>
      <c r="AL39" s="115">
        <v>39</v>
      </c>
      <c r="AM39" s="254"/>
      <c r="AN39" s="210" t="str">
        <f t="shared" si="3"/>
        <v/>
      </c>
      <c r="AO39" s="262"/>
      <c r="AP39" s="210" t="str">
        <f t="shared" si="4"/>
        <v/>
      </c>
      <c r="AQ39" s="214"/>
      <c r="AR39" s="210" t="s">
        <v>503</v>
      </c>
      <c r="AS39" s="262"/>
      <c r="AT39" s="214"/>
      <c r="AU39" s="254"/>
      <c r="AV39" s="254"/>
      <c r="AW39" s="254"/>
      <c r="AX39" s="254"/>
      <c r="AY39" s="254"/>
      <c r="AZ39" s="254"/>
      <c r="BA39" s="254"/>
      <c r="BB39" s="306" t="str">
        <f t="shared" si="1"/>
        <v/>
      </c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</row>
    <row r="40" spans="1:76" s="10" customFormat="1" ht="15.75" customHeight="1" x14ac:dyDescent="0.25">
      <c r="A40" s="34"/>
      <c r="B40" s="35" t="s">
        <v>184</v>
      </c>
      <c r="C40" s="44" t="s">
        <v>32</v>
      </c>
      <c r="D40" s="44" t="s">
        <v>115</v>
      </c>
      <c r="E40" s="44" t="s">
        <v>197</v>
      </c>
      <c r="F40" s="44" t="s">
        <v>198</v>
      </c>
      <c r="G40" s="44" t="s">
        <v>195</v>
      </c>
      <c r="H40" s="44" t="s">
        <v>196</v>
      </c>
      <c r="I40" s="360" t="str">
        <f t="shared" si="5"/>
        <v>S_FOU_TGL_ISF_10</v>
      </c>
      <c r="J40" s="44" t="s">
        <v>262</v>
      </c>
      <c r="K40" s="386">
        <v>40</v>
      </c>
      <c r="L40" s="214"/>
      <c r="M40" s="214"/>
      <c r="N40" s="214"/>
      <c r="O40" s="214"/>
      <c r="P40" s="352" t="s">
        <v>184</v>
      </c>
      <c r="Q40" s="241" t="s">
        <v>32</v>
      </c>
      <c r="R40" s="241" t="s">
        <v>115</v>
      </c>
      <c r="S40" s="241" t="s">
        <v>197</v>
      </c>
      <c r="T40" s="241" t="s">
        <v>198</v>
      </c>
      <c r="U40" s="241" t="s">
        <v>195</v>
      </c>
      <c r="V40" s="241" t="s">
        <v>196</v>
      </c>
      <c r="W40" s="264" t="s">
        <v>590</v>
      </c>
      <c r="X40" s="296" t="s">
        <v>262</v>
      </c>
      <c r="Y40" s="388">
        <v>40</v>
      </c>
      <c r="Z40" s="308">
        <f t="shared" si="2"/>
        <v>10</v>
      </c>
      <c r="AA40" s="254"/>
      <c r="AC40" s="35" t="s">
        <v>184</v>
      </c>
      <c r="AD40" s="41" t="s">
        <v>32</v>
      </c>
      <c r="AE40" s="42" t="s">
        <v>115</v>
      </c>
      <c r="AF40" s="41" t="s">
        <v>197</v>
      </c>
      <c r="AG40" s="43" t="s">
        <v>198</v>
      </c>
      <c r="AH40" s="36" t="s">
        <v>195</v>
      </c>
      <c r="AI40" s="38" t="s">
        <v>196</v>
      </c>
      <c r="AJ40" s="67" t="s">
        <v>590</v>
      </c>
      <c r="AK40" s="115" t="s">
        <v>262</v>
      </c>
      <c r="AL40" s="115">
        <v>40</v>
      </c>
      <c r="AM40" s="254"/>
      <c r="AN40" s="210" t="str">
        <f t="shared" si="3"/>
        <v/>
      </c>
      <c r="AO40" s="262"/>
      <c r="AP40" s="210" t="str">
        <f t="shared" si="4"/>
        <v/>
      </c>
      <c r="AQ40" s="214"/>
      <c r="AR40" s="210" t="s">
        <v>503</v>
      </c>
      <c r="AS40" s="262"/>
      <c r="AT40" s="214"/>
      <c r="AU40" s="254"/>
      <c r="AV40" s="254"/>
      <c r="AW40" s="254"/>
      <c r="AX40" s="254"/>
      <c r="AY40" s="254"/>
      <c r="AZ40" s="254"/>
      <c r="BA40" s="254"/>
      <c r="BB40" s="306" t="str">
        <f t="shared" si="1"/>
        <v/>
      </c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</row>
    <row r="41" spans="1:76" s="10" customFormat="1" ht="15.75" customHeight="1" x14ac:dyDescent="0.25">
      <c r="A41" s="34"/>
      <c r="B41" s="35" t="s">
        <v>184</v>
      </c>
      <c r="C41" s="44" t="s">
        <v>32</v>
      </c>
      <c r="D41" s="44" t="s">
        <v>115</v>
      </c>
      <c r="E41" s="44" t="s">
        <v>38</v>
      </c>
      <c r="F41" s="44" t="s">
        <v>198</v>
      </c>
      <c r="G41" s="44" t="s">
        <v>200</v>
      </c>
      <c r="H41" s="44" t="s">
        <v>201</v>
      </c>
      <c r="I41" s="360" t="str">
        <f t="shared" si="5"/>
        <v>S_FOU_TGL_PCA_11</v>
      </c>
      <c r="J41" s="44" t="s">
        <v>263</v>
      </c>
      <c r="K41" s="386">
        <v>41</v>
      </c>
      <c r="L41" s="214"/>
      <c r="M41" s="214"/>
      <c r="N41" s="214"/>
      <c r="O41" s="214"/>
      <c r="P41" s="352" t="s">
        <v>184</v>
      </c>
      <c r="Q41" s="241" t="s">
        <v>32</v>
      </c>
      <c r="R41" s="241" t="s">
        <v>115</v>
      </c>
      <c r="S41" s="241" t="s">
        <v>38</v>
      </c>
      <c r="T41" s="241" t="s">
        <v>198</v>
      </c>
      <c r="U41" s="241" t="s">
        <v>200</v>
      </c>
      <c r="V41" s="241" t="s">
        <v>201</v>
      </c>
      <c r="W41" s="264" t="s">
        <v>591</v>
      </c>
      <c r="X41" s="296" t="s">
        <v>263</v>
      </c>
      <c r="Y41" s="388">
        <v>41</v>
      </c>
      <c r="Z41" s="308">
        <f t="shared" si="2"/>
        <v>11</v>
      </c>
      <c r="AA41" s="254"/>
      <c r="AC41" s="35" t="s">
        <v>184</v>
      </c>
      <c r="AD41" s="41" t="s">
        <v>32</v>
      </c>
      <c r="AE41" s="42" t="s">
        <v>115</v>
      </c>
      <c r="AF41" s="41" t="s">
        <v>38</v>
      </c>
      <c r="AG41" s="43" t="s">
        <v>198</v>
      </c>
      <c r="AH41" s="36" t="s">
        <v>200</v>
      </c>
      <c r="AI41" s="38" t="s">
        <v>201</v>
      </c>
      <c r="AJ41" s="67" t="s">
        <v>591</v>
      </c>
      <c r="AK41" s="115" t="s">
        <v>263</v>
      </c>
      <c r="AL41" s="115">
        <v>41</v>
      </c>
      <c r="AM41" s="254"/>
      <c r="AN41" s="210" t="str">
        <f t="shared" si="3"/>
        <v/>
      </c>
      <c r="AO41" s="262"/>
      <c r="AP41" s="210" t="str">
        <f t="shared" si="4"/>
        <v/>
      </c>
      <c r="AQ41" s="214"/>
      <c r="AR41" s="210" t="s">
        <v>503</v>
      </c>
      <c r="AS41" s="262"/>
      <c r="AT41" s="214"/>
      <c r="AU41" s="254"/>
      <c r="AV41" s="254"/>
      <c r="AW41" s="254"/>
      <c r="AX41" s="254"/>
      <c r="AY41" s="254"/>
      <c r="AZ41" s="254"/>
      <c r="BA41" s="254"/>
      <c r="BB41" s="306" t="str">
        <f t="shared" si="1"/>
        <v/>
      </c>
      <c r="BC41" s="254"/>
      <c r="BD41" s="254"/>
      <c r="BE41" s="254"/>
      <c r="BF41" s="254"/>
      <c r="BG41" s="254"/>
      <c r="BH41" s="254"/>
      <c r="BI41" s="254"/>
      <c r="BJ41" s="254"/>
      <c r="BK41" s="254"/>
      <c r="BL41" s="254"/>
      <c r="BM41" s="254"/>
      <c r="BN41" s="254"/>
      <c r="BO41" s="254"/>
      <c r="BP41" s="254"/>
      <c r="BQ41" s="254"/>
      <c r="BR41" s="254"/>
      <c r="BS41" s="254"/>
      <c r="BT41" s="254"/>
      <c r="BU41" s="254"/>
      <c r="BV41" s="254"/>
      <c r="BW41" s="254"/>
      <c r="BX41" s="254"/>
    </row>
    <row r="42" spans="1:76" s="10" customFormat="1" ht="15.75" customHeight="1" x14ac:dyDescent="0.25">
      <c r="A42" s="34"/>
      <c r="B42" s="35" t="s">
        <v>184</v>
      </c>
      <c r="C42" s="44" t="s">
        <v>0</v>
      </c>
      <c r="D42" s="44" t="s">
        <v>95</v>
      </c>
      <c r="E42" s="44" t="s">
        <v>188</v>
      </c>
      <c r="F42" s="44" t="s">
        <v>189</v>
      </c>
      <c r="G42" s="44" t="s">
        <v>25</v>
      </c>
      <c r="H42" s="44" t="s">
        <v>26</v>
      </c>
      <c r="I42" s="360" t="str">
        <f t="shared" si="5"/>
        <v>S_FRA_ISH_PRC_01</v>
      </c>
      <c r="J42" s="44">
        <v>1</v>
      </c>
      <c r="K42" s="386">
        <v>42</v>
      </c>
      <c r="L42" s="214"/>
      <c r="M42" s="214"/>
      <c r="N42" s="214"/>
      <c r="O42" s="214"/>
      <c r="P42" s="352" t="s">
        <v>184</v>
      </c>
      <c r="Q42" s="241" t="s">
        <v>0</v>
      </c>
      <c r="R42" s="241" t="s">
        <v>95</v>
      </c>
      <c r="S42" s="241" t="s">
        <v>188</v>
      </c>
      <c r="T42" s="241" t="s">
        <v>189</v>
      </c>
      <c r="U42" s="241" t="s">
        <v>25</v>
      </c>
      <c r="V42" s="241" t="s">
        <v>26</v>
      </c>
      <c r="W42" s="264" t="s">
        <v>592</v>
      </c>
      <c r="X42" s="296">
        <v>1</v>
      </c>
      <c r="Y42" s="388">
        <v>42</v>
      </c>
      <c r="Z42" s="308">
        <f t="shared" si="2"/>
        <v>1</v>
      </c>
      <c r="AA42" s="254"/>
      <c r="AC42" s="35" t="s">
        <v>184</v>
      </c>
      <c r="AD42" s="41" t="s">
        <v>0</v>
      </c>
      <c r="AE42" s="42" t="s">
        <v>95</v>
      </c>
      <c r="AF42" s="41" t="s">
        <v>188</v>
      </c>
      <c r="AG42" s="43" t="s">
        <v>189</v>
      </c>
      <c r="AH42" s="36" t="s">
        <v>25</v>
      </c>
      <c r="AI42" s="38" t="s">
        <v>26</v>
      </c>
      <c r="AJ42" s="67" t="s">
        <v>592</v>
      </c>
      <c r="AK42" s="115">
        <v>1</v>
      </c>
      <c r="AL42" s="115">
        <v>42</v>
      </c>
      <c r="AM42" s="254"/>
      <c r="AN42" s="210" t="str">
        <f t="shared" si="3"/>
        <v/>
      </c>
      <c r="AO42" s="262"/>
      <c r="AP42" s="210" t="str">
        <f t="shared" si="4"/>
        <v/>
      </c>
      <c r="AQ42" s="214"/>
      <c r="AR42" s="210" t="s">
        <v>503</v>
      </c>
      <c r="AS42" s="262"/>
      <c r="AT42" s="214"/>
      <c r="AU42" s="254"/>
      <c r="AV42" s="254"/>
      <c r="AW42" s="254"/>
      <c r="AX42" s="254"/>
      <c r="AY42" s="254"/>
      <c r="AZ42" s="254"/>
      <c r="BA42" s="254"/>
      <c r="BB42" s="306" t="str">
        <f t="shared" si="1"/>
        <v/>
      </c>
      <c r="BC42" s="254"/>
      <c r="BD42" s="254"/>
      <c r="BE42" s="254"/>
      <c r="BF42" s="254"/>
      <c r="BG42" s="254"/>
      <c r="BH42" s="254"/>
      <c r="BI42" s="254"/>
      <c r="BJ42" s="254"/>
      <c r="BK42" s="254"/>
      <c r="BL42" s="254"/>
      <c r="BM42" s="254"/>
      <c r="BN42" s="254"/>
      <c r="BO42" s="254"/>
      <c r="BP42" s="254"/>
      <c r="BQ42" s="254"/>
      <c r="BR42" s="254"/>
      <c r="BS42" s="254"/>
      <c r="BT42" s="254"/>
      <c r="BU42" s="254"/>
      <c r="BV42" s="254"/>
      <c r="BW42" s="254"/>
      <c r="BX42" s="254"/>
    </row>
    <row r="43" spans="1:76" s="10" customFormat="1" ht="15.75" customHeight="1" x14ac:dyDescent="0.25">
      <c r="A43" s="34"/>
      <c r="B43" s="35" t="s">
        <v>184</v>
      </c>
      <c r="C43" s="44" t="s">
        <v>0</v>
      </c>
      <c r="D43" s="44" t="s">
        <v>95</v>
      </c>
      <c r="E43" s="44" t="s">
        <v>188</v>
      </c>
      <c r="F43" s="44" t="s">
        <v>189</v>
      </c>
      <c r="G43" s="44" t="s">
        <v>28</v>
      </c>
      <c r="H43" s="44" t="s">
        <v>29</v>
      </c>
      <c r="I43" s="360" t="str">
        <f t="shared" si="5"/>
        <v>S_FRA_ISH_STE_02</v>
      </c>
      <c r="J43" s="44">
        <v>2</v>
      </c>
      <c r="K43" s="386">
        <v>43</v>
      </c>
      <c r="L43" s="214"/>
      <c r="M43" s="214"/>
      <c r="N43" s="214"/>
      <c r="O43" s="214"/>
      <c r="P43" s="352" t="s">
        <v>184</v>
      </c>
      <c r="Q43" s="241" t="s">
        <v>0</v>
      </c>
      <c r="R43" s="241" t="s">
        <v>95</v>
      </c>
      <c r="S43" s="241" t="s">
        <v>188</v>
      </c>
      <c r="T43" s="241" t="s">
        <v>189</v>
      </c>
      <c r="U43" s="241" t="s">
        <v>28</v>
      </c>
      <c r="V43" s="241" t="s">
        <v>29</v>
      </c>
      <c r="W43" s="264" t="s">
        <v>593</v>
      </c>
      <c r="X43" s="296">
        <v>2</v>
      </c>
      <c r="Y43" s="388">
        <v>43</v>
      </c>
      <c r="Z43" s="308">
        <f t="shared" si="2"/>
        <v>2</v>
      </c>
      <c r="AA43" s="254"/>
      <c r="AC43" s="35" t="s">
        <v>184</v>
      </c>
      <c r="AD43" s="41" t="s">
        <v>0</v>
      </c>
      <c r="AE43" s="42" t="s">
        <v>95</v>
      </c>
      <c r="AF43" s="41" t="s">
        <v>188</v>
      </c>
      <c r="AG43" s="43" t="s">
        <v>189</v>
      </c>
      <c r="AH43" s="36" t="s">
        <v>28</v>
      </c>
      <c r="AI43" s="38" t="s">
        <v>29</v>
      </c>
      <c r="AJ43" s="67" t="s">
        <v>593</v>
      </c>
      <c r="AK43" s="115">
        <v>2</v>
      </c>
      <c r="AL43" s="115">
        <v>43</v>
      </c>
      <c r="AM43" s="254"/>
      <c r="AN43" s="210" t="str">
        <f t="shared" si="3"/>
        <v/>
      </c>
      <c r="AO43" s="262"/>
      <c r="AP43" s="210" t="str">
        <f t="shared" si="4"/>
        <v/>
      </c>
      <c r="AQ43" s="214"/>
      <c r="AR43" s="210" t="s">
        <v>503</v>
      </c>
      <c r="AS43" s="262"/>
      <c r="AT43" s="214"/>
      <c r="AU43" s="254"/>
      <c r="AV43" s="254"/>
      <c r="AW43" s="254"/>
      <c r="AX43" s="254"/>
      <c r="AY43" s="254"/>
      <c r="AZ43" s="254"/>
      <c r="BA43" s="254"/>
      <c r="BB43" s="306" t="str">
        <f t="shared" si="1"/>
        <v/>
      </c>
      <c r="BC43" s="254"/>
      <c r="BD43" s="254"/>
      <c r="BE43" s="254"/>
      <c r="BF43" s="254"/>
      <c r="BG43" s="254"/>
      <c r="BH43" s="254"/>
      <c r="BI43" s="254"/>
      <c r="BJ43" s="254"/>
      <c r="BK43" s="254"/>
      <c r="BL43" s="254"/>
      <c r="BM43" s="254"/>
      <c r="BN43" s="254"/>
      <c r="BO43" s="254"/>
      <c r="BP43" s="254"/>
      <c r="BQ43" s="254"/>
      <c r="BR43" s="254"/>
      <c r="BS43" s="254"/>
      <c r="BT43" s="254"/>
      <c r="BU43" s="254"/>
      <c r="BV43" s="254"/>
      <c r="BW43" s="254"/>
      <c r="BX43" s="254"/>
    </row>
    <row r="44" spans="1:76" s="10" customFormat="1" ht="15.75" customHeight="1" x14ac:dyDescent="0.25">
      <c r="A44" s="34"/>
      <c r="B44" s="35" t="s">
        <v>184</v>
      </c>
      <c r="C44" s="44" t="s">
        <v>0</v>
      </c>
      <c r="D44" s="44" t="s">
        <v>95</v>
      </c>
      <c r="E44" s="44" t="s">
        <v>19</v>
      </c>
      <c r="F44" s="44" t="s">
        <v>20</v>
      </c>
      <c r="G44" s="44" t="s">
        <v>27</v>
      </c>
      <c r="H44" s="44" t="s">
        <v>103</v>
      </c>
      <c r="I44" s="360" t="str">
        <f t="shared" si="5"/>
        <v>S_FRA_REC_CIP_03</v>
      </c>
      <c r="J44" s="44">
        <v>3</v>
      </c>
      <c r="K44" s="386">
        <v>44</v>
      </c>
      <c r="L44" s="214"/>
      <c r="M44" s="214"/>
      <c r="N44" s="214"/>
      <c r="O44" s="214"/>
      <c r="P44" s="352" t="s">
        <v>184</v>
      </c>
      <c r="Q44" s="241" t="s">
        <v>0</v>
      </c>
      <c r="R44" s="241" t="s">
        <v>95</v>
      </c>
      <c r="S44" s="241" t="s">
        <v>19</v>
      </c>
      <c r="T44" s="241" t="s">
        <v>20</v>
      </c>
      <c r="U44" s="241" t="s">
        <v>27</v>
      </c>
      <c r="V44" s="241" t="s">
        <v>103</v>
      </c>
      <c r="W44" s="264" t="s">
        <v>594</v>
      </c>
      <c r="X44" s="296">
        <v>3</v>
      </c>
      <c r="Y44" s="388">
        <v>44</v>
      </c>
      <c r="Z44" s="308">
        <f t="shared" si="2"/>
        <v>3</v>
      </c>
      <c r="AA44" s="254"/>
      <c r="AC44" s="35" t="s">
        <v>184</v>
      </c>
      <c r="AD44" s="41" t="s">
        <v>0</v>
      </c>
      <c r="AE44" s="42" t="s">
        <v>95</v>
      </c>
      <c r="AF44" s="41" t="s">
        <v>19</v>
      </c>
      <c r="AG44" s="43" t="s">
        <v>20</v>
      </c>
      <c r="AH44" s="36" t="s">
        <v>27</v>
      </c>
      <c r="AI44" s="38" t="s">
        <v>103</v>
      </c>
      <c r="AJ44" s="67" t="s">
        <v>594</v>
      </c>
      <c r="AK44" s="115">
        <v>3</v>
      </c>
      <c r="AL44" s="115">
        <v>44</v>
      </c>
      <c r="AM44" s="254"/>
      <c r="AN44" s="210" t="str">
        <f t="shared" si="3"/>
        <v/>
      </c>
      <c r="AO44" s="262"/>
      <c r="AP44" s="210" t="str">
        <f t="shared" si="4"/>
        <v/>
      </c>
      <c r="AQ44" s="214"/>
      <c r="AR44" s="210" t="s">
        <v>503</v>
      </c>
      <c r="AS44" s="262"/>
      <c r="AT44" s="214"/>
      <c r="AU44" s="254"/>
      <c r="AV44" s="254"/>
      <c r="AW44" s="254"/>
      <c r="AX44" s="254"/>
      <c r="AY44" s="254"/>
      <c r="AZ44" s="254"/>
      <c r="BA44" s="254"/>
      <c r="BB44" s="306" t="str">
        <f t="shared" si="1"/>
        <v/>
      </c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</row>
    <row r="45" spans="1:76" s="10" customFormat="1" ht="15.75" customHeight="1" x14ac:dyDescent="0.25">
      <c r="A45" s="34"/>
      <c r="B45" s="35" t="s">
        <v>184</v>
      </c>
      <c r="C45" s="44" t="s">
        <v>0</v>
      </c>
      <c r="D45" s="44" t="s">
        <v>95</v>
      </c>
      <c r="E45" s="44" t="s">
        <v>19</v>
      </c>
      <c r="F45" s="44" t="s">
        <v>20</v>
      </c>
      <c r="G45" s="44" t="s">
        <v>25</v>
      </c>
      <c r="H45" s="44" t="s">
        <v>26</v>
      </c>
      <c r="I45" s="360" t="str">
        <f t="shared" si="5"/>
        <v>S_FRA_REC_PRC_04</v>
      </c>
      <c r="J45" s="44">
        <v>4</v>
      </c>
      <c r="K45" s="386">
        <v>45</v>
      </c>
      <c r="L45" s="214"/>
      <c r="M45" s="214"/>
      <c r="N45" s="214"/>
      <c r="O45" s="214"/>
      <c r="P45" s="352" t="s">
        <v>184</v>
      </c>
      <c r="Q45" s="241" t="s">
        <v>0</v>
      </c>
      <c r="R45" s="241" t="s">
        <v>95</v>
      </c>
      <c r="S45" s="241" t="s">
        <v>19</v>
      </c>
      <c r="T45" s="241" t="s">
        <v>20</v>
      </c>
      <c r="U45" s="241" t="s">
        <v>25</v>
      </c>
      <c r="V45" s="241" t="s">
        <v>26</v>
      </c>
      <c r="W45" s="264" t="s">
        <v>595</v>
      </c>
      <c r="X45" s="296">
        <v>4</v>
      </c>
      <c r="Y45" s="388">
        <v>45</v>
      </c>
      <c r="Z45" s="308">
        <f t="shared" si="2"/>
        <v>4</v>
      </c>
      <c r="AA45" s="254"/>
      <c r="AC45" s="35" t="s">
        <v>184</v>
      </c>
      <c r="AD45" s="41" t="s">
        <v>0</v>
      </c>
      <c r="AE45" s="42" t="s">
        <v>95</v>
      </c>
      <c r="AF45" s="41" t="s">
        <v>19</v>
      </c>
      <c r="AG45" s="43" t="s">
        <v>20</v>
      </c>
      <c r="AH45" s="36" t="s">
        <v>25</v>
      </c>
      <c r="AI45" s="38" t="s">
        <v>26</v>
      </c>
      <c r="AJ45" s="67" t="s">
        <v>595</v>
      </c>
      <c r="AK45" s="115">
        <v>4</v>
      </c>
      <c r="AL45" s="115">
        <v>45</v>
      </c>
      <c r="AM45" s="254"/>
      <c r="AN45" s="210" t="str">
        <f t="shared" si="3"/>
        <v/>
      </c>
      <c r="AO45" s="262"/>
      <c r="AP45" s="210" t="str">
        <f t="shared" si="4"/>
        <v/>
      </c>
      <c r="AQ45" s="214"/>
      <c r="AR45" s="210" t="s">
        <v>503</v>
      </c>
      <c r="AS45" s="262"/>
      <c r="AT45" s="214"/>
      <c r="AU45" s="254"/>
      <c r="AV45" s="254"/>
      <c r="AW45" s="254"/>
      <c r="AX45" s="254"/>
      <c r="AY45" s="254"/>
      <c r="AZ45" s="254"/>
      <c r="BA45" s="254"/>
      <c r="BB45" s="306" t="str">
        <f t="shared" si="1"/>
        <v/>
      </c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</row>
    <row r="46" spans="1:76" s="10" customFormat="1" ht="15.75" customHeight="1" x14ac:dyDescent="0.25">
      <c r="A46" s="34"/>
      <c r="B46" s="35" t="s">
        <v>184</v>
      </c>
      <c r="C46" s="44" t="s">
        <v>0</v>
      </c>
      <c r="D46" s="44" t="s">
        <v>95</v>
      </c>
      <c r="E46" s="44" t="s">
        <v>579</v>
      </c>
      <c r="F46" s="44" t="s">
        <v>20</v>
      </c>
      <c r="G46" s="44" t="s">
        <v>28</v>
      </c>
      <c r="H46" s="44" t="s">
        <v>29</v>
      </c>
      <c r="I46" s="360" t="str">
        <f t="shared" si="5"/>
        <v>S_FRA_REC_STE_05</v>
      </c>
      <c r="J46" s="44">
        <v>5</v>
      </c>
      <c r="K46" s="386">
        <v>46</v>
      </c>
      <c r="L46" s="214"/>
      <c r="M46" s="214"/>
      <c r="N46" s="214"/>
      <c r="O46" s="214"/>
      <c r="P46" s="352" t="s">
        <v>184</v>
      </c>
      <c r="Q46" s="241" t="s">
        <v>0</v>
      </c>
      <c r="R46" s="241" t="s">
        <v>95</v>
      </c>
      <c r="S46" s="241" t="s">
        <v>579</v>
      </c>
      <c r="T46" s="241" t="s">
        <v>20</v>
      </c>
      <c r="U46" s="241" t="s">
        <v>28</v>
      </c>
      <c r="V46" s="241" t="s">
        <v>29</v>
      </c>
      <c r="W46" s="264" t="s">
        <v>596</v>
      </c>
      <c r="X46" s="296">
        <v>5</v>
      </c>
      <c r="Y46" s="388">
        <v>46</v>
      </c>
      <c r="Z46" s="308"/>
      <c r="AA46" s="254"/>
      <c r="AC46" s="35" t="s">
        <v>184</v>
      </c>
      <c r="AD46" s="41" t="s">
        <v>0</v>
      </c>
      <c r="AE46" s="42" t="s">
        <v>95</v>
      </c>
      <c r="AF46" s="41" t="s">
        <v>579</v>
      </c>
      <c r="AG46" s="43" t="s">
        <v>20</v>
      </c>
      <c r="AH46" s="36" t="s">
        <v>28</v>
      </c>
      <c r="AI46" s="38" t="s">
        <v>29</v>
      </c>
      <c r="AJ46" s="67" t="s">
        <v>596</v>
      </c>
      <c r="AK46" s="115">
        <v>5</v>
      </c>
      <c r="AL46" s="115">
        <v>46</v>
      </c>
      <c r="AM46" s="254"/>
      <c r="AN46" s="210"/>
      <c r="AO46" s="262"/>
      <c r="AP46" s="210"/>
      <c r="AQ46" s="214"/>
      <c r="AR46" s="210"/>
      <c r="AS46" s="262"/>
      <c r="AT46" s="214"/>
      <c r="AU46" s="254"/>
      <c r="AV46" s="254"/>
      <c r="AW46" s="254"/>
      <c r="AX46" s="254"/>
      <c r="AY46" s="254"/>
      <c r="AZ46" s="254"/>
      <c r="BA46" s="254"/>
      <c r="BB46" s="306" t="str">
        <f t="shared" si="1"/>
        <v/>
      </c>
      <c r="BC46" s="254"/>
      <c r="BD46" s="254"/>
      <c r="BE46" s="254"/>
      <c r="BF46" s="254"/>
      <c r="BG46" s="254"/>
      <c r="BH46" s="254"/>
      <c r="BI46" s="254"/>
      <c r="BJ46" s="254"/>
      <c r="BK46" s="254"/>
      <c r="BL46" s="254"/>
      <c r="BM46" s="254"/>
      <c r="BN46" s="254"/>
      <c r="BO46" s="254"/>
      <c r="BP46" s="254"/>
      <c r="BQ46" s="254"/>
      <c r="BR46" s="254"/>
      <c r="BS46" s="254"/>
      <c r="BT46" s="254"/>
      <c r="BU46" s="254"/>
      <c r="BV46" s="254"/>
      <c r="BW46" s="254"/>
      <c r="BX46" s="254"/>
    </row>
    <row r="47" spans="1:76" s="10" customFormat="1" ht="15.75" customHeight="1" x14ac:dyDescent="0.25">
      <c r="A47" s="34"/>
      <c r="B47" s="35" t="s">
        <v>184</v>
      </c>
      <c r="C47" s="44" t="s">
        <v>0</v>
      </c>
      <c r="D47" s="44" t="s">
        <v>95</v>
      </c>
      <c r="E47" s="44" t="s">
        <v>19</v>
      </c>
      <c r="F47" s="44" t="s">
        <v>20</v>
      </c>
      <c r="G47" s="44" t="s">
        <v>30</v>
      </c>
      <c r="H47" s="44" t="s">
        <v>31</v>
      </c>
      <c r="I47" s="360" t="str">
        <f t="shared" si="5"/>
        <v>S_FRA_REC_WOO_06</v>
      </c>
      <c r="J47" s="44">
        <v>6</v>
      </c>
      <c r="K47" s="386">
        <v>47</v>
      </c>
      <c r="L47" s="214"/>
      <c r="M47" s="214"/>
      <c r="N47" s="214"/>
      <c r="O47" s="214"/>
      <c r="P47" s="352" t="s">
        <v>184</v>
      </c>
      <c r="Q47" s="241" t="s">
        <v>0</v>
      </c>
      <c r="R47" s="241" t="s">
        <v>95</v>
      </c>
      <c r="S47" s="241" t="s">
        <v>19</v>
      </c>
      <c r="T47" s="241" t="s">
        <v>20</v>
      </c>
      <c r="U47" s="241" t="s">
        <v>30</v>
      </c>
      <c r="V47" s="241" t="s">
        <v>31</v>
      </c>
      <c r="W47" s="264" t="s">
        <v>597</v>
      </c>
      <c r="X47" s="296">
        <v>6</v>
      </c>
      <c r="Y47" s="388">
        <v>47</v>
      </c>
      <c r="Z47" s="308"/>
      <c r="AA47" s="254"/>
      <c r="AC47" s="35" t="s">
        <v>184</v>
      </c>
      <c r="AD47" s="41" t="s">
        <v>0</v>
      </c>
      <c r="AE47" s="42" t="s">
        <v>95</v>
      </c>
      <c r="AF47" s="41" t="s">
        <v>19</v>
      </c>
      <c r="AG47" s="43" t="s">
        <v>20</v>
      </c>
      <c r="AH47" s="36" t="s">
        <v>30</v>
      </c>
      <c r="AI47" s="38" t="s">
        <v>31</v>
      </c>
      <c r="AJ47" s="67" t="s">
        <v>597</v>
      </c>
      <c r="AK47" s="115">
        <v>6</v>
      </c>
      <c r="AL47" s="115">
        <v>47</v>
      </c>
      <c r="AM47" s="254"/>
      <c r="AN47" s="210"/>
      <c r="AO47" s="262"/>
      <c r="AP47" s="210"/>
      <c r="AQ47" s="214"/>
      <c r="AR47" s="210"/>
      <c r="AS47" s="262"/>
      <c r="AT47" s="214"/>
      <c r="AU47" s="254"/>
      <c r="AV47" s="254"/>
      <c r="AW47" s="254"/>
      <c r="AX47" s="254"/>
      <c r="AY47" s="254"/>
      <c r="AZ47" s="254"/>
      <c r="BA47" s="254"/>
      <c r="BB47" s="306" t="str">
        <f t="shared" si="1"/>
        <v/>
      </c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4"/>
      <c r="BT47" s="254"/>
      <c r="BU47" s="254"/>
      <c r="BV47" s="254"/>
      <c r="BW47" s="254"/>
      <c r="BX47" s="254"/>
    </row>
    <row r="48" spans="1:76" s="10" customFormat="1" ht="15.75" customHeight="1" x14ac:dyDescent="0.25">
      <c r="A48" s="34"/>
      <c r="B48" s="35" t="s">
        <v>184</v>
      </c>
      <c r="C48" s="44" t="s">
        <v>0</v>
      </c>
      <c r="D48" s="44" t="s">
        <v>95</v>
      </c>
      <c r="E48" s="44" t="s">
        <v>193</v>
      </c>
      <c r="F48" s="44" t="s">
        <v>194</v>
      </c>
      <c r="G48" s="44" t="s">
        <v>27</v>
      </c>
      <c r="H48" s="44" t="s">
        <v>103</v>
      </c>
      <c r="I48" s="360" t="str">
        <f t="shared" si="5"/>
        <v>S_FRA_RGB_CIP_07</v>
      </c>
      <c r="J48" s="44">
        <v>7</v>
      </c>
      <c r="K48" s="386">
        <v>48</v>
      </c>
      <c r="L48" s="214"/>
      <c r="M48" s="214"/>
      <c r="N48" s="214"/>
      <c r="O48" s="214"/>
      <c r="P48" s="352" t="s">
        <v>184</v>
      </c>
      <c r="Q48" s="241" t="s">
        <v>0</v>
      </c>
      <c r="R48" s="241" t="s">
        <v>95</v>
      </c>
      <c r="S48" s="241" t="s">
        <v>193</v>
      </c>
      <c r="T48" s="241" t="s">
        <v>194</v>
      </c>
      <c r="U48" s="241" t="s">
        <v>27</v>
      </c>
      <c r="V48" s="241" t="s">
        <v>103</v>
      </c>
      <c r="W48" s="264" t="s">
        <v>598</v>
      </c>
      <c r="X48" s="296">
        <v>7</v>
      </c>
      <c r="Y48" s="388">
        <v>48</v>
      </c>
      <c r="Z48" s="308">
        <f t="shared" si="2"/>
        <v>7</v>
      </c>
      <c r="AA48" s="254"/>
      <c r="AC48" s="35" t="s">
        <v>184</v>
      </c>
      <c r="AD48" s="36" t="s">
        <v>0</v>
      </c>
      <c r="AE48" s="37" t="s">
        <v>95</v>
      </c>
      <c r="AF48" s="36" t="s">
        <v>193</v>
      </c>
      <c r="AG48" s="38" t="s">
        <v>194</v>
      </c>
      <c r="AH48" s="36" t="s">
        <v>27</v>
      </c>
      <c r="AI48" s="38" t="s">
        <v>103</v>
      </c>
      <c r="AJ48" s="67" t="s">
        <v>598</v>
      </c>
      <c r="AK48" s="115">
        <v>7</v>
      </c>
      <c r="AL48" s="115">
        <v>48</v>
      </c>
      <c r="AM48" s="254"/>
      <c r="AN48" s="210" t="str">
        <f>IF(AO48="","",AN45+1)</f>
        <v/>
      </c>
      <c r="AO48" s="262"/>
      <c r="AP48" s="210" t="str">
        <f t="shared" si="4"/>
        <v/>
      </c>
      <c r="AQ48" s="214"/>
      <c r="AR48" s="210" t="s">
        <v>503</v>
      </c>
      <c r="AS48" s="262"/>
      <c r="AT48" s="214"/>
      <c r="AU48" s="254"/>
      <c r="AV48" s="254"/>
      <c r="AW48" s="254"/>
      <c r="AX48" s="254"/>
      <c r="AY48" s="254"/>
      <c r="AZ48" s="254"/>
      <c r="BA48" s="254"/>
      <c r="BB48" s="306" t="str">
        <f t="shared" si="1"/>
        <v/>
      </c>
      <c r="BC48" s="254"/>
      <c r="BD48" s="254"/>
      <c r="BE48" s="254"/>
      <c r="BF48" s="254"/>
      <c r="BG48" s="254"/>
      <c r="BH48" s="254"/>
      <c r="BI48" s="254"/>
      <c r="BJ48" s="254"/>
      <c r="BK48" s="254"/>
      <c r="BL48" s="254"/>
      <c r="BM48" s="254"/>
      <c r="BN48" s="254"/>
      <c r="BO48" s="254"/>
      <c r="BP48" s="254"/>
      <c r="BQ48" s="254"/>
      <c r="BR48" s="254"/>
      <c r="BS48" s="254"/>
      <c r="BT48" s="254"/>
      <c r="BU48" s="254"/>
      <c r="BV48" s="254"/>
      <c r="BW48" s="254"/>
      <c r="BX48" s="254"/>
    </row>
    <row r="49" spans="1:76" s="10" customFormat="1" ht="15" customHeight="1" x14ac:dyDescent="0.25">
      <c r="A49" s="34"/>
      <c r="B49" s="35" t="s">
        <v>184</v>
      </c>
      <c r="C49" s="44" t="s">
        <v>0</v>
      </c>
      <c r="D49" s="44" t="s">
        <v>95</v>
      </c>
      <c r="E49" s="44" t="s">
        <v>580</v>
      </c>
      <c r="F49" s="44" t="s">
        <v>22</v>
      </c>
      <c r="G49" s="44" t="s">
        <v>28</v>
      </c>
      <c r="H49" s="44" t="s">
        <v>29</v>
      </c>
      <c r="I49" s="360" t="str">
        <f t="shared" si="5"/>
        <v>S_FRA_ROU_STE_08</v>
      </c>
      <c r="J49" s="44">
        <v>8</v>
      </c>
      <c r="K49" s="386">
        <v>49</v>
      </c>
      <c r="L49" s="218"/>
      <c r="M49" s="214"/>
      <c r="N49" s="214"/>
      <c r="O49" s="214"/>
      <c r="P49" s="352" t="s">
        <v>184</v>
      </c>
      <c r="Q49" s="241" t="s">
        <v>0</v>
      </c>
      <c r="R49" s="241" t="s">
        <v>95</v>
      </c>
      <c r="S49" s="241" t="s">
        <v>580</v>
      </c>
      <c r="T49" s="241" t="s">
        <v>22</v>
      </c>
      <c r="U49" s="241" t="s">
        <v>28</v>
      </c>
      <c r="V49" s="241" t="s">
        <v>29</v>
      </c>
      <c r="W49" s="264" t="s">
        <v>599</v>
      </c>
      <c r="X49" s="296">
        <v>8</v>
      </c>
      <c r="Y49" s="388">
        <v>49</v>
      </c>
      <c r="Z49" s="308">
        <f t="shared" si="2"/>
        <v>8</v>
      </c>
      <c r="AA49" s="254"/>
      <c r="AC49" s="35" t="s">
        <v>184</v>
      </c>
      <c r="AD49" s="36" t="s">
        <v>0</v>
      </c>
      <c r="AE49" s="37" t="s">
        <v>95</v>
      </c>
      <c r="AF49" s="36" t="s">
        <v>580</v>
      </c>
      <c r="AG49" s="38" t="s">
        <v>22</v>
      </c>
      <c r="AH49" s="36" t="s">
        <v>28</v>
      </c>
      <c r="AI49" s="38" t="s">
        <v>29</v>
      </c>
      <c r="AJ49" s="67" t="s">
        <v>599</v>
      </c>
      <c r="AK49" s="115">
        <v>8</v>
      </c>
      <c r="AL49" s="115">
        <v>49</v>
      </c>
      <c r="AM49" s="254"/>
      <c r="AN49" s="210" t="str">
        <f t="shared" si="3"/>
        <v/>
      </c>
      <c r="AO49" s="262"/>
      <c r="AP49" s="210" t="str">
        <f t="shared" si="4"/>
        <v/>
      </c>
      <c r="AQ49" s="214"/>
      <c r="AR49" s="210" t="s">
        <v>503</v>
      </c>
      <c r="AS49" s="262"/>
      <c r="AT49" s="214"/>
      <c r="AU49" s="254"/>
      <c r="AV49" s="254"/>
      <c r="AW49" s="254"/>
      <c r="AX49" s="254"/>
      <c r="AY49" s="254"/>
      <c r="AZ49" s="254"/>
      <c r="BA49" s="254"/>
      <c r="BB49" s="306" t="str">
        <f t="shared" si="1"/>
        <v/>
      </c>
      <c r="BC49" s="254"/>
      <c r="BD49" s="254"/>
      <c r="BE49" s="254"/>
      <c r="BF49" s="254"/>
      <c r="BG49" s="254"/>
      <c r="BH49" s="254"/>
      <c r="BI49" s="254"/>
      <c r="BJ49" s="254"/>
      <c r="BK49" s="254"/>
      <c r="BL49" s="254"/>
      <c r="BM49" s="254"/>
      <c r="BN49" s="254"/>
      <c r="BO49" s="254"/>
      <c r="BP49" s="254"/>
      <c r="BQ49" s="254"/>
      <c r="BR49" s="254"/>
      <c r="BS49" s="254"/>
      <c r="BT49" s="254"/>
      <c r="BU49" s="254"/>
      <c r="BV49" s="254"/>
      <c r="BW49" s="254"/>
      <c r="BX49" s="254"/>
    </row>
    <row r="50" spans="1:76" s="10" customFormat="1" ht="15.75" customHeight="1" x14ac:dyDescent="0.25">
      <c r="A50" s="34"/>
      <c r="B50" s="35" t="s">
        <v>184</v>
      </c>
      <c r="C50" s="44" t="s">
        <v>0</v>
      </c>
      <c r="D50" s="44" t="s">
        <v>95</v>
      </c>
      <c r="E50" s="44" t="s">
        <v>21</v>
      </c>
      <c r="F50" s="44" t="s">
        <v>22</v>
      </c>
      <c r="G50" s="44" t="s">
        <v>30</v>
      </c>
      <c r="H50" s="44" t="s">
        <v>31</v>
      </c>
      <c r="I50" s="360" t="str">
        <f t="shared" si="5"/>
        <v>S_FRA_ROU_WOO_09</v>
      </c>
      <c r="J50" s="44">
        <v>9</v>
      </c>
      <c r="K50" s="386">
        <v>50</v>
      </c>
      <c r="L50" s="214"/>
      <c r="M50" s="218"/>
      <c r="N50" s="214"/>
      <c r="O50" s="214"/>
      <c r="P50" s="352" t="s">
        <v>184</v>
      </c>
      <c r="Q50" s="241" t="s">
        <v>0</v>
      </c>
      <c r="R50" s="241" t="s">
        <v>95</v>
      </c>
      <c r="S50" s="241" t="s">
        <v>21</v>
      </c>
      <c r="T50" s="241" t="s">
        <v>22</v>
      </c>
      <c r="U50" s="241" t="s">
        <v>30</v>
      </c>
      <c r="V50" s="241" t="s">
        <v>31</v>
      </c>
      <c r="W50" s="264" t="s">
        <v>600</v>
      </c>
      <c r="X50" s="296">
        <v>9</v>
      </c>
      <c r="Y50" s="388">
        <v>50</v>
      </c>
      <c r="Z50" s="308">
        <f t="shared" si="2"/>
        <v>9</v>
      </c>
      <c r="AA50" s="254"/>
      <c r="AC50" s="35" t="s">
        <v>184</v>
      </c>
      <c r="AD50" s="36" t="s">
        <v>0</v>
      </c>
      <c r="AE50" s="37" t="s">
        <v>95</v>
      </c>
      <c r="AF50" s="36" t="s">
        <v>21</v>
      </c>
      <c r="AG50" s="38" t="s">
        <v>22</v>
      </c>
      <c r="AH50" s="36" t="s">
        <v>30</v>
      </c>
      <c r="AI50" s="38" t="s">
        <v>31</v>
      </c>
      <c r="AJ50" s="67" t="s">
        <v>600</v>
      </c>
      <c r="AK50" s="115">
        <v>9</v>
      </c>
      <c r="AL50" s="115">
        <v>50</v>
      </c>
      <c r="AM50" s="254"/>
      <c r="AN50" s="210" t="str">
        <f t="shared" si="3"/>
        <v/>
      </c>
      <c r="AO50" s="262"/>
      <c r="AP50" s="210" t="str">
        <f t="shared" si="4"/>
        <v/>
      </c>
      <c r="AQ50" s="214"/>
      <c r="AR50" s="210" t="s">
        <v>503</v>
      </c>
      <c r="AS50" s="262"/>
      <c r="AT50" s="214"/>
      <c r="AU50" s="254"/>
      <c r="AV50" s="254"/>
      <c r="AW50" s="254"/>
      <c r="AX50" s="254"/>
      <c r="AY50" s="254"/>
      <c r="AZ50" s="254"/>
      <c r="BA50" s="254"/>
      <c r="BB50" s="306" t="str">
        <f t="shared" si="1"/>
        <v/>
      </c>
      <c r="BC50" s="254"/>
      <c r="BD50" s="254"/>
      <c r="BE50" s="254"/>
      <c r="BF50" s="254"/>
      <c r="BG50" s="254"/>
      <c r="BH50" s="254"/>
      <c r="BI50" s="254"/>
      <c r="BJ50" s="254"/>
      <c r="BK50" s="254"/>
      <c r="BL50" s="254"/>
      <c r="BM50" s="254"/>
      <c r="BN50" s="254"/>
      <c r="BO50" s="254"/>
      <c r="BP50" s="254"/>
      <c r="BQ50" s="254"/>
      <c r="BR50" s="254"/>
      <c r="BS50" s="254"/>
      <c r="BT50" s="254"/>
      <c r="BU50" s="254"/>
      <c r="BV50" s="254"/>
      <c r="BW50" s="254"/>
      <c r="BX50" s="254"/>
    </row>
    <row r="51" spans="1:76" s="10" customFormat="1" ht="15.75" customHeight="1" x14ac:dyDescent="0.25">
      <c r="A51" s="34"/>
      <c r="B51" s="35" t="s">
        <v>184</v>
      </c>
      <c r="C51" s="44" t="s">
        <v>0</v>
      </c>
      <c r="D51" s="44" t="s">
        <v>95</v>
      </c>
      <c r="E51" s="44" t="s">
        <v>190</v>
      </c>
      <c r="F51" s="44" t="s">
        <v>191</v>
      </c>
      <c r="G51" s="44" t="s">
        <v>25</v>
      </c>
      <c r="H51" s="44" t="s">
        <v>26</v>
      </c>
      <c r="I51" s="360" t="str">
        <f t="shared" si="5"/>
        <v>S_FRA_TSH_PRC_10</v>
      </c>
      <c r="J51" s="44">
        <v>10</v>
      </c>
      <c r="K51" s="386">
        <v>51</v>
      </c>
      <c r="L51" s="214"/>
      <c r="M51" s="355"/>
      <c r="N51" s="214"/>
      <c r="O51" s="214"/>
      <c r="P51" s="352" t="s">
        <v>184</v>
      </c>
      <c r="Q51" s="241" t="s">
        <v>0</v>
      </c>
      <c r="R51" s="241" t="s">
        <v>95</v>
      </c>
      <c r="S51" s="241" t="s">
        <v>190</v>
      </c>
      <c r="T51" s="241" t="s">
        <v>191</v>
      </c>
      <c r="U51" s="241" t="s">
        <v>25</v>
      </c>
      <c r="V51" s="241" t="s">
        <v>26</v>
      </c>
      <c r="W51" s="264" t="s">
        <v>601</v>
      </c>
      <c r="X51" s="296">
        <v>10</v>
      </c>
      <c r="Y51" s="388">
        <v>51</v>
      </c>
      <c r="Z51" s="308">
        <f t="shared" si="2"/>
        <v>10</v>
      </c>
      <c r="AA51" s="254"/>
      <c r="AC51" s="35" t="s">
        <v>184</v>
      </c>
      <c r="AD51" s="36" t="s">
        <v>0</v>
      </c>
      <c r="AE51" s="37" t="s">
        <v>95</v>
      </c>
      <c r="AF51" s="36" t="s">
        <v>190</v>
      </c>
      <c r="AG51" s="38" t="s">
        <v>191</v>
      </c>
      <c r="AH51" s="36" t="s">
        <v>25</v>
      </c>
      <c r="AI51" s="38" t="s">
        <v>26</v>
      </c>
      <c r="AJ51" s="67" t="s">
        <v>601</v>
      </c>
      <c r="AK51" s="115">
        <v>10</v>
      </c>
      <c r="AL51" s="115">
        <v>51</v>
      </c>
      <c r="AM51" s="254"/>
      <c r="AN51" s="210" t="str">
        <f t="shared" si="3"/>
        <v/>
      </c>
      <c r="AO51" s="262"/>
      <c r="AP51" s="210" t="str">
        <f t="shared" si="4"/>
        <v/>
      </c>
      <c r="AQ51" s="214"/>
      <c r="AR51" s="210" t="s">
        <v>503</v>
      </c>
      <c r="AS51" s="262"/>
      <c r="AT51" s="214"/>
      <c r="AU51" s="254"/>
      <c r="AV51" s="254"/>
      <c r="AW51" s="254"/>
      <c r="AX51" s="254"/>
      <c r="AY51" s="254"/>
      <c r="AZ51" s="254"/>
      <c r="BA51" s="254"/>
      <c r="BB51" s="306" t="str">
        <f t="shared" si="1"/>
        <v/>
      </c>
      <c r="BC51" s="254"/>
      <c r="BD51" s="254"/>
      <c r="BE51" s="254"/>
      <c r="BF51" s="254"/>
      <c r="BG51" s="254"/>
      <c r="BH51" s="254"/>
      <c r="BI51" s="254"/>
      <c r="BJ51" s="254"/>
      <c r="BK51" s="254"/>
      <c r="BL51" s="254"/>
      <c r="BM51" s="254"/>
      <c r="BN51" s="254"/>
      <c r="BO51" s="254"/>
      <c r="BP51" s="254"/>
      <c r="BQ51" s="254"/>
      <c r="BR51" s="254"/>
      <c r="BS51" s="254"/>
      <c r="BT51" s="254"/>
      <c r="BU51" s="254"/>
      <c r="BV51" s="254"/>
      <c r="BW51" s="254"/>
      <c r="BX51" s="254"/>
    </row>
    <row r="52" spans="1:76" s="10" customFormat="1" ht="15.75" customHeight="1" x14ac:dyDescent="0.25">
      <c r="A52" s="34"/>
      <c r="B52" s="35" t="s">
        <v>184</v>
      </c>
      <c r="C52" s="44" t="s">
        <v>0</v>
      </c>
      <c r="D52" s="44" t="s">
        <v>95</v>
      </c>
      <c r="E52" s="44" t="s">
        <v>190</v>
      </c>
      <c r="F52" s="44" t="s">
        <v>191</v>
      </c>
      <c r="G52" s="44" t="s">
        <v>28</v>
      </c>
      <c r="H52" s="44" t="s">
        <v>29</v>
      </c>
      <c r="I52" s="360" t="str">
        <f t="shared" si="5"/>
        <v>S_FRA_TSH_STE_11</v>
      </c>
      <c r="J52" s="44">
        <v>11</v>
      </c>
      <c r="K52" s="386">
        <v>52</v>
      </c>
      <c r="L52" s="214"/>
      <c r="M52" s="214"/>
      <c r="N52" s="214"/>
      <c r="O52" s="214"/>
      <c r="P52" s="352" t="s">
        <v>184</v>
      </c>
      <c r="Q52" s="241" t="s">
        <v>0</v>
      </c>
      <c r="R52" s="241" t="s">
        <v>95</v>
      </c>
      <c r="S52" s="241" t="s">
        <v>190</v>
      </c>
      <c r="T52" s="241" t="s">
        <v>191</v>
      </c>
      <c r="U52" s="241" t="s">
        <v>28</v>
      </c>
      <c r="V52" s="241" t="s">
        <v>29</v>
      </c>
      <c r="W52" s="264" t="s">
        <v>602</v>
      </c>
      <c r="X52" s="296">
        <v>11</v>
      </c>
      <c r="Y52" s="388">
        <v>52</v>
      </c>
      <c r="Z52" s="308">
        <f t="shared" si="2"/>
        <v>11</v>
      </c>
      <c r="AA52" s="254"/>
      <c r="AC52" s="35" t="s">
        <v>184</v>
      </c>
      <c r="AD52" s="36" t="s">
        <v>0</v>
      </c>
      <c r="AE52" s="37" t="s">
        <v>95</v>
      </c>
      <c r="AF52" s="36" t="s">
        <v>190</v>
      </c>
      <c r="AG52" s="38" t="s">
        <v>191</v>
      </c>
      <c r="AH52" s="36" t="s">
        <v>28</v>
      </c>
      <c r="AI52" s="38" t="s">
        <v>29</v>
      </c>
      <c r="AJ52" s="67" t="s">
        <v>602</v>
      </c>
      <c r="AK52" s="115">
        <v>11</v>
      </c>
      <c r="AL52" s="115">
        <v>52</v>
      </c>
      <c r="AM52" s="254"/>
      <c r="AN52" s="210" t="str">
        <f t="shared" si="3"/>
        <v/>
      </c>
      <c r="AO52" s="262"/>
      <c r="AP52" s="210" t="str">
        <f t="shared" si="4"/>
        <v/>
      </c>
      <c r="AQ52" s="214"/>
      <c r="AR52" s="210" t="s">
        <v>503</v>
      </c>
      <c r="AS52" s="262"/>
      <c r="AT52" s="214"/>
      <c r="AU52" s="254"/>
      <c r="AV52" s="254"/>
      <c r="AW52" s="254"/>
      <c r="AX52" s="254"/>
      <c r="AY52" s="254"/>
      <c r="AZ52" s="254"/>
      <c r="BA52" s="254"/>
      <c r="BB52" s="306" t="str">
        <f t="shared" si="1"/>
        <v/>
      </c>
      <c r="BC52" s="254"/>
      <c r="BD52" s="254"/>
      <c r="BE52" s="254"/>
      <c r="BF52" s="254"/>
      <c r="BG52" s="254"/>
      <c r="BH52" s="254"/>
      <c r="BI52" s="254"/>
      <c r="BJ52" s="254"/>
      <c r="BK52" s="254"/>
      <c r="BL52" s="254"/>
      <c r="BM52" s="254"/>
      <c r="BN52" s="254"/>
      <c r="BO52" s="254"/>
      <c r="BP52" s="254"/>
      <c r="BQ52" s="254"/>
      <c r="BR52" s="254"/>
      <c r="BS52" s="254"/>
      <c r="BT52" s="254"/>
      <c r="BU52" s="254"/>
      <c r="BV52" s="254"/>
      <c r="BW52" s="254"/>
      <c r="BX52" s="254"/>
    </row>
    <row r="53" spans="1:76" s="10" customFormat="1" ht="15.75" customHeight="1" x14ac:dyDescent="0.25">
      <c r="A53" s="34"/>
      <c r="B53" s="35" t="s">
        <v>184</v>
      </c>
      <c r="C53" s="44" t="s">
        <v>15</v>
      </c>
      <c r="D53" s="44" t="s">
        <v>113</v>
      </c>
      <c r="E53" s="44" t="s">
        <v>23</v>
      </c>
      <c r="F53" s="44" t="s">
        <v>24</v>
      </c>
      <c r="G53" s="44" t="s">
        <v>5</v>
      </c>
      <c r="H53" s="44" t="s">
        <v>5</v>
      </c>
      <c r="I53" s="360" t="str">
        <f t="shared" si="5"/>
        <v>S_OPE_IRR_01</v>
      </c>
      <c r="J53" s="44">
        <v>1</v>
      </c>
      <c r="K53" s="386">
        <v>9</v>
      </c>
      <c r="L53" s="214"/>
      <c r="M53" s="214"/>
      <c r="N53" s="214"/>
      <c r="O53" s="214"/>
      <c r="P53" s="352" t="s">
        <v>184</v>
      </c>
      <c r="Q53" s="241" t="s">
        <v>15</v>
      </c>
      <c r="R53" s="241" t="s">
        <v>113</v>
      </c>
      <c r="S53" s="241" t="s">
        <v>23</v>
      </c>
      <c r="T53" s="241" t="s">
        <v>24</v>
      </c>
      <c r="U53" s="241" t="s">
        <v>5</v>
      </c>
      <c r="V53" s="241" t="s">
        <v>5</v>
      </c>
      <c r="W53" s="264" t="s">
        <v>500</v>
      </c>
      <c r="X53" s="296">
        <v>1</v>
      </c>
      <c r="Y53" s="388">
        <v>9</v>
      </c>
      <c r="Z53" s="308">
        <f t="shared" si="2"/>
        <v>1</v>
      </c>
      <c r="AA53" s="254"/>
      <c r="AC53" s="35" t="s">
        <v>184</v>
      </c>
      <c r="AD53" s="36" t="s">
        <v>15</v>
      </c>
      <c r="AE53" s="37" t="s">
        <v>113</v>
      </c>
      <c r="AF53" s="36" t="s">
        <v>23</v>
      </c>
      <c r="AG53" s="38" t="s">
        <v>24</v>
      </c>
      <c r="AH53" s="36" t="s">
        <v>5</v>
      </c>
      <c r="AI53" s="38" t="s">
        <v>5</v>
      </c>
      <c r="AJ53" s="67" t="s">
        <v>500</v>
      </c>
      <c r="AK53" s="115">
        <v>1</v>
      </c>
      <c r="AL53" s="115">
        <v>9</v>
      </c>
      <c r="AM53" s="254"/>
      <c r="AN53" s="210" t="str">
        <f t="shared" si="3"/>
        <v/>
      </c>
      <c r="AO53" s="262"/>
      <c r="AP53" s="210" t="str">
        <f t="shared" si="4"/>
        <v/>
      </c>
      <c r="AQ53" s="214"/>
      <c r="AR53" s="210" t="s">
        <v>503</v>
      </c>
      <c r="AS53" s="262"/>
      <c r="AT53" s="214"/>
      <c r="AU53" s="254"/>
      <c r="AV53" s="254"/>
      <c r="AW53" s="254"/>
      <c r="AX53" s="254"/>
      <c r="AY53" s="254"/>
      <c r="AZ53" s="254"/>
      <c r="BA53" s="254"/>
      <c r="BB53" s="306" t="str">
        <f t="shared" si="1"/>
        <v/>
      </c>
      <c r="BC53" s="254"/>
      <c r="BD53" s="254"/>
      <c r="BE53" s="254"/>
      <c r="BF53" s="254"/>
      <c r="BG53" s="254"/>
      <c r="BH53" s="254"/>
      <c r="BI53" s="254"/>
      <c r="BJ53" s="254"/>
      <c r="BK53" s="254"/>
      <c r="BL53" s="254"/>
      <c r="BM53" s="254"/>
      <c r="BN53" s="254"/>
      <c r="BO53" s="254"/>
      <c r="BP53" s="254"/>
      <c r="BQ53" s="254"/>
      <c r="BR53" s="254"/>
      <c r="BS53" s="254"/>
      <c r="BT53" s="254"/>
      <c r="BU53" s="254"/>
      <c r="BV53" s="254"/>
      <c r="BW53" s="254"/>
      <c r="BX53" s="254"/>
    </row>
    <row r="54" spans="1:76" s="10" customFormat="1" ht="15.75" customHeight="1" x14ac:dyDescent="0.25">
      <c r="A54" s="34"/>
      <c r="B54" s="35" t="s">
        <v>184</v>
      </c>
      <c r="C54" s="44" t="s">
        <v>15</v>
      </c>
      <c r="D54" s="44" t="s">
        <v>113</v>
      </c>
      <c r="E54" s="44" t="s">
        <v>21</v>
      </c>
      <c r="F54" s="44" t="s">
        <v>22</v>
      </c>
      <c r="G54" s="44" t="s">
        <v>5</v>
      </c>
      <c r="H54" s="44" t="s">
        <v>5</v>
      </c>
      <c r="I54" s="360" t="str">
        <f t="shared" si="5"/>
        <v>S_OPE_ROU_02</v>
      </c>
      <c r="J54" s="44">
        <v>2</v>
      </c>
      <c r="K54" s="386">
        <v>10</v>
      </c>
      <c r="L54" s="214"/>
      <c r="M54" s="214"/>
      <c r="N54" s="214"/>
      <c r="O54" s="214"/>
      <c r="P54" s="352" t="s">
        <v>184</v>
      </c>
      <c r="Q54" s="241" t="s">
        <v>15</v>
      </c>
      <c r="R54" s="241" t="s">
        <v>113</v>
      </c>
      <c r="S54" s="241" t="s">
        <v>21</v>
      </c>
      <c r="T54" s="241" t="s">
        <v>22</v>
      </c>
      <c r="U54" s="241" t="s">
        <v>5</v>
      </c>
      <c r="V54" s="241" t="s">
        <v>5</v>
      </c>
      <c r="W54" s="264" t="s">
        <v>501</v>
      </c>
      <c r="X54" s="296">
        <v>2</v>
      </c>
      <c r="Y54" s="388">
        <v>10</v>
      </c>
      <c r="Z54" s="308">
        <f t="shared" si="2"/>
        <v>2</v>
      </c>
      <c r="AA54" s="254"/>
      <c r="AC54" s="35" t="s">
        <v>184</v>
      </c>
      <c r="AD54" s="36" t="s">
        <v>15</v>
      </c>
      <c r="AE54" s="37" t="s">
        <v>113</v>
      </c>
      <c r="AF54" s="36" t="s">
        <v>21</v>
      </c>
      <c r="AG54" s="38" t="s">
        <v>22</v>
      </c>
      <c r="AH54" s="36" t="s">
        <v>5</v>
      </c>
      <c r="AI54" s="38" t="s">
        <v>5</v>
      </c>
      <c r="AJ54" s="67" t="s">
        <v>501</v>
      </c>
      <c r="AK54" s="115">
        <v>2</v>
      </c>
      <c r="AL54" s="115">
        <v>10</v>
      </c>
      <c r="AM54" s="254"/>
      <c r="AN54" s="210" t="str">
        <f t="shared" si="3"/>
        <v/>
      </c>
      <c r="AO54" s="262"/>
      <c r="AP54" s="210" t="str">
        <f t="shared" si="4"/>
        <v/>
      </c>
      <c r="AQ54" s="214"/>
      <c r="AR54" s="210" t="s">
        <v>503</v>
      </c>
      <c r="AS54" s="262"/>
      <c r="AT54" s="214"/>
      <c r="AU54" s="254"/>
      <c r="AV54" s="254"/>
      <c r="AW54" s="254"/>
      <c r="AX54" s="254"/>
      <c r="AY54" s="254"/>
      <c r="AZ54" s="254"/>
      <c r="BA54" s="254"/>
      <c r="BB54" s="306" t="str">
        <f t="shared" si="1"/>
        <v/>
      </c>
      <c r="BC54" s="254"/>
      <c r="BD54" s="254"/>
      <c r="BE54" s="254"/>
      <c r="BF54" s="254"/>
      <c r="BG54" s="254"/>
      <c r="BH54" s="254"/>
      <c r="BI54" s="254"/>
      <c r="BJ54" s="254"/>
      <c r="BK54" s="254"/>
      <c r="BL54" s="254"/>
      <c r="BM54" s="254"/>
      <c r="BN54" s="254"/>
      <c r="BO54" s="254"/>
      <c r="BP54" s="254"/>
      <c r="BQ54" s="254"/>
      <c r="BR54" s="254"/>
      <c r="BS54" s="254"/>
      <c r="BT54" s="254"/>
      <c r="BU54" s="254"/>
      <c r="BV54" s="254"/>
      <c r="BW54" s="254"/>
      <c r="BX54" s="254"/>
    </row>
    <row r="55" spans="1:76" s="10" customFormat="1" ht="15.75" customHeight="1" x14ac:dyDescent="0.25">
      <c r="A55" s="34"/>
      <c r="B55" s="35" t="s">
        <v>184</v>
      </c>
      <c r="C55" s="44" t="s">
        <v>15</v>
      </c>
      <c r="D55" s="44" t="s">
        <v>113</v>
      </c>
      <c r="E55" s="44" t="s">
        <v>35</v>
      </c>
      <c r="F55" s="44" t="s">
        <v>36</v>
      </c>
      <c r="G55" s="44" t="s">
        <v>5</v>
      </c>
      <c r="H55" s="44" t="s">
        <v>5</v>
      </c>
      <c r="I55" s="360" t="str">
        <f t="shared" si="5"/>
        <v>S_OPE_SQU_03</v>
      </c>
      <c r="J55" s="44">
        <v>3</v>
      </c>
      <c r="K55" s="386">
        <v>11</v>
      </c>
      <c r="L55" s="214"/>
      <c r="M55" s="214"/>
      <c r="N55" s="214"/>
      <c r="O55" s="214"/>
      <c r="P55" s="352" t="s">
        <v>184</v>
      </c>
      <c r="Q55" s="241" t="s">
        <v>15</v>
      </c>
      <c r="R55" s="241" t="s">
        <v>113</v>
      </c>
      <c r="S55" s="241" t="s">
        <v>35</v>
      </c>
      <c r="T55" s="241" t="s">
        <v>36</v>
      </c>
      <c r="U55" s="241" t="s">
        <v>5</v>
      </c>
      <c r="V55" s="241" t="s">
        <v>5</v>
      </c>
      <c r="W55" s="264" t="s">
        <v>502</v>
      </c>
      <c r="X55" s="296">
        <v>3</v>
      </c>
      <c r="Y55" s="388">
        <v>11</v>
      </c>
      <c r="Z55" s="308">
        <f t="shared" si="2"/>
        <v>3</v>
      </c>
      <c r="AA55" s="254"/>
      <c r="AC55" s="35" t="s">
        <v>184</v>
      </c>
      <c r="AD55" s="36" t="s">
        <v>15</v>
      </c>
      <c r="AE55" s="37" t="s">
        <v>113</v>
      </c>
      <c r="AF55" s="36" t="s">
        <v>35</v>
      </c>
      <c r="AG55" s="38" t="s">
        <v>36</v>
      </c>
      <c r="AH55" s="36" t="s">
        <v>5</v>
      </c>
      <c r="AI55" s="38" t="s">
        <v>5</v>
      </c>
      <c r="AJ55" s="67" t="s">
        <v>502</v>
      </c>
      <c r="AK55" s="115">
        <v>3</v>
      </c>
      <c r="AL55" s="115">
        <v>11</v>
      </c>
      <c r="AM55" s="254"/>
      <c r="AN55" s="210" t="str">
        <f t="shared" si="3"/>
        <v/>
      </c>
      <c r="AO55" s="262"/>
      <c r="AP55" s="210" t="str">
        <f t="shared" si="4"/>
        <v/>
      </c>
      <c r="AQ55" s="214"/>
      <c r="AR55" s="210" t="s">
        <v>503</v>
      </c>
      <c r="AS55" s="262"/>
      <c r="AT55" s="214"/>
      <c r="AU55" s="254"/>
      <c r="AV55" s="254"/>
      <c r="AW55" s="254"/>
      <c r="AX55" s="254"/>
      <c r="AY55" s="254"/>
      <c r="AZ55" s="254"/>
      <c r="BA55" s="254"/>
      <c r="BB55" s="306" t="str">
        <f t="shared" si="1"/>
        <v/>
      </c>
      <c r="BC55" s="254"/>
      <c r="BD55" s="254"/>
      <c r="BE55" s="254"/>
      <c r="BF55" s="254"/>
      <c r="BG55" s="254"/>
      <c r="BH55" s="254"/>
      <c r="BI55" s="254"/>
      <c r="BJ55" s="254"/>
      <c r="BK55" s="254"/>
      <c r="BL55" s="254"/>
      <c r="BM55" s="254"/>
      <c r="BN55" s="254"/>
      <c r="BO55" s="254"/>
      <c r="BP55" s="254"/>
      <c r="BQ55" s="254"/>
      <c r="BR55" s="254"/>
      <c r="BS55" s="254"/>
      <c r="BT55" s="254"/>
      <c r="BU55" s="254"/>
      <c r="BV55" s="254"/>
      <c r="BW55" s="254"/>
      <c r="BX55" s="254"/>
    </row>
    <row r="56" spans="1:76" s="10" customFormat="1" ht="15.75" customHeight="1" x14ac:dyDescent="0.25">
      <c r="A56" s="34"/>
      <c r="B56" s="35" t="s">
        <v>184</v>
      </c>
      <c r="C56" s="36" t="s">
        <v>18</v>
      </c>
      <c r="D56" s="36" t="s">
        <v>116</v>
      </c>
      <c r="E56" s="36" t="s">
        <v>94</v>
      </c>
      <c r="F56" s="36" t="s">
        <v>95</v>
      </c>
      <c r="G56" s="36" t="s">
        <v>46</v>
      </c>
      <c r="H56" s="36" t="s">
        <v>47</v>
      </c>
      <c r="I56" s="360" t="str">
        <f t="shared" si="5"/>
        <v>S_TRU_FRA_ALU_01</v>
      </c>
      <c r="J56" s="36">
        <v>1</v>
      </c>
      <c r="K56" s="385">
        <v>53</v>
      </c>
      <c r="L56" s="214"/>
      <c r="M56" s="214"/>
      <c r="N56" s="214"/>
      <c r="O56" s="214"/>
      <c r="P56" s="352" t="s">
        <v>184</v>
      </c>
      <c r="Q56" s="262" t="s">
        <v>18</v>
      </c>
      <c r="R56" s="262" t="s">
        <v>116</v>
      </c>
      <c r="S56" s="262" t="s">
        <v>94</v>
      </c>
      <c r="T56" s="262" t="s">
        <v>95</v>
      </c>
      <c r="U56" s="262" t="s">
        <v>46</v>
      </c>
      <c r="V56" s="262" t="s">
        <v>47</v>
      </c>
      <c r="W56" s="264" t="s">
        <v>603</v>
      </c>
      <c r="X56" s="320">
        <v>1</v>
      </c>
      <c r="Y56" s="387">
        <v>53</v>
      </c>
      <c r="Z56" s="308">
        <f t="shared" si="2"/>
        <v>1</v>
      </c>
      <c r="AA56" s="254"/>
      <c r="AC56" s="35" t="s">
        <v>184</v>
      </c>
      <c r="AD56" s="36" t="s">
        <v>18</v>
      </c>
      <c r="AE56" s="37" t="s">
        <v>116</v>
      </c>
      <c r="AF56" s="36" t="s">
        <v>94</v>
      </c>
      <c r="AG56" s="38" t="s">
        <v>95</v>
      </c>
      <c r="AH56" s="36" t="s">
        <v>46</v>
      </c>
      <c r="AI56" s="38" t="s">
        <v>47</v>
      </c>
      <c r="AJ56" s="67" t="s">
        <v>603</v>
      </c>
      <c r="AK56" s="115">
        <v>1</v>
      </c>
      <c r="AL56" s="115">
        <v>53</v>
      </c>
      <c r="AM56" s="254"/>
      <c r="AN56" s="210" t="str">
        <f t="shared" si="3"/>
        <v/>
      </c>
      <c r="AO56" s="262"/>
      <c r="AP56" s="210" t="str">
        <f t="shared" si="4"/>
        <v/>
      </c>
      <c r="AQ56" s="214"/>
      <c r="AR56" s="210" t="s">
        <v>503</v>
      </c>
      <c r="AS56" s="262"/>
      <c r="AT56" s="214"/>
      <c r="AU56" s="254"/>
      <c r="AV56" s="254"/>
      <c r="AW56" s="254"/>
      <c r="AX56" s="254"/>
      <c r="AY56" s="254"/>
      <c r="AZ56" s="254"/>
      <c r="BA56" s="254"/>
      <c r="BB56" s="306" t="str">
        <f t="shared" si="1"/>
        <v/>
      </c>
      <c r="BC56" s="254"/>
      <c r="BD56" s="254"/>
      <c r="BE56" s="254"/>
      <c r="BF56" s="254"/>
      <c r="BG56" s="254"/>
      <c r="BH56" s="254"/>
      <c r="BI56" s="254"/>
      <c r="BJ56" s="254"/>
      <c r="BK56" s="254"/>
      <c r="BL56" s="254"/>
      <c r="BM56" s="254"/>
      <c r="BN56" s="254"/>
      <c r="BO56" s="254"/>
      <c r="BP56" s="254"/>
      <c r="BQ56" s="254"/>
      <c r="BR56" s="254"/>
      <c r="BS56" s="254"/>
      <c r="BT56" s="254"/>
      <c r="BU56" s="254"/>
      <c r="BV56" s="254"/>
      <c r="BW56" s="254"/>
      <c r="BX56" s="254"/>
    </row>
    <row r="57" spans="1:76" s="10" customFormat="1" ht="15.75" customHeight="1" x14ac:dyDescent="0.25">
      <c r="A57" s="34"/>
      <c r="B57" s="35"/>
      <c r="C57" s="36"/>
      <c r="D57" s="36"/>
      <c r="E57" s="36"/>
      <c r="F57" s="36"/>
      <c r="G57" s="36"/>
      <c r="H57" s="36"/>
      <c r="I57" s="360"/>
      <c r="J57" s="36"/>
      <c r="K57" s="385"/>
      <c r="L57" s="214"/>
      <c r="M57" s="214"/>
      <c r="N57" s="214"/>
      <c r="O57" s="214"/>
      <c r="P57" s="352"/>
      <c r="Q57" s="262"/>
      <c r="R57" s="353"/>
      <c r="S57" s="262"/>
      <c r="T57" s="214"/>
      <c r="U57" s="262"/>
      <c r="V57" s="214"/>
      <c r="W57" s="264"/>
      <c r="X57" s="255"/>
      <c r="Y57" s="255"/>
      <c r="Z57" s="308">
        <f t="shared" si="2"/>
        <v>0</v>
      </c>
      <c r="AA57" s="254"/>
      <c r="AC57" s="35"/>
      <c r="AD57" s="36"/>
      <c r="AE57" s="37"/>
      <c r="AF57" s="36"/>
      <c r="AG57" s="38"/>
      <c r="AH57" s="36"/>
      <c r="AI57" s="38"/>
      <c r="AJ57" s="67"/>
      <c r="AK57" s="115"/>
      <c r="AL57" s="115"/>
      <c r="AM57" s="254"/>
      <c r="AN57" s="210" t="str">
        <f t="shared" si="3"/>
        <v/>
      </c>
      <c r="AO57" s="262"/>
      <c r="AP57" s="210" t="str">
        <f t="shared" si="4"/>
        <v/>
      </c>
      <c r="AQ57" s="214"/>
      <c r="AR57" s="210" t="s">
        <v>503</v>
      </c>
      <c r="AS57" s="262"/>
      <c r="AT57" s="214"/>
      <c r="AU57" s="254"/>
      <c r="AV57" s="254"/>
      <c r="AW57" s="254"/>
      <c r="AX57" s="254"/>
      <c r="AY57" s="254"/>
      <c r="AZ57" s="254"/>
      <c r="BA57" s="254"/>
      <c r="BB57" s="306" t="str">
        <f t="shared" si="1"/>
        <v/>
      </c>
      <c r="BC57" s="254"/>
      <c r="BD57" s="254"/>
      <c r="BE57" s="254"/>
      <c r="BF57" s="254"/>
      <c r="BG57" s="254"/>
      <c r="BH57" s="254"/>
      <c r="BI57" s="254"/>
      <c r="BJ57" s="254"/>
      <c r="BK57" s="254"/>
      <c r="BL57" s="254"/>
      <c r="BM57" s="254"/>
      <c r="BN57" s="254"/>
      <c r="BO57" s="254"/>
      <c r="BP57" s="254"/>
      <c r="BQ57" s="254"/>
      <c r="BR57" s="254"/>
      <c r="BS57" s="254"/>
      <c r="BT57" s="254"/>
      <c r="BU57" s="254"/>
      <c r="BV57" s="254"/>
      <c r="BW57" s="254"/>
      <c r="BX57" s="254"/>
    </row>
    <row r="58" spans="1:76" s="10" customFormat="1" ht="15.75" customHeight="1" x14ac:dyDescent="0.25">
      <c r="A58" s="34"/>
      <c r="B58" s="35"/>
      <c r="C58" s="36"/>
      <c r="D58" s="36"/>
      <c r="E58" s="36"/>
      <c r="F58" s="36"/>
      <c r="G58" s="36"/>
      <c r="H58" s="36"/>
      <c r="I58" s="360"/>
      <c r="J58" s="36"/>
      <c r="K58" s="385"/>
      <c r="L58" s="214"/>
      <c r="M58" s="214"/>
      <c r="N58" s="214"/>
      <c r="O58" s="214"/>
      <c r="P58" s="352"/>
      <c r="Q58" s="262"/>
      <c r="R58" s="353"/>
      <c r="S58" s="262"/>
      <c r="T58" s="214"/>
      <c r="U58" s="262"/>
      <c r="V58" s="214"/>
      <c r="W58" s="264"/>
      <c r="X58" s="255"/>
      <c r="Y58" s="255"/>
      <c r="Z58" s="308">
        <f t="shared" si="2"/>
        <v>0</v>
      </c>
      <c r="AA58" s="254"/>
      <c r="AC58" s="35"/>
      <c r="AD58" s="36"/>
      <c r="AE58" s="37"/>
      <c r="AF58" s="36"/>
      <c r="AG58" s="38"/>
      <c r="AH58" s="36"/>
      <c r="AI58" s="38"/>
      <c r="AJ58" s="67"/>
      <c r="AK58" s="115"/>
      <c r="AL58" s="115"/>
      <c r="AM58" s="254"/>
      <c r="AN58" s="210" t="str">
        <f t="shared" si="3"/>
        <v/>
      </c>
      <c r="AO58" s="262"/>
      <c r="AP58" s="210" t="str">
        <f t="shared" si="4"/>
        <v/>
      </c>
      <c r="AQ58" s="214"/>
      <c r="AR58" s="210" t="s">
        <v>503</v>
      </c>
      <c r="AS58" s="262"/>
      <c r="AT58" s="214"/>
      <c r="AU58" s="254"/>
      <c r="AV58" s="254"/>
      <c r="AW58" s="254"/>
      <c r="AX58" s="254"/>
      <c r="AY58" s="254"/>
      <c r="AZ58" s="254"/>
      <c r="BA58" s="254"/>
      <c r="BB58" s="306" t="str">
        <f t="shared" si="1"/>
        <v/>
      </c>
      <c r="BC58" s="254"/>
      <c r="BD58" s="254"/>
      <c r="BE58" s="254"/>
      <c r="BF58" s="254"/>
      <c r="BG58" s="254"/>
      <c r="BH58" s="254"/>
      <c r="BI58" s="254"/>
      <c r="BJ58" s="254"/>
      <c r="BK58" s="254"/>
      <c r="BL58" s="254"/>
      <c r="BM58" s="254"/>
      <c r="BN58" s="254"/>
      <c r="BO58" s="254"/>
      <c r="BP58" s="254"/>
      <c r="BQ58" s="254"/>
      <c r="BR58" s="254"/>
      <c r="BS58" s="254"/>
      <c r="BT58" s="254"/>
      <c r="BU58" s="254"/>
      <c r="BV58" s="254"/>
      <c r="BW58" s="254"/>
      <c r="BX58" s="254"/>
    </row>
    <row r="59" spans="1:76" s="10" customFormat="1" ht="15.75" customHeight="1" x14ac:dyDescent="0.25">
      <c r="A59" s="34"/>
      <c r="B59" s="35"/>
      <c r="C59" s="36"/>
      <c r="D59" s="36"/>
      <c r="E59" s="36"/>
      <c r="F59" s="36"/>
      <c r="G59" s="36"/>
      <c r="H59" s="36"/>
      <c r="I59" s="360"/>
      <c r="J59" s="36"/>
      <c r="K59" s="385"/>
      <c r="L59" s="214"/>
      <c r="M59" s="214"/>
      <c r="N59" s="214"/>
      <c r="O59" s="214"/>
      <c r="P59" s="352"/>
      <c r="Q59" s="262"/>
      <c r="R59" s="353"/>
      <c r="S59" s="262"/>
      <c r="T59" s="214"/>
      <c r="U59" s="262"/>
      <c r="V59" s="214"/>
      <c r="W59" s="264"/>
      <c r="X59" s="255"/>
      <c r="Y59" s="255"/>
      <c r="Z59" s="308">
        <f t="shared" si="2"/>
        <v>0</v>
      </c>
      <c r="AA59" s="254"/>
      <c r="AC59" s="35"/>
      <c r="AD59" s="36"/>
      <c r="AE59" s="37"/>
      <c r="AF59" s="36"/>
      <c r="AG59" s="38"/>
      <c r="AH59" s="36"/>
      <c r="AI59" s="38"/>
      <c r="AJ59" s="67"/>
      <c r="AK59" s="115"/>
      <c r="AL59" s="115"/>
      <c r="AM59" s="254"/>
      <c r="AN59" s="210" t="str">
        <f t="shared" si="3"/>
        <v/>
      </c>
      <c r="AO59" s="262"/>
      <c r="AP59" s="210" t="str">
        <f t="shared" si="4"/>
        <v/>
      </c>
      <c r="AQ59" s="214"/>
      <c r="AR59" s="210" t="s">
        <v>503</v>
      </c>
      <c r="AS59" s="262"/>
      <c r="AT59" s="214"/>
      <c r="AU59" s="254"/>
      <c r="AV59" s="254"/>
      <c r="AW59" s="254"/>
      <c r="AX59" s="254"/>
      <c r="AY59" s="254"/>
      <c r="AZ59" s="254"/>
      <c r="BA59" s="254"/>
      <c r="BB59" s="306" t="str">
        <f t="shared" si="1"/>
        <v/>
      </c>
      <c r="BC59" s="254"/>
      <c r="BD59" s="254"/>
      <c r="BE59" s="254"/>
      <c r="BF59" s="254"/>
      <c r="BG59" s="254"/>
      <c r="BH59" s="254"/>
      <c r="BI59" s="254"/>
      <c r="BJ59" s="254"/>
      <c r="BK59" s="254"/>
      <c r="BL59" s="254"/>
      <c r="BM59" s="254"/>
      <c r="BN59" s="254"/>
      <c r="BO59" s="254"/>
      <c r="BP59" s="254"/>
      <c r="BQ59" s="254"/>
      <c r="BR59" s="254"/>
      <c r="BS59" s="254"/>
      <c r="BT59" s="254"/>
      <c r="BU59" s="254"/>
      <c r="BV59" s="254"/>
      <c r="BW59" s="254"/>
      <c r="BX59" s="254"/>
    </row>
    <row r="60" spans="1:76" s="10" customFormat="1" ht="15.75" customHeight="1" x14ac:dyDescent="0.25">
      <c r="A60" s="34"/>
      <c r="B60" s="35"/>
      <c r="C60" s="44"/>
      <c r="D60" s="44"/>
      <c r="E60" s="44"/>
      <c r="F60" s="44"/>
      <c r="G60" s="44"/>
      <c r="H60" s="44"/>
      <c r="I60" s="360"/>
      <c r="J60" s="44"/>
      <c r="K60" s="386"/>
      <c r="L60" s="214"/>
      <c r="M60" s="214"/>
      <c r="N60" s="214"/>
      <c r="O60" s="214"/>
      <c r="P60" s="352"/>
      <c r="Q60" s="262"/>
      <c r="R60" s="353"/>
      <c r="S60" s="262"/>
      <c r="T60" s="214"/>
      <c r="U60" s="262"/>
      <c r="V60" s="214"/>
      <c r="W60" s="264"/>
      <c r="X60" s="255"/>
      <c r="Y60" s="255"/>
      <c r="Z60" s="308">
        <f t="shared" si="2"/>
        <v>0</v>
      </c>
      <c r="AA60" s="254"/>
      <c r="AC60" s="35"/>
      <c r="AD60" s="36"/>
      <c r="AE60" s="37"/>
      <c r="AF60" s="36"/>
      <c r="AG60" s="38"/>
      <c r="AH60" s="36"/>
      <c r="AI60" s="38"/>
      <c r="AJ60" s="67"/>
      <c r="AK60" s="115"/>
      <c r="AL60" s="115"/>
      <c r="AM60" s="254"/>
      <c r="AN60" s="210" t="str">
        <f t="shared" si="3"/>
        <v/>
      </c>
      <c r="AO60" s="262"/>
      <c r="AP60" s="210" t="str">
        <f t="shared" si="4"/>
        <v/>
      </c>
      <c r="AQ60" s="214"/>
      <c r="AR60" s="210" t="s">
        <v>503</v>
      </c>
      <c r="AS60" s="262"/>
      <c r="AT60" s="214"/>
      <c r="AU60" s="254"/>
      <c r="AV60" s="254"/>
      <c r="AW60" s="254"/>
      <c r="AX60" s="254"/>
      <c r="AY60" s="254"/>
      <c r="AZ60" s="254"/>
      <c r="BA60" s="254"/>
      <c r="BB60" s="306" t="str">
        <f t="shared" si="1"/>
        <v/>
      </c>
      <c r="BC60" s="254"/>
      <c r="BD60" s="254"/>
      <c r="BE60" s="254"/>
      <c r="BF60" s="254"/>
      <c r="BG60" s="254"/>
      <c r="BH60" s="254"/>
      <c r="BI60" s="254"/>
      <c r="BJ60" s="254"/>
      <c r="BK60" s="254"/>
      <c r="BL60" s="254"/>
      <c r="BM60" s="254"/>
      <c r="BN60" s="254"/>
      <c r="BO60" s="254"/>
      <c r="BP60" s="254"/>
      <c r="BQ60" s="254"/>
      <c r="BR60" s="254"/>
      <c r="BS60" s="254"/>
      <c r="BT60" s="254"/>
      <c r="BU60" s="254"/>
      <c r="BV60" s="254"/>
      <c r="BW60" s="254"/>
      <c r="BX60" s="254"/>
    </row>
    <row r="61" spans="1:76" s="10" customFormat="1" ht="15.75" customHeight="1" x14ac:dyDescent="0.25">
      <c r="A61" s="34"/>
      <c r="B61" s="35"/>
      <c r="C61" s="36"/>
      <c r="D61" s="36"/>
      <c r="E61" s="36"/>
      <c r="F61" s="36"/>
      <c r="G61" s="36"/>
      <c r="H61" s="36"/>
      <c r="I61" s="360"/>
      <c r="J61" s="36"/>
      <c r="K61" s="385"/>
      <c r="L61" s="214"/>
      <c r="M61" s="214"/>
      <c r="N61" s="214"/>
      <c r="O61" s="214"/>
      <c r="P61" s="352"/>
      <c r="Q61" s="262"/>
      <c r="R61" s="353"/>
      <c r="S61" s="262"/>
      <c r="T61" s="214"/>
      <c r="U61" s="262"/>
      <c r="V61" s="214"/>
      <c r="W61" s="264"/>
      <c r="X61" s="255"/>
      <c r="Y61" s="255"/>
      <c r="Z61" s="308">
        <f t="shared" si="2"/>
        <v>0</v>
      </c>
      <c r="AA61" s="254"/>
      <c r="AC61" s="35"/>
      <c r="AD61" s="36"/>
      <c r="AE61" s="37"/>
      <c r="AF61" s="36"/>
      <c r="AG61" s="38"/>
      <c r="AH61" s="36"/>
      <c r="AI61" s="38"/>
      <c r="AJ61" s="67"/>
      <c r="AK61" s="115"/>
      <c r="AL61" s="115"/>
      <c r="AM61" s="254"/>
      <c r="AN61" s="210" t="str">
        <f t="shared" si="3"/>
        <v/>
      </c>
      <c r="AO61" s="262"/>
      <c r="AP61" s="210" t="str">
        <f t="shared" si="4"/>
        <v/>
      </c>
      <c r="AQ61" s="214"/>
      <c r="AR61" s="210" t="s">
        <v>503</v>
      </c>
      <c r="AS61" s="262"/>
      <c r="AT61" s="214"/>
      <c r="AU61" s="254"/>
      <c r="AV61" s="254"/>
      <c r="AW61" s="254"/>
      <c r="AX61" s="254"/>
      <c r="AY61" s="254"/>
      <c r="AZ61" s="254"/>
      <c r="BA61" s="254"/>
      <c r="BB61" s="306" t="str">
        <f t="shared" si="1"/>
        <v/>
      </c>
      <c r="BC61" s="254"/>
      <c r="BD61" s="254"/>
      <c r="BE61" s="254"/>
      <c r="BF61" s="254"/>
      <c r="BG61" s="254"/>
      <c r="BH61" s="254"/>
      <c r="BI61" s="254"/>
      <c r="BJ61" s="254"/>
      <c r="BK61" s="254"/>
      <c r="BL61" s="254"/>
      <c r="BM61" s="254"/>
      <c r="BN61" s="254"/>
      <c r="BO61" s="254"/>
      <c r="BP61" s="254"/>
      <c r="BQ61" s="254"/>
      <c r="BR61" s="254"/>
      <c r="BS61" s="254"/>
      <c r="BT61" s="254"/>
      <c r="BU61" s="254"/>
      <c r="BV61" s="254"/>
      <c r="BW61" s="254"/>
      <c r="BX61" s="254"/>
    </row>
    <row r="62" spans="1:76" s="10" customFormat="1" ht="15.75" customHeight="1" x14ac:dyDescent="0.25">
      <c r="A62" s="34"/>
      <c r="B62" s="35"/>
      <c r="C62" s="36"/>
      <c r="D62" s="36"/>
      <c r="E62" s="36"/>
      <c r="F62" s="36"/>
      <c r="G62" s="36"/>
      <c r="H62" s="36"/>
      <c r="I62" s="360"/>
      <c r="J62" s="36"/>
      <c r="K62" s="385"/>
      <c r="L62" s="214"/>
      <c r="M62" s="214"/>
      <c r="N62" s="214"/>
      <c r="O62" s="214"/>
      <c r="P62" s="352"/>
      <c r="Q62" s="262"/>
      <c r="R62" s="353"/>
      <c r="S62" s="262"/>
      <c r="T62" s="214"/>
      <c r="U62" s="262"/>
      <c r="V62" s="214"/>
      <c r="W62" s="264"/>
      <c r="X62" s="255"/>
      <c r="Y62" s="255"/>
      <c r="Z62" s="308">
        <f t="shared" si="2"/>
        <v>0</v>
      </c>
      <c r="AA62" s="254"/>
      <c r="AC62" s="35"/>
      <c r="AD62" s="36"/>
      <c r="AE62" s="37"/>
      <c r="AF62" s="36"/>
      <c r="AG62" s="38"/>
      <c r="AH62" s="36"/>
      <c r="AI62" s="38"/>
      <c r="AJ62" s="67"/>
      <c r="AK62" s="115"/>
      <c r="AL62" s="115"/>
      <c r="AM62" s="254"/>
      <c r="AN62" s="210" t="str">
        <f t="shared" si="3"/>
        <v/>
      </c>
      <c r="AO62" s="262"/>
      <c r="AP62" s="210" t="str">
        <f t="shared" si="4"/>
        <v/>
      </c>
      <c r="AQ62" s="214"/>
      <c r="AR62" s="210" t="s">
        <v>503</v>
      </c>
      <c r="AS62" s="262"/>
      <c r="AT62" s="214"/>
      <c r="AU62" s="254"/>
      <c r="AV62" s="254"/>
      <c r="AW62" s="254"/>
      <c r="AX62" s="254"/>
      <c r="AY62" s="254"/>
      <c r="AZ62" s="254"/>
      <c r="BA62" s="254"/>
      <c r="BB62" s="306" t="str">
        <f t="shared" si="1"/>
        <v/>
      </c>
      <c r="BC62" s="254"/>
      <c r="BD62" s="254"/>
      <c r="BE62" s="254"/>
      <c r="BF62" s="254"/>
      <c r="BG62" s="254"/>
      <c r="BH62" s="254"/>
      <c r="BI62" s="254"/>
      <c r="BJ62" s="254"/>
      <c r="BK62" s="254"/>
      <c r="BL62" s="254"/>
      <c r="BM62" s="254"/>
      <c r="BN62" s="254"/>
      <c r="BO62" s="254"/>
      <c r="BP62" s="254"/>
      <c r="BQ62" s="254"/>
      <c r="BR62" s="254"/>
      <c r="BS62" s="254"/>
      <c r="BT62" s="254"/>
      <c r="BU62" s="254"/>
      <c r="BV62" s="254"/>
      <c r="BW62" s="254"/>
      <c r="BX62" s="254"/>
    </row>
    <row r="63" spans="1:76" s="10" customFormat="1" ht="15.75" customHeight="1" x14ac:dyDescent="0.25">
      <c r="A63" s="34"/>
      <c r="B63" s="35"/>
      <c r="C63" s="44"/>
      <c r="D63" s="44"/>
      <c r="E63" s="44"/>
      <c r="F63" s="44"/>
      <c r="G63" s="44"/>
      <c r="H63" s="44"/>
      <c r="I63" s="360"/>
      <c r="J63" s="44"/>
      <c r="K63" s="386"/>
      <c r="L63" s="214"/>
      <c r="M63" s="214"/>
      <c r="N63" s="214"/>
      <c r="O63" s="214"/>
      <c r="P63" s="352"/>
      <c r="Q63" s="262"/>
      <c r="R63" s="353"/>
      <c r="S63" s="262"/>
      <c r="T63" s="214"/>
      <c r="U63" s="262"/>
      <c r="V63" s="214"/>
      <c r="W63" s="264"/>
      <c r="X63" s="255"/>
      <c r="Y63" s="255"/>
      <c r="Z63" s="308">
        <f t="shared" si="2"/>
        <v>0</v>
      </c>
      <c r="AA63" s="254"/>
      <c r="AC63" s="35"/>
      <c r="AD63" s="36"/>
      <c r="AE63" s="37"/>
      <c r="AF63" s="36"/>
      <c r="AG63" s="38"/>
      <c r="AH63" s="36"/>
      <c r="AI63" s="38"/>
      <c r="AJ63" s="67"/>
      <c r="AK63" s="115"/>
      <c r="AL63" s="115"/>
      <c r="AM63" s="254"/>
      <c r="AN63" s="210" t="str">
        <f t="shared" si="3"/>
        <v/>
      </c>
      <c r="AO63" s="262"/>
      <c r="AP63" s="210" t="str">
        <f t="shared" si="4"/>
        <v/>
      </c>
      <c r="AQ63" s="214"/>
      <c r="AR63" s="210" t="s">
        <v>503</v>
      </c>
      <c r="AS63" s="262"/>
      <c r="AT63" s="214"/>
      <c r="AU63" s="254"/>
      <c r="AV63" s="254"/>
      <c r="AW63" s="254"/>
      <c r="AX63" s="254"/>
      <c r="AY63" s="254"/>
      <c r="AZ63" s="254"/>
      <c r="BA63" s="254"/>
      <c r="BB63" s="306" t="str">
        <f t="shared" si="1"/>
        <v/>
      </c>
      <c r="BC63" s="254"/>
      <c r="BD63" s="254"/>
      <c r="BE63" s="254"/>
      <c r="BF63" s="254"/>
      <c r="BG63" s="254"/>
      <c r="BH63" s="254"/>
      <c r="BI63" s="254"/>
      <c r="BJ63" s="254"/>
      <c r="BK63" s="254"/>
      <c r="BL63" s="254"/>
      <c r="BM63" s="254"/>
      <c r="BN63" s="254"/>
      <c r="BO63" s="254"/>
      <c r="BP63" s="254"/>
      <c r="BQ63" s="254"/>
      <c r="BR63" s="254"/>
      <c r="BS63" s="254"/>
      <c r="BT63" s="254"/>
      <c r="BU63" s="254"/>
      <c r="BV63" s="254"/>
      <c r="BW63" s="254"/>
      <c r="BX63" s="254"/>
    </row>
    <row r="64" spans="1:76" s="10" customFormat="1" ht="15.75" customHeight="1" x14ac:dyDescent="0.25">
      <c r="A64" s="34"/>
      <c r="B64" s="35"/>
      <c r="C64" s="36"/>
      <c r="D64" s="36"/>
      <c r="E64" s="36"/>
      <c r="F64" s="36"/>
      <c r="G64" s="36"/>
      <c r="H64" s="36"/>
      <c r="I64" s="360"/>
      <c r="J64" s="36"/>
      <c r="K64" s="385"/>
      <c r="L64" s="214"/>
      <c r="M64" s="214"/>
      <c r="N64" s="214"/>
      <c r="O64" s="214"/>
      <c r="P64" s="352"/>
      <c r="Q64" s="262"/>
      <c r="R64" s="353"/>
      <c r="S64" s="262"/>
      <c r="T64" s="214"/>
      <c r="U64" s="262"/>
      <c r="V64" s="214"/>
      <c r="W64" s="264"/>
      <c r="X64" s="255"/>
      <c r="Y64" s="255"/>
      <c r="Z64" s="308">
        <f t="shared" si="2"/>
        <v>0</v>
      </c>
      <c r="AA64" s="254"/>
      <c r="AC64" s="35"/>
      <c r="AD64" s="36"/>
      <c r="AE64" s="37"/>
      <c r="AF64" s="36"/>
      <c r="AG64" s="38"/>
      <c r="AH64" s="36"/>
      <c r="AI64" s="38"/>
      <c r="AJ64" s="67"/>
      <c r="AK64" s="115"/>
      <c r="AL64" s="115"/>
      <c r="AM64" s="254"/>
      <c r="AN64" s="210" t="str">
        <f t="shared" si="3"/>
        <v/>
      </c>
      <c r="AO64" s="262"/>
      <c r="AP64" s="210" t="str">
        <f t="shared" si="4"/>
        <v/>
      </c>
      <c r="AQ64" s="214"/>
      <c r="AR64" s="210" t="s">
        <v>503</v>
      </c>
      <c r="AS64" s="262"/>
      <c r="AT64" s="214"/>
      <c r="AU64" s="254"/>
      <c r="AV64" s="254"/>
      <c r="AW64" s="254"/>
      <c r="AX64" s="254"/>
      <c r="AY64" s="254"/>
      <c r="AZ64" s="254"/>
      <c r="BA64" s="254"/>
      <c r="BB64" s="306" t="str">
        <f t="shared" si="1"/>
        <v/>
      </c>
      <c r="BC64" s="254"/>
      <c r="BD64" s="254"/>
      <c r="BE64" s="254"/>
      <c r="BF64" s="254"/>
      <c r="BG64" s="254"/>
      <c r="BH64" s="254"/>
      <c r="BI64" s="254"/>
      <c r="BJ64" s="254"/>
      <c r="BK64" s="254"/>
      <c r="BL64" s="254"/>
      <c r="BM64" s="254"/>
      <c r="BN64" s="254"/>
      <c r="BO64" s="254"/>
      <c r="BP64" s="254"/>
      <c r="BQ64" s="254"/>
      <c r="BR64" s="254"/>
      <c r="BS64" s="254"/>
      <c r="BT64" s="254"/>
      <c r="BU64" s="254"/>
      <c r="BV64" s="254"/>
      <c r="BW64" s="254"/>
      <c r="BX64" s="254"/>
    </row>
    <row r="65" spans="1:76" s="10" customFormat="1" ht="15.75" customHeight="1" x14ac:dyDescent="0.25">
      <c r="A65" s="34"/>
      <c r="B65" s="35"/>
      <c r="C65" s="36"/>
      <c r="D65" s="36"/>
      <c r="E65" s="36"/>
      <c r="F65" s="36"/>
      <c r="G65" s="36"/>
      <c r="H65" s="36"/>
      <c r="I65" s="360"/>
      <c r="J65" s="36"/>
      <c r="K65" s="385"/>
      <c r="L65" s="214"/>
      <c r="M65" s="214"/>
      <c r="N65" s="214"/>
      <c r="O65" s="214"/>
      <c r="P65" s="352"/>
      <c r="Q65" s="262"/>
      <c r="R65" s="353"/>
      <c r="S65" s="262"/>
      <c r="T65" s="214"/>
      <c r="U65" s="262"/>
      <c r="V65" s="214"/>
      <c r="W65" s="264"/>
      <c r="X65" s="255"/>
      <c r="Y65" s="255"/>
      <c r="Z65" s="308">
        <f t="shared" si="2"/>
        <v>0</v>
      </c>
      <c r="AA65" s="254"/>
      <c r="AC65" s="35"/>
      <c r="AD65" s="36"/>
      <c r="AE65" s="37"/>
      <c r="AF65" s="36"/>
      <c r="AG65" s="38"/>
      <c r="AH65" s="36"/>
      <c r="AI65" s="38"/>
      <c r="AJ65" s="67"/>
      <c r="AK65" s="115"/>
      <c r="AL65" s="115"/>
      <c r="AM65" s="254"/>
      <c r="AN65" s="210" t="str">
        <f t="shared" si="3"/>
        <v/>
      </c>
      <c r="AO65" s="262"/>
      <c r="AP65" s="210" t="str">
        <f t="shared" si="4"/>
        <v/>
      </c>
      <c r="AQ65" s="214"/>
      <c r="AR65" s="210" t="s">
        <v>503</v>
      </c>
      <c r="AS65" s="262"/>
      <c r="AT65" s="214"/>
      <c r="AU65" s="254"/>
      <c r="AV65" s="254"/>
      <c r="AW65" s="254"/>
      <c r="AX65" s="254"/>
      <c r="AY65" s="254"/>
      <c r="AZ65" s="254"/>
      <c r="BA65" s="254"/>
      <c r="BB65" s="306" t="str">
        <f t="shared" si="1"/>
        <v/>
      </c>
      <c r="BC65" s="254"/>
      <c r="BD65" s="254"/>
      <c r="BE65" s="254"/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  <c r="BV65" s="254"/>
      <c r="BW65" s="254"/>
      <c r="BX65" s="254"/>
    </row>
    <row r="66" spans="1:76" s="10" customFormat="1" ht="15.75" customHeight="1" x14ac:dyDescent="0.25">
      <c r="A66" s="34"/>
      <c r="B66" s="35"/>
      <c r="C66" s="36"/>
      <c r="D66" s="36"/>
      <c r="E66" s="36"/>
      <c r="F66" s="36"/>
      <c r="G66" s="36"/>
      <c r="H66" s="36"/>
      <c r="I66" s="360"/>
      <c r="J66" s="36"/>
      <c r="K66" s="385"/>
      <c r="L66" s="214"/>
      <c r="M66" s="214"/>
      <c r="N66" s="214"/>
      <c r="O66" s="214"/>
      <c r="P66" s="352"/>
      <c r="Q66" s="262"/>
      <c r="R66" s="353"/>
      <c r="S66" s="262"/>
      <c r="T66" s="214"/>
      <c r="U66" s="262"/>
      <c r="V66" s="214"/>
      <c r="W66" s="264"/>
      <c r="X66" s="255"/>
      <c r="Y66" s="255"/>
      <c r="Z66" s="308">
        <f t="shared" ref="Z66:Z126" si="6">X66*1</f>
        <v>0</v>
      </c>
      <c r="AA66" s="254"/>
      <c r="AC66" s="35"/>
      <c r="AD66" s="36"/>
      <c r="AE66" s="37"/>
      <c r="AF66" s="36"/>
      <c r="AG66" s="38"/>
      <c r="AH66" s="36"/>
      <c r="AI66" s="38"/>
      <c r="AJ66" s="67"/>
      <c r="AK66" s="115"/>
      <c r="AL66" s="115"/>
      <c r="AM66" s="254"/>
      <c r="AN66" s="210" t="str">
        <f t="shared" si="3"/>
        <v/>
      </c>
      <c r="AO66" s="262"/>
      <c r="AP66" s="210" t="str">
        <f t="shared" si="4"/>
        <v/>
      </c>
      <c r="AQ66" s="214"/>
      <c r="AR66" s="210" t="s">
        <v>503</v>
      </c>
      <c r="AS66" s="262"/>
      <c r="AT66" s="214"/>
      <c r="AU66" s="254"/>
      <c r="AV66" s="254"/>
      <c r="AW66" s="254"/>
      <c r="AX66" s="254"/>
      <c r="AY66" s="254"/>
      <c r="AZ66" s="254"/>
      <c r="BA66" s="254"/>
      <c r="BB66" s="306" t="str">
        <f t="shared" si="1"/>
        <v/>
      </c>
      <c r="BC66" s="254"/>
      <c r="BD66" s="254"/>
      <c r="BE66" s="254"/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  <c r="BV66" s="254"/>
      <c r="BW66" s="254"/>
      <c r="BX66" s="254"/>
    </row>
    <row r="67" spans="1:76" s="10" customFormat="1" ht="15.75" customHeight="1" x14ac:dyDescent="0.25">
      <c r="A67" s="39"/>
      <c r="B67" s="35"/>
      <c r="C67" s="44"/>
      <c r="D67" s="44"/>
      <c r="E67" s="44"/>
      <c r="F67" s="44"/>
      <c r="G67" s="44"/>
      <c r="H67" s="44"/>
      <c r="I67" s="360"/>
      <c r="J67" s="44"/>
      <c r="K67" s="386"/>
      <c r="L67" s="214"/>
      <c r="M67" s="214"/>
      <c r="N67" s="214"/>
      <c r="O67" s="214"/>
      <c r="P67" s="352"/>
      <c r="Q67" s="262"/>
      <c r="R67" s="353"/>
      <c r="S67" s="262"/>
      <c r="T67" s="214"/>
      <c r="U67" s="262"/>
      <c r="V67" s="214"/>
      <c r="W67" s="264"/>
      <c r="X67" s="255"/>
      <c r="Y67" s="255"/>
      <c r="Z67" s="308">
        <f t="shared" si="6"/>
        <v>0</v>
      </c>
      <c r="AA67" s="254"/>
      <c r="AC67" s="35"/>
      <c r="AD67" s="36"/>
      <c r="AE67" s="37"/>
      <c r="AF67" s="36"/>
      <c r="AG67" s="38"/>
      <c r="AH67" s="36"/>
      <c r="AI67" s="38"/>
      <c r="AJ67" s="67"/>
      <c r="AK67" s="115"/>
      <c r="AL67" s="115"/>
      <c r="AM67" s="254"/>
      <c r="AN67" s="210" t="str">
        <f t="shared" si="3"/>
        <v/>
      </c>
      <c r="AO67" s="262"/>
      <c r="AP67" s="210" t="str">
        <f t="shared" si="4"/>
        <v/>
      </c>
      <c r="AQ67" s="214"/>
      <c r="AR67" s="210" t="s">
        <v>503</v>
      </c>
      <c r="AS67" s="262"/>
      <c r="AT67" s="214"/>
      <c r="AU67" s="254"/>
      <c r="AV67" s="254"/>
      <c r="AW67" s="254"/>
      <c r="AX67" s="254"/>
      <c r="AY67" s="254"/>
      <c r="AZ67" s="254"/>
      <c r="BA67" s="254"/>
      <c r="BB67" s="306" t="str">
        <f t="shared" si="1"/>
        <v/>
      </c>
      <c r="BC67" s="254"/>
      <c r="BD67" s="254"/>
      <c r="BE67" s="254"/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  <c r="BV67" s="254"/>
      <c r="BW67" s="254"/>
      <c r="BX67" s="254"/>
    </row>
    <row r="68" spans="1:76" s="10" customFormat="1" ht="15.75" customHeight="1" x14ac:dyDescent="0.25">
      <c r="A68" s="34"/>
      <c r="B68" s="35"/>
      <c r="C68" s="44"/>
      <c r="D68" s="44"/>
      <c r="E68" s="44"/>
      <c r="F68" s="44"/>
      <c r="G68" s="44"/>
      <c r="H68" s="44"/>
      <c r="I68" s="360"/>
      <c r="J68" s="44"/>
      <c r="K68" s="386"/>
      <c r="L68" s="214"/>
      <c r="M68" s="214"/>
      <c r="N68" s="214"/>
      <c r="O68" s="214"/>
      <c r="P68" s="352"/>
      <c r="Q68" s="262"/>
      <c r="R68" s="353"/>
      <c r="S68" s="262"/>
      <c r="T68" s="214"/>
      <c r="U68" s="262"/>
      <c r="V68" s="214"/>
      <c r="W68" s="264"/>
      <c r="X68" s="255"/>
      <c r="Y68" s="255"/>
      <c r="Z68" s="308">
        <f t="shared" si="6"/>
        <v>0</v>
      </c>
      <c r="AA68" s="254"/>
      <c r="AC68" s="35"/>
      <c r="AD68" s="36"/>
      <c r="AE68" s="37"/>
      <c r="AF68" s="36"/>
      <c r="AG68" s="38"/>
      <c r="AH68" s="36"/>
      <c r="AI68" s="38"/>
      <c r="AJ68" s="67"/>
      <c r="AK68" s="115"/>
      <c r="AL68" s="115"/>
      <c r="AM68" s="254"/>
      <c r="AN68" s="210" t="str">
        <f t="shared" si="3"/>
        <v/>
      </c>
      <c r="AO68" s="262"/>
      <c r="AP68" s="210" t="str">
        <f t="shared" si="4"/>
        <v/>
      </c>
      <c r="AQ68" s="214"/>
      <c r="AR68" s="210" t="s">
        <v>503</v>
      </c>
      <c r="AS68" s="262"/>
      <c r="AT68" s="214"/>
      <c r="AU68" s="254"/>
      <c r="AV68" s="254"/>
      <c r="AW68" s="254"/>
      <c r="AX68" s="254"/>
      <c r="AY68" s="254"/>
      <c r="AZ68" s="254"/>
      <c r="BA68" s="254"/>
      <c r="BB68" s="306" t="str">
        <f t="shared" si="1"/>
        <v/>
      </c>
      <c r="BC68" s="254"/>
      <c r="BD68" s="254"/>
      <c r="BE68" s="254"/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  <c r="BV68" s="254"/>
      <c r="BW68" s="254"/>
      <c r="BX68" s="254"/>
    </row>
    <row r="69" spans="1:76" s="10" customFormat="1" ht="15.75" customHeight="1" x14ac:dyDescent="0.25">
      <c r="A69" s="34"/>
      <c r="B69" s="35"/>
      <c r="C69" s="36"/>
      <c r="D69" s="36"/>
      <c r="E69" s="36"/>
      <c r="F69" s="36"/>
      <c r="G69" s="36"/>
      <c r="H69" s="36"/>
      <c r="I69" s="360"/>
      <c r="J69" s="36"/>
      <c r="K69" s="385"/>
      <c r="L69" s="214"/>
      <c r="M69" s="214"/>
      <c r="N69" s="214"/>
      <c r="O69" s="214"/>
      <c r="P69" s="352"/>
      <c r="Q69" s="262"/>
      <c r="R69" s="353"/>
      <c r="S69" s="262"/>
      <c r="T69" s="214"/>
      <c r="U69" s="262"/>
      <c r="V69" s="214"/>
      <c r="W69" s="264"/>
      <c r="X69" s="255"/>
      <c r="Y69" s="255"/>
      <c r="Z69" s="308">
        <f t="shared" si="6"/>
        <v>0</v>
      </c>
      <c r="AA69" s="254"/>
      <c r="AC69" s="35"/>
      <c r="AD69" s="36"/>
      <c r="AE69" s="37"/>
      <c r="AF69" s="36"/>
      <c r="AG69" s="38"/>
      <c r="AH69" s="36"/>
      <c r="AI69" s="38"/>
      <c r="AJ69" s="67"/>
      <c r="AK69" s="115"/>
      <c r="AL69" s="115"/>
      <c r="AM69" s="254"/>
      <c r="AN69" s="210" t="str">
        <f t="shared" si="3"/>
        <v/>
      </c>
      <c r="AO69" s="262"/>
      <c r="AP69" s="210" t="str">
        <f t="shared" si="4"/>
        <v/>
      </c>
      <c r="AQ69" s="214"/>
      <c r="AR69" s="210" t="s">
        <v>503</v>
      </c>
      <c r="AS69" s="262"/>
      <c r="AT69" s="214"/>
      <c r="AU69" s="254"/>
      <c r="AV69" s="254"/>
      <c r="AW69" s="254"/>
      <c r="AX69" s="254"/>
      <c r="AY69" s="254"/>
      <c r="AZ69" s="254"/>
      <c r="BA69" s="254"/>
      <c r="BB69" s="306" t="str">
        <f t="shared" ref="BB69:BB132" si="7">IF(AO69="","",LEFT(AO69,SEARCH(".",AO69)-1))</f>
        <v/>
      </c>
      <c r="BC69" s="254"/>
      <c r="BD69" s="254"/>
      <c r="BE69" s="254"/>
      <c r="BF69" s="254"/>
      <c r="BG69" s="254"/>
      <c r="BH69" s="254"/>
      <c r="BI69" s="254"/>
      <c r="BJ69" s="254"/>
      <c r="BK69" s="254"/>
      <c r="BL69" s="254"/>
      <c r="BM69" s="254"/>
      <c r="BN69" s="254"/>
      <c r="BO69" s="254"/>
      <c r="BP69" s="254"/>
      <c r="BQ69" s="254"/>
      <c r="BR69" s="254"/>
      <c r="BS69" s="254"/>
      <c r="BT69" s="254"/>
      <c r="BU69" s="254"/>
      <c r="BV69" s="254"/>
      <c r="BW69" s="254"/>
      <c r="BX69" s="254"/>
    </row>
    <row r="70" spans="1:76" s="25" customFormat="1" x14ac:dyDescent="0.25">
      <c r="A70" s="34"/>
      <c r="B70" s="35"/>
      <c r="C70" s="36"/>
      <c r="D70" s="36"/>
      <c r="E70" s="36"/>
      <c r="F70" s="36"/>
      <c r="G70" s="36"/>
      <c r="H70" s="36"/>
      <c r="I70" s="360"/>
      <c r="J70" s="36"/>
      <c r="K70" s="385"/>
      <c r="L70" s="214"/>
      <c r="M70" s="219"/>
      <c r="N70" s="219"/>
      <c r="O70" s="220"/>
      <c r="P70" s="352"/>
      <c r="Q70" s="262"/>
      <c r="R70" s="353"/>
      <c r="S70" s="262"/>
      <c r="T70" s="214"/>
      <c r="U70" s="262"/>
      <c r="V70" s="214"/>
      <c r="W70" s="264"/>
      <c r="X70" s="255"/>
      <c r="Y70" s="255"/>
      <c r="Z70" s="308">
        <f t="shared" si="6"/>
        <v>0</v>
      </c>
      <c r="AA70" s="206"/>
      <c r="AC70" s="35"/>
      <c r="AD70" s="36"/>
      <c r="AE70" s="37"/>
      <c r="AF70" s="36"/>
      <c r="AG70" s="38"/>
      <c r="AH70" s="36"/>
      <c r="AI70" s="38"/>
      <c r="AJ70" s="67"/>
      <c r="AK70" s="115"/>
      <c r="AL70" s="115"/>
      <c r="AM70" s="206"/>
      <c r="AN70" s="210" t="str">
        <f t="shared" si="3"/>
        <v/>
      </c>
      <c r="AO70" s="262"/>
      <c r="AP70" s="210" t="str">
        <f t="shared" si="4"/>
        <v/>
      </c>
      <c r="AQ70" s="214"/>
      <c r="AR70" s="210" t="s">
        <v>503</v>
      </c>
      <c r="AS70" s="262"/>
      <c r="AT70" s="214"/>
      <c r="AU70" s="254"/>
      <c r="AV70" s="206"/>
      <c r="AW70" s="206"/>
      <c r="AX70" s="206"/>
      <c r="AY70" s="206"/>
      <c r="AZ70" s="206"/>
      <c r="BA70" s="206"/>
      <c r="BB70" s="306" t="str">
        <f t="shared" si="7"/>
        <v/>
      </c>
      <c r="BC70" s="206"/>
      <c r="BD70" s="206"/>
      <c r="BE70" s="206"/>
      <c r="BF70" s="206"/>
      <c r="BG70" s="206"/>
      <c r="BH70" s="206"/>
      <c r="BI70" s="206"/>
      <c r="BJ70" s="206"/>
      <c r="BK70" s="206"/>
      <c r="BL70" s="206"/>
      <c r="BM70" s="206"/>
      <c r="BN70" s="206"/>
      <c r="BO70" s="206"/>
      <c r="BP70" s="206"/>
      <c r="BQ70" s="206"/>
      <c r="BR70" s="206"/>
      <c r="BS70" s="206"/>
      <c r="BT70" s="206"/>
      <c r="BU70" s="206"/>
      <c r="BV70" s="206"/>
      <c r="BW70" s="206"/>
      <c r="BX70" s="206"/>
    </row>
    <row r="71" spans="1:76" s="25" customFormat="1" x14ac:dyDescent="0.25">
      <c r="A71" s="34"/>
      <c r="B71" s="35"/>
      <c r="C71" s="44"/>
      <c r="D71" s="44"/>
      <c r="E71" s="44"/>
      <c r="F71" s="44"/>
      <c r="G71" s="44"/>
      <c r="H71" s="44"/>
      <c r="I71" s="360"/>
      <c r="J71" s="44"/>
      <c r="K71" s="386"/>
      <c r="L71" s="214"/>
      <c r="M71" s="219"/>
      <c r="N71" s="219"/>
      <c r="O71" s="220"/>
      <c r="P71" s="352"/>
      <c r="Q71" s="262"/>
      <c r="R71" s="353"/>
      <c r="S71" s="262"/>
      <c r="T71" s="214"/>
      <c r="U71" s="262"/>
      <c r="V71" s="214"/>
      <c r="W71" s="264"/>
      <c r="X71" s="255"/>
      <c r="Y71" s="255"/>
      <c r="Z71" s="308">
        <f t="shared" si="6"/>
        <v>0</v>
      </c>
      <c r="AA71" s="206"/>
      <c r="AC71" s="35"/>
      <c r="AD71" s="36"/>
      <c r="AE71" s="37"/>
      <c r="AF71" s="36"/>
      <c r="AG71" s="38"/>
      <c r="AH71" s="36"/>
      <c r="AI71" s="38"/>
      <c r="AJ71" s="67"/>
      <c r="AK71" s="115"/>
      <c r="AL71" s="115"/>
      <c r="AM71" s="206"/>
      <c r="AN71" s="210" t="str">
        <f t="shared" si="3"/>
        <v/>
      </c>
      <c r="AO71" s="262"/>
      <c r="AP71" s="210" t="str">
        <f t="shared" si="4"/>
        <v/>
      </c>
      <c r="AQ71" s="214"/>
      <c r="AR71" s="210" t="s">
        <v>503</v>
      </c>
      <c r="AS71" s="262"/>
      <c r="AT71" s="214"/>
      <c r="AU71" s="254"/>
      <c r="AV71" s="206"/>
      <c r="AW71" s="206"/>
      <c r="AX71" s="206"/>
      <c r="AY71" s="206"/>
      <c r="AZ71" s="206"/>
      <c r="BA71" s="206"/>
      <c r="BB71" s="306" t="str">
        <f t="shared" si="7"/>
        <v/>
      </c>
      <c r="BC71" s="206"/>
      <c r="BD71" s="206"/>
      <c r="BE71" s="206"/>
      <c r="BF71" s="206"/>
      <c r="BG71" s="206"/>
      <c r="BH71" s="206"/>
      <c r="BI71" s="206"/>
      <c r="BJ71" s="206"/>
      <c r="BK71" s="206"/>
      <c r="BL71" s="206"/>
      <c r="BM71" s="206"/>
      <c r="BN71" s="206"/>
      <c r="BO71" s="206"/>
      <c r="BP71" s="206"/>
      <c r="BQ71" s="206"/>
      <c r="BR71" s="206"/>
      <c r="BS71" s="206"/>
      <c r="BT71" s="206"/>
      <c r="BU71" s="206"/>
      <c r="BV71" s="206"/>
      <c r="BW71" s="206"/>
      <c r="BX71" s="206"/>
    </row>
    <row r="72" spans="1:76" x14ac:dyDescent="0.25">
      <c r="K72" s="386"/>
      <c r="L72" s="214"/>
      <c r="P72" s="352"/>
      <c r="Q72" s="262"/>
      <c r="R72" s="353"/>
      <c r="S72" s="262"/>
      <c r="T72" s="214"/>
      <c r="U72" s="262"/>
      <c r="V72" s="214"/>
      <c r="W72" s="264"/>
      <c r="X72" s="255"/>
      <c r="Y72" s="255"/>
      <c r="Z72" s="308">
        <f t="shared" si="6"/>
        <v>0</v>
      </c>
      <c r="AK72" s="115"/>
      <c r="AL72" s="115"/>
      <c r="AN72" s="210" t="str">
        <f t="shared" ref="AN72:AN135" si="8">IF(AO72="","",AN71+1)</f>
        <v/>
      </c>
      <c r="AO72" s="262"/>
      <c r="AP72" s="210" t="str">
        <f t="shared" ref="AP72:AP135" si="9">IF(AN72="","",AN72)</f>
        <v/>
      </c>
      <c r="AQ72" s="214"/>
      <c r="AR72" s="210" t="s">
        <v>503</v>
      </c>
      <c r="AS72" s="262"/>
      <c r="AT72" s="214"/>
      <c r="AU72" s="254"/>
      <c r="BB72" s="306" t="str">
        <f t="shared" si="7"/>
        <v/>
      </c>
    </row>
    <row r="73" spans="1:76" x14ac:dyDescent="0.25">
      <c r="A73" s="39"/>
      <c r="K73" s="386"/>
      <c r="L73" s="214"/>
      <c r="P73" s="352"/>
      <c r="Q73" s="262"/>
      <c r="R73" s="353"/>
      <c r="S73" s="262"/>
      <c r="T73" s="214"/>
      <c r="U73" s="262"/>
      <c r="V73" s="214"/>
      <c r="W73" s="264"/>
      <c r="X73" s="255"/>
      <c r="Y73" s="255"/>
      <c r="Z73" s="308">
        <f t="shared" si="6"/>
        <v>0</v>
      </c>
      <c r="AK73" s="115"/>
      <c r="AL73" s="115"/>
      <c r="AN73" s="210" t="str">
        <f t="shared" si="8"/>
        <v/>
      </c>
      <c r="AO73" s="262"/>
      <c r="AP73" s="210" t="str">
        <f t="shared" si="9"/>
        <v/>
      </c>
      <c r="AQ73" s="214"/>
      <c r="AR73" s="210" t="s">
        <v>503</v>
      </c>
      <c r="AS73" s="262"/>
      <c r="AT73" s="214"/>
      <c r="AU73" s="254"/>
      <c r="BB73" s="306" t="str">
        <f t="shared" si="7"/>
        <v/>
      </c>
    </row>
    <row r="74" spans="1:76" x14ac:dyDescent="0.25">
      <c r="K74" s="386"/>
      <c r="L74" s="214"/>
      <c r="P74" s="352"/>
      <c r="X74" s="256"/>
      <c r="Y74" s="256"/>
      <c r="Z74" s="308">
        <f t="shared" si="6"/>
        <v>0</v>
      </c>
      <c r="AK74" s="117"/>
      <c r="AL74" s="117"/>
      <c r="AN74" s="210" t="str">
        <f t="shared" si="8"/>
        <v/>
      </c>
      <c r="AO74" s="262"/>
      <c r="AP74" s="210" t="str">
        <f t="shared" si="9"/>
        <v/>
      </c>
      <c r="AQ74" s="214"/>
      <c r="AR74" s="210" t="s">
        <v>503</v>
      </c>
      <c r="AS74" s="262"/>
      <c r="AT74" s="214"/>
      <c r="AU74" s="254"/>
      <c r="BB74" s="306" t="str">
        <f t="shared" si="7"/>
        <v/>
      </c>
    </row>
    <row r="75" spans="1:76" x14ac:dyDescent="0.25">
      <c r="K75" s="386"/>
      <c r="L75" s="214"/>
      <c r="P75" s="352"/>
      <c r="X75" s="256"/>
      <c r="Y75" s="256"/>
      <c r="Z75" s="308">
        <f t="shared" si="6"/>
        <v>0</v>
      </c>
      <c r="AK75" s="117"/>
      <c r="AL75" s="117"/>
      <c r="AN75" s="210" t="str">
        <f t="shared" si="8"/>
        <v/>
      </c>
      <c r="AO75" s="262"/>
      <c r="AP75" s="210" t="str">
        <f t="shared" si="9"/>
        <v/>
      </c>
      <c r="AQ75" s="214"/>
      <c r="AR75" s="210" t="s">
        <v>503</v>
      </c>
      <c r="AS75" s="262"/>
      <c r="AT75" s="214"/>
      <c r="AU75" s="254"/>
      <c r="BB75" s="306" t="str">
        <f t="shared" si="7"/>
        <v/>
      </c>
    </row>
    <row r="76" spans="1:76" x14ac:dyDescent="0.25">
      <c r="K76" s="386"/>
      <c r="L76" s="214"/>
      <c r="P76" s="352"/>
      <c r="X76" s="256"/>
      <c r="Y76" s="256"/>
      <c r="Z76" s="308">
        <f t="shared" si="6"/>
        <v>0</v>
      </c>
      <c r="AK76" s="117"/>
      <c r="AL76" s="117"/>
      <c r="AN76" s="210" t="str">
        <f t="shared" si="8"/>
        <v/>
      </c>
      <c r="AO76" s="262"/>
      <c r="AP76" s="210" t="str">
        <f t="shared" si="9"/>
        <v/>
      </c>
      <c r="AQ76" s="214"/>
      <c r="AR76" s="210" t="s">
        <v>503</v>
      </c>
      <c r="AS76" s="262"/>
      <c r="AT76" s="214"/>
      <c r="AU76" s="254"/>
      <c r="BB76" s="306" t="str">
        <f t="shared" si="7"/>
        <v/>
      </c>
    </row>
    <row r="77" spans="1:76" x14ac:dyDescent="0.25">
      <c r="K77" s="386"/>
      <c r="L77" s="214"/>
      <c r="P77" s="352"/>
      <c r="X77" s="256"/>
      <c r="Y77" s="256"/>
      <c r="Z77" s="308">
        <f t="shared" si="6"/>
        <v>0</v>
      </c>
      <c r="AK77" s="117"/>
      <c r="AL77" s="117"/>
      <c r="AN77" s="210" t="str">
        <f t="shared" si="8"/>
        <v/>
      </c>
      <c r="AO77" s="262"/>
      <c r="AP77" s="210" t="str">
        <f t="shared" si="9"/>
        <v/>
      </c>
      <c r="AQ77" s="214"/>
      <c r="AR77" s="210" t="s">
        <v>503</v>
      </c>
      <c r="AS77" s="262"/>
      <c r="AT77" s="214"/>
      <c r="AU77" s="254"/>
      <c r="BB77" s="306" t="str">
        <f t="shared" si="7"/>
        <v/>
      </c>
    </row>
    <row r="78" spans="1:76" x14ac:dyDescent="0.25">
      <c r="K78" s="386"/>
      <c r="L78" s="214"/>
      <c r="P78" s="352"/>
      <c r="X78" s="256"/>
      <c r="Y78" s="256"/>
      <c r="Z78" s="308">
        <f t="shared" si="6"/>
        <v>0</v>
      </c>
      <c r="AK78" s="117"/>
      <c r="AL78" s="117"/>
      <c r="AN78" s="210" t="str">
        <f t="shared" si="8"/>
        <v/>
      </c>
      <c r="AO78" s="262"/>
      <c r="AP78" s="210" t="str">
        <f t="shared" si="9"/>
        <v/>
      </c>
      <c r="AQ78" s="214"/>
      <c r="AR78" s="210" t="s">
        <v>503</v>
      </c>
      <c r="AS78" s="262"/>
      <c r="AT78" s="214"/>
      <c r="AU78" s="254"/>
      <c r="BB78" s="306" t="str">
        <f t="shared" si="7"/>
        <v/>
      </c>
    </row>
    <row r="79" spans="1:76" x14ac:dyDescent="0.25">
      <c r="K79" s="386"/>
      <c r="L79" s="214"/>
      <c r="P79" s="352"/>
      <c r="X79" s="256"/>
      <c r="Y79" s="256"/>
      <c r="Z79" s="308">
        <f t="shared" si="6"/>
        <v>0</v>
      </c>
      <c r="AK79" s="117"/>
      <c r="AL79" s="117"/>
      <c r="AN79" s="210" t="str">
        <f t="shared" si="8"/>
        <v/>
      </c>
      <c r="AO79" s="262"/>
      <c r="AP79" s="210" t="str">
        <f t="shared" si="9"/>
        <v/>
      </c>
      <c r="AQ79" s="214"/>
      <c r="AR79" s="210" t="s">
        <v>503</v>
      </c>
      <c r="AS79" s="262"/>
      <c r="AT79" s="214"/>
      <c r="AU79" s="254"/>
      <c r="BB79" s="306" t="str">
        <f t="shared" si="7"/>
        <v/>
      </c>
    </row>
    <row r="80" spans="1:76" x14ac:dyDescent="0.25">
      <c r="K80" s="386"/>
      <c r="L80" s="214"/>
      <c r="P80" s="352"/>
      <c r="X80" s="256"/>
      <c r="Y80" s="256"/>
      <c r="Z80" s="308">
        <f t="shared" si="6"/>
        <v>0</v>
      </c>
      <c r="AK80" s="117"/>
      <c r="AL80" s="117"/>
      <c r="AN80" s="210" t="str">
        <f t="shared" si="8"/>
        <v/>
      </c>
      <c r="AO80" s="262"/>
      <c r="AP80" s="210" t="str">
        <f t="shared" si="9"/>
        <v/>
      </c>
      <c r="AQ80" s="214"/>
      <c r="AR80" s="210" t="s">
        <v>503</v>
      </c>
      <c r="AS80" s="262"/>
      <c r="AT80" s="214"/>
      <c r="AU80" s="254"/>
      <c r="BB80" s="306" t="str">
        <f t="shared" si="7"/>
        <v/>
      </c>
    </row>
    <row r="81" spans="11:54" x14ac:dyDescent="0.25">
      <c r="K81" s="386"/>
      <c r="L81" s="214"/>
      <c r="P81" s="352"/>
      <c r="X81" s="256"/>
      <c r="Y81" s="256"/>
      <c r="Z81" s="308">
        <f t="shared" si="6"/>
        <v>0</v>
      </c>
      <c r="AK81" s="117"/>
      <c r="AL81" s="117"/>
      <c r="AN81" s="210" t="str">
        <f t="shared" si="8"/>
        <v/>
      </c>
      <c r="AO81" s="262"/>
      <c r="AP81" s="210" t="str">
        <f t="shared" si="9"/>
        <v/>
      </c>
      <c r="AQ81" s="214"/>
      <c r="AR81" s="210" t="s">
        <v>503</v>
      </c>
      <c r="AS81" s="262"/>
      <c r="AT81" s="214"/>
      <c r="AU81" s="254"/>
      <c r="BB81" s="306" t="str">
        <f t="shared" si="7"/>
        <v/>
      </c>
    </row>
    <row r="82" spans="11:54" x14ac:dyDescent="0.25">
      <c r="K82" s="386"/>
      <c r="L82" s="214"/>
      <c r="P82" s="352"/>
      <c r="X82" s="256"/>
      <c r="Y82" s="256"/>
      <c r="Z82" s="308">
        <f t="shared" si="6"/>
        <v>0</v>
      </c>
      <c r="AK82" s="117"/>
      <c r="AL82" s="117"/>
      <c r="AN82" s="210" t="str">
        <f t="shared" si="8"/>
        <v/>
      </c>
      <c r="AO82" s="262"/>
      <c r="AP82" s="210" t="str">
        <f t="shared" si="9"/>
        <v/>
      </c>
      <c r="AQ82" s="214"/>
      <c r="AR82" s="210" t="s">
        <v>503</v>
      </c>
      <c r="AS82" s="262"/>
      <c r="AT82" s="214"/>
      <c r="AU82" s="254"/>
      <c r="BB82" s="306" t="str">
        <f t="shared" si="7"/>
        <v/>
      </c>
    </row>
    <row r="83" spans="11:54" x14ac:dyDescent="0.25">
      <c r="K83" s="386"/>
      <c r="L83" s="214"/>
      <c r="P83" s="352"/>
      <c r="X83" s="256"/>
      <c r="Y83" s="256"/>
      <c r="Z83" s="308">
        <f t="shared" si="6"/>
        <v>0</v>
      </c>
      <c r="AK83" s="117"/>
      <c r="AL83" s="117"/>
      <c r="AN83" s="210" t="str">
        <f t="shared" si="8"/>
        <v/>
      </c>
      <c r="AO83" s="262"/>
      <c r="AP83" s="210" t="str">
        <f t="shared" si="9"/>
        <v/>
      </c>
      <c r="AQ83" s="214"/>
      <c r="AR83" s="210" t="s">
        <v>503</v>
      </c>
      <c r="AS83" s="262"/>
      <c r="AT83" s="214"/>
      <c r="AU83" s="254"/>
      <c r="BB83" s="306" t="str">
        <f t="shared" si="7"/>
        <v/>
      </c>
    </row>
    <row r="84" spans="11:54" x14ac:dyDescent="0.25">
      <c r="K84" s="386"/>
      <c r="L84" s="214"/>
      <c r="P84" s="352"/>
      <c r="X84" s="256"/>
      <c r="Y84" s="256"/>
      <c r="Z84" s="308">
        <f t="shared" si="6"/>
        <v>0</v>
      </c>
      <c r="AK84" s="117"/>
      <c r="AL84" s="117"/>
      <c r="AN84" s="210" t="str">
        <f t="shared" si="8"/>
        <v/>
      </c>
      <c r="AO84" s="262"/>
      <c r="AP84" s="210" t="str">
        <f t="shared" si="9"/>
        <v/>
      </c>
      <c r="AQ84" s="214"/>
      <c r="AR84" s="210" t="s">
        <v>503</v>
      </c>
      <c r="AS84" s="262"/>
      <c r="AT84" s="214"/>
      <c r="AU84" s="254"/>
      <c r="BB84" s="306" t="str">
        <f t="shared" si="7"/>
        <v/>
      </c>
    </row>
    <row r="85" spans="11:54" x14ac:dyDescent="0.25">
      <c r="K85" s="386"/>
      <c r="L85" s="214"/>
      <c r="P85" s="352"/>
      <c r="X85" s="256"/>
      <c r="Y85" s="256"/>
      <c r="Z85" s="308">
        <f t="shared" si="6"/>
        <v>0</v>
      </c>
      <c r="AK85" s="117"/>
      <c r="AL85" s="117"/>
      <c r="AN85" s="210" t="str">
        <f t="shared" si="8"/>
        <v/>
      </c>
      <c r="AO85" s="262"/>
      <c r="AP85" s="210" t="str">
        <f t="shared" si="9"/>
        <v/>
      </c>
      <c r="AQ85" s="214"/>
      <c r="AR85" s="210" t="s">
        <v>503</v>
      </c>
      <c r="AS85" s="262"/>
      <c r="AT85" s="214"/>
      <c r="AU85" s="254"/>
      <c r="BB85" s="306" t="str">
        <f t="shared" si="7"/>
        <v/>
      </c>
    </row>
    <row r="86" spans="11:54" x14ac:dyDescent="0.25">
      <c r="K86" s="386"/>
      <c r="L86" s="214"/>
      <c r="P86" s="352"/>
      <c r="X86" s="256"/>
      <c r="Y86" s="256"/>
      <c r="Z86" s="308">
        <f t="shared" si="6"/>
        <v>0</v>
      </c>
      <c r="AK86" s="117"/>
      <c r="AL86" s="117"/>
      <c r="AN86" s="210" t="str">
        <f t="shared" si="8"/>
        <v/>
      </c>
      <c r="AO86" s="262"/>
      <c r="AP86" s="210" t="str">
        <f t="shared" si="9"/>
        <v/>
      </c>
      <c r="AQ86" s="214"/>
      <c r="AR86" s="210" t="s">
        <v>503</v>
      </c>
      <c r="AS86" s="262"/>
      <c r="AT86" s="214"/>
      <c r="AU86" s="254"/>
      <c r="BB86" s="306" t="str">
        <f t="shared" si="7"/>
        <v/>
      </c>
    </row>
    <row r="87" spans="11:54" x14ac:dyDescent="0.25">
      <c r="K87" s="386"/>
      <c r="L87" s="214"/>
      <c r="P87" s="352"/>
      <c r="X87" s="256"/>
      <c r="Y87" s="256"/>
      <c r="Z87" s="308">
        <f t="shared" si="6"/>
        <v>0</v>
      </c>
      <c r="AK87" s="117"/>
      <c r="AL87" s="117"/>
      <c r="AN87" s="210" t="str">
        <f t="shared" si="8"/>
        <v/>
      </c>
      <c r="AO87" s="262"/>
      <c r="AP87" s="210" t="str">
        <f t="shared" si="9"/>
        <v/>
      </c>
      <c r="AQ87" s="214"/>
      <c r="AR87" s="210" t="s">
        <v>503</v>
      </c>
      <c r="AS87" s="262"/>
      <c r="AT87" s="214"/>
      <c r="AU87" s="254"/>
      <c r="BB87" s="306" t="str">
        <f t="shared" si="7"/>
        <v/>
      </c>
    </row>
    <row r="88" spans="11:54" x14ac:dyDescent="0.25">
      <c r="K88" s="386"/>
      <c r="L88" s="214"/>
      <c r="P88" s="352"/>
      <c r="X88" s="256"/>
      <c r="Y88" s="256"/>
      <c r="Z88" s="308">
        <f t="shared" si="6"/>
        <v>0</v>
      </c>
      <c r="AK88" s="117"/>
      <c r="AL88" s="117"/>
      <c r="AN88" s="210" t="str">
        <f t="shared" si="8"/>
        <v/>
      </c>
      <c r="AO88" s="262"/>
      <c r="AP88" s="210" t="str">
        <f t="shared" si="9"/>
        <v/>
      </c>
      <c r="AQ88" s="214"/>
      <c r="AR88" s="210" t="s">
        <v>503</v>
      </c>
      <c r="AS88" s="262"/>
      <c r="AT88" s="214"/>
      <c r="AU88" s="254"/>
      <c r="BB88" s="306" t="str">
        <f t="shared" si="7"/>
        <v/>
      </c>
    </row>
    <row r="89" spans="11:54" x14ac:dyDescent="0.25">
      <c r="K89" s="386"/>
      <c r="L89" s="214"/>
      <c r="P89" s="352"/>
      <c r="X89" s="256"/>
      <c r="Y89" s="256"/>
      <c r="Z89" s="308">
        <f t="shared" si="6"/>
        <v>0</v>
      </c>
      <c r="AK89" s="117"/>
      <c r="AL89" s="117"/>
      <c r="AN89" s="210" t="str">
        <f t="shared" si="8"/>
        <v/>
      </c>
      <c r="AO89" s="262"/>
      <c r="AP89" s="210" t="str">
        <f t="shared" si="9"/>
        <v/>
      </c>
      <c r="AQ89" s="214"/>
      <c r="AR89" s="210" t="s">
        <v>503</v>
      </c>
      <c r="AS89" s="262"/>
      <c r="AT89" s="214"/>
      <c r="AU89" s="254"/>
      <c r="BB89" s="306" t="str">
        <f t="shared" si="7"/>
        <v/>
      </c>
    </row>
    <row r="90" spans="11:54" x14ac:dyDescent="0.25">
      <c r="K90" s="386"/>
      <c r="L90" s="214"/>
      <c r="P90" s="352"/>
      <c r="X90" s="256"/>
      <c r="Y90" s="256"/>
      <c r="Z90" s="308">
        <f t="shared" si="6"/>
        <v>0</v>
      </c>
      <c r="AK90" s="117"/>
      <c r="AL90" s="117"/>
      <c r="AN90" s="210" t="str">
        <f t="shared" si="8"/>
        <v/>
      </c>
      <c r="AO90" s="262"/>
      <c r="AP90" s="210" t="str">
        <f t="shared" si="9"/>
        <v/>
      </c>
      <c r="AQ90" s="214"/>
      <c r="AR90" s="210" t="s">
        <v>503</v>
      </c>
      <c r="AS90" s="262"/>
      <c r="AT90" s="214"/>
      <c r="AU90" s="254"/>
      <c r="BB90" s="306" t="str">
        <f t="shared" si="7"/>
        <v/>
      </c>
    </row>
    <row r="91" spans="11:54" x14ac:dyDescent="0.25">
      <c r="K91" s="386"/>
      <c r="L91" s="214"/>
      <c r="P91" s="352"/>
      <c r="X91" s="256"/>
      <c r="Y91" s="256"/>
      <c r="Z91" s="308">
        <f t="shared" si="6"/>
        <v>0</v>
      </c>
      <c r="AK91" s="117"/>
      <c r="AL91" s="117"/>
      <c r="AN91" s="210" t="str">
        <f t="shared" si="8"/>
        <v/>
      </c>
      <c r="AO91" s="262"/>
      <c r="AP91" s="210" t="str">
        <f t="shared" si="9"/>
        <v/>
      </c>
      <c r="AQ91" s="214"/>
      <c r="AR91" s="210" t="s">
        <v>503</v>
      </c>
      <c r="AS91" s="262"/>
      <c r="AT91" s="214"/>
      <c r="AU91" s="254"/>
      <c r="BB91" s="306" t="str">
        <f t="shared" si="7"/>
        <v/>
      </c>
    </row>
    <row r="92" spans="11:54" x14ac:dyDescent="0.25">
      <c r="K92" s="386"/>
      <c r="L92" s="214"/>
      <c r="P92" s="352"/>
      <c r="X92" s="256"/>
      <c r="Y92" s="256"/>
      <c r="Z92" s="308">
        <f t="shared" si="6"/>
        <v>0</v>
      </c>
      <c r="AK92" s="117"/>
      <c r="AL92" s="117"/>
      <c r="AN92" s="210" t="str">
        <f t="shared" si="8"/>
        <v/>
      </c>
      <c r="AO92" s="262"/>
      <c r="AP92" s="210" t="str">
        <f t="shared" si="9"/>
        <v/>
      </c>
      <c r="AQ92" s="214"/>
      <c r="AR92" s="210" t="s">
        <v>503</v>
      </c>
      <c r="AS92" s="262"/>
      <c r="AT92" s="214"/>
      <c r="AU92" s="254"/>
      <c r="BB92" s="306" t="str">
        <f t="shared" si="7"/>
        <v/>
      </c>
    </row>
    <row r="93" spans="11:54" x14ac:dyDescent="0.25">
      <c r="K93" s="386"/>
      <c r="L93" s="214"/>
      <c r="P93" s="352"/>
      <c r="X93" s="256"/>
      <c r="Y93" s="256"/>
      <c r="Z93" s="308">
        <f t="shared" si="6"/>
        <v>0</v>
      </c>
      <c r="AK93" s="117"/>
      <c r="AL93" s="117"/>
      <c r="AN93" s="210" t="str">
        <f t="shared" si="8"/>
        <v/>
      </c>
      <c r="AO93" s="262"/>
      <c r="AP93" s="210" t="str">
        <f t="shared" si="9"/>
        <v/>
      </c>
      <c r="AQ93" s="214"/>
      <c r="AR93" s="210" t="s">
        <v>503</v>
      </c>
      <c r="AS93" s="262"/>
      <c r="AT93" s="214"/>
      <c r="AU93" s="254"/>
      <c r="BB93" s="306" t="str">
        <f t="shared" si="7"/>
        <v/>
      </c>
    </row>
    <row r="94" spans="11:54" x14ac:dyDescent="0.25">
      <c r="K94" s="386"/>
      <c r="L94" s="214"/>
      <c r="P94" s="352"/>
      <c r="X94" s="256"/>
      <c r="Y94" s="256"/>
      <c r="Z94" s="308">
        <f t="shared" si="6"/>
        <v>0</v>
      </c>
      <c r="AK94" s="117"/>
      <c r="AL94" s="117"/>
      <c r="AN94" s="210" t="str">
        <f t="shared" si="8"/>
        <v/>
      </c>
      <c r="AO94" s="262"/>
      <c r="AP94" s="210" t="str">
        <f t="shared" si="9"/>
        <v/>
      </c>
      <c r="AQ94" s="214"/>
      <c r="AR94" s="210" t="s">
        <v>503</v>
      </c>
      <c r="AS94" s="262"/>
      <c r="AT94" s="214"/>
      <c r="AU94" s="254"/>
      <c r="BB94" s="306" t="str">
        <f t="shared" si="7"/>
        <v/>
      </c>
    </row>
    <row r="95" spans="11:54" x14ac:dyDescent="0.25">
      <c r="K95" s="386"/>
      <c r="L95" s="214"/>
      <c r="P95" s="352"/>
      <c r="X95" s="256"/>
      <c r="Y95" s="256"/>
      <c r="Z95" s="308">
        <f t="shared" si="6"/>
        <v>0</v>
      </c>
      <c r="AK95" s="117"/>
      <c r="AL95" s="117"/>
      <c r="AN95" s="210" t="str">
        <f t="shared" si="8"/>
        <v/>
      </c>
      <c r="AO95" s="262"/>
      <c r="AP95" s="210" t="str">
        <f t="shared" si="9"/>
        <v/>
      </c>
      <c r="AQ95" s="214"/>
      <c r="AR95" s="210" t="s">
        <v>503</v>
      </c>
      <c r="AS95" s="262"/>
      <c r="AT95" s="214"/>
      <c r="AU95" s="254"/>
      <c r="BB95" s="306" t="str">
        <f t="shared" si="7"/>
        <v/>
      </c>
    </row>
    <row r="96" spans="11:54" x14ac:dyDescent="0.25">
      <c r="K96" s="386"/>
      <c r="L96" s="214"/>
      <c r="P96" s="352"/>
      <c r="X96" s="256"/>
      <c r="Y96" s="256"/>
      <c r="Z96" s="308">
        <f t="shared" si="6"/>
        <v>0</v>
      </c>
      <c r="AK96" s="117"/>
      <c r="AL96" s="117"/>
      <c r="AN96" s="210" t="str">
        <f t="shared" si="8"/>
        <v/>
      </c>
      <c r="AO96" s="262"/>
      <c r="AP96" s="210" t="str">
        <f t="shared" si="9"/>
        <v/>
      </c>
      <c r="AQ96" s="214"/>
      <c r="AR96" s="210" t="s">
        <v>503</v>
      </c>
      <c r="AS96" s="262"/>
      <c r="AT96" s="214"/>
      <c r="AU96" s="254"/>
      <c r="BB96" s="306" t="str">
        <f t="shared" si="7"/>
        <v/>
      </c>
    </row>
    <row r="97" spans="11:54" x14ac:dyDescent="0.25">
      <c r="K97" s="386"/>
      <c r="L97" s="214"/>
      <c r="P97" s="352"/>
      <c r="X97" s="256"/>
      <c r="Y97" s="256"/>
      <c r="Z97" s="308">
        <f t="shared" si="6"/>
        <v>0</v>
      </c>
      <c r="AK97" s="117"/>
      <c r="AL97" s="117"/>
      <c r="AN97" s="210" t="str">
        <f t="shared" si="8"/>
        <v/>
      </c>
      <c r="AO97" s="262"/>
      <c r="AP97" s="210" t="str">
        <f t="shared" si="9"/>
        <v/>
      </c>
      <c r="AQ97" s="214"/>
      <c r="AR97" s="210" t="s">
        <v>503</v>
      </c>
      <c r="AS97" s="262"/>
      <c r="AT97" s="214"/>
      <c r="AU97" s="254"/>
      <c r="BB97" s="306" t="str">
        <f t="shared" si="7"/>
        <v/>
      </c>
    </row>
    <row r="98" spans="11:54" x14ac:dyDescent="0.25">
      <c r="K98" s="386"/>
      <c r="L98" s="214"/>
      <c r="P98" s="352"/>
      <c r="X98" s="256"/>
      <c r="Y98" s="256"/>
      <c r="Z98" s="308">
        <f t="shared" si="6"/>
        <v>0</v>
      </c>
      <c r="AK98" s="117"/>
      <c r="AL98" s="117"/>
      <c r="AN98" s="210" t="str">
        <f t="shared" si="8"/>
        <v/>
      </c>
      <c r="AO98" s="262"/>
      <c r="AP98" s="210" t="str">
        <f t="shared" si="9"/>
        <v/>
      </c>
      <c r="AQ98" s="214"/>
      <c r="AR98" s="210" t="s">
        <v>503</v>
      </c>
      <c r="AS98" s="262"/>
      <c r="AT98" s="214"/>
      <c r="AU98" s="254"/>
      <c r="BB98" s="306" t="str">
        <f t="shared" si="7"/>
        <v/>
      </c>
    </row>
    <row r="99" spans="11:54" x14ac:dyDescent="0.25">
      <c r="K99" s="386"/>
      <c r="L99" s="214"/>
      <c r="P99" s="352"/>
      <c r="U99" s="220"/>
      <c r="X99" s="256"/>
      <c r="Y99" s="256"/>
      <c r="Z99" s="308">
        <f t="shared" si="6"/>
        <v>0</v>
      </c>
      <c r="AH99" s="46"/>
      <c r="AK99" s="117"/>
      <c r="AL99" s="117"/>
      <c r="AN99" s="210" t="str">
        <f t="shared" si="8"/>
        <v/>
      </c>
      <c r="AO99" s="262"/>
      <c r="AP99" s="210" t="str">
        <f t="shared" si="9"/>
        <v/>
      </c>
      <c r="AQ99" s="214"/>
      <c r="AR99" s="210" t="s">
        <v>503</v>
      </c>
      <c r="AS99" s="262"/>
      <c r="AT99" s="214"/>
      <c r="AU99" s="254"/>
      <c r="BB99" s="306" t="str">
        <f t="shared" si="7"/>
        <v/>
      </c>
    </row>
    <row r="100" spans="11:54" x14ac:dyDescent="0.25">
      <c r="K100" s="386"/>
      <c r="L100" s="214"/>
      <c r="P100" s="352"/>
      <c r="X100" s="256"/>
      <c r="Y100" s="256"/>
      <c r="Z100" s="308">
        <f t="shared" si="6"/>
        <v>0</v>
      </c>
      <c r="AK100" s="117"/>
      <c r="AL100" s="117"/>
      <c r="AN100" s="210" t="str">
        <f t="shared" si="8"/>
        <v/>
      </c>
      <c r="AO100" s="262"/>
      <c r="AP100" s="210" t="str">
        <f t="shared" si="9"/>
        <v/>
      </c>
      <c r="AQ100" s="214"/>
      <c r="AR100" s="210" t="s">
        <v>503</v>
      </c>
      <c r="AS100" s="262"/>
      <c r="AT100" s="214"/>
      <c r="AU100" s="254"/>
      <c r="BB100" s="306" t="str">
        <f t="shared" si="7"/>
        <v/>
      </c>
    </row>
    <row r="101" spans="11:54" x14ac:dyDescent="0.25">
      <c r="K101" s="386"/>
      <c r="L101" s="214"/>
      <c r="P101" s="352"/>
      <c r="X101" s="256"/>
      <c r="Y101" s="256"/>
      <c r="Z101" s="308">
        <f t="shared" si="6"/>
        <v>0</v>
      </c>
      <c r="AK101" s="117"/>
      <c r="AL101" s="117"/>
      <c r="AN101" s="210" t="str">
        <f t="shared" si="8"/>
        <v/>
      </c>
      <c r="AO101" s="262"/>
      <c r="AP101" s="210" t="str">
        <f t="shared" si="9"/>
        <v/>
      </c>
      <c r="AQ101" s="214"/>
      <c r="AR101" s="210" t="s">
        <v>503</v>
      </c>
      <c r="AS101" s="262"/>
      <c r="AT101" s="214"/>
      <c r="AU101" s="254"/>
      <c r="BB101" s="306" t="str">
        <f t="shared" si="7"/>
        <v/>
      </c>
    </row>
    <row r="102" spans="11:54" x14ac:dyDescent="0.25">
      <c r="K102" s="386"/>
      <c r="L102" s="214"/>
      <c r="P102" s="352"/>
      <c r="X102" s="256"/>
      <c r="Y102" s="256"/>
      <c r="Z102" s="308">
        <f t="shared" si="6"/>
        <v>0</v>
      </c>
      <c r="AK102" s="117"/>
      <c r="AL102" s="117"/>
      <c r="AN102" s="210" t="str">
        <f t="shared" si="8"/>
        <v/>
      </c>
      <c r="AO102" s="262"/>
      <c r="AP102" s="210" t="str">
        <f t="shared" si="9"/>
        <v/>
      </c>
      <c r="AQ102" s="214"/>
      <c r="AR102" s="210" t="s">
        <v>503</v>
      </c>
      <c r="AS102" s="262"/>
      <c r="AT102" s="214"/>
      <c r="AU102" s="254"/>
      <c r="BB102" s="306" t="str">
        <f t="shared" si="7"/>
        <v/>
      </c>
    </row>
    <row r="103" spans="11:54" x14ac:dyDescent="0.25">
      <c r="K103" s="386"/>
      <c r="L103" s="214"/>
      <c r="P103" s="352"/>
      <c r="X103" s="256"/>
      <c r="Y103" s="256"/>
      <c r="Z103" s="308">
        <f t="shared" si="6"/>
        <v>0</v>
      </c>
      <c r="AK103" s="117"/>
      <c r="AL103" s="117"/>
      <c r="AN103" s="210" t="str">
        <f t="shared" si="8"/>
        <v/>
      </c>
      <c r="AO103" s="262"/>
      <c r="AP103" s="210" t="str">
        <f t="shared" si="9"/>
        <v/>
      </c>
      <c r="AQ103" s="214"/>
      <c r="AR103" s="210" t="s">
        <v>503</v>
      </c>
      <c r="AS103" s="262"/>
      <c r="AT103" s="214"/>
      <c r="AU103" s="254"/>
      <c r="BB103" s="306" t="str">
        <f t="shared" si="7"/>
        <v/>
      </c>
    </row>
    <row r="104" spans="11:54" x14ac:dyDescent="0.25">
      <c r="K104" s="386"/>
      <c r="L104" s="214"/>
      <c r="P104" s="352"/>
      <c r="X104" s="256"/>
      <c r="Y104" s="256"/>
      <c r="Z104" s="308">
        <f t="shared" si="6"/>
        <v>0</v>
      </c>
      <c r="AK104" s="117"/>
      <c r="AL104" s="117"/>
      <c r="AN104" s="210" t="str">
        <f t="shared" si="8"/>
        <v/>
      </c>
      <c r="AO104" s="262"/>
      <c r="AP104" s="210" t="str">
        <f t="shared" si="9"/>
        <v/>
      </c>
      <c r="AQ104" s="214"/>
      <c r="AR104" s="210" t="s">
        <v>503</v>
      </c>
      <c r="AS104" s="262"/>
      <c r="AT104" s="214"/>
      <c r="AU104" s="254"/>
      <c r="BB104" s="306" t="str">
        <f t="shared" si="7"/>
        <v/>
      </c>
    </row>
    <row r="105" spans="11:54" x14ac:dyDescent="0.25">
      <c r="K105" s="386"/>
      <c r="L105" s="214"/>
      <c r="P105" s="352"/>
      <c r="X105" s="256"/>
      <c r="Y105" s="256"/>
      <c r="Z105" s="308">
        <f t="shared" si="6"/>
        <v>0</v>
      </c>
      <c r="AK105" s="117"/>
      <c r="AL105" s="117"/>
      <c r="AN105" s="210" t="str">
        <f t="shared" si="8"/>
        <v/>
      </c>
      <c r="AO105" s="262"/>
      <c r="AP105" s="210" t="str">
        <f t="shared" si="9"/>
        <v/>
      </c>
      <c r="AQ105" s="214"/>
      <c r="AR105" s="210" t="s">
        <v>503</v>
      </c>
      <c r="AS105" s="262"/>
      <c r="AT105" s="214"/>
      <c r="AU105" s="254"/>
      <c r="BB105" s="306" t="str">
        <f t="shared" si="7"/>
        <v/>
      </c>
    </row>
    <row r="106" spans="11:54" x14ac:dyDescent="0.25">
      <c r="K106" s="386"/>
      <c r="L106" s="214"/>
      <c r="P106" s="352"/>
      <c r="X106" s="256"/>
      <c r="Y106" s="256"/>
      <c r="Z106" s="308">
        <f t="shared" si="6"/>
        <v>0</v>
      </c>
      <c r="AK106" s="117"/>
      <c r="AL106" s="117"/>
      <c r="AN106" s="210" t="str">
        <f t="shared" si="8"/>
        <v/>
      </c>
      <c r="AO106" s="262"/>
      <c r="AP106" s="210" t="str">
        <f t="shared" si="9"/>
        <v/>
      </c>
      <c r="AQ106" s="214"/>
      <c r="AR106" s="210" t="s">
        <v>503</v>
      </c>
      <c r="AS106" s="262"/>
      <c r="AT106" s="214"/>
      <c r="AU106" s="254"/>
      <c r="BB106" s="306" t="str">
        <f t="shared" si="7"/>
        <v/>
      </c>
    </row>
    <row r="107" spans="11:54" x14ac:dyDescent="0.25">
      <c r="K107" s="386"/>
      <c r="L107" s="214"/>
      <c r="P107" s="352"/>
      <c r="X107" s="256"/>
      <c r="Y107" s="256"/>
      <c r="Z107" s="308">
        <f t="shared" si="6"/>
        <v>0</v>
      </c>
      <c r="AK107" s="117"/>
      <c r="AL107" s="117"/>
      <c r="AN107" s="210" t="str">
        <f t="shared" si="8"/>
        <v/>
      </c>
      <c r="AO107" s="262"/>
      <c r="AP107" s="210" t="str">
        <f t="shared" si="9"/>
        <v/>
      </c>
      <c r="AQ107" s="214"/>
      <c r="AR107" s="210" t="s">
        <v>503</v>
      </c>
      <c r="AS107" s="262"/>
      <c r="AT107" s="214"/>
      <c r="AU107" s="254"/>
      <c r="BB107" s="306" t="str">
        <f t="shared" si="7"/>
        <v/>
      </c>
    </row>
    <row r="108" spans="11:54" x14ac:dyDescent="0.25">
      <c r="K108" s="386"/>
      <c r="L108" s="214"/>
      <c r="P108" s="352"/>
      <c r="X108" s="256"/>
      <c r="Y108" s="256"/>
      <c r="Z108" s="308">
        <f t="shared" si="6"/>
        <v>0</v>
      </c>
      <c r="AK108" s="117"/>
      <c r="AL108" s="117"/>
      <c r="AN108" s="210" t="str">
        <f t="shared" si="8"/>
        <v/>
      </c>
      <c r="AO108" s="262"/>
      <c r="AP108" s="210" t="str">
        <f t="shared" si="9"/>
        <v/>
      </c>
      <c r="AQ108" s="214"/>
      <c r="AR108" s="210" t="s">
        <v>503</v>
      </c>
      <c r="AS108" s="262"/>
      <c r="AT108" s="214"/>
      <c r="AU108" s="254"/>
      <c r="BB108" s="306" t="str">
        <f t="shared" si="7"/>
        <v/>
      </c>
    </row>
    <row r="109" spans="11:54" x14ac:dyDescent="0.25">
      <c r="K109" s="386"/>
      <c r="L109" s="214"/>
      <c r="P109" s="352"/>
      <c r="X109" s="256"/>
      <c r="Y109" s="256"/>
      <c r="Z109" s="308">
        <f t="shared" si="6"/>
        <v>0</v>
      </c>
      <c r="AK109" s="117"/>
      <c r="AL109" s="117"/>
      <c r="AN109" s="210" t="str">
        <f t="shared" si="8"/>
        <v/>
      </c>
      <c r="AO109" s="262"/>
      <c r="AP109" s="210" t="str">
        <f t="shared" si="9"/>
        <v/>
      </c>
      <c r="AQ109" s="214"/>
      <c r="AR109" s="210" t="s">
        <v>503</v>
      </c>
      <c r="AS109" s="262"/>
      <c r="AT109" s="214"/>
      <c r="AU109" s="254"/>
      <c r="BB109" s="306" t="str">
        <f t="shared" si="7"/>
        <v/>
      </c>
    </row>
    <row r="110" spans="11:54" x14ac:dyDescent="0.25">
      <c r="K110" s="386"/>
      <c r="L110" s="214"/>
      <c r="P110" s="352"/>
      <c r="X110" s="256"/>
      <c r="Y110" s="256"/>
      <c r="Z110" s="308">
        <f t="shared" si="6"/>
        <v>0</v>
      </c>
      <c r="AK110" s="117"/>
      <c r="AL110" s="117"/>
      <c r="AN110" s="210" t="str">
        <f t="shared" si="8"/>
        <v/>
      </c>
      <c r="AO110" s="262"/>
      <c r="AP110" s="210" t="str">
        <f t="shared" si="9"/>
        <v/>
      </c>
      <c r="AQ110" s="214"/>
      <c r="AR110" s="210" t="s">
        <v>503</v>
      </c>
      <c r="AS110" s="262"/>
      <c r="AT110" s="214"/>
      <c r="AU110" s="254"/>
      <c r="BB110" s="306" t="str">
        <f t="shared" si="7"/>
        <v/>
      </c>
    </row>
    <row r="111" spans="11:54" x14ac:dyDescent="0.25">
      <c r="K111" s="386"/>
      <c r="L111" s="214"/>
      <c r="P111" s="352"/>
      <c r="X111" s="256"/>
      <c r="Y111" s="256"/>
      <c r="Z111" s="308">
        <f t="shared" si="6"/>
        <v>0</v>
      </c>
      <c r="AK111" s="117"/>
      <c r="AL111" s="117"/>
      <c r="AN111" s="210" t="str">
        <f t="shared" si="8"/>
        <v/>
      </c>
      <c r="AO111" s="262"/>
      <c r="AP111" s="210" t="str">
        <f t="shared" si="9"/>
        <v/>
      </c>
      <c r="AQ111" s="214"/>
      <c r="AR111" s="210" t="s">
        <v>503</v>
      </c>
      <c r="AS111" s="262"/>
      <c r="AT111" s="214"/>
      <c r="AU111" s="254"/>
      <c r="BB111" s="306" t="str">
        <f t="shared" si="7"/>
        <v/>
      </c>
    </row>
    <row r="112" spans="11:54" x14ac:dyDescent="0.25">
      <c r="K112" s="386"/>
      <c r="L112" s="214"/>
      <c r="P112" s="352"/>
      <c r="X112" s="256"/>
      <c r="Y112" s="256"/>
      <c r="Z112" s="308">
        <f t="shared" si="6"/>
        <v>0</v>
      </c>
      <c r="AK112" s="117"/>
      <c r="AL112" s="117"/>
      <c r="AN112" s="210" t="str">
        <f t="shared" si="8"/>
        <v/>
      </c>
      <c r="AO112" s="262"/>
      <c r="AP112" s="210" t="str">
        <f t="shared" si="9"/>
        <v/>
      </c>
      <c r="AQ112" s="214"/>
      <c r="AR112" s="210" t="s">
        <v>503</v>
      </c>
      <c r="AS112" s="262"/>
      <c r="AT112" s="214"/>
      <c r="AU112" s="254"/>
      <c r="BB112" s="306" t="str">
        <f t="shared" si="7"/>
        <v/>
      </c>
    </row>
    <row r="113" spans="3:54" x14ac:dyDescent="0.25">
      <c r="K113" s="386"/>
      <c r="L113" s="214"/>
      <c r="P113" s="352"/>
      <c r="X113" s="256"/>
      <c r="Y113" s="256"/>
      <c r="Z113" s="308">
        <f t="shared" si="6"/>
        <v>0</v>
      </c>
      <c r="AK113" s="117"/>
      <c r="AL113" s="117"/>
      <c r="AN113" s="210" t="str">
        <f t="shared" si="8"/>
        <v/>
      </c>
      <c r="AO113" s="262"/>
      <c r="AP113" s="210" t="str">
        <f t="shared" si="9"/>
        <v/>
      </c>
      <c r="AQ113" s="214"/>
      <c r="AR113" s="210" t="s">
        <v>503</v>
      </c>
      <c r="AS113" s="262"/>
      <c r="AT113" s="214"/>
      <c r="AU113" s="254"/>
      <c r="BB113" s="306" t="str">
        <f t="shared" si="7"/>
        <v/>
      </c>
    </row>
    <row r="114" spans="3:54" x14ac:dyDescent="0.25">
      <c r="K114" s="386"/>
      <c r="L114" s="214"/>
      <c r="P114" s="352"/>
      <c r="X114" s="256"/>
      <c r="Y114" s="256"/>
      <c r="Z114" s="308">
        <f t="shared" si="6"/>
        <v>0</v>
      </c>
      <c r="AK114" s="117"/>
      <c r="AL114" s="117"/>
      <c r="AN114" s="210" t="str">
        <f t="shared" si="8"/>
        <v/>
      </c>
      <c r="AO114" s="262"/>
      <c r="AP114" s="210" t="str">
        <f t="shared" si="9"/>
        <v/>
      </c>
      <c r="AQ114" s="214"/>
      <c r="AR114" s="210" t="s">
        <v>503</v>
      </c>
      <c r="AS114" s="262"/>
      <c r="AT114" s="214"/>
      <c r="AU114" s="254"/>
      <c r="BB114" s="306" t="str">
        <f t="shared" si="7"/>
        <v/>
      </c>
    </row>
    <row r="115" spans="3:54" x14ac:dyDescent="0.25">
      <c r="K115" s="386"/>
      <c r="L115" s="214"/>
      <c r="P115" s="352"/>
      <c r="X115" s="256"/>
      <c r="Y115" s="256"/>
      <c r="Z115" s="308">
        <f t="shared" si="6"/>
        <v>0</v>
      </c>
      <c r="AK115" s="117"/>
      <c r="AL115" s="117"/>
      <c r="AN115" s="210" t="str">
        <f t="shared" si="8"/>
        <v/>
      </c>
      <c r="AO115" s="262"/>
      <c r="AP115" s="210" t="str">
        <f t="shared" si="9"/>
        <v/>
      </c>
      <c r="AQ115" s="214"/>
      <c r="AR115" s="210" t="s">
        <v>503</v>
      </c>
      <c r="AS115" s="262"/>
      <c r="AT115" s="214"/>
      <c r="AU115" s="254"/>
      <c r="BB115" s="306" t="str">
        <f t="shared" si="7"/>
        <v/>
      </c>
    </row>
    <row r="116" spans="3:54" x14ac:dyDescent="0.25">
      <c r="K116" s="386"/>
      <c r="L116" s="214"/>
      <c r="P116" s="352"/>
      <c r="X116" s="256"/>
      <c r="Y116" s="256"/>
      <c r="Z116" s="308">
        <f t="shared" si="6"/>
        <v>0</v>
      </c>
      <c r="AK116" s="117"/>
      <c r="AL116" s="117"/>
      <c r="AN116" s="210" t="str">
        <f t="shared" si="8"/>
        <v/>
      </c>
      <c r="AO116" s="262"/>
      <c r="AP116" s="210" t="str">
        <f t="shared" si="9"/>
        <v/>
      </c>
      <c r="AQ116" s="214"/>
      <c r="AR116" s="210" t="s">
        <v>503</v>
      </c>
      <c r="AS116" s="262"/>
      <c r="AT116" s="214"/>
      <c r="AU116" s="254"/>
      <c r="BB116" s="306" t="str">
        <f t="shared" si="7"/>
        <v/>
      </c>
    </row>
    <row r="117" spans="3:54" x14ac:dyDescent="0.25">
      <c r="K117" s="386"/>
      <c r="L117" s="214"/>
      <c r="P117" s="352"/>
      <c r="X117" s="256"/>
      <c r="Y117" s="256"/>
      <c r="Z117" s="308">
        <f t="shared" si="6"/>
        <v>0</v>
      </c>
      <c r="AK117" s="117"/>
      <c r="AL117" s="117"/>
      <c r="AN117" s="210" t="str">
        <f t="shared" si="8"/>
        <v/>
      </c>
      <c r="AO117" s="262"/>
      <c r="AP117" s="210" t="str">
        <f t="shared" si="9"/>
        <v/>
      </c>
      <c r="AQ117" s="214"/>
      <c r="AR117" s="210" t="s">
        <v>503</v>
      </c>
      <c r="AS117" s="262"/>
      <c r="AT117" s="214"/>
      <c r="AU117" s="254"/>
      <c r="BB117" s="306" t="str">
        <f t="shared" si="7"/>
        <v/>
      </c>
    </row>
    <row r="118" spans="3:54" x14ac:dyDescent="0.25">
      <c r="C118" s="36"/>
      <c r="D118" s="36"/>
      <c r="E118" s="36"/>
      <c r="F118" s="36"/>
      <c r="G118" s="36"/>
      <c r="H118" s="36"/>
      <c r="J118" s="36"/>
      <c r="K118" s="385"/>
      <c r="L118" s="214"/>
      <c r="P118" s="352"/>
      <c r="X118" s="256"/>
      <c r="Y118" s="256"/>
      <c r="Z118" s="308">
        <f t="shared" si="6"/>
        <v>0</v>
      </c>
      <c r="AK118" s="117"/>
      <c r="AL118" s="117"/>
      <c r="AN118" s="210" t="str">
        <f t="shared" si="8"/>
        <v/>
      </c>
      <c r="AO118" s="262"/>
      <c r="AP118" s="210" t="str">
        <f t="shared" si="9"/>
        <v/>
      </c>
      <c r="AQ118" s="214"/>
      <c r="AR118" s="210" t="s">
        <v>503</v>
      </c>
      <c r="AS118" s="262"/>
      <c r="AT118" s="214"/>
      <c r="AU118" s="254"/>
      <c r="BB118" s="306" t="str">
        <f t="shared" si="7"/>
        <v/>
      </c>
    </row>
    <row r="119" spans="3:54" x14ac:dyDescent="0.25">
      <c r="K119" s="386"/>
      <c r="L119" s="214"/>
      <c r="P119" s="352"/>
      <c r="X119" s="256"/>
      <c r="Y119" s="256"/>
      <c r="Z119" s="308">
        <f t="shared" si="6"/>
        <v>0</v>
      </c>
      <c r="AK119" s="117"/>
      <c r="AL119" s="117"/>
      <c r="AN119" s="210" t="str">
        <f t="shared" si="8"/>
        <v/>
      </c>
      <c r="AO119" s="262"/>
      <c r="AP119" s="210" t="str">
        <f t="shared" si="9"/>
        <v/>
      </c>
      <c r="AQ119" s="214"/>
      <c r="AR119" s="210" t="s">
        <v>503</v>
      </c>
      <c r="AS119" s="262"/>
      <c r="AT119" s="214"/>
      <c r="AU119" s="254"/>
      <c r="BB119" s="306" t="str">
        <f t="shared" si="7"/>
        <v/>
      </c>
    </row>
    <row r="120" spans="3:54" x14ac:dyDescent="0.25">
      <c r="K120" s="386"/>
      <c r="L120" s="214"/>
      <c r="P120" s="352"/>
      <c r="X120" s="256"/>
      <c r="Y120" s="256"/>
      <c r="Z120" s="308">
        <f t="shared" si="6"/>
        <v>0</v>
      </c>
      <c r="AK120" s="117"/>
      <c r="AL120" s="117"/>
      <c r="AN120" s="210" t="str">
        <f t="shared" si="8"/>
        <v/>
      </c>
      <c r="AO120" s="262"/>
      <c r="AP120" s="210" t="str">
        <f t="shared" si="9"/>
        <v/>
      </c>
      <c r="AQ120" s="214"/>
      <c r="AR120" s="210" t="s">
        <v>503</v>
      </c>
      <c r="AS120" s="262"/>
      <c r="AT120" s="214"/>
      <c r="AU120" s="254"/>
      <c r="BB120" s="306" t="str">
        <f t="shared" si="7"/>
        <v/>
      </c>
    </row>
    <row r="121" spans="3:54" x14ac:dyDescent="0.25">
      <c r="K121" s="386"/>
      <c r="L121" s="214"/>
      <c r="P121" s="352"/>
      <c r="X121" s="256"/>
      <c r="Y121" s="256"/>
      <c r="Z121" s="308">
        <f t="shared" si="6"/>
        <v>0</v>
      </c>
      <c r="AK121" s="117"/>
      <c r="AL121" s="117"/>
      <c r="AN121" s="210" t="str">
        <f t="shared" si="8"/>
        <v/>
      </c>
      <c r="AO121" s="262"/>
      <c r="AP121" s="210" t="str">
        <f t="shared" si="9"/>
        <v/>
      </c>
      <c r="AQ121" s="214"/>
      <c r="AR121" s="210" t="s">
        <v>503</v>
      </c>
      <c r="AS121" s="262"/>
      <c r="AT121" s="214"/>
      <c r="AU121" s="254"/>
      <c r="BB121" s="306" t="str">
        <f t="shared" si="7"/>
        <v/>
      </c>
    </row>
    <row r="122" spans="3:54" x14ac:dyDescent="0.25">
      <c r="K122" s="386"/>
      <c r="L122" s="214"/>
      <c r="P122" s="352"/>
      <c r="X122" s="256"/>
      <c r="Y122" s="256"/>
      <c r="Z122" s="308">
        <f t="shared" si="6"/>
        <v>0</v>
      </c>
      <c r="AK122" s="117"/>
      <c r="AL122" s="117"/>
      <c r="AN122" s="210" t="str">
        <f t="shared" si="8"/>
        <v/>
      </c>
      <c r="AO122" s="262"/>
      <c r="AP122" s="210" t="str">
        <f t="shared" si="9"/>
        <v/>
      </c>
      <c r="AQ122" s="214"/>
      <c r="AR122" s="210" t="s">
        <v>503</v>
      </c>
      <c r="AS122" s="262"/>
      <c r="AT122" s="214"/>
      <c r="AU122" s="254"/>
      <c r="BB122" s="306" t="str">
        <f t="shared" si="7"/>
        <v/>
      </c>
    </row>
    <row r="123" spans="3:54" x14ac:dyDescent="0.25">
      <c r="K123" s="386"/>
      <c r="L123" s="214"/>
      <c r="P123" s="352"/>
      <c r="X123" s="256"/>
      <c r="Y123" s="256"/>
      <c r="Z123" s="308">
        <f t="shared" si="6"/>
        <v>0</v>
      </c>
      <c r="AK123" s="117"/>
      <c r="AL123" s="117"/>
      <c r="AN123" s="210" t="str">
        <f t="shared" si="8"/>
        <v/>
      </c>
      <c r="AO123" s="262"/>
      <c r="AP123" s="210" t="str">
        <f t="shared" si="9"/>
        <v/>
      </c>
      <c r="AQ123" s="214"/>
      <c r="AR123" s="210" t="s">
        <v>503</v>
      </c>
      <c r="AS123" s="262"/>
      <c r="AT123" s="214"/>
      <c r="AU123" s="254"/>
      <c r="BB123" s="306" t="str">
        <f t="shared" si="7"/>
        <v/>
      </c>
    </row>
    <row r="124" spans="3:54" x14ac:dyDescent="0.25">
      <c r="K124" s="386"/>
      <c r="L124" s="214"/>
      <c r="P124" s="352"/>
      <c r="X124" s="256"/>
      <c r="Y124" s="256"/>
      <c r="Z124" s="308">
        <f t="shared" si="6"/>
        <v>0</v>
      </c>
      <c r="AK124" s="117"/>
      <c r="AL124" s="117"/>
      <c r="AN124" s="210" t="str">
        <f t="shared" si="8"/>
        <v/>
      </c>
      <c r="AO124" s="262"/>
      <c r="AP124" s="210" t="str">
        <f t="shared" si="9"/>
        <v/>
      </c>
      <c r="AQ124" s="214"/>
      <c r="AR124" s="210" t="s">
        <v>503</v>
      </c>
      <c r="AS124" s="262"/>
      <c r="AT124" s="214"/>
      <c r="AU124" s="254"/>
      <c r="BB124" s="306" t="str">
        <f t="shared" si="7"/>
        <v/>
      </c>
    </row>
    <row r="125" spans="3:54" x14ac:dyDescent="0.25">
      <c r="K125" s="386"/>
      <c r="L125" s="214"/>
      <c r="P125" s="352"/>
      <c r="X125" s="256"/>
      <c r="Y125" s="256"/>
      <c r="Z125" s="308">
        <f t="shared" si="6"/>
        <v>0</v>
      </c>
      <c r="AK125" s="117"/>
      <c r="AL125" s="117"/>
      <c r="AN125" s="210" t="str">
        <f t="shared" si="8"/>
        <v/>
      </c>
      <c r="AO125" s="262"/>
      <c r="AP125" s="210" t="str">
        <f t="shared" si="9"/>
        <v/>
      </c>
      <c r="AQ125" s="214"/>
      <c r="AR125" s="210" t="s">
        <v>503</v>
      </c>
      <c r="AS125" s="262"/>
      <c r="AT125" s="214"/>
      <c r="AU125" s="254"/>
      <c r="BB125" s="306" t="str">
        <f t="shared" si="7"/>
        <v/>
      </c>
    </row>
    <row r="126" spans="3:54" x14ac:dyDescent="0.25">
      <c r="K126" s="386"/>
      <c r="L126" s="214"/>
      <c r="P126" s="352"/>
      <c r="X126" s="256"/>
      <c r="Y126" s="256"/>
      <c r="Z126" s="308">
        <f t="shared" si="6"/>
        <v>0</v>
      </c>
      <c r="AK126" s="117"/>
      <c r="AL126" s="117"/>
      <c r="AN126" s="210" t="str">
        <f t="shared" si="8"/>
        <v/>
      </c>
      <c r="AO126" s="262"/>
      <c r="AP126" s="210" t="str">
        <f t="shared" si="9"/>
        <v/>
      </c>
      <c r="AQ126" s="214"/>
      <c r="AR126" s="210" t="s">
        <v>503</v>
      </c>
      <c r="AS126" s="262"/>
      <c r="AT126" s="214"/>
      <c r="AU126" s="254"/>
      <c r="BB126" s="306" t="str">
        <f t="shared" si="7"/>
        <v/>
      </c>
    </row>
    <row r="127" spans="3:54" x14ac:dyDescent="0.25">
      <c r="K127" s="386"/>
      <c r="L127" s="214"/>
      <c r="P127" s="352"/>
      <c r="X127" s="256"/>
      <c r="Y127" s="256"/>
      <c r="Z127" s="308">
        <f t="shared" ref="Z127:Z190" si="10">X127*1</f>
        <v>0</v>
      </c>
      <c r="AK127" s="117"/>
      <c r="AL127" s="117"/>
      <c r="AN127" s="210" t="str">
        <f t="shared" si="8"/>
        <v/>
      </c>
      <c r="AO127" s="262"/>
      <c r="AP127" s="210" t="str">
        <f t="shared" si="9"/>
        <v/>
      </c>
      <c r="AQ127" s="214"/>
      <c r="AR127" s="210" t="s">
        <v>503</v>
      </c>
      <c r="AS127" s="262"/>
      <c r="AT127" s="214"/>
      <c r="AU127" s="254"/>
      <c r="BB127" s="306" t="str">
        <f t="shared" si="7"/>
        <v/>
      </c>
    </row>
    <row r="128" spans="3:54" x14ac:dyDescent="0.25">
      <c r="K128" s="386"/>
      <c r="L128" s="214"/>
      <c r="P128" s="352"/>
      <c r="X128" s="256"/>
      <c r="Y128" s="256"/>
      <c r="Z128" s="308">
        <f t="shared" si="10"/>
        <v>0</v>
      </c>
      <c r="AK128" s="117"/>
      <c r="AL128" s="117"/>
      <c r="AN128" s="210" t="str">
        <f t="shared" si="8"/>
        <v/>
      </c>
      <c r="AO128" s="262"/>
      <c r="AP128" s="210" t="str">
        <f t="shared" si="9"/>
        <v/>
      </c>
      <c r="AQ128" s="214"/>
      <c r="AR128" s="210" t="s">
        <v>503</v>
      </c>
      <c r="AS128" s="262"/>
      <c r="AT128" s="214"/>
      <c r="AU128" s="254"/>
      <c r="BB128" s="306" t="str">
        <f t="shared" si="7"/>
        <v/>
      </c>
    </row>
    <row r="129" spans="11:54" x14ac:dyDescent="0.25">
      <c r="K129" s="386"/>
      <c r="L129" s="214"/>
      <c r="P129" s="352"/>
      <c r="X129" s="256"/>
      <c r="Y129" s="256"/>
      <c r="Z129" s="308">
        <f t="shared" si="10"/>
        <v>0</v>
      </c>
      <c r="AK129" s="117"/>
      <c r="AL129" s="117"/>
      <c r="AN129" s="210" t="str">
        <f t="shared" si="8"/>
        <v/>
      </c>
      <c r="AO129" s="262"/>
      <c r="AP129" s="210" t="str">
        <f t="shared" si="9"/>
        <v/>
      </c>
      <c r="AQ129" s="214"/>
      <c r="AR129" s="210" t="s">
        <v>503</v>
      </c>
      <c r="AS129" s="262"/>
      <c r="AT129" s="214"/>
      <c r="AU129" s="254"/>
      <c r="BB129" s="306" t="str">
        <f t="shared" si="7"/>
        <v/>
      </c>
    </row>
    <row r="130" spans="11:54" x14ac:dyDescent="0.25">
      <c r="K130" s="386"/>
      <c r="L130" s="214"/>
      <c r="P130" s="352"/>
      <c r="X130" s="256"/>
      <c r="Y130" s="256"/>
      <c r="Z130" s="308">
        <f t="shared" si="10"/>
        <v>0</v>
      </c>
      <c r="AK130" s="117"/>
      <c r="AL130" s="117"/>
      <c r="AN130" s="210" t="str">
        <f t="shared" si="8"/>
        <v/>
      </c>
      <c r="AO130" s="262"/>
      <c r="AP130" s="210" t="str">
        <f t="shared" si="9"/>
        <v/>
      </c>
      <c r="AQ130" s="214"/>
      <c r="AR130" s="210" t="s">
        <v>503</v>
      </c>
      <c r="AS130" s="262"/>
      <c r="AT130" s="214"/>
      <c r="AU130" s="254"/>
      <c r="BB130" s="306" t="str">
        <f t="shared" si="7"/>
        <v/>
      </c>
    </row>
    <row r="131" spans="11:54" x14ac:dyDescent="0.25">
      <c r="K131" s="386"/>
      <c r="L131" s="214"/>
      <c r="P131" s="352"/>
      <c r="X131" s="256"/>
      <c r="Y131" s="256"/>
      <c r="Z131" s="308">
        <f t="shared" si="10"/>
        <v>0</v>
      </c>
      <c r="AK131" s="117"/>
      <c r="AL131" s="117"/>
      <c r="AN131" s="210" t="str">
        <f t="shared" si="8"/>
        <v/>
      </c>
      <c r="AO131" s="262"/>
      <c r="AP131" s="210" t="str">
        <f t="shared" si="9"/>
        <v/>
      </c>
      <c r="AQ131" s="214"/>
      <c r="AR131" s="210" t="s">
        <v>503</v>
      </c>
      <c r="AS131" s="262"/>
      <c r="AT131" s="214"/>
      <c r="AU131" s="254"/>
      <c r="BB131" s="306" t="str">
        <f t="shared" si="7"/>
        <v/>
      </c>
    </row>
    <row r="132" spans="11:54" x14ac:dyDescent="0.25">
      <c r="K132" s="386"/>
      <c r="L132" s="214"/>
      <c r="P132" s="352"/>
      <c r="X132" s="256"/>
      <c r="Y132" s="256"/>
      <c r="Z132" s="308">
        <f t="shared" si="10"/>
        <v>0</v>
      </c>
      <c r="AK132" s="117"/>
      <c r="AL132" s="117"/>
      <c r="AN132" s="210" t="str">
        <f t="shared" si="8"/>
        <v/>
      </c>
      <c r="AO132" s="262"/>
      <c r="AP132" s="210" t="str">
        <f t="shared" si="9"/>
        <v/>
      </c>
      <c r="AQ132" s="214"/>
      <c r="AR132" s="210" t="s">
        <v>503</v>
      </c>
      <c r="AS132" s="262"/>
      <c r="AT132" s="214"/>
      <c r="AU132" s="254"/>
      <c r="BB132" s="306" t="str">
        <f t="shared" si="7"/>
        <v/>
      </c>
    </row>
    <row r="133" spans="11:54" x14ac:dyDescent="0.25">
      <c r="K133" s="386"/>
      <c r="L133" s="214"/>
      <c r="P133" s="352"/>
      <c r="X133" s="256"/>
      <c r="Y133" s="256"/>
      <c r="Z133" s="308">
        <f t="shared" si="10"/>
        <v>0</v>
      </c>
      <c r="AK133" s="117"/>
      <c r="AL133" s="117"/>
      <c r="AN133" s="210" t="str">
        <f t="shared" si="8"/>
        <v/>
      </c>
      <c r="AO133" s="262"/>
      <c r="AP133" s="210" t="str">
        <f t="shared" si="9"/>
        <v/>
      </c>
      <c r="AQ133" s="214"/>
      <c r="AR133" s="210" t="s">
        <v>503</v>
      </c>
      <c r="AS133" s="262"/>
      <c r="AT133" s="214"/>
      <c r="AU133" s="254"/>
      <c r="BB133" s="306" t="str">
        <f t="shared" ref="BB133:BB196" si="11">IF(AO133="","",LEFT(AO133,SEARCH(".",AO133)-1))</f>
        <v/>
      </c>
    </row>
    <row r="134" spans="11:54" x14ac:dyDescent="0.25">
      <c r="K134" s="386"/>
      <c r="L134" s="214"/>
      <c r="P134" s="352"/>
      <c r="X134" s="256"/>
      <c r="Y134" s="256"/>
      <c r="Z134" s="308">
        <f t="shared" si="10"/>
        <v>0</v>
      </c>
      <c r="AK134" s="117"/>
      <c r="AL134" s="117"/>
      <c r="AN134" s="210" t="str">
        <f t="shared" si="8"/>
        <v/>
      </c>
      <c r="AO134" s="262"/>
      <c r="AP134" s="210" t="str">
        <f t="shared" si="9"/>
        <v/>
      </c>
      <c r="AQ134" s="214"/>
      <c r="AR134" s="210" t="s">
        <v>503</v>
      </c>
      <c r="AS134" s="262"/>
      <c r="AT134" s="214"/>
      <c r="AU134" s="254"/>
      <c r="BB134" s="306" t="str">
        <f t="shared" si="11"/>
        <v/>
      </c>
    </row>
    <row r="135" spans="11:54" x14ac:dyDescent="0.25">
      <c r="K135" s="386"/>
      <c r="L135" s="214"/>
      <c r="P135" s="352"/>
      <c r="X135" s="256"/>
      <c r="Y135" s="256"/>
      <c r="Z135" s="308">
        <f t="shared" si="10"/>
        <v>0</v>
      </c>
      <c r="AK135" s="117"/>
      <c r="AL135" s="117"/>
      <c r="AN135" s="210" t="str">
        <f t="shared" si="8"/>
        <v/>
      </c>
      <c r="AO135" s="262"/>
      <c r="AP135" s="210" t="str">
        <f t="shared" si="9"/>
        <v/>
      </c>
      <c r="AQ135" s="214"/>
      <c r="AR135" s="210" t="s">
        <v>503</v>
      </c>
      <c r="AS135" s="262"/>
      <c r="AT135" s="214"/>
      <c r="AU135" s="254"/>
      <c r="BB135" s="306" t="str">
        <f t="shared" si="11"/>
        <v/>
      </c>
    </row>
    <row r="136" spans="11:54" x14ac:dyDescent="0.25">
      <c r="K136" s="386"/>
      <c r="L136" s="214"/>
      <c r="P136" s="352"/>
      <c r="X136" s="256"/>
      <c r="Y136" s="256"/>
      <c r="Z136" s="308">
        <f t="shared" si="10"/>
        <v>0</v>
      </c>
      <c r="AK136" s="117"/>
      <c r="AL136" s="117"/>
      <c r="AN136" s="210" t="str">
        <f t="shared" ref="AN136:AN199" si="12">IF(AO136="","",AN135+1)</f>
        <v/>
      </c>
      <c r="AO136" s="262"/>
      <c r="AP136" s="210" t="str">
        <f t="shared" ref="AP136:AP199" si="13">IF(AN136="","",AN136)</f>
        <v/>
      </c>
      <c r="AQ136" s="214"/>
      <c r="AR136" s="210" t="s">
        <v>503</v>
      </c>
      <c r="AS136" s="262"/>
      <c r="AT136" s="214"/>
      <c r="AU136" s="254"/>
      <c r="BB136" s="306" t="str">
        <f t="shared" si="11"/>
        <v/>
      </c>
    </row>
    <row r="137" spans="11:54" x14ac:dyDescent="0.25">
      <c r="K137" s="386"/>
      <c r="L137" s="214"/>
      <c r="P137" s="352"/>
      <c r="X137" s="256"/>
      <c r="Y137" s="256"/>
      <c r="Z137" s="308">
        <f t="shared" si="10"/>
        <v>0</v>
      </c>
      <c r="AK137" s="117"/>
      <c r="AL137" s="117"/>
      <c r="AN137" s="210" t="str">
        <f t="shared" si="12"/>
        <v/>
      </c>
      <c r="AO137" s="262"/>
      <c r="AP137" s="210" t="str">
        <f t="shared" si="13"/>
        <v/>
      </c>
      <c r="AQ137" s="214"/>
      <c r="AR137" s="210" t="s">
        <v>503</v>
      </c>
      <c r="AS137" s="262"/>
      <c r="AT137" s="214"/>
      <c r="AU137" s="254"/>
      <c r="BB137" s="306" t="str">
        <f t="shared" si="11"/>
        <v/>
      </c>
    </row>
    <row r="138" spans="11:54" x14ac:dyDescent="0.25">
      <c r="K138" s="386"/>
      <c r="L138" s="214"/>
      <c r="P138" s="352"/>
      <c r="X138" s="256"/>
      <c r="Y138" s="256"/>
      <c r="Z138" s="308">
        <f t="shared" si="10"/>
        <v>0</v>
      </c>
      <c r="AK138" s="117"/>
      <c r="AL138" s="117"/>
      <c r="AN138" s="210" t="str">
        <f t="shared" si="12"/>
        <v/>
      </c>
      <c r="AO138" s="262"/>
      <c r="AP138" s="210" t="str">
        <f t="shared" si="13"/>
        <v/>
      </c>
      <c r="AQ138" s="214"/>
      <c r="AR138" s="210" t="s">
        <v>503</v>
      </c>
      <c r="AS138" s="262"/>
      <c r="AT138" s="214"/>
      <c r="AU138" s="254"/>
      <c r="BB138" s="306" t="str">
        <f t="shared" si="11"/>
        <v/>
      </c>
    </row>
    <row r="139" spans="11:54" x14ac:dyDescent="0.25">
      <c r="K139" s="386"/>
      <c r="L139" s="214"/>
      <c r="P139" s="352"/>
      <c r="X139" s="256"/>
      <c r="Y139" s="256"/>
      <c r="Z139" s="308">
        <f t="shared" si="10"/>
        <v>0</v>
      </c>
      <c r="AK139" s="117"/>
      <c r="AL139" s="117"/>
      <c r="AN139" s="210" t="str">
        <f t="shared" si="12"/>
        <v/>
      </c>
      <c r="AO139" s="262"/>
      <c r="AP139" s="210" t="str">
        <f t="shared" si="13"/>
        <v/>
      </c>
      <c r="AQ139" s="214"/>
      <c r="AR139" s="210" t="s">
        <v>503</v>
      </c>
      <c r="AS139" s="262"/>
      <c r="AT139" s="214"/>
      <c r="AU139" s="254"/>
      <c r="BB139" s="306" t="str">
        <f t="shared" si="11"/>
        <v/>
      </c>
    </row>
    <row r="140" spans="11:54" x14ac:dyDescent="0.25">
      <c r="K140" s="386"/>
      <c r="L140" s="214"/>
      <c r="P140" s="352"/>
      <c r="X140" s="256"/>
      <c r="Y140" s="256"/>
      <c r="Z140" s="308">
        <f t="shared" si="10"/>
        <v>0</v>
      </c>
      <c r="AK140" s="117"/>
      <c r="AL140" s="117"/>
      <c r="AN140" s="210" t="str">
        <f t="shared" si="12"/>
        <v/>
      </c>
      <c r="AO140" s="262"/>
      <c r="AP140" s="210" t="str">
        <f t="shared" si="13"/>
        <v/>
      </c>
      <c r="AQ140" s="214"/>
      <c r="AR140" s="210" t="s">
        <v>503</v>
      </c>
      <c r="AS140" s="262"/>
      <c r="AT140" s="214"/>
      <c r="AU140" s="254"/>
      <c r="BB140" s="306" t="str">
        <f t="shared" si="11"/>
        <v/>
      </c>
    </row>
    <row r="141" spans="11:54" x14ac:dyDescent="0.25">
      <c r="K141" s="386"/>
      <c r="L141" s="214"/>
      <c r="P141" s="352"/>
      <c r="X141" s="256"/>
      <c r="Y141" s="256"/>
      <c r="Z141" s="308">
        <f t="shared" si="10"/>
        <v>0</v>
      </c>
      <c r="AK141" s="117"/>
      <c r="AL141" s="117"/>
      <c r="AN141" s="210" t="str">
        <f t="shared" si="12"/>
        <v/>
      </c>
      <c r="AO141" s="262"/>
      <c r="AP141" s="210" t="str">
        <f t="shared" si="13"/>
        <v/>
      </c>
      <c r="AQ141" s="214"/>
      <c r="AR141" s="210" t="s">
        <v>503</v>
      </c>
      <c r="AS141" s="262"/>
      <c r="AT141" s="214"/>
      <c r="AU141" s="254"/>
      <c r="BB141" s="306" t="str">
        <f t="shared" si="11"/>
        <v/>
      </c>
    </row>
    <row r="142" spans="11:54" x14ac:dyDescent="0.25">
      <c r="K142" s="386"/>
      <c r="L142" s="214"/>
      <c r="P142" s="352"/>
      <c r="X142" s="256"/>
      <c r="Y142" s="256"/>
      <c r="Z142" s="308">
        <f t="shared" si="10"/>
        <v>0</v>
      </c>
      <c r="AK142" s="117"/>
      <c r="AL142" s="117"/>
      <c r="AN142" s="210" t="str">
        <f t="shared" si="12"/>
        <v/>
      </c>
      <c r="AO142" s="262"/>
      <c r="AP142" s="210" t="str">
        <f t="shared" si="13"/>
        <v/>
      </c>
      <c r="AQ142" s="214"/>
      <c r="AR142" s="210" t="s">
        <v>503</v>
      </c>
      <c r="AS142" s="262"/>
      <c r="AT142" s="214"/>
      <c r="AU142" s="254"/>
      <c r="BB142" s="306" t="str">
        <f t="shared" si="11"/>
        <v/>
      </c>
    </row>
    <row r="143" spans="11:54" x14ac:dyDescent="0.25">
      <c r="K143" s="386"/>
      <c r="L143" s="214"/>
      <c r="P143" s="352"/>
      <c r="X143" s="256"/>
      <c r="Y143" s="256"/>
      <c r="Z143" s="308">
        <f t="shared" si="10"/>
        <v>0</v>
      </c>
      <c r="AK143" s="117"/>
      <c r="AL143" s="117"/>
      <c r="AN143" s="210" t="str">
        <f t="shared" si="12"/>
        <v/>
      </c>
      <c r="AO143" s="262"/>
      <c r="AP143" s="210" t="str">
        <f t="shared" si="13"/>
        <v/>
      </c>
      <c r="AQ143" s="214"/>
      <c r="AR143" s="210" t="s">
        <v>503</v>
      </c>
      <c r="AS143" s="262"/>
      <c r="AT143" s="214"/>
      <c r="AU143" s="254"/>
      <c r="BB143" s="306" t="str">
        <f t="shared" si="11"/>
        <v/>
      </c>
    </row>
    <row r="144" spans="11:54" x14ac:dyDescent="0.25">
      <c r="K144" s="386"/>
      <c r="L144" s="214"/>
      <c r="P144" s="352"/>
      <c r="X144" s="256"/>
      <c r="Y144" s="256"/>
      <c r="Z144" s="308">
        <f t="shared" si="10"/>
        <v>0</v>
      </c>
      <c r="AK144" s="117"/>
      <c r="AL144" s="117"/>
      <c r="AN144" s="210" t="str">
        <f t="shared" si="12"/>
        <v/>
      </c>
      <c r="AO144" s="262"/>
      <c r="AP144" s="210" t="str">
        <f t="shared" si="13"/>
        <v/>
      </c>
      <c r="AQ144" s="214"/>
      <c r="AR144" s="210" t="s">
        <v>503</v>
      </c>
      <c r="AS144" s="262"/>
      <c r="AT144" s="214"/>
      <c r="AU144" s="254"/>
      <c r="BB144" s="306" t="str">
        <f t="shared" si="11"/>
        <v/>
      </c>
    </row>
    <row r="145" spans="11:54" x14ac:dyDescent="0.25">
      <c r="K145" s="386"/>
      <c r="L145" s="214"/>
      <c r="P145" s="352"/>
      <c r="X145" s="256"/>
      <c r="Y145" s="256"/>
      <c r="Z145" s="308">
        <f t="shared" si="10"/>
        <v>0</v>
      </c>
      <c r="AK145" s="117"/>
      <c r="AL145" s="117"/>
      <c r="AN145" s="210" t="str">
        <f t="shared" si="12"/>
        <v/>
      </c>
      <c r="AO145" s="262"/>
      <c r="AP145" s="210" t="str">
        <f t="shared" si="13"/>
        <v/>
      </c>
      <c r="AQ145" s="214"/>
      <c r="AR145" s="210" t="s">
        <v>503</v>
      </c>
      <c r="AS145" s="262"/>
      <c r="AT145" s="214"/>
      <c r="AU145" s="254"/>
      <c r="BB145" s="306" t="str">
        <f t="shared" si="11"/>
        <v/>
      </c>
    </row>
    <row r="146" spans="11:54" x14ac:dyDescent="0.25">
      <c r="K146" s="386"/>
      <c r="L146" s="214"/>
      <c r="P146" s="352"/>
      <c r="X146" s="256"/>
      <c r="Y146" s="256"/>
      <c r="Z146" s="308">
        <f t="shared" si="10"/>
        <v>0</v>
      </c>
      <c r="AK146" s="117"/>
      <c r="AL146" s="117"/>
      <c r="AN146" s="210" t="str">
        <f t="shared" si="12"/>
        <v/>
      </c>
      <c r="AO146" s="262"/>
      <c r="AP146" s="210" t="str">
        <f t="shared" si="13"/>
        <v/>
      </c>
      <c r="AQ146" s="214"/>
      <c r="AR146" s="210" t="s">
        <v>503</v>
      </c>
      <c r="AS146" s="262"/>
      <c r="AT146" s="214"/>
      <c r="AU146" s="254"/>
      <c r="BB146" s="306" t="str">
        <f t="shared" si="11"/>
        <v/>
      </c>
    </row>
    <row r="147" spans="11:54" x14ac:dyDescent="0.25">
      <c r="K147" s="386"/>
      <c r="L147" s="214"/>
      <c r="P147" s="352"/>
      <c r="X147" s="256"/>
      <c r="Y147" s="256"/>
      <c r="Z147" s="308">
        <f t="shared" si="10"/>
        <v>0</v>
      </c>
      <c r="AK147" s="117"/>
      <c r="AL147" s="117"/>
      <c r="AN147" s="210" t="str">
        <f t="shared" si="12"/>
        <v/>
      </c>
      <c r="AO147" s="262"/>
      <c r="AP147" s="210" t="str">
        <f t="shared" si="13"/>
        <v/>
      </c>
      <c r="AQ147" s="214"/>
      <c r="AR147" s="210" t="s">
        <v>503</v>
      </c>
      <c r="AS147" s="262"/>
      <c r="AT147" s="214"/>
      <c r="AU147" s="254"/>
      <c r="BB147" s="306" t="str">
        <f t="shared" si="11"/>
        <v/>
      </c>
    </row>
    <row r="148" spans="11:54" x14ac:dyDescent="0.25">
      <c r="K148" s="386"/>
      <c r="L148" s="214"/>
      <c r="P148" s="352"/>
      <c r="X148" s="256"/>
      <c r="Y148" s="256"/>
      <c r="Z148" s="308">
        <f t="shared" si="10"/>
        <v>0</v>
      </c>
      <c r="AK148" s="117"/>
      <c r="AL148" s="117"/>
      <c r="AN148" s="210" t="str">
        <f t="shared" si="12"/>
        <v/>
      </c>
      <c r="AO148" s="262"/>
      <c r="AP148" s="210" t="str">
        <f t="shared" si="13"/>
        <v/>
      </c>
      <c r="AQ148" s="214"/>
      <c r="AR148" s="210" t="s">
        <v>503</v>
      </c>
      <c r="AS148" s="262"/>
      <c r="AT148" s="214"/>
      <c r="AU148" s="254"/>
      <c r="BB148" s="306" t="str">
        <f t="shared" si="11"/>
        <v/>
      </c>
    </row>
    <row r="149" spans="11:54" x14ac:dyDescent="0.25">
      <c r="K149" s="386"/>
      <c r="L149" s="214"/>
      <c r="P149" s="352"/>
      <c r="X149" s="256"/>
      <c r="Y149" s="256"/>
      <c r="Z149" s="308">
        <f t="shared" si="10"/>
        <v>0</v>
      </c>
      <c r="AK149" s="117"/>
      <c r="AL149" s="117"/>
      <c r="AN149" s="210" t="str">
        <f t="shared" si="12"/>
        <v/>
      </c>
      <c r="AO149" s="262"/>
      <c r="AP149" s="210" t="str">
        <f t="shared" si="13"/>
        <v/>
      </c>
      <c r="AQ149" s="214"/>
      <c r="AR149" s="210" t="s">
        <v>503</v>
      </c>
      <c r="AS149" s="262"/>
      <c r="AT149" s="214"/>
      <c r="AU149" s="254"/>
      <c r="BB149" s="306" t="str">
        <f t="shared" si="11"/>
        <v/>
      </c>
    </row>
    <row r="150" spans="11:54" x14ac:dyDescent="0.25">
      <c r="K150" s="386"/>
      <c r="L150" s="214"/>
      <c r="P150" s="352"/>
      <c r="X150" s="256"/>
      <c r="Y150" s="256"/>
      <c r="Z150" s="308">
        <f t="shared" si="10"/>
        <v>0</v>
      </c>
      <c r="AK150" s="117"/>
      <c r="AL150" s="117"/>
      <c r="AN150" s="210" t="str">
        <f t="shared" si="12"/>
        <v/>
      </c>
      <c r="AO150" s="262"/>
      <c r="AP150" s="210" t="str">
        <f t="shared" si="13"/>
        <v/>
      </c>
      <c r="AQ150" s="214"/>
      <c r="AR150" s="210" t="s">
        <v>503</v>
      </c>
      <c r="AS150" s="262"/>
      <c r="AT150" s="214"/>
      <c r="AU150" s="254"/>
      <c r="BB150" s="306" t="str">
        <f t="shared" si="11"/>
        <v/>
      </c>
    </row>
    <row r="151" spans="11:54" x14ac:dyDescent="0.25">
      <c r="K151" s="386"/>
      <c r="L151" s="214"/>
      <c r="P151" s="352"/>
      <c r="X151" s="256"/>
      <c r="Y151" s="256"/>
      <c r="Z151" s="308">
        <f t="shared" si="10"/>
        <v>0</v>
      </c>
      <c r="AK151" s="117"/>
      <c r="AL151" s="117"/>
      <c r="AN151" s="210" t="str">
        <f t="shared" si="12"/>
        <v/>
      </c>
      <c r="AO151" s="262"/>
      <c r="AP151" s="210" t="str">
        <f t="shared" si="13"/>
        <v/>
      </c>
      <c r="AQ151" s="214"/>
      <c r="AR151" s="210" t="s">
        <v>503</v>
      </c>
      <c r="AS151" s="262"/>
      <c r="AT151" s="214"/>
      <c r="AU151" s="254"/>
      <c r="BB151" s="306" t="str">
        <f t="shared" si="11"/>
        <v/>
      </c>
    </row>
    <row r="152" spans="11:54" x14ac:dyDescent="0.25">
      <c r="K152" s="386"/>
      <c r="L152" s="214"/>
      <c r="P152" s="352"/>
      <c r="X152" s="256"/>
      <c r="Y152" s="256"/>
      <c r="Z152" s="308">
        <f t="shared" si="10"/>
        <v>0</v>
      </c>
      <c r="AK152" s="117"/>
      <c r="AL152" s="117"/>
      <c r="AN152" s="210" t="str">
        <f t="shared" si="12"/>
        <v/>
      </c>
      <c r="AO152" s="262"/>
      <c r="AP152" s="210" t="str">
        <f t="shared" si="13"/>
        <v/>
      </c>
      <c r="AQ152" s="214"/>
      <c r="AR152" s="210" t="s">
        <v>503</v>
      </c>
      <c r="AS152" s="262"/>
      <c r="AT152" s="214"/>
      <c r="AU152" s="254"/>
      <c r="BB152" s="306" t="str">
        <f t="shared" si="11"/>
        <v/>
      </c>
    </row>
    <row r="153" spans="11:54" x14ac:dyDescent="0.25">
      <c r="K153" s="386"/>
      <c r="L153" s="214"/>
      <c r="P153" s="352"/>
      <c r="X153" s="256"/>
      <c r="Y153" s="256"/>
      <c r="Z153" s="308">
        <f t="shared" si="10"/>
        <v>0</v>
      </c>
      <c r="AK153" s="117"/>
      <c r="AL153" s="117"/>
      <c r="AN153" s="210" t="str">
        <f t="shared" si="12"/>
        <v/>
      </c>
      <c r="AO153" s="262"/>
      <c r="AP153" s="210" t="str">
        <f t="shared" si="13"/>
        <v/>
      </c>
      <c r="AQ153" s="214"/>
      <c r="AR153" s="210" t="s">
        <v>503</v>
      </c>
      <c r="AS153" s="262"/>
      <c r="AT153" s="214"/>
      <c r="AU153" s="254"/>
      <c r="BB153" s="306" t="str">
        <f t="shared" si="11"/>
        <v/>
      </c>
    </row>
    <row r="154" spans="11:54" x14ac:dyDescent="0.25">
      <c r="K154" s="386"/>
      <c r="L154" s="214"/>
      <c r="P154" s="352"/>
      <c r="X154" s="256"/>
      <c r="Y154" s="256"/>
      <c r="Z154" s="308">
        <f t="shared" si="10"/>
        <v>0</v>
      </c>
      <c r="AK154" s="117"/>
      <c r="AL154" s="117"/>
      <c r="AN154" s="210" t="str">
        <f t="shared" si="12"/>
        <v/>
      </c>
      <c r="AO154" s="262"/>
      <c r="AP154" s="210" t="str">
        <f t="shared" si="13"/>
        <v/>
      </c>
      <c r="AQ154" s="214"/>
      <c r="AR154" s="210" t="s">
        <v>503</v>
      </c>
      <c r="AS154" s="262"/>
      <c r="AT154" s="214"/>
      <c r="AU154" s="254"/>
      <c r="BB154" s="306" t="str">
        <f t="shared" si="11"/>
        <v/>
      </c>
    </row>
    <row r="155" spans="11:54" x14ac:dyDescent="0.25">
      <c r="K155" s="386"/>
      <c r="L155" s="214"/>
      <c r="P155" s="352"/>
      <c r="X155" s="256"/>
      <c r="Y155" s="256"/>
      <c r="Z155" s="308">
        <f t="shared" si="10"/>
        <v>0</v>
      </c>
      <c r="AK155" s="117"/>
      <c r="AL155" s="117"/>
      <c r="AN155" s="210" t="str">
        <f t="shared" si="12"/>
        <v/>
      </c>
      <c r="AO155" s="262"/>
      <c r="AP155" s="210" t="str">
        <f t="shared" si="13"/>
        <v/>
      </c>
      <c r="AQ155" s="214"/>
      <c r="AR155" s="210" t="s">
        <v>503</v>
      </c>
      <c r="AS155" s="262"/>
      <c r="AT155" s="214"/>
      <c r="AU155" s="254"/>
      <c r="BB155" s="306" t="str">
        <f t="shared" si="11"/>
        <v/>
      </c>
    </row>
    <row r="156" spans="11:54" x14ac:dyDescent="0.25">
      <c r="K156" s="386"/>
      <c r="L156" s="214"/>
      <c r="P156" s="352"/>
      <c r="X156" s="256"/>
      <c r="Y156" s="256"/>
      <c r="Z156" s="308">
        <f t="shared" si="10"/>
        <v>0</v>
      </c>
      <c r="AK156" s="117"/>
      <c r="AL156" s="117"/>
      <c r="AN156" s="210" t="str">
        <f t="shared" si="12"/>
        <v/>
      </c>
      <c r="AO156" s="262"/>
      <c r="AP156" s="210" t="str">
        <f t="shared" si="13"/>
        <v/>
      </c>
      <c r="AQ156" s="214"/>
      <c r="AR156" s="210" t="s">
        <v>503</v>
      </c>
      <c r="AS156" s="262"/>
      <c r="AT156" s="214"/>
      <c r="AU156" s="254"/>
      <c r="BB156" s="306" t="str">
        <f t="shared" si="11"/>
        <v/>
      </c>
    </row>
    <row r="157" spans="11:54" x14ac:dyDescent="0.25">
      <c r="K157" s="386"/>
      <c r="L157" s="214"/>
      <c r="P157" s="352"/>
      <c r="X157" s="256"/>
      <c r="Y157" s="256"/>
      <c r="Z157" s="308">
        <f t="shared" si="10"/>
        <v>0</v>
      </c>
      <c r="AK157" s="117"/>
      <c r="AL157" s="117"/>
      <c r="AN157" s="210" t="str">
        <f t="shared" si="12"/>
        <v/>
      </c>
      <c r="AO157" s="262"/>
      <c r="AP157" s="210" t="str">
        <f t="shared" si="13"/>
        <v/>
      </c>
      <c r="AQ157" s="214"/>
      <c r="AR157" s="210" t="s">
        <v>503</v>
      </c>
      <c r="AS157" s="262"/>
      <c r="AT157" s="214"/>
      <c r="AU157" s="254"/>
      <c r="BB157" s="306" t="str">
        <f t="shared" si="11"/>
        <v/>
      </c>
    </row>
    <row r="158" spans="11:54" x14ac:dyDescent="0.25">
      <c r="K158" s="386"/>
      <c r="L158" s="214"/>
      <c r="P158" s="352"/>
      <c r="X158" s="256"/>
      <c r="Y158" s="256"/>
      <c r="Z158" s="308">
        <f t="shared" si="10"/>
        <v>0</v>
      </c>
      <c r="AK158" s="117"/>
      <c r="AL158" s="117"/>
      <c r="AN158" s="210" t="str">
        <f t="shared" si="12"/>
        <v/>
      </c>
      <c r="AO158" s="262"/>
      <c r="AP158" s="210" t="str">
        <f t="shared" si="13"/>
        <v/>
      </c>
      <c r="AQ158" s="214"/>
      <c r="AR158" s="210" t="s">
        <v>503</v>
      </c>
      <c r="AS158" s="262"/>
      <c r="AT158" s="214"/>
      <c r="AU158" s="254"/>
      <c r="BB158" s="306" t="str">
        <f t="shared" si="11"/>
        <v/>
      </c>
    </row>
    <row r="159" spans="11:54" x14ac:dyDescent="0.25">
      <c r="K159" s="386"/>
      <c r="L159" s="214"/>
      <c r="P159" s="352"/>
      <c r="X159" s="256"/>
      <c r="Y159" s="256"/>
      <c r="Z159" s="308">
        <f t="shared" si="10"/>
        <v>0</v>
      </c>
      <c r="AK159" s="117"/>
      <c r="AL159" s="117"/>
      <c r="AN159" s="210" t="str">
        <f t="shared" si="12"/>
        <v/>
      </c>
      <c r="AO159" s="262"/>
      <c r="AP159" s="210" t="str">
        <f t="shared" si="13"/>
        <v/>
      </c>
      <c r="AQ159" s="214"/>
      <c r="AR159" s="210" t="s">
        <v>503</v>
      </c>
      <c r="AS159" s="262"/>
      <c r="AT159" s="214"/>
      <c r="AU159" s="254"/>
      <c r="BB159" s="306" t="str">
        <f t="shared" si="11"/>
        <v/>
      </c>
    </row>
    <row r="160" spans="11:54" x14ac:dyDescent="0.25">
      <c r="K160" s="386"/>
      <c r="L160" s="214"/>
      <c r="P160" s="352"/>
      <c r="X160" s="256"/>
      <c r="Y160" s="256"/>
      <c r="Z160" s="308">
        <f t="shared" si="10"/>
        <v>0</v>
      </c>
      <c r="AK160" s="117"/>
      <c r="AL160" s="117"/>
      <c r="AN160" s="210" t="str">
        <f t="shared" si="12"/>
        <v/>
      </c>
      <c r="AO160" s="262"/>
      <c r="AP160" s="210" t="str">
        <f t="shared" si="13"/>
        <v/>
      </c>
      <c r="AQ160" s="214"/>
      <c r="AR160" s="210" t="s">
        <v>503</v>
      </c>
      <c r="AS160" s="262"/>
      <c r="AT160" s="214"/>
      <c r="AU160" s="254"/>
      <c r="BB160" s="306" t="str">
        <f t="shared" si="11"/>
        <v/>
      </c>
    </row>
    <row r="161" spans="11:54" x14ac:dyDescent="0.25">
      <c r="K161" s="386"/>
      <c r="L161" s="214"/>
      <c r="P161" s="352"/>
      <c r="X161" s="256"/>
      <c r="Y161" s="256"/>
      <c r="Z161" s="308">
        <f t="shared" si="10"/>
        <v>0</v>
      </c>
      <c r="AK161" s="117"/>
      <c r="AL161" s="117"/>
      <c r="AN161" s="210" t="str">
        <f t="shared" si="12"/>
        <v/>
      </c>
      <c r="AO161" s="262"/>
      <c r="AP161" s="210" t="str">
        <f t="shared" si="13"/>
        <v/>
      </c>
      <c r="AQ161" s="214"/>
      <c r="AR161" s="210" t="s">
        <v>503</v>
      </c>
      <c r="AS161" s="262"/>
      <c r="AT161" s="214"/>
      <c r="AU161" s="254"/>
      <c r="BB161" s="306" t="str">
        <f t="shared" si="11"/>
        <v/>
      </c>
    </row>
    <row r="162" spans="11:54" x14ac:dyDescent="0.25">
      <c r="K162" s="386"/>
      <c r="L162" s="214"/>
      <c r="P162" s="352"/>
      <c r="X162" s="256"/>
      <c r="Y162" s="256"/>
      <c r="Z162" s="308">
        <f t="shared" si="10"/>
        <v>0</v>
      </c>
      <c r="AK162" s="117"/>
      <c r="AL162" s="117"/>
      <c r="AN162" s="210" t="str">
        <f t="shared" si="12"/>
        <v/>
      </c>
      <c r="AO162" s="262"/>
      <c r="AP162" s="210" t="str">
        <f t="shared" si="13"/>
        <v/>
      </c>
      <c r="AQ162" s="214"/>
      <c r="AR162" s="210" t="s">
        <v>503</v>
      </c>
      <c r="AS162" s="262"/>
      <c r="AT162" s="214"/>
      <c r="AU162" s="254"/>
      <c r="BB162" s="306" t="str">
        <f t="shared" si="11"/>
        <v/>
      </c>
    </row>
    <row r="163" spans="11:54" x14ac:dyDescent="0.25">
      <c r="K163" s="386"/>
      <c r="L163" s="214"/>
      <c r="P163" s="352"/>
      <c r="X163" s="256"/>
      <c r="Y163" s="256"/>
      <c r="Z163" s="308">
        <f t="shared" si="10"/>
        <v>0</v>
      </c>
      <c r="AK163" s="117"/>
      <c r="AL163" s="117"/>
      <c r="AN163" s="210" t="str">
        <f t="shared" si="12"/>
        <v/>
      </c>
      <c r="AO163" s="262"/>
      <c r="AP163" s="210" t="str">
        <f t="shared" si="13"/>
        <v/>
      </c>
      <c r="AQ163" s="214"/>
      <c r="AR163" s="210" t="s">
        <v>503</v>
      </c>
      <c r="AS163" s="262"/>
      <c r="AT163" s="214"/>
      <c r="AU163" s="254"/>
      <c r="BB163" s="306" t="str">
        <f t="shared" si="11"/>
        <v/>
      </c>
    </row>
    <row r="164" spans="11:54" x14ac:dyDescent="0.25">
      <c r="K164" s="386"/>
      <c r="L164" s="214"/>
      <c r="P164" s="352"/>
      <c r="X164" s="256"/>
      <c r="Y164" s="256"/>
      <c r="Z164" s="308">
        <f t="shared" si="10"/>
        <v>0</v>
      </c>
      <c r="AK164" s="117"/>
      <c r="AL164" s="117"/>
      <c r="AN164" s="210" t="str">
        <f t="shared" si="12"/>
        <v/>
      </c>
      <c r="AO164" s="262"/>
      <c r="AP164" s="210" t="str">
        <f t="shared" si="13"/>
        <v/>
      </c>
      <c r="AQ164" s="214"/>
      <c r="AR164" s="210" t="s">
        <v>503</v>
      </c>
      <c r="AS164" s="262"/>
      <c r="AT164" s="214"/>
      <c r="AU164" s="254"/>
      <c r="BB164" s="306" t="str">
        <f t="shared" si="11"/>
        <v/>
      </c>
    </row>
    <row r="165" spans="11:54" x14ac:dyDescent="0.25">
      <c r="K165" s="386"/>
      <c r="L165" s="214"/>
      <c r="P165" s="352"/>
      <c r="X165" s="256"/>
      <c r="Y165" s="256"/>
      <c r="Z165" s="308">
        <f t="shared" si="10"/>
        <v>0</v>
      </c>
      <c r="AK165" s="117"/>
      <c r="AL165" s="117"/>
      <c r="AN165" s="210" t="str">
        <f t="shared" si="12"/>
        <v/>
      </c>
      <c r="AO165" s="262"/>
      <c r="AP165" s="210" t="str">
        <f t="shared" si="13"/>
        <v/>
      </c>
      <c r="AQ165" s="214"/>
      <c r="AR165" s="210" t="s">
        <v>503</v>
      </c>
      <c r="AS165" s="262"/>
      <c r="AT165" s="214"/>
      <c r="AU165" s="254"/>
      <c r="BB165" s="306" t="str">
        <f t="shared" si="11"/>
        <v/>
      </c>
    </row>
    <row r="166" spans="11:54" x14ac:dyDescent="0.25">
      <c r="K166" s="386"/>
      <c r="L166" s="214"/>
      <c r="P166" s="352"/>
      <c r="X166" s="256"/>
      <c r="Y166" s="256"/>
      <c r="Z166" s="308">
        <f t="shared" si="10"/>
        <v>0</v>
      </c>
      <c r="AK166" s="117"/>
      <c r="AL166" s="117"/>
      <c r="AN166" s="210" t="str">
        <f t="shared" si="12"/>
        <v/>
      </c>
      <c r="AO166" s="262"/>
      <c r="AP166" s="210" t="str">
        <f t="shared" si="13"/>
        <v/>
      </c>
      <c r="AQ166" s="214"/>
      <c r="AR166" s="210" t="s">
        <v>503</v>
      </c>
      <c r="AS166" s="262"/>
      <c r="AT166" s="214"/>
      <c r="AU166" s="254"/>
      <c r="BB166" s="306" t="str">
        <f t="shared" si="11"/>
        <v/>
      </c>
    </row>
    <row r="167" spans="11:54" x14ac:dyDescent="0.25">
      <c r="K167" s="386"/>
      <c r="L167" s="214"/>
      <c r="P167" s="352"/>
      <c r="X167" s="256"/>
      <c r="Y167" s="256"/>
      <c r="Z167" s="308">
        <f t="shared" si="10"/>
        <v>0</v>
      </c>
      <c r="AK167" s="117"/>
      <c r="AL167" s="117"/>
      <c r="AN167" s="210" t="str">
        <f t="shared" si="12"/>
        <v/>
      </c>
      <c r="AO167" s="262"/>
      <c r="AP167" s="210" t="str">
        <f t="shared" si="13"/>
        <v/>
      </c>
      <c r="AQ167" s="214"/>
      <c r="AR167" s="210" t="s">
        <v>503</v>
      </c>
      <c r="AS167" s="262"/>
      <c r="AT167" s="214"/>
      <c r="AU167" s="254"/>
      <c r="BB167" s="306" t="str">
        <f t="shared" si="11"/>
        <v/>
      </c>
    </row>
    <row r="168" spans="11:54" x14ac:dyDescent="0.25">
      <c r="K168" s="386"/>
      <c r="L168" s="214"/>
      <c r="P168" s="352"/>
      <c r="X168" s="256"/>
      <c r="Y168" s="256"/>
      <c r="Z168" s="308">
        <f t="shared" si="10"/>
        <v>0</v>
      </c>
      <c r="AK168" s="117"/>
      <c r="AL168" s="117"/>
      <c r="AN168" s="210" t="str">
        <f t="shared" si="12"/>
        <v/>
      </c>
      <c r="AO168" s="262"/>
      <c r="AP168" s="210" t="str">
        <f t="shared" si="13"/>
        <v/>
      </c>
      <c r="AQ168" s="214"/>
      <c r="AR168" s="210" t="s">
        <v>503</v>
      </c>
      <c r="AS168" s="262"/>
      <c r="AT168" s="214"/>
      <c r="AU168" s="254"/>
      <c r="BB168" s="306" t="str">
        <f t="shared" si="11"/>
        <v/>
      </c>
    </row>
    <row r="169" spans="11:54" x14ac:dyDescent="0.25">
      <c r="K169" s="386"/>
      <c r="L169" s="214"/>
      <c r="P169" s="352"/>
      <c r="X169" s="256"/>
      <c r="Y169" s="256"/>
      <c r="Z169" s="308">
        <f t="shared" si="10"/>
        <v>0</v>
      </c>
      <c r="AK169" s="117"/>
      <c r="AL169" s="117"/>
      <c r="AN169" s="210" t="str">
        <f t="shared" si="12"/>
        <v/>
      </c>
      <c r="AO169" s="262"/>
      <c r="AP169" s="210" t="str">
        <f t="shared" si="13"/>
        <v/>
      </c>
      <c r="AQ169" s="214"/>
      <c r="AR169" s="210" t="s">
        <v>503</v>
      </c>
      <c r="AS169" s="262"/>
      <c r="AT169" s="214"/>
      <c r="AU169" s="254"/>
      <c r="BB169" s="306" t="str">
        <f t="shared" si="11"/>
        <v/>
      </c>
    </row>
    <row r="170" spans="11:54" x14ac:dyDescent="0.25">
      <c r="K170" s="386"/>
      <c r="L170" s="214"/>
      <c r="P170" s="352"/>
      <c r="X170" s="256"/>
      <c r="Y170" s="256"/>
      <c r="Z170" s="308">
        <f t="shared" si="10"/>
        <v>0</v>
      </c>
      <c r="AK170" s="117"/>
      <c r="AL170" s="117"/>
      <c r="AN170" s="210" t="str">
        <f t="shared" si="12"/>
        <v/>
      </c>
      <c r="AO170" s="262"/>
      <c r="AP170" s="210" t="str">
        <f t="shared" si="13"/>
        <v/>
      </c>
      <c r="AQ170" s="214"/>
      <c r="AR170" s="210" t="s">
        <v>503</v>
      </c>
      <c r="AS170" s="262"/>
      <c r="AT170" s="214"/>
      <c r="AU170" s="254"/>
      <c r="BB170" s="306" t="str">
        <f t="shared" si="11"/>
        <v/>
      </c>
    </row>
    <row r="171" spans="11:54" x14ac:dyDescent="0.25">
      <c r="K171" s="386"/>
      <c r="P171" s="352"/>
      <c r="X171" s="256"/>
      <c r="Y171" s="256"/>
      <c r="Z171" s="308">
        <f t="shared" si="10"/>
        <v>0</v>
      </c>
      <c r="AK171" s="117"/>
      <c r="AL171" s="117"/>
      <c r="AN171" s="210" t="str">
        <f t="shared" si="12"/>
        <v/>
      </c>
      <c r="AO171" s="262"/>
      <c r="AP171" s="210" t="str">
        <f t="shared" si="13"/>
        <v/>
      </c>
      <c r="AQ171" s="214"/>
      <c r="AR171" s="210" t="s">
        <v>503</v>
      </c>
      <c r="AS171" s="262"/>
      <c r="AT171" s="214"/>
      <c r="AU171" s="254"/>
      <c r="BB171" s="306" t="str">
        <f t="shared" si="11"/>
        <v/>
      </c>
    </row>
    <row r="172" spans="11:54" x14ac:dyDescent="0.25">
      <c r="K172" s="386"/>
      <c r="P172" s="352"/>
      <c r="X172" s="256"/>
      <c r="Y172" s="256"/>
      <c r="Z172" s="308">
        <f t="shared" si="10"/>
        <v>0</v>
      </c>
      <c r="AK172" s="117"/>
      <c r="AL172" s="117"/>
      <c r="AN172" s="210" t="str">
        <f t="shared" si="12"/>
        <v/>
      </c>
      <c r="AO172" s="262"/>
      <c r="AP172" s="210" t="str">
        <f t="shared" si="13"/>
        <v/>
      </c>
      <c r="AQ172" s="214"/>
      <c r="AR172" s="210" t="s">
        <v>503</v>
      </c>
      <c r="AS172" s="262"/>
      <c r="AT172" s="214"/>
      <c r="AU172" s="254"/>
      <c r="BB172" s="306" t="str">
        <f t="shared" si="11"/>
        <v/>
      </c>
    </row>
    <row r="173" spans="11:54" x14ac:dyDescent="0.25">
      <c r="K173" s="386"/>
      <c r="P173" s="352"/>
      <c r="X173" s="256"/>
      <c r="Y173" s="256"/>
      <c r="Z173" s="308">
        <f t="shared" si="10"/>
        <v>0</v>
      </c>
      <c r="AK173" s="117"/>
      <c r="AL173" s="117"/>
      <c r="AN173" s="210" t="str">
        <f t="shared" si="12"/>
        <v/>
      </c>
      <c r="AO173" s="262"/>
      <c r="AP173" s="210" t="str">
        <f t="shared" si="13"/>
        <v/>
      </c>
      <c r="AQ173" s="214"/>
      <c r="AR173" s="210" t="s">
        <v>503</v>
      </c>
      <c r="AS173" s="262"/>
      <c r="AT173" s="214"/>
      <c r="AU173" s="254"/>
      <c r="BB173" s="306" t="str">
        <f t="shared" si="11"/>
        <v/>
      </c>
    </row>
    <row r="174" spans="11:54" x14ac:dyDescent="0.25">
      <c r="K174" s="386"/>
      <c r="P174" s="352"/>
      <c r="X174" s="256"/>
      <c r="Y174" s="256"/>
      <c r="Z174" s="308">
        <f t="shared" si="10"/>
        <v>0</v>
      </c>
      <c r="AK174" s="117"/>
      <c r="AL174" s="117"/>
      <c r="AN174" s="210" t="str">
        <f t="shared" si="12"/>
        <v/>
      </c>
      <c r="AO174" s="262"/>
      <c r="AP174" s="210" t="str">
        <f t="shared" si="13"/>
        <v/>
      </c>
      <c r="AQ174" s="214"/>
      <c r="AR174" s="210" t="s">
        <v>503</v>
      </c>
      <c r="AS174" s="262"/>
      <c r="AT174" s="214"/>
      <c r="AU174" s="254"/>
      <c r="BB174" s="306" t="str">
        <f t="shared" si="11"/>
        <v/>
      </c>
    </row>
    <row r="175" spans="11:54" x14ac:dyDescent="0.25">
      <c r="K175" s="386"/>
      <c r="P175" s="352"/>
      <c r="X175" s="256"/>
      <c r="Y175" s="256"/>
      <c r="Z175" s="308">
        <f t="shared" si="10"/>
        <v>0</v>
      </c>
      <c r="AK175" s="117"/>
      <c r="AL175" s="117"/>
      <c r="AN175" s="210" t="str">
        <f t="shared" si="12"/>
        <v/>
      </c>
      <c r="AO175" s="262"/>
      <c r="AP175" s="210" t="str">
        <f t="shared" si="13"/>
        <v/>
      </c>
      <c r="AQ175" s="214"/>
      <c r="AR175" s="210" t="s">
        <v>503</v>
      </c>
      <c r="AS175" s="262"/>
      <c r="AT175" s="214"/>
      <c r="AU175" s="254"/>
      <c r="BB175" s="306" t="str">
        <f t="shared" si="11"/>
        <v/>
      </c>
    </row>
    <row r="176" spans="11:54" x14ac:dyDescent="0.25">
      <c r="K176" s="386"/>
      <c r="P176" s="352"/>
      <c r="X176" s="256"/>
      <c r="Y176" s="256"/>
      <c r="Z176" s="308">
        <f t="shared" si="10"/>
        <v>0</v>
      </c>
      <c r="AK176" s="117"/>
      <c r="AL176" s="117"/>
      <c r="AN176" s="210" t="str">
        <f t="shared" si="12"/>
        <v/>
      </c>
      <c r="AO176" s="262"/>
      <c r="AP176" s="210" t="str">
        <f t="shared" si="13"/>
        <v/>
      </c>
      <c r="AQ176" s="214"/>
      <c r="AR176" s="210" t="s">
        <v>503</v>
      </c>
      <c r="AS176" s="262"/>
      <c r="AT176" s="214"/>
      <c r="AU176" s="254"/>
      <c r="BB176" s="306" t="str">
        <f t="shared" si="11"/>
        <v/>
      </c>
    </row>
    <row r="177" spans="11:54" x14ac:dyDescent="0.25">
      <c r="K177" s="386"/>
      <c r="P177" s="352"/>
      <c r="X177" s="256"/>
      <c r="Y177" s="256"/>
      <c r="Z177" s="308">
        <f t="shared" si="10"/>
        <v>0</v>
      </c>
      <c r="AK177" s="117"/>
      <c r="AL177" s="117"/>
      <c r="AN177" s="210" t="str">
        <f t="shared" si="12"/>
        <v/>
      </c>
      <c r="AO177" s="262"/>
      <c r="AP177" s="210" t="str">
        <f t="shared" si="13"/>
        <v/>
      </c>
      <c r="AQ177" s="214"/>
      <c r="AR177" s="210" t="s">
        <v>503</v>
      </c>
      <c r="AS177" s="262"/>
      <c r="AT177" s="214"/>
      <c r="AU177" s="254"/>
      <c r="BB177" s="306" t="str">
        <f t="shared" si="11"/>
        <v/>
      </c>
    </row>
    <row r="178" spans="11:54" x14ac:dyDescent="0.25">
      <c r="K178" s="386"/>
      <c r="P178" s="352"/>
      <c r="X178" s="256"/>
      <c r="Y178" s="256"/>
      <c r="Z178" s="308">
        <f t="shared" si="10"/>
        <v>0</v>
      </c>
      <c r="AK178" s="117"/>
      <c r="AL178" s="117"/>
      <c r="AN178" s="210" t="str">
        <f t="shared" si="12"/>
        <v/>
      </c>
      <c r="AO178" s="262"/>
      <c r="AP178" s="210" t="str">
        <f t="shared" si="13"/>
        <v/>
      </c>
      <c r="AQ178" s="214"/>
      <c r="AR178" s="210" t="s">
        <v>503</v>
      </c>
      <c r="AS178" s="262"/>
      <c r="AT178" s="214"/>
      <c r="AU178" s="254"/>
      <c r="BB178" s="306" t="str">
        <f t="shared" si="11"/>
        <v/>
      </c>
    </row>
    <row r="179" spans="11:54" x14ac:dyDescent="0.25">
      <c r="K179" s="386"/>
      <c r="P179" s="352"/>
      <c r="X179" s="256"/>
      <c r="Y179" s="256"/>
      <c r="Z179" s="308">
        <f t="shared" si="10"/>
        <v>0</v>
      </c>
      <c r="AK179" s="117"/>
      <c r="AL179" s="117"/>
      <c r="AN179" s="210" t="str">
        <f t="shared" si="12"/>
        <v/>
      </c>
      <c r="AO179" s="262"/>
      <c r="AP179" s="210" t="str">
        <f t="shared" si="13"/>
        <v/>
      </c>
      <c r="AQ179" s="214"/>
      <c r="AR179" s="210" t="s">
        <v>503</v>
      </c>
      <c r="AS179" s="262"/>
      <c r="AT179" s="214"/>
      <c r="AU179" s="254"/>
      <c r="BB179" s="306" t="str">
        <f t="shared" si="11"/>
        <v/>
      </c>
    </row>
    <row r="180" spans="11:54" x14ac:dyDescent="0.25">
      <c r="K180" s="386"/>
      <c r="P180" s="352"/>
      <c r="X180" s="256"/>
      <c r="Y180" s="256"/>
      <c r="Z180" s="308">
        <f t="shared" si="10"/>
        <v>0</v>
      </c>
      <c r="AK180" s="117"/>
      <c r="AL180" s="117"/>
      <c r="AN180" s="210" t="str">
        <f t="shared" si="12"/>
        <v/>
      </c>
      <c r="AO180" s="262"/>
      <c r="AP180" s="210" t="str">
        <f t="shared" si="13"/>
        <v/>
      </c>
      <c r="AQ180" s="214"/>
      <c r="AR180" s="210" t="s">
        <v>503</v>
      </c>
      <c r="AS180" s="262"/>
      <c r="AT180" s="214"/>
      <c r="AU180" s="254"/>
      <c r="BB180" s="306" t="str">
        <f t="shared" si="11"/>
        <v/>
      </c>
    </row>
    <row r="181" spans="11:54" x14ac:dyDescent="0.25">
      <c r="K181" s="386"/>
      <c r="P181" s="352"/>
      <c r="X181" s="256"/>
      <c r="Y181" s="256"/>
      <c r="Z181" s="308">
        <f t="shared" si="10"/>
        <v>0</v>
      </c>
      <c r="AK181" s="117"/>
      <c r="AL181" s="117"/>
      <c r="AN181" s="210" t="str">
        <f t="shared" si="12"/>
        <v/>
      </c>
      <c r="AO181" s="262"/>
      <c r="AP181" s="210" t="str">
        <f t="shared" si="13"/>
        <v/>
      </c>
      <c r="AQ181" s="214"/>
      <c r="AR181" s="210" t="s">
        <v>503</v>
      </c>
      <c r="AS181" s="262"/>
      <c r="AT181" s="214"/>
      <c r="AU181" s="254"/>
      <c r="BB181" s="306" t="str">
        <f t="shared" si="11"/>
        <v/>
      </c>
    </row>
    <row r="182" spans="11:54" x14ac:dyDescent="0.25">
      <c r="K182" s="386"/>
      <c r="P182" s="352"/>
      <c r="X182" s="256"/>
      <c r="Y182" s="256"/>
      <c r="Z182" s="308">
        <f t="shared" si="10"/>
        <v>0</v>
      </c>
      <c r="AK182" s="117"/>
      <c r="AL182" s="117"/>
      <c r="AN182" s="210" t="str">
        <f t="shared" si="12"/>
        <v/>
      </c>
      <c r="AO182" s="262"/>
      <c r="AP182" s="210" t="str">
        <f t="shared" si="13"/>
        <v/>
      </c>
      <c r="AQ182" s="214"/>
      <c r="AR182" s="210" t="s">
        <v>503</v>
      </c>
      <c r="AS182" s="262"/>
      <c r="AT182" s="214"/>
      <c r="AU182" s="254"/>
      <c r="BB182" s="306" t="str">
        <f t="shared" si="11"/>
        <v/>
      </c>
    </row>
    <row r="183" spans="11:54" x14ac:dyDescent="0.25">
      <c r="K183" s="386"/>
      <c r="P183" s="352"/>
      <c r="X183" s="256"/>
      <c r="Y183" s="256"/>
      <c r="Z183" s="308">
        <f t="shared" si="10"/>
        <v>0</v>
      </c>
      <c r="AK183" s="117"/>
      <c r="AL183" s="117"/>
      <c r="AN183" s="210" t="str">
        <f t="shared" si="12"/>
        <v/>
      </c>
      <c r="AO183" s="262"/>
      <c r="AP183" s="210" t="str">
        <f t="shared" si="13"/>
        <v/>
      </c>
      <c r="AQ183" s="214"/>
      <c r="AR183" s="210" t="s">
        <v>503</v>
      </c>
      <c r="AS183" s="262"/>
      <c r="AT183" s="214"/>
      <c r="AU183" s="254"/>
      <c r="BB183" s="306" t="str">
        <f t="shared" si="11"/>
        <v/>
      </c>
    </row>
    <row r="184" spans="11:54" x14ac:dyDescent="0.25">
      <c r="K184" s="386"/>
      <c r="P184" s="352"/>
      <c r="X184" s="256"/>
      <c r="Y184" s="256"/>
      <c r="Z184" s="308">
        <f t="shared" si="10"/>
        <v>0</v>
      </c>
      <c r="AK184" s="117"/>
      <c r="AL184" s="117"/>
      <c r="AN184" s="210" t="str">
        <f t="shared" si="12"/>
        <v/>
      </c>
      <c r="AO184" s="262"/>
      <c r="AP184" s="210" t="str">
        <f t="shared" si="13"/>
        <v/>
      </c>
      <c r="AQ184" s="214"/>
      <c r="AR184" s="210" t="s">
        <v>503</v>
      </c>
      <c r="AS184" s="262"/>
      <c r="AT184" s="214"/>
      <c r="AU184" s="254"/>
      <c r="BB184" s="306" t="str">
        <f t="shared" si="11"/>
        <v/>
      </c>
    </row>
    <row r="185" spans="11:54" x14ac:dyDescent="0.25">
      <c r="K185" s="386"/>
      <c r="P185" s="352"/>
      <c r="X185" s="256"/>
      <c r="Y185" s="256"/>
      <c r="Z185" s="308">
        <f t="shared" si="10"/>
        <v>0</v>
      </c>
      <c r="AK185" s="117"/>
      <c r="AL185" s="117"/>
      <c r="AN185" s="210" t="str">
        <f t="shared" si="12"/>
        <v/>
      </c>
      <c r="AO185" s="262"/>
      <c r="AP185" s="210" t="str">
        <f t="shared" si="13"/>
        <v/>
      </c>
      <c r="AQ185" s="214"/>
      <c r="AR185" s="210" t="s">
        <v>503</v>
      </c>
      <c r="AS185" s="262"/>
      <c r="AT185" s="214"/>
      <c r="AU185" s="254"/>
      <c r="BB185" s="306" t="str">
        <f t="shared" si="11"/>
        <v/>
      </c>
    </row>
    <row r="186" spans="11:54" x14ac:dyDescent="0.25">
      <c r="K186" s="386"/>
      <c r="P186" s="352"/>
      <c r="X186" s="256"/>
      <c r="Y186" s="256"/>
      <c r="Z186" s="308">
        <f t="shared" si="10"/>
        <v>0</v>
      </c>
      <c r="AK186" s="117"/>
      <c r="AL186" s="117"/>
      <c r="AN186" s="210" t="str">
        <f t="shared" si="12"/>
        <v/>
      </c>
      <c r="AO186" s="262"/>
      <c r="AP186" s="210" t="str">
        <f t="shared" si="13"/>
        <v/>
      </c>
      <c r="AQ186" s="214"/>
      <c r="AR186" s="210" t="s">
        <v>503</v>
      </c>
      <c r="AS186" s="262"/>
      <c r="AT186" s="214"/>
      <c r="AU186" s="254"/>
      <c r="BB186" s="306" t="str">
        <f t="shared" si="11"/>
        <v/>
      </c>
    </row>
    <row r="187" spans="11:54" x14ac:dyDescent="0.25">
      <c r="K187" s="386"/>
      <c r="P187" s="352"/>
      <c r="X187" s="256"/>
      <c r="Y187" s="256"/>
      <c r="Z187" s="308">
        <f t="shared" si="10"/>
        <v>0</v>
      </c>
      <c r="AK187" s="117"/>
      <c r="AL187" s="117"/>
      <c r="AN187" s="210" t="str">
        <f t="shared" si="12"/>
        <v/>
      </c>
      <c r="AO187" s="262"/>
      <c r="AP187" s="210" t="str">
        <f t="shared" si="13"/>
        <v/>
      </c>
      <c r="AQ187" s="214"/>
      <c r="AR187" s="210" t="s">
        <v>503</v>
      </c>
      <c r="AS187" s="262"/>
      <c r="AT187" s="214"/>
      <c r="AU187" s="254"/>
      <c r="BB187" s="306" t="str">
        <f t="shared" si="11"/>
        <v/>
      </c>
    </row>
    <row r="188" spans="11:54" x14ac:dyDescent="0.25">
      <c r="K188" s="386"/>
      <c r="P188" s="352"/>
      <c r="X188" s="256"/>
      <c r="Y188" s="256"/>
      <c r="Z188" s="308">
        <f t="shared" si="10"/>
        <v>0</v>
      </c>
      <c r="AK188" s="117"/>
      <c r="AL188" s="117"/>
      <c r="AN188" s="210" t="str">
        <f t="shared" si="12"/>
        <v/>
      </c>
      <c r="AO188" s="262"/>
      <c r="AP188" s="210" t="str">
        <f t="shared" si="13"/>
        <v/>
      </c>
      <c r="AQ188" s="214"/>
      <c r="AR188" s="210" t="s">
        <v>503</v>
      </c>
      <c r="AS188" s="262"/>
      <c r="AT188" s="214"/>
      <c r="AU188" s="254"/>
      <c r="BB188" s="306" t="str">
        <f t="shared" si="11"/>
        <v/>
      </c>
    </row>
    <row r="189" spans="11:54" x14ac:dyDescent="0.25">
      <c r="K189" s="386"/>
      <c r="P189" s="352"/>
      <c r="X189" s="256"/>
      <c r="Y189" s="256"/>
      <c r="Z189" s="308">
        <f t="shared" si="10"/>
        <v>0</v>
      </c>
      <c r="AK189" s="117"/>
      <c r="AL189" s="117"/>
      <c r="AN189" s="210" t="str">
        <f t="shared" si="12"/>
        <v/>
      </c>
      <c r="AO189" s="262"/>
      <c r="AP189" s="210" t="str">
        <f t="shared" si="13"/>
        <v/>
      </c>
      <c r="AQ189" s="214"/>
      <c r="AR189" s="210" t="s">
        <v>503</v>
      </c>
      <c r="AS189" s="262"/>
      <c r="AT189" s="214"/>
      <c r="AU189" s="254"/>
      <c r="BB189" s="306" t="str">
        <f t="shared" si="11"/>
        <v/>
      </c>
    </row>
    <row r="190" spans="11:54" x14ac:dyDescent="0.25">
      <c r="K190" s="386"/>
      <c r="P190" s="352"/>
      <c r="X190" s="256"/>
      <c r="Y190" s="256"/>
      <c r="Z190" s="308">
        <f t="shared" si="10"/>
        <v>0</v>
      </c>
      <c r="AK190" s="117"/>
      <c r="AL190" s="117"/>
      <c r="AN190" s="210" t="str">
        <f t="shared" si="12"/>
        <v/>
      </c>
      <c r="AO190" s="262"/>
      <c r="AP190" s="210" t="str">
        <f t="shared" si="13"/>
        <v/>
      </c>
      <c r="AQ190" s="214"/>
      <c r="AR190" s="210" t="s">
        <v>503</v>
      </c>
      <c r="AS190" s="262"/>
      <c r="AT190" s="214"/>
      <c r="AU190" s="254"/>
      <c r="BB190" s="306" t="str">
        <f t="shared" si="11"/>
        <v/>
      </c>
    </row>
    <row r="191" spans="11:54" x14ac:dyDescent="0.25">
      <c r="K191" s="386"/>
      <c r="P191" s="352"/>
      <c r="X191" s="256"/>
      <c r="Y191" s="256"/>
      <c r="Z191" s="308">
        <f>X191*1</f>
        <v>0</v>
      </c>
      <c r="AK191" s="117"/>
      <c r="AL191" s="117"/>
      <c r="AN191" s="210" t="str">
        <f t="shared" si="12"/>
        <v/>
      </c>
      <c r="AO191" s="262"/>
      <c r="AP191" s="210" t="str">
        <f t="shared" si="13"/>
        <v/>
      </c>
      <c r="AQ191" s="214"/>
      <c r="AR191" s="210" t="s">
        <v>503</v>
      </c>
      <c r="AS191" s="262"/>
      <c r="AT191" s="214"/>
      <c r="AU191" s="254"/>
      <c r="BB191" s="306" t="str">
        <f t="shared" si="11"/>
        <v/>
      </c>
    </row>
    <row r="192" spans="11:54" x14ac:dyDescent="0.25">
      <c r="K192" s="386"/>
      <c r="P192" s="352"/>
      <c r="X192" s="256"/>
      <c r="Y192" s="256"/>
      <c r="Z192" s="308">
        <f>X192*1</f>
        <v>0</v>
      </c>
      <c r="AK192" s="117"/>
      <c r="AL192" s="117"/>
      <c r="AN192" s="210" t="str">
        <f t="shared" si="12"/>
        <v/>
      </c>
      <c r="AO192" s="262"/>
      <c r="AP192" s="210" t="str">
        <f t="shared" si="13"/>
        <v/>
      </c>
      <c r="AQ192" s="214"/>
      <c r="AR192" s="210" t="s">
        <v>503</v>
      </c>
      <c r="AS192" s="262"/>
      <c r="AT192" s="214"/>
      <c r="AU192" s="254"/>
      <c r="BB192" s="306" t="str">
        <f t="shared" si="11"/>
        <v/>
      </c>
    </row>
    <row r="193" spans="11:54" x14ac:dyDescent="0.25">
      <c r="K193" s="386"/>
      <c r="P193" s="352"/>
      <c r="X193" s="256"/>
      <c r="Y193" s="256"/>
      <c r="Z193" s="308">
        <f>X193*1</f>
        <v>0</v>
      </c>
      <c r="AK193" s="117"/>
      <c r="AL193" s="117"/>
      <c r="AN193" s="210" t="str">
        <f t="shared" si="12"/>
        <v/>
      </c>
      <c r="AP193" s="210" t="str">
        <f t="shared" si="13"/>
        <v/>
      </c>
      <c r="AR193" s="210" t="s">
        <v>503</v>
      </c>
      <c r="BB193" s="306" t="str">
        <f t="shared" si="11"/>
        <v/>
      </c>
    </row>
    <row r="194" spans="11:54" x14ac:dyDescent="0.25">
      <c r="K194" s="386"/>
      <c r="P194" s="352"/>
      <c r="Z194" s="308">
        <f>X194*1</f>
        <v>0</v>
      </c>
      <c r="AN194" s="210" t="str">
        <f t="shared" si="12"/>
        <v/>
      </c>
      <c r="AP194" s="210" t="str">
        <f t="shared" si="13"/>
        <v/>
      </c>
      <c r="AR194" s="210" t="s">
        <v>503</v>
      </c>
      <c r="BB194" s="306" t="str">
        <f t="shared" si="11"/>
        <v/>
      </c>
    </row>
    <row r="195" spans="11:54" x14ac:dyDescent="0.25">
      <c r="K195" s="386"/>
      <c r="P195" s="352"/>
      <c r="AN195" s="210" t="str">
        <f t="shared" si="12"/>
        <v/>
      </c>
      <c r="AP195" s="210" t="str">
        <f t="shared" si="13"/>
        <v/>
      </c>
      <c r="AR195" s="210" t="s">
        <v>503</v>
      </c>
      <c r="BB195" s="306" t="str">
        <f t="shared" si="11"/>
        <v/>
      </c>
    </row>
    <row r="196" spans="11:54" x14ac:dyDescent="0.25">
      <c r="K196" s="386"/>
      <c r="P196" s="352"/>
      <c r="AN196" s="210" t="str">
        <f t="shared" si="12"/>
        <v/>
      </c>
      <c r="AP196" s="210" t="str">
        <f t="shared" si="13"/>
        <v/>
      </c>
      <c r="AR196" s="210" t="s">
        <v>503</v>
      </c>
      <c r="BB196" s="306" t="str">
        <f t="shared" si="11"/>
        <v/>
      </c>
    </row>
    <row r="197" spans="11:54" x14ac:dyDescent="0.25">
      <c r="K197" s="386"/>
      <c r="P197" s="352"/>
      <c r="AN197" s="210" t="str">
        <f t="shared" si="12"/>
        <v/>
      </c>
      <c r="AP197" s="210" t="str">
        <f t="shared" si="13"/>
        <v/>
      </c>
      <c r="AR197" s="210" t="s">
        <v>503</v>
      </c>
      <c r="BB197" s="306" t="str">
        <f t="shared" ref="BB197:BB260" si="14">IF(AO197="","",LEFT(AO197,SEARCH(".",AO197)-1))</f>
        <v/>
      </c>
    </row>
    <row r="198" spans="11:54" x14ac:dyDescent="0.25">
      <c r="K198" s="386"/>
      <c r="P198" s="352"/>
      <c r="AN198" s="210" t="str">
        <f t="shared" si="12"/>
        <v/>
      </c>
      <c r="AP198" s="210" t="str">
        <f t="shared" si="13"/>
        <v/>
      </c>
      <c r="AR198" s="210" t="s">
        <v>503</v>
      </c>
      <c r="BB198" s="306" t="str">
        <f t="shared" si="14"/>
        <v/>
      </c>
    </row>
    <row r="199" spans="11:54" x14ac:dyDescent="0.25">
      <c r="K199" s="386"/>
      <c r="P199" s="352"/>
      <c r="AN199" s="210" t="str">
        <f t="shared" si="12"/>
        <v/>
      </c>
      <c r="AP199" s="210" t="str">
        <f t="shared" si="13"/>
        <v/>
      </c>
      <c r="AR199" s="210" t="s">
        <v>503</v>
      </c>
      <c r="BB199" s="306" t="str">
        <f t="shared" si="14"/>
        <v/>
      </c>
    </row>
    <row r="200" spans="11:54" x14ac:dyDescent="0.25">
      <c r="K200" s="386"/>
      <c r="P200" s="352"/>
      <c r="AN200" s="210" t="str">
        <f>IF(AO200="","",AN199+1)</f>
        <v/>
      </c>
      <c r="AP200" s="210" t="str">
        <f>IF(AN200="","",AN200)</f>
        <v/>
      </c>
      <c r="AR200" s="210" t="s">
        <v>503</v>
      </c>
      <c r="BB200" s="306" t="str">
        <f t="shared" si="14"/>
        <v/>
      </c>
    </row>
    <row r="201" spans="11:54" x14ac:dyDescent="0.25">
      <c r="K201" s="386"/>
      <c r="P201" s="352"/>
      <c r="AN201" s="210" t="str">
        <f>IF(AO201="","",AN200+1)</f>
        <v/>
      </c>
      <c r="AP201" s="210" t="str">
        <f>IF(AN201="","",AN201)</f>
        <v/>
      </c>
      <c r="AR201" s="210" t="s">
        <v>503</v>
      </c>
      <c r="BB201" s="306" t="str">
        <f t="shared" si="14"/>
        <v/>
      </c>
    </row>
    <row r="202" spans="11:54" x14ac:dyDescent="0.25">
      <c r="K202" s="386"/>
      <c r="P202" s="352"/>
      <c r="AN202" s="210" t="str">
        <f>IF(AO202="","",AN201+1)</f>
        <v/>
      </c>
      <c r="AP202" s="210" t="str">
        <f>IF(AN202="","",AN202)</f>
        <v/>
      </c>
      <c r="AR202" s="210" t="s">
        <v>503</v>
      </c>
      <c r="BB202" s="306" t="str">
        <f t="shared" si="14"/>
        <v/>
      </c>
    </row>
    <row r="203" spans="11:54" x14ac:dyDescent="0.25">
      <c r="K203" s="386"/>
      <c r="P203" s="352"/>
      <c r="AN203" s="210" t="str">
        <f>IF(AO203="","",AN202+1)</f>
        <v/>
      </c>
      <c r="AP203" s="210" t="str">
        <f>IF(AQ203="","",AP202+1)</f>
        <v/>
      </c>
      <c r="AR203" s="210" t="s">
        <v>503</v>
      </c>
      <c r="BB203" s="306" t="str">
        <f t="shared" si="14"/>
        <v/>
      </c>
    </row>
    <row r="204" spans="11:54" x14ac:dyDescent="0.25">
      <c r="K204" s="386"/>
      <c r="P204" s="352"/>
      <c r="BB204" s="306" t="str">
        <f t="shared" si="14"/>
        <v/>
      </c>
    </row>
    <row r="205" spans="11:54" x14ac:dyDescent="0.25">
      <c r="K205" s="386"/>
      <c r="P205" s="352"/>
      <c r="BB205" s="306" t="str">
        <f t="shared" si="14"/>
        <v/>
      </c>
    </row>
    <row r="206" spans="11:54" x14ac:dyDescent="0.25">
      <c r="K206" s="386"/>
      <c r="P206" s="352"/>
      <c r="BB206" s="306" t="str">
        <f t="shared" si="14"/>
        <v/>
      </c>
    </row>
    <row r="207" spans="11:54" x14ac:dyDescent="0.25">
      <c r="K207" s="386"/>
      <c r="P207" s="352"/>
      <c r="BB207" s="306" t="str">
        <f t="shared" si="14"/>
        <v/>
      </c>
    </row>
    <row r="208" spans="11:54" x14ac:dyDescent="0.25">
      <c r="K208" s="386"/>
      <c r="P208" s="352"/>
      <c r="BB208" s="306" t="str">
        <f t="shared" si="14"/>
        <v/>
      </c>
    </row>
    <row r="209" spans="11:54" x14ac:dyDescent="0.25">
      <c r="K209" s="386"/>
      <c r="P209" s="352"/>
      <c r="BB209" s="306" t="str">
        <f t="shared" si="14"/>
        <v/>
      </c>
    </row>
    <row r="210" spans="11:54" x14ac:dyDescent="0.25">
      <c r="K210" s="386"/>
      <c r="P210" s="352"/>
      <c r="BB210" s="306" t="str">
        <f t="shared" si="14"/>
        <v/>
      </c>
    </row>
    <row r="211" spans="11:54" x14ac:dyDescent="0.25">
      <c r="K211" s="386"/>
      <c r="P211" s="352"/>
      <c r="BB211" s="306" t="str">
        <f t="shared" si="14"/>
        <v/>
      </c>
    </row>
    <row r="212" spans="11:54" x14ac:dyDescent="0.25">
      <c r="K212" s="386"/>
      <c r="P212" s="352"/>
      <c r="BB212" s="306" t="str">
        <f t="shared" si="14"/>
        <v/>
      </c>
    </row>
    <row r="213" spans="11:54" x14ac:dyDescent="0.25">
      <c r="K213" s="386"/>
      <c r="P213" s="352"/>
      <c r="BB213" s="306" t="str">
        <f t="shared" si="14"/>
        <v/>
      </c>
    </row>
    <row r="214" spans="11:54" x14ac:dyDescent="0.25">
      <c r="K214" s="386"/>
      <c r="P214" s="352"/>
      <c r="BB214" s="306" t="str">
        <f t="shared" si="14"/>
        <v/>
      </c>
    </row>
    <row r="215" spans="11:54" x14ac:dyDescent="0.25">
      <c r="K215" s="386"/>
      <c r="P215" s="352"/>
      <c r="BB215" s="306" t="str">
        <f t="shared" si="14"/>
        <v/>
      </c>
    </row>
    <row r="216" spans="11:54" x14ac:dyDescent="0.25">
      <c r="K216" s="386"/>
      <c r="P216" s="352"/>
      <c r="BB216" s="306" t="str">
        <f t="shared" si="14"/>
        <v/>
      </c>
    </row>
    <row r="217" spans="11:54" x14ac:dyDescent="0.25">
      <c r="K217" s="386"/>
      <c r="P217" s="352"/>
      <c r="BB217" s="306" t="str">
        <f t="shared" si="14"/>
        <v/>
      </c>
    </row>
    <row r="218" spans="11:54" x14ac:dyDescent="0.25">
      <c r="K218" s="386"/>
      <c r="P218" s="352"/>
      <c r="BB218" s="306" t="str">
        <f t="shared" si="14"/>
        <v/>
      </c>
    </row>
    <row r="219" spans="11:54" x14ac:dyDescent="0.25">
      <c r="K219" s="386"/>
      <c r="P219" s="352"/>
      <c r="BB219" s="306" t="str">
        <f t="shared" si="14"/>
        <v/>
      </c>
    </row>
    <row r="220" spans="11:54" x14ac:dyDescent="0.25">
      <c r="K220" s="386"/>
      <c r="P220" s="352"/>
      <c r="BB220" s="306" t="str">
        <f t="shared" si="14"/>
        <v/>
      </c>
    </row>
    <row r="221" spans="11:54" x14ac:dyDescent="0.25">
      <c r="K221" s="386"/>
      <c r="P221" s="352"/>
      <c r="BB221" s="306" t="str">
        <f t="shared" si="14"/>
        <v/>
      </c>
    </row>
    <row r="222" spans="11:54" x14ac:dyDescent="0.25">
      <c r="K222" s="386"/>
      <c r="P222" s="352"/>
      <c r="BB222" s="306" t="str">
        <f t="shared" si="14"/>
        <v/>
      </c>
    </row>
    <row r="223" spans="11:54" x14ac:dyDescent="0.25">
      <c r="K223" s="386"/>
      <c r="P223" s="352"/>
      <c r="BB223" s="306" t="str">
        <f t="shared" si="14"/>
        <v/>
      </c>
    </row>
    <row r="224" spans="11:54" x14ac:dyDescent="0.25">
      <c r="K224" s="386"/>
      <c r="P224" s="352"/>
      <c r="BB224" s="306" t="str">
        <f t="shared" si="14"/>
        <v/>
      </c>
    </row>
    <row r="225" spans="11:54" x14ac:dyDescent="0.25">
      <c r="K225" s="386"/>
      <c r="P225" s="352"/>
      <c r="BB225" s="306" t="str">
        <f t="shared" si="14"/>
        <v/>
      </c>
    </row>
    <row r="226" spans="11:54" x14ac:dyDescent="0.25">
      <c r="K226" s="386"/>
      <c r="P226" s="352"/>
      <c r="BB226" s="306" t="str">
        <f t="shared" si="14"/>
        <v/>
      </c>
    </row>
    <row r="227" spans="11:54" x14ac:dyDescent="0.25">
      <c r="K227" s="386"/>
      <c r="P227" s="352"/>
      <c r="BB227" s="306" t="str">
        <f t="shared" si="14"/>
        <v/>
      </c>
    </row>
    <row r="228" spans="11:54" x14ac:dyDescent="0.25">
      <c r="K228" s="386"/>
      <c r="P228" s="352"/>
      <c r="BB228" s="306" t="str">
        <f t="shared" si="14"/>
        <v/>
      </c>
    </row>
    <row r="229" spans="11:54" x14ac:dyDescent="0.25">
      <c r="K229" s="386"/>
      <c r="P229" s="352"/>
      <c r="BB229" s="306" t="str">
        <f t="shared" si="14"/>
        <v/>
      </c>
    </row>
    <row r="230" spans="11:54" x14ac:dyDescent="0.25">
      <c r="K230" s="386"/>
      <c r="P230" s="352"/>
      <c r="BB230" s="306" t="str">
        <f t="shared" si="14"/>
        <v/>
      </c>
    </row>
    <row r="231" spans="11:54" x14ac:dyDescent="0.25">
      <c r="K231" s="386"/>
      <c r="P231" s="352"/>
      <c r="BB231" s="306" t="str">
        <f t="shared" si="14"/>
        <v/>
      </c>
    </row>
    <row r="232" spans="11:54" x14ac:dyDescent="0.25">
      <c r="K232" s="386"/>
      <c r="P232" s="352"/>
      <c r="BB232" s="306" t="str">
        <f t="shared" si="14"/>
        <v/>
      </c>
    </row>
    <row r="233" spans="11:54" x14ac:dyDescent="0.25">
      <c r="K233" s="386"/>
      <c r="P233" s="352"/>
      <c r="BB233" s="306" t="str">
        <f t="shared" si="14"/>
        <v/>
      </c>
    </row>
    <row r="234" spans="11:54" x14ac:dyDescent="0.25">
      <c r="K234" s="386"/>
      <c r="P234" s="352"/>
      <c r="BB234" s="306" t="str">
        <f t="shared" si="14"/>
        <v/>
      </c>
    </row>
    <row r="235" spans="11:54" x14ac:dyDescent="0.25">
      <c r="K235" s="386"/>
      <c r="BB235" s="306" t="str">
        <f t="shared" si="14"/>
        <v/>
      </c>
    </row>
    <row r="236" spans="11:54" x14ac:dyDescent="0.25">
      <c r="K236" s="386"/>
      <c r="BB236" s="306" t="str">
        <f t="shared" si="14"/>
        <v/>
      </c>
    </row>
    <row r="237" spans="11:54" x14ac:dyDescent="0.25">
      <c r="K237" s="386"/>
      <c r="BB237" s="306" t="str">
        <f t="shared" si="14"/>
        <v/>
      </c>
    </row>
    <row r="238" spans="11:54" x14ac:dyDescent="0.25">
      <c r="K238" s="386"/>
      <c r="BB238" s="306" t="str">
        <f t="shared" si="14"/>
        <v/>
      </c>
    </row>
    <row r="239" spans="11:54" x14ac:dyDescent="0.25">
      <c r="K239" s="386"/>
      <c r="BB239" s="306" t="str">
        <f t="shared" si="14"/>
        <v/>
      </c>
    </row>
    <row r="240" spans="11:54" x14ac:dyDescent="0.25">
      <c r="K240" s="386"/>
      <c r="BB240" s="306" t="str">
        <f t="shared" si="14"/>
        <v/>
      </c>
    </row>
    <row r="241" spans="11:54" x14ac:dyDescent="0.25">
      <c r="K241" s="386"/>
      <c r="BB241" s="306" t="str">
        <f t="shared" si="14"/>
        <v/>
      </c>
    </row>
    <row r="242" spans="11:54" x14ac:dyDescent="0.25">
      <c r="K242" s="386"/>
      <c r="BB242" s="306" t="str">
        <f t="shared" si="14"/>
        <v/>
      </c>
    </row>
    <row r="243" spans="11:54" x14ac:dyDescent="0.25">
      <c r="K243" s="386"/>
      <c r="BB243" s="306" t="str">
        <f t="shared" si="14"/>
        <v/>
      </c>
    </row>
    <row r="244" spans="11:54" x14ac:dyDescent="0.25">
      <c r="K244" s="386"/>
      <c r="BB244" s="306" t="str">
        <f t="shared" si="14"/>
        <v/>
      </c>
    </row>
    <row r="245" spans="11:54" x14ac:dyDescent="0.25">
      <c r="K245" s="386"/>
      <c r="BB245" s="306" t="str">
        <f t="shared" si="14"/>
        <v/>
      </c>
    </row>
    <row r="246" spans="11:54" x14ac:dyDescent="0.25">
      <c r="K246" s="386"/>
      <c r="BB246" s="306" t="str">
        <f t="shared" si="14"/>
        <v/>
      </c>
    </row>
    <row r="247" spans="11:54" x14ac:dyDescent="0.25">
      <c r="K247" s="386"/>
      <c r="BB247" s="306" t="str">
        <f t="shared" si="14"/>
        <v/>
      </c>
    </row>
    <row r="248" spans="11:54" x14ac:dyDescent="0.25">
      <c r="K248" s="386"/>
      <c r="BB248" s="306" t="str">
        <f t="shared" si="14"/>
        <v/>
      </c>
    </row>
    <row r="249" spans="11:54" x14ac:dyDescent="0.25">
      <c r="K249" s="386"/>
      <c r="BB249" s="306" t="str">
        <f t="shared" si="14"/>
        <v/>
      </c>
    </row>
    <row r="250" spans="11:54" x14ac:dyDescent="0.25">
      <c r="K250" s="386"/>
      <c r="BB250" s="306" t="str">
        <f t="shared" si="14"/>
        <v/>
      </c>
    </row>
    <row r="251" spans="11:54" x14ac:dyDescent="0.25">
      <c r="K251" s="386"/>
      <c r="BB251" s="306" t="str">
        <f t="shared" si="14"/>
        <v/>
      </c>
    </row>
    <row r="252" spans="11:54" x14ac:dyDescent="0.25">
      <c r="K252" s="386"/>
      <c r="BB252" s="306" t="str">
        <f t="shared" si="14"/>
        <v/>
      </c>
    </row>
    <row r="253" spans="11:54" x14ac:dyDescent="0.25">
      <c r="K253" s="386"/>
      <c r="BB253" s="306" t="str">
        <f t="shared" si="14"/>
        <v/>
      </c>
    </row>
    <row r="254" spans="11:54" x14ac:dyDescent="0.25">
      <c r="K254" s="386"/>
      <c r="BB254" s="306" t="str">
        <f t="shared" si="14"/>
        <v/>
      </c>
    </row>
    <row r="255" spans="11:54" x14ac:dyDescent="0.25">
      <c r="K255" s="386"/>
      <c r="BB255" s="306" t="str">
        <f t="shared" si="14"/>
        <v/>
      </c>
    </row>
    <row r="256" spans="11:54" x14ac:dyDescent="0.25">
      <c r="K256" s="386"/>
      <c r="BB256" s="306" t="str">
        <f t="shared" si="14"/>
        <v/>
      </c>
    </row>
    <row r="257" spans="11:54" x14ac:dyDescent="0.25">
      <c r="K257" s="386"/>
      <c r="BB257" s="306" t="str">
        <f t="shared" si="14"/>
        <v/>
      </c>
    </row>
    <row r="258" spans="11:54" x14ac:dyDescent="0.25">
      <c r="K258" s="386"/>
      <c r="BB258" s="306" t="str">
        <f t="shared" si="14"/>
        <v/>
      </c>
    </row>
    <row r="259" spans="11:54" x14ac:dyDescent="0.25">
      <c r="K259" s="386"/>
      <c r="BB259" s="306" t="str">
        <f t="shared" si="14"/>
        <v/>
      </c>
    </row>
    <row r="260" spans="11:54" x14ac:dyDescent="0.25">
      <c r="K260" s="386"/>
      <c r="BB260" s="306" t="str">
        <f t="shared" si="14"/>
        <v/>
      </c>
    </row>
    <row r="261" spans="11:54" x14ac:dyDescent="0.25">
      <c r="K261" s="386"/>
      <c r="BB261" s="306" t="str">
        <f t="shared" ref="BB261:BB324" si="15">IF(AO261="","",LEFT(AO261,SEARCH(".",AO261)-1))</f>
        <v/>
      </c>
    </row>
    <row r="262" spans="11:54" x14ac:dyDescent="0.25">
      <c r="K262" s="386"/>
      <c r="BB262" s="306" t="str">
        <f t="shared" si="15"/>
        <v/>
      </c>
    </row>
    <row r="263" spans="11:54" x14ac:dyDescent="0.25">
      <c r="K263" s="386"/>
      <c r="BB263" s="306" t="str">
        <f t="shared" si="15"/>
        <v/>
      </c>
    </row>
    <row r="264" spans="11:54" x14ac:dyDescent="0.25">
      <c r="K264" s="386"/>
      <c r="BB264" s="306" t="str">
        <f t="shared" si="15"/>
        <v/>
      </c>
    </row>
    <row r="265" spans="11:54" x14ac:dyDescent="0.25">
      <c r="K265" s="386"/>
      <c r="BB265" s="306" t="str">
        <f t="shared" si="15"/>
        <v/>
      </c>
    </row>
    <row r="266" spans="11:54" x14ac:dyDescent="0.25">
      <c r="K266" s="386"/>
      <c r="BB266" s="306" t="str">
        <f t="shared" si="15"/>
        <v/>
      </c>
    </row>
    <row r="267" spans="11:54" x14ac:dyDescent="0.25">
      <c r="K267" s="386"/>
      <c r="BB267" s="306" t="str">
        <f t="shared" si="15"/>
        <v/>
      </c>
    </row>
    <row r="268" spans="11:54" x14ac:dyDescent="0.25">
      <c r="K268" s="386"/>
      <c r="BB268" s="306" t="str">
        <f t="shared" si="15"/>
        <v/>
      </c>
    </row>
    <row r="269" spans="11:54" x14ac:dyDescent="0.25">
      <c r="K269" s="386"/>
      <c r="BB269" s="306" t="str">
        <f t="shared" si="15"/>
        <v/>
      </c>
    </row>
    <row r="270" spans="11:54" x14ac:dyDescent="0.25">
      <c r="K270" s="386"/>
      <c r="BB270" s="306" t="str">
        <f t="shared" si="15"/>
        <v/>
      </c>
    </row>
    <row r="271" spans="11:54" x14ac:dyDescent="0.25">
      <c r="K271" s="386"/>
      <c r="BB271" s="306" t="str">
        <f t="shared" si="15"/>
        <v/>
      </c>
    </row>
    <row r="272" spans="11:54" x14ac:dyDescent="0.25">
      <c r="K272" s="386"/>
      <c r="BB272" s="306" t="str">
        <f t="shared" si="15"/>
        <v/>
      </c>
    </row>
    <row r="273" spans="11:54" x14ac:dyDescent="0.25">
      <c r="K273" s="386"/>
      <c r="BB273" s="306" t="str">
        <f t="shared" si="15"/>
        <v/>
      </c>
    </row>
    <row r="274" spans="11:54" x14ac:dyDescent="0.25">
      <c r="K274" s="386"/>
      <c r="BB274" s="306" t="str">
        <f t="shared" si="15"/>
        <v/>
      </c>
    </row>
    <row r="275" spans="11:54" x14ac:dyDescent="0.25">
      <c r="K275" s="386"/>
      <c r="BB275" s="306" t="str">
        <f t="shared" si="15"/>
        <v/>
      </c>
    </row>
    <row r="276" spans="11:54" x14ac:dyDescent="0.25">
      <c r="K276" s="386"/>
      <c r="BB276" s="306" t="str">
        <f t="shared" si="15"/>
        <v/>
      </c>
    </row>
    <row r="277" spans="11:54" x14ac:dyDescent="0.25">
      <c r="K277" s="386"/>
      <c r="BB277" s="306" t="str">
        <f t="shared" si="15"/>
        <v/>
      </c>
    </row>
    <row r="278" spans="11:54" x14ac:dyDescent="0.25">
      <c r="K278" s="386"/>
      <c r="BB278" s="306" t="str">
        <f t="shared" si="15"/>
        <v/>
      </c>
    </row>
    <row r="279" spans="11:54" x14ac:dyDescent="0.25">
      <c r="K279" s="386"/>
      <c r="BB279" s="306" t="str">
        <f t="shared" si="15"/>
        <v/>
      </c>
    </row>
    <row r="280" spans="11:54" x14ac:dyDescent="0.25">
      <c r="K280" s="386"/>
      <c r="BB280" s="306" t="str">
        <f t="shared" si="15"/>
        <v/>
      </c>
    </row>
    <row r="281" spans="11:54" x14ac:dyDescent="0.25">
      <c r="K281" s="386"/>
      <c r="BB281" s="306" t="str">
        <f t="shared" si="15"/>
        <v/>
      </c>
    </row>
    <row r="282" spans="11:54" x14ac:dyDescent="0.25">
      <c r="K282" s="386"/>
      <c r="BB282" s="306" t="str">
        <f t="shared" si="15"/>
        <v/>
      </c>
    </row>
    <row r="283" spans="11:54" x14ac:dyDescent="0.25">
      <c r="K283" s="386"/>
      <c r="BB283" s="306" t="str">
        <f t="shared" si="15"/>
        <v/>
      </c>
    </row>
    <row r="284" spans="11:54" x14ac:dyDescent="0.25">
      <c r="K284" s="386"/>
      <c r="BB284" s="306" t="str">
        <f t="shared" si="15"/>
        <v/>
      </c>
    </row>
    <row r="285" spans="11:54" x14ac:dyDescent="0.25">
      <c r="K285" s="386"/>
      <c r="BB285" s="306" t="str">
        <f t="shared" si="15"/>
        <v/>
      </c>
    </row>
    <row r="286" spans="11:54" x14ac:dyDescent="0.25">
      <c r="K286" s="386"/>
      <c r="BB286" s="306" t="str">
        <f t="shared" si="15"/>
        <v/>
      </c>
    </row>
    <row r="287" spans="11:54" x14ac:dyDescent="0.25">
      <c r="K287" s="386"/>
      <c r="BB287" s="306" t="str">
        <f t="shared" si="15"/>
        <v/>
      </c>
    </row>
    <row r="288" spans="11:54" x14ac:dyDescent="0.25">
      <c r="K288" s="386"/>
      <c r="BB288" s="306" t="str">
        <f t="shared" si="15"/>
        <v/>
      </c>
    </row>
    <row r="289" spans="11:54" x14ac:dyDescent="0.25">
      <c r="K289" s="386"/>
      <c r="BB289" s="306" t="str">
        <f t="shared" si="15"/>
        <v/>
      </c>
    </row>
    <row r="290" spans="11:54" x14ac:dyDescent="0.25">
      <c r="K290" s="386"/>
      <c r="BB290" s="306" t="str">
        <f t="shared" si="15"/>
        <v/>
      </c>
    </row>
    <row r="291" spans="11:54" x14ac:dyDescent="0.25">
      <c r="K291" s="386"/>
      <c r="BB291" s="306" t="str">
        <f t="shared" si="15"/>
        <v/>
      </c>
    </row>
    <row r="292" spans="11:54" x14ac:dyDescent="0.25">
      <c r="K292" s="386"/>
      <c r="BB292" s="306" t="str">
        <f t="shared" si="15"/>
        <v/>
      </c>
    </row>
    <row r="293" spans="11:54" x14ac:dyDescent="0.25">
      <c r="K293" s="386"/>
      <c r="BB293" s="306" t="str">
        <f t="shared" si="15"/>
        <v/>
      </c>
    </row>
    <row r="294" spans="11:54" x14ac:dyDescent="0.25">
      <c r="K294" s="386"/>
      <c r="BB294" s="306" t="str">
        <f t="shared" si="15"/>
        <v/>
      </c>
    </row>
    <row r="295" spans="11:54" x14ac:dyDescent="0.25">
      <c r="K295" s="386"/>
      <c r="BB295" s="306" t="str">
        <f t="shared" si="15"/>
        <v/>
      </c>
    </row>
    <row r="296" spans="11:54" x14ac:dyDescent="0.25">
      <c r="K296" s="386"/>
      <c r="BB296" s="306" t="str">
        <f t="shared" si="15"/>
        <v/>
      </c>
    </row>
    <row r="297" spans="11:54" x14ac:dyDescent="0.25">
      <c r="K297" s="386"/>
      <c r="BB297" s="306" t="str">
        <f t="shared" si="15"/>
        <v/>
      </c>
    </row>
    <row r="298" spans="11:54" x14ac:dyDescent="0.25">
      <c r="K298" s="386"/>
      <c r="BB298" s="306" t="str">
        <f t="shared" si="15"/>
        <v/>
      </c>
    </row>
    <row r="299" spans="11:54" x14ac:dyDescent="0.25">
      <c r="K299" s="386"/>
      <c r="BB299" s="306" t="str">
        <f t="shared" si="15"/>
        <v/>
      </c>
    </row>
    <row r="300" spans="11:54" x14ac:dyDescent="0.25">
      <c r="K300" s="386"/>
      <c r="BB300" s="306" t="str">
        <f t="shared" si="15"/>
        <v/>
      </c>
    </row>
    <row r="301" spans="11:54" x14ac:dyDescent="0.25">
      <c r="K301" s="386"/>
      <c r="BB301" s="306" t="str">
        <f t="shared" si="15"/>
        <v/>
      </c>
    </row>
    <row r="302" spans="11:54" x14ac:dyDescent="0.25">
      <c r="K302" s="386"/>
      <c r="BB302" s="306" t="str">
        <f t="shared" si="15"/>
        <v/>
      </c>
    </row>
    <row r="303" spans="11:54" x14ac:dyDescent="0.25">
      <c r="K303" s="386"/>
      <c r="BB303" s="306" t="str">
        <f t="shared" si="15"/>
        <v/>
      </c>
    </row>
    <row r="304" spans="11:54" x14ac:dyDescent="0.25">
      <c r="K304" s="386"/>
      <c r="BB304" s="306" t="str">
        <f t="shared" si="15"/>
        <v/>
      </c>
    </row>
    <row r="305" spans="11:54" x14ac:dyDescent="0.25">
      <c r="K305" s="386"/>
      <c r="BB305" s="306" t="str">
        <f t="shared" si="15"/>
        <v/>
      </c>
    </row>
    <row r="306" spans="11:54" x14ac:dyDescent="0.25">
      <c r="K306" s="386"/>
      <c r="BB306" s="306" t="str">
        <f t="shared" si="15"/>
        <v/>
      </c>
    </row>
    <row r="307" spans="11:54" x14ac:dyDescent="0.25">
      <c r="K307" s="386"/>
      <c r="BB307" s="306" t="str">
        <f t="shared" si="15"/>
        <v/>
      </c>
    </row>
    <row r="308" spans="11:54" x14ac:dyDescent="0.25">
      <c r="K308" s="386"/>
      <c r="BB308" s="306" t="str">
        <f t="shared" si="15"/>
        <v/>
      </c>
    </row>
    <row r="309" spans="11:54" x14ac:dyDescent="0.25">
      <c r="K309" s="386"/>
      <c r="BB309" s="306" t="str">
        <f t="shared" si="15"/>
        <v/>
      </c>
    </row>
    <row r="310" spans="11:54" x14ac:dyDescent="0.25">
      <c r="K310" s="386"/>
      <c r="BB310" s="306" t="str">
        <f t="shared" si="15"/>
        <v/>
      </c>
    </row>
    <row r="311" spans="11:54" x14ac:dyDescent="0.25">
      <c r="K311" s="386"/>
      <c r="BB311" s="306" t="str">
        <f t="shared" si="15"/>
        <v/>
      </c>
    </row>
    <row r="312" spans="11:54" x14ac:dyDescent="0.25">
      <c r="K312" s="386"/>
      <c r="BB312" s="306" t="str">
        <f t="shared" si="15"/>
        <v/>
      </c>
    </row>
    <row r="313" spans="11:54" x14ac:dyDescent="0.25">
      <c r="K313" s="386"/>
      <c r="BB313" s="306" t="str">
        <f t="shared" si="15"/>
        <v/>
      </c>
    </row>
    <row r="314" spans="11:54" x14ac:dyDescent="0.25">
      <c r="K314" s="386"/>
      <c r="BB314" s="306" t="str">
        <f t="shared" si="15"/>
        <v/>
      </c>
    </row>
    <row r="315" spans="11:54" x14ac:dyDescent="0.25">
      <c r="K315" s="386"/>
      <c r="BB315" s="306" t="str">
        <f t="shared" si="15"/>
        <v/>
      </c>
    </row>
    <row r="316" spans="11:54" x14ac:dyDescent="0.25">
      <c r="K316" s="386"/>
      <c r="BB316" s="306" t="str">
        <f t="shared" si="15"/>
        <v/>
      </c>
    </row>
    <row r="317" spans="11:54" x14ac:dyDescent="0.25">
      <c r="K317" s="386"/>
      <c r="BB317" s="306" t="str">
        <f t="shared" si="15"/>
        <v/>
      </c>
    </row>
    <row r="318" spans="11:54" x14ac:dyDescent="0.25">
      <c r="K318" s="386"/>
      <c r="BB318" s="306" t="str">
        <f t="shared" si="15"/>
        <v/>
      </c>
    </row>
    <row r="319" spans="11:54" x14ac:dyDescent="0.25">
      <c r="K319" s="386"/>
      <c r="BB319" s="306" t="str">
        <f t="shared" si="15"/>
        <v/>
      </c>
    </row>
    <row r="320" spans="11:54" x14ac:dyDescent="0.25">
      <c r="K320" s="386"/>
      <c r="BB320" s="306" t="str">
        <f t="shared" si="15"/>
        <v/>
      </c>
    </row>
    <row r="321" spans="11:54" x14ac:dyDescent="0.25">
      <c r="K321" s="386"/>
      <c r="BB321" s="306" t="str">
        <f t="shared" si="15"/>
        <v/>
      </c>
    </row>
    <row r="322" spans="11:54" x14ac:dyDescent="0.25">
      <c r="K322" s="386"/>
      <c r="BB322" s="306" t="str">
        <f t="shared" si="15"/>
        <v/>
      </c>
    </row>
    <row r="323" spans="11:54" x14ac:dyDescent="0.25">
      <c r="K323" s="386"/>
      <c r="BB323" s="306" t="str">
        <f t="shared" si="15"/>
        <v/>
      </c>
    </row>
    <row r="324" spans="11:54" x14ac:dyDescent="0.25">
      <c r="K324" s="386"/>
      <c r="BB324" s="306" t="str">
        <f t="shared" si="15"/>
        <v/>
      </c>
    </row>
    <row r="325" spans="11:54" x14ac:dyDescent="0.25">
      <c r="K325" s="386"/>
      <c r="BB325" s="306" t="str">
        <f t="shared" ref="BB325:BB360" si="16">IF(AO325="","",LEFT(AO325,SEARCH(".",AO325)-1))</f>
        <v/>
      </c>
    </row>
    <row r="326" spans="11:54" x14ac:dyDescent="0.25">
      <c r="K326" s="386"/>
      <c r="BB326" s="306" t="str">
        <f t="shared" si="16"/>
        <v/>
      </c>
    </row>
    <row r="327" spans="11:54" x14ac:dyDescent="0.25">
      <c r="K327" s="386"/>
      <c r="BB327" s="306" t="str">
        <f t="shared" si="16"/>
        <v/>
      </c>
    </row>
    <row r="328" spans="11:54" x14ac:dyDescent="0.25">
      <c r="K328" s="386"/>
      <c r="BB328" s="306" t="str">
        <f t="shared" si="16"/>
        <v/>
      </c>
    </row>
    <row r="329" spans="11:54" x14ac:dyDescent="0.25">
      <c r="K329" s="386"/>
      <c r="BB329" s="306" t="str">
        <f t="shared" si="16"/>
        <v/>
      </c>
    </row>
    <row r="330" spans="11:54" x14ac:dyDescent="0.25">
      <c r="K330" s="386"/>
      <c r="BB330" s="306" t="str">
        <f t="shared" si="16"/>
        <v/>
      </c>
    </row>
    <row r="331" spans="11:54" x14ac:dyDescent="0.25">
      <c r="K331" s="386"/>
      <c r="BB331" s="306" t="str">
        <f t="shared" si="16"/>
        <v/>
      </c>
    </row>
    <row r="332" spans="11:54" x14ac:dyDescent="0.25">
      <c r="K332" s="386"/>
      <c r="BB332" s="306" t="str">
        <f t="shared" si="16"/>
        <v/>
      </c>
    </row>
    <row r="333" spans="11:54" x14ac:dyDescent="0.25">
      <c r="K333" s="386"/>
      <c r="BB333" s="306" t="str">
        <f t="shared" si="16"/>
        <v/>
      </c>
    </row>
    <row r="334" spans="11:54" x14ac:dyDescent="0.25">
      <c r="K334" s="386"/>
      <c r="BB334" s="306" t="str">
        <f t="shared" si="16"/>
        <v/>
      </c>
    </row>
    <row r="335" spans="11:54" x14ac:dyDescent="0.25">
      <c r="K335" s="386"/>
      <c r="BB335" s="306" t="str">
        <f t="shared" si="16"/>
        <v/>
      </c>
    </row>
    <row r="336" spans="11:54" x14ac:dyDescent="0.25">
      <c r="K336" s="386"/>
      <c r="BB336" s="306" t="str">
        <f t="shared" si="16"/>
        <v/>
      </c>
    </row>
    <row r="337" spans="11:54" x14ac:dyDescent="0.25">
      <c r="K337" s="386"/>
      <c r="BB337" s="306" t="str">
        <f t="shared" si="16"/>
        <v/>
      </c>
    </row>
    <row r="338" spans="11:54" x14ac:dyDescent="0.25">
      <c r="K338" s="386"/>
      <c r="BB338" s="306" t="str">
        <f t="shared" si="16"/>
        <v/>
      </c>
    </row>
    <row r="339" spans="11:54" x14ac:dyDescent="0.25">
      <c r="K339" s="386"/>
      <c r="BB339" s="306" t="str">
        <f t="shared" si="16"/>
        <v/>
      </c>
    </row>
    <row r="340" spans="11:54" x14ac:dyDescent="0.25">
      <c r="K340" s="386"/>
      <c r="BB340" s="306" t="str">
        <f t="shared" si="16"/>
        <v/>
      </c>
    </row>
    <row r="341" spans="11:54" x14ac:dyDescent="0.25">
      <c r="K341" s="386"/>
      <c r="BB341" s="306" t="str">
        <f t="shared" si="16"/>
        <v/>
      </c>
    </row>
    <row r="342" spans="11:54" x14ac:dyDescent="0.25">
      <c r="K342" s="386"/>
      <c r="BB342" s="306" t="str">
        <f t="shared" si="16"/>
        <v/>
      </c>
    </row>
    <row r="343" spans="11:54" x14ac:dyDescent="0.25">
      <c r="K343" s="386"/>
      <c r="BB343" s="306" t="str">
        <f t="shared" si="16"/>
        <v/>
      </c>
    </row>
    <row r="344" spans="11:54" x14ac:dyDescent="0.25">
      <c r="K344" s="386"/>
      <c r="BB344" s="306" t="str">
        <f t="shared" si="16"/>
        <v/>
      </c>
    </row>
    <row r="345" spans="11:54" x14ac:dyDescent="0.25">
      <c r="K345" s="386"/>
      <c r="BB345" s="306" t="str">
        <f t="shared" si="16"/>
        <v/>
      </c>
    </row>
    <row r="346" spans="11:54" x14ac:dyDescent="0.25">
      <c r="K346" s="386"/>
      <c r="BB346" s="306" t="str">
        <f t="shared" si="16"/>
        <v/>
      </c>
    </row>
    <row r="347" spans="11:54" x14ac:dyDescent="0.25">
      <c r="K347" s="386"/>
      <c r="BB347" s="306" t="str">
        <f t="shared" si="16"/>
        <v/>
      </c>
    </row>
    <row r="348" spans="11:54" x14ac:dyDescent="0.25">
      <c r="K348" s="386"/>
      <c r="BB348" s="306" t="str">
        <f t="shared" si="16"/>
        <v/>
      </c>
    </row>
    <row r="349" spans="11:54" x14ac:dyDescent="0.25">
      <c r="K349" s="386"/>
      <c r="BB349" s="306" t="str">
        <f t="shared" si="16"/>
        <v/>
      </c>
    </row>
    <row r="350" spans="11:54" x14ac:dyDescent="0.25">
      <c r="K350" s="386"/>
      <c r="BB350" s="306" t="str">
        <f t="shared" si="16"/>
        <v/>
      </c>
    </row>
    <row r="351" spans="11:54" x14ac:dyDescent="0.25">
      <c r="K351" s="386"/>
      <c r="BB351" s="306" t="str">
        <f t="shared" si="16"/>
        <v/>
      </c>
    </row>
    <row r="352" spans="11:54" x14ac:dyDescent="0.25">
      <c r="K352" s="386"/>
      <c r="BB352" s="306" t="str">
        <f t="shared" si="16"/>
        <v/>
      </c>
    </row>
    <row r="353" spans="11:54" x14ac:dyDescent="0.25">
      <c r="K353" s="386"/>
      <c r="BB353" s="306" t="str">
        <f t="shared" si="16"/>
        <v/>
      </c>
    </row>
    <row r="354" spans="11:54" x14ac:dyDescent="0.25">
      <c r="K354" s="386"/>
      <c r="BB354" s="306" t="str">
        <f t="shared" si="16"/>
        <v/>
      </c>
    </row>
    <row r="355" spans="11:54" x14ac:dyDescent="0.25">
      <c r="K355" s="386"/>
      <c r="BB355" s="306" t="str">
        <f t="shared" si="16"/>
        <v/>
      </c>
    </row>
    <row r="356" spans="11:54" x14ac:dyDescent="0.25">
      <c r="K356" s="386"/>
      <c r="BB356" s="306" t="str">
        <f t="shared" si="16"/>
        <v/>
      </c>
    </row>
    <row r="357" spans="11:54" x14ac:dyDescent="0.25">
      <c r="K357" s="386"/>
      <c r="BB357" s="306" t="str">
        <f t="shared" si="16"/>
        <v/>
      </c>
    </row>
    <row r="358" spans="11:54" x14ac:dyDescent="0.25">
      <c r="K358" s="386"/>
      <c r="BB358" s="306" t="str">
        <f t="shared" si="16"/>
        <v/>
      </c>
    </row>
    <row r="359" spans="11:54" x14ac:dyDescent="0.25">
      <c r="K359" s="386"/>
      <c r="BB359" s="306" t="str">
        <f t="shared" si="16"/>
        <v/>
      </c>
    </row>
    <row r="360" spans="11:54" x14ac:dyDescent="0.25">
      <c r="K360" s="386"/>
      <c r="BB360" s="306" t="str">
        <f t="shared" si="16"/>
        <v/>
      </c>
    </row>
    <row r="361" spans="11:54" x14ac:dyDescent="0.25">
      <c r="K361" s="386"/>
    </row>
    <row r="362" spans="11:54" x14ac:dyDescent="0.25">
      <c r="K362" s="386"/>
    </row>
    <row r="363" spans="11:54" x14ac:dyDescent="0.25">
      <c r="K363" s="386"/>
    </row>
    <row r="364" spans="11:54" x14ac:dyDescent="0.25">
      <c r="K364" s="386"/>
    </row>
    <row r="365" spans="11:54" x14ac:dyDescent="0.25">
      <c r="K365" s="386"/>
    </row>
    <row r="366" spans="11:54" x14ac:dyDescent="0.25">
      <c r="K366" s="386"/>
    </row>
    <row r="367" spans="11:54" x14ac:dyDescent="0.25">
      <c r="K367" s="386"/>
    </row>
    <row r="368" spans="11:54" x14ac:dyDescent="0.25">
      <c r="K368" s="386"/>
    </row>
    <row r="369" spans="11:11" x14ac:dyDescent="0.25">
      <c r="K369" s="386"/>
    </row>
    <row r="370" spans="11:11" x14ac:dyDescent="0.25">
      <c r="K370" s="386"/>
    </row>
    <row r="371" spans="11:11" x14ac:dyDescent="0.25">
      <c r="K371" s="386"/>
    </row>
    <row r="372" spans="11:11" x14ac:dyDescent="0.25">
      <c r="K372" s="386"/>
    </row>
    <row r="373" spans="11:11" x14ac:dyDescent="0.25">
      <c r="K373" s="386"/>
    </row>
    <row r="374" spans="11:11" x14ac:dyDescent="0.25">
      <c r="K374" s="386"/>
    </row>
    <row r="375" spans="11:11" x14ac:dyDescent="0.25">
      <c r="K375" s="386"/>
    </row>
    <row r="376" spans="11:11" x14ac:dyDescent="0.25">
      <c r="K376" s="386"/>
    </row>
    <row r="377" spans="11:11" x14ac:dyDescent="0.25">
      <c r="K377" s="386"/>
    </row>
    <row r="378" spans="11:11" x14ac:dyDescent="0.25">
      <c r="K378" s="386"/>
    </row>
    <row r="379" spans="11:11" x14ac:dyDescent="0.25">
      <c r="K379" s="386"/>
    </row>
    <row r="380" spans="11:11" x14ac:dyDescent="0.25">
      <c r="K380" s="386"/>
    </row>
    <row r="381" spans="11:11" x14ac:dyDescent="0.25">
      <c r="K381" s="386"/>
    </row>
    <row r="382" spans="11:11" x14ac:dyDescent="0.25">
      <c r="K382" s="386"/>
    </row>
    <row r="383" spans="11:11" x14ac:dyDescent="0.25">
      <c r="K383" s="386"/>
    </row>
    <row r="384" spans="11:11" x14ac:dyDescent="0.25">
      <c r="K384" s="386"/>
    </row>
    <row r="385" spans="11:11" x14ac:dyDescent="0.25">
      <c r="K385" s="386"/>
    </row>
    <row r="386" spans="11:11" x14ac:dyDescent="0.25">
      <c r="K386" s="386"/>
    </row>
    <row r="387" spans="11:11" x14ac:dyDescent="0.25">
      <c r="K387" s="386"/>
    </row>
    <row r="388" spans="11:11" x14ac:dyDescent="0.25">
      <c r="K388" s="386"/>
    </row>
    <row r="389" spans="11:11" x14ac:dyDescent="0.25">
      <c r="K389" s="386"/>
    </row>
    <row r="390" spans="11:11" x14ac:dyDescent="0.25">
      <c r="K390" s="386"/>
    </row>
    <row r="391" spans="11:11" x14ac:dyDescent="0.25">
      <c r="K391" s="386"/>
    </row>
    <row r="392" spans="11:11" x14ac:dyDescent="0.25">
      <c r="K392" s="386"/>
    </row>
    <row r="393" spans="11:11" x14ac:dyDescent="0.25">
      <c r="K393" s="386"/>
    </row>
    <row r="394" spans="11:11" x14ac:dyDescent="0.25">
      <c r="K394" s="386"/>
    </row>
    <row r="395" spans="11:11" x14ac:dyDescent="0.25">
      <c r="K395" s="386"/>
    </row>
    <row r="396" spans="11:11" x14ac:dyDescent="0.25">
      <c r="K396" s="386"/>
    </row>
    <row r="397" spans="11:11" x14ac:dyDescent="0.25">
      <c r="K397" s="386"/>
    </row>
    <row r="398" spans="11:11" x14ac:dyDescent="0.25">
      <c r="K398" s="386"/>
    </row>
    <row r="399" spans="11:11" x14ac:dyDescent="0.25">
      <c r="K399" s="386"/>
    </row>
    <row r="400" spans="11:11" x14ac:dyDescent="0.25">
      <c r="K400" s="386"/>
    </row>
    <row r="401" spans="11:11" x14ac:dyDescent="0.25">
      <c r="K401" s="386"/>
    </row>
    <row r="402" spans="11:11" x14ac:dyDescent="0.25">
      <c r="K402" s="386"/>
    </row>
    <row r="403" spans="11:11" x14ac:dyDescent="0.25">
      <c r="K403" s="386"/>
    </row>
    <row r="404" spans="11:11" x14ac:dyDescent="0.25">
      <c r="K404" s="386"/>
    </row>
    <row r="405" spans="11:11" x14ac:dyDescent="0.25">
      <c r="K405" s="386"/>
    </row>
    <row r="406" spans="11:11" x14ac:dyDescent="0.25">
      <c r="K406" s="386"/>
    </row>
    <row r="407" spans="11:11" x14ac:dyDescent="0.25">
      <c r="K407" s="386"/>
    </row>
    <row r="408" spans="11:11" x14ac:dyDescent="0.25">
      <c r="K408" s="386"/>
    </row>
    <row r="409" spans="11:11" x14ac:dyDescent="0.25">
      <c r="K409" s="386"/>
    </row>
    <row r="410" spans="11:11" x14ac:dyDescent="0.25">
      <c r="K410" s="386"/>
    </row>
    <row r="411" spans="11:11" x14ac:dyDescent="0.25">
      <c r="K411" s="386"/>
    </row>
    <row r="412" spans="11:11" x14ac:dyDescent="0.25">
      <c r="K412" s="386"/>
    </row>
    <row r="413" spans="11:11" x14ac:dyDescent="0.25">
      <c r="K413" s="386"/>
    </row>
    <row r="414" spans="11:11" x14ac:dyDescent="0.25">
      <c r="K414" s="386"/>
    </row>
    <row r="415" spans="11:11" x14ac:dyDescent="0.25">
      <c r="K415" s="386"/>
    </row>
    <row r="416" spans="11:11" x14ac:dyDescent="0.25">
      <c r="K416" s="386"/>
    </row>
    <row r="417" spans="11:11" x14ac:dyDescent="0.25">
      <c r="K417" s="386"/>
    </row>
    <row r="418" spans="11:11" x14ac:dyDescent="0.25">
      <c r="K418" s="386"/>
    </row>
    <row r="419" spans="11:11" x14ac:dyDescent="0.25">
      <c r="K419" s="386"/>
    </row>
    <row r="420" spans="11:11" x14ac:dyDescent="0.25">
      <c r="K420" s="386"/>
    </row>
    <row r="421" spans="11:11" x14ac:dyDescent="0.25">
      <c r="K421" s="386"/>
    </row>
    <row r="422" spans="11:11" x14ac:dyDescent="0.25">
      <c r="K422" s="386"/>
    </row>
    <row r="423" spans="11:11" x14ac:dyDescent="0.25">
      <c r="K423" s="386"/>
    </row>
    <row r="424" spans="11:11" x14ac:dyDescent="0.25">
      <c r="K424" s="386"/>
    </row>
    <row r="425" spans="11:11" x14ac:dyDescent="0.25">
      <c r="K425" s="386"/>
    </row>
    <row r="426" spans="11:11" x14ac:dyDescent="0.25">
      <c r="K426" s="386"/>
    </row>
    <row r="427" spans="11:11" x14ac:dyDescent="0.25">
      <c r="K427" s="386"/>
    </row>
    <row r="428" spans="11:11" x14ac:dyDescent="0.25">
      <c r="K428" s="386"/>
    </row>
    <row r="429" spans="11:11" x14ac:dyDescent="0.25">
      <c r="K429" s="386"/>
    </row>
    <row r="430" spans="11:11" x14ac:dyDescent="0.25">
      <c r="K430" s="386"/>
    </row>
    <row r="431" spans="11:11" x14ac:dyDescent="0.25">
      <c r="K431" s="386"/>
    </row>
    <row r="432" spans="11:11" x14ac:dyDescent="0.25">
      <c r="K432" s="386"/>
    </row>
    <row r="433" spans="11:11" x14ac:dyDescent="0.25">
      <c r="K433" s="386"/>
    </row>
    <row r="434" spans="11:11" x14ac:dyDescent="0.25">
      <c r="K434" s="386"/>
    </row>
    <row r="435" spans="11:11" x14ac:dyDescent="0.25">
      <c r="K435" s="386"/>
    </row>
    <row r="436" spans="11:11" x14ac:dyDescent="0.25">
      <c r="K436" s="386"/>
    </row>
    <row r="437" spans="11:11" x14ac:dyDescent="0.25">
      <c r="K437" s="386"/>
    </row>
    <row r="438" spans="11:11" x14ac:dyDescent="0.25">
      <c r="K438" s="386"/>
    </row>
    <row r="439" spans="11:11" x14ac:dyDescent="0.25">
      <c r="K439" s="386"/>
    </row>
    <row r="440" spans="11:11" x14ac:dyDescent="0.25">
      <c r="K440" s="386"/>
    </row>
    <row r="441" spans="11:11" x14ac:dyDescent="0.25">
      <c r="K441" s="386"/>
    </row>
    <row r="442" spans="11:11" x14ac:dyDescent="0.25">
      <c r="K442" s="386"/>
    </row>
    <row r="443" spans="11:11" x14ac:dyDescent="0.25">
      <c r="K443" s="386"/>
    </row>
    <row r="444" spans="11:11" x14ac:dyDescent="0.25">
      <c r="K444" s="386"/>
    </row>
    <row r="445" spans="11:11" x14ac:dyDescent="0.25">
      <c r="K445" s="386"/>
    </row>
    <row r="446" spans="11:11" x14ac:dyDescent="0.25">
      <c r="K446" s="386"/>
    </row>
    <row r="447" spans="11:11" x14ac:dyDescent="0.25">
      <c r="K447" s="386"/>
    </row>
    <row r="448" spans="11:11" x14ac:dyDescent="0.25">
      <c r="K448" s="386"/>
    </row>
    <row r="449" spans="11:11" x14ac:dyDescent="0.25">
      <c r="K449" s="386"/>
    </row>
    <row r="450" spans="11:11" x14ac:dyDescent="0.25">
      <c r="K450" s="386"/>
    </row>
    <row r="451" spans="11:11" x14ac:dyDescent="0.25">
      <c r="K451" s="386"/>
    </row>
    <row r="452" spans="11:11" x14ac:dyDescent="0.25">
      <c r="K452" s="386"/>
    </row>
    <row r="453" spans="11:11" x14ac:dyDescent="0.25">
      <c r="K453" s="386"/>
    </row>
    <row r="454" spans="11:11" x14ac:dyDescent="0.25">
      <c r="K454" s="386"/>
    </row>
    <row r="455" spans="11:11" x14ac:dyDescent="0.25">
      <c r="K455" s="386"/>
    </row>
    <row r="456" spans="11:11" x14ac:dyDescent="0.25">
      <c r="K456" s="386"/>
    </row>
    <row r="457" spans="11:11" x14ac:dyDescent="0.25">
      <c r="K457" s="386"/>
    </row>
    <row r="458" spans="11:11" x14ac:dyDescent="0.25">
      <c r="K458" s="386"/>
    </row>
    <row r="459" spans="11:11" x14ac:dyDescent="0.25">
      <c r="K459" s="386"/>
    </row>
    <row r="460" spans="11:11" x14ac:dyDescent="0.25">
      <c r="K460" s="386"/>
    </row>
    <row r="461" spans="11:11" x14ac:dyDescent="0.25">
      <c r="K461" s="386"/>
    </row>
    <row r="462" spans="11:11" x14ac:dyDescent="0.25">
      <c r="K462" s="386"/>
    </row>
    <row r="463" spans="11:11" x14ac:dyDescent="0.25">
      <c r="K463" s="386"/>
    </row>
    <row r="464" spans="11:11" x14ac:dyDescent="0.25">
      <c r="K464" s="386"/>
    </row>
    <row r="465" spans="11:11" x14ac:dyDescent="0.25">
      <c r="K465" s="386"/>
    </row>
    <row r="466" spans="11:11" x14ac:dyDescent="0.25">
      <c r="K466" s="386"/>
    </row>
    <row r="467" spans="11:11" x14ac:dyDescent="0.25">
      <c r="K467" s="386"/>
    </row>
    <row r="468" spans="11:11" x14ac:dyDescent="0.25">
      <c r="K468" s="386"/>
    </row>
    <row r="469" spans="11:11" x14ac:dyDescent="0.25">
      <c r="K469" s="386"/>
    </row>
    <row r="470" spans="11:11" x14ac:dyDescent="0.25">
      <c r="K470" s="386"/>
    </row>
    <row r="471" spans="11:11" x14ac:dyDescent="0.25">
      <c r="K471" s="386"/>
    </row>
    <row r="472" spans="11:11" x14ac:dyDescent="0.25">
      <c r="K472" s="386"/>
    </row>
    <row r="473" spans="11:11" x14ac:dyDescent="0.25">
      <c r="K473" s="386"/>
    </row>
    <row r="474" spans="11:11" x14ac:dyDescent="0.25">
      <c r="K474" s="386"/>
    </row>
    <row r="475" spans="11:11" x14ac:dyDescent="0.25">
      <c r="K475" s="386"/>
    </row>
    <row r="476" spans="11:11" x14ac:dyDescent="0.25">
      <c r="K476" s="386"/>
    </row>
    <row r="477" spans="11:11" x14ac:dyDescent="0.25">
      <c r="K477" s="386"/>
    </row>
    <row r="478" spans="11:11" x14ac:dyDescent="0.25">
      <c r="K478" s="386"/>
    </row>
    <row r="479" spans="11:11" x14ac:dyDescent="0.25">
      <c r="K479" s="386"/>
    </row>
    <row r="480" spans="11:11" x14ac:dyDescent="0.25">
      <c r="K480" s="386"/>
    </row>
    <row r="481" spans="11:11" x14ac:dyDescent="0.25">
      <c r="K481" s="386"/>
    </row>
    <row r="482" spans="11:11" x14ac:dyDescent="0.25">
      <c r="K482" s="386"/>
    </row>
    <row r="483" spans="11:11" x14ac:dyDescent="0.25">
      <c r="K483" s="386"/>
    </row>
    <row r="484" spans="11:11" x14ac:dyDescent="0.25">
      <c r="K484" s="386"/>
    </row>
    <row r="485" spans="11:11" x14ac:dyDescent="0.25">
      <c r="K485" s="386"/>
    </row>
    <row r="486" spans="11:11" x14ac:dyDescent="0.25">
      <c r="K486" s="386"/>
    </row>
    <row r="487" spans="11:11" x14ac:dyDescent="0.25">
      <c r="K487" s="386"/>
    </row>
    <row r="488" spans="11:11" x14ac:dyDescent="0.25">
      <c r="K488" s="386"/>
    </row>
    <row r="489" spans="11:11" x14ac:dyDescent="0.25">
      <c r="K489" s="386"/>
    </row>
    <row r="490" spans="11:11" x14ac:dyDescent="0.25">
      <c r="K490" s="386"/>
    </row>
    <row r="491" spans="11:11" x14ac:dyDescent="0.25">
      <c r="K491" s="386"/>
    </row>
    <row r="492" spans="11:11" x14ac:dyDescent="0.25">
      <c r="K492" s="386"/>
    </row>
    <row r="493" spans="11:11" x14ac:dyDescent="0.25">
      <c r="K493" s="386"/>
    </row>
    <row r="494" spans="11:11" x14ac:dyDescent="0.25">
      <c r="K494" s="386"/>
    </row>
    <row r="495" spans="11:11" x14ac:dyDescent="0.25">
      <c r="K495" s="386"/>
    </row>
    <row r="496" spans="11:11" x14ac:dyDescent="0.25">
      <c r="K496" s="386"/>
    </row>
    <row r="497" spans="11:11" x14ac:dyDescent="0.25">
      <c r="K497" s="386"/>
    </row>
    <row r="498" spans="11:11" x14ac:dyDescent="0.25">
      <c r="K498" s="386"/>
    </row>
    <row r="499" spans="11:11" x14ac:dyDescent="0.25">
      <c r="K499" s="386"/>
    </row>
    <row r="500" spans="11:11" x14ac:dyDescent="0.25">
      <c r="K500" s="386"/>
    </row>
    <row r="501" spans="11:11" x14ac:dyDescent="0.25">
      <c r="K501" s="386"/>
    </row>
    <row r="502" spans="11:11" x14ac:dyDescent="0.25">
      <c r="K502" s="386"/>
    </row>
    <row r="503" spans="11:11" x14ac:dyDescent="0.25">
      <c r="K503" s="386"/>
    </row>
    <row r="504" spans="11:11" x14ac:dyDescent="0.25">
      <c r="K504" s="386"/>
    </row>
    <row r="505" spans="11:11" x14ac:dyDescent="0.25">
      <c r="K505" s="386"/>
    </row>
    <row r="506" spans="11:11" x14ac:dyDescent="0.25">
      <c r="K506" s="386"/>
    </row>
    <row r="507" spans="11:11" x14ac:dyDescent="0.25">
      <c r="K507" s="386"/>
    </row>
    <row r="508" spans="11:11" x14ac:dyDescent="0.25">
      <c r="K508" s="386"/>
    </row>
    <row r="509" spans="11:11" x14ac:dyDescent="0.25">
      <c r="K509" s="386"/>
    </row>
    <row r="510" spans="11:11" x14ac:dyDescent="0.25">
      <c r="K510" s="386"/>
    </row>
    <row r="511" spans="11:11" x14ac:dyDescent="0.25">
      <c r="K511" s="386"/>
    </row>
    <row r="512" spans="11:11" x14ac:dyDescent="0.25">
      <c r="K512" s="386"/>
    </row>
    <row r="513" spans="11:11" x14ac:dyDescent="0.25">
      <c r="K513" s="386"/>
    </row>
    <row r="514" spans="11:11" x14ac:dyDescent="0.25">
      <c r="K514" s="386"/>
    </row>
    <row r="515" spans="11:11" x14ac:dyDescent="0.25">
      <c r="K515" s="386"/>
    </row>
    <row r="516" spans="11:11" x14ac:dyDescent="0.25">
      <c r="K516" s="386"/>
    </row>
    <row r="517" spans="11:11" x14ac:dyDescent="0.25">
      <c r="K517" s="386"/>
    </row>
    <row r="518" spans="11:11" x14ac:dyDescent="0.25">
      <c r="K518" s="386"/>
    </row>
    <row r="519" spans="11:11" x14ac:dyDescent="0.25">
      <c r="K519" s="386"/>
    </row>
    <row r="520" spans="11:11" x14ac:dyDescent="0.25">
      <c r="K520" s="386"/>
    </row>
    <row r="521" spans="11:11" x14ac:dyDescent="0.25">
      <c r="K521" s="386"/>
    </row>
    <row r="522" spans="11:11" x14ac:dyDescent="0.25">
      <c r="K522" s="386"/>
    </row>
    <row r="523" spans="11:11" x14ac:dyDescent="0.25">
      <c r="K523" s="386"/>
    </row>
    <row r="524" spans="11:11" x14ac:dyDescent="0.25">
      <c r="K524" s="386"/>
    </row>
    <row r="525" spans="11:11" x14ac:dyDescent="0.25">
      <c r="K525" s="386"/>
    </row>
    <row r="526" spans="11:11" x14ac:dyDescent="0.25">
      <c r="K526" s="386"/>
    </row>
    <row r="527" spans="11:11" x14ac:dyDescent="0.25">
      <c r="K527" s="386"/>
    </row>
    <row r="528" spans="11:11" x14ac:dyDescent="0.25">
      <c r="K528" s="386"/>
    </row>
    <row r="529" spans="11:11" x14ac:dyDescent="0.25">
      <c r="K529" s="386"/>
    </row>
    <row r="530" spans="11:11" x14ac:dyDescent="0.25">
      <c r="K530" s="386"/>
    </row>
    <row r="531" spans="11:11" x14ac:dyDescent="0.25">
      <c r="K531" s="386"/>
    </row>
    <row r="532" spans="11:11" x14ac:dyDescent="0.25">
      <c r="K532" s="386"/>
    </row>
    <row r="533" spans="11:11" x14ac:dyDescent="0.25">
      <c r="K533" s="386"/>
    </row>
    <row r="534" spans="11:11" x14ac:dyDescent="0.25">
      <c r="K534" s="386"/>
    </row>
    <row r="535" spans="11:11" x14ac:dyDescent="0.25">
      <c r="K535" s="386"/>
    </row>
    <row r="536" spans="11:11" x14ac:dyDescent="0.25">
      <c r="K536" s="386"/>
    </row>
    <row r="537" spans="11:11" x14ac:dyDescent="0.25">
      <c r="K537" s="386"/>
    </row>
    <row r="538" spans="11:11" x14ac:dyDescent="0.25">
      <c r="K538" s="386"/>
    </row>
    <row r="539" spans="11:11" x14ac:dyDescent="0.25">
      <c r="K539" s="386"/>
    </row>
    <row r="540" spans="11:11" x14ac:dyDescent="0.25">
      <c r="K540" s="386"/>
    </row>
    <row r="541" spans="11:11" x14ac:dyDescent="0.25">
      <c r="K541" s="386"/>
    </row>
    <row r="542" spans="11:11" x14ac:dyDescent="0.25">
      <c r="K542" s="386"/>
    </row>
    <row r="543" spans="11:11" x14ac:dyDescent="0.25">
      <c r="K543" s="386"/>
    </row>
    <row r="544" spans="11:11" x14ac:dyDescent="0.25">
      <c r="K544" s="386"/>
    </row>
    <row r="545" spans="11:11" x14ac:dyDescent="0.25">
      <c r="K545" s="386"/>
    </row>
    <row r="546" spans="11:11" x14ac:dyDescent="0.25">
      <c r="K546" s="386"/>
    </row>
    <row r="547" spans="11:11" x14ac:dyDescent="0.25">
      <c r="K547" s="386"/>
    </row>
    <row r="548" spans="11:11" x14ac:dyDescent="0.25">
      <c r="K548" s="386"/>
    </row>
    <row r="549" spans="11:11" x14ac:dyDescent="0.25">
      <c r="K549" s="386"/>
    </row>
    <row r="550" spans="11:11" x14ac:dyDescent="0.25">
      <c r="K550" s="386"/>
    </row>
    <row r="551" spans="11:11" x14ac:dyDescent="0.25">
      <c r="K551" s="386"/>
    </row>
    <row r="552" spans="11:11" x14ac:dyDescent="0.25">
      <c r="K552" s="386"/>
    </row>
    <row r="553" spans="11:11" x14ac:dyDescent="0.25">
      <c r="K553" s="386"/>
    </row>
    <row r="554" spans="11:11" x14ac:dyDescent="0.25">
      <c r="K554" s="386"/>
    </row>
    <row r="555" spans="11:11" x14ac:dyDescent="0.25">
      <c r="K555" s="386"/>
    </row>
    <row r="556" spans="11:11" x14ac:dyDescent="0.25">
      <c r="K556" s="386"/>
    </row>
    <row r="557" spans="11:11" x14ac:dyDescent="0.25">
      <c r="K557" s="386"/>
    </row>
    <row r="558" spans="11:11" x14ac:dyDescent="0.25">
      <c r="K558" s="386"/>
    </row>
    <row r="559" spans="11:11" x14ac:dyDescent="0.25">
      <c r="K559" s="386"/>
    </row>
    <row r="560" spans="11:11" x14ac:dyDescent="0.25">
      <c r="K560" s="386"/>
    </row>
    <row r="561" spans="11:11" x14ac:dyDescent="0.25">
      <c r="K561" s="386"/>
    </row>
    <row r="562" spans="11:11" x14ac:dyDescent="0.25">
      <c r="K562" s="386"/>
    </row>
    <row r="563" spans="11:11" x14ac:dyDescent="0.25">
      <c r="K563" s="386"/>
    </row>
    <row r="564" spans="11:11" x14ac:dyDescent="0.25">
      <c r="K564" s="386"/>
    </row>
    <row r="565" spans="11:11" x14ac:dyDescent="0.25">
      <c r="K565" s="386"/>
    </row>
    <row r="566" spans="11:11" x14ac:dyDescent="0.25">
      <c r="K566" s="386"/>
    </row>
    <row r="567" spans="11:11" x14ac:dyDescent="0.25">
      <c r="K567" s="386"/>
    </row>
    <row r="568" spans="11:11" x14ac:dyDescent="0.25">
      <c r="K568" s="386"/>
    </row>
    <row r="569" spans="11:11" x14ac:dyDescent="0.25">
      <c r="K569" s="386"/>
    </row>
    <row r="570" spans="11:11" x14ac:dyDescent="0.25">
      <c r="K570" s="386"/>
    </row>
    <row r="571" spans="11:11" x14ac:dyDescent="0.25">
      <c r="K571" s="386"/>
    </row>
    <row r="572" spans="11:11" x14ac:dyDescent="0.25">
      <c r="K572" s="386"/>
    </row>
    <row r="573" spans="11:11" x14ac:dyDescent="0.25">
      <c r="K573" s="386"/>
    </row>
    <row r="574" spans="11:11" x14ac:dyDescent="0.25">
      <c r="K574" s="386"/>
    </row>
    <row r="575" spans="11:11" x14ac:dyDescent="0.25">
      <c r="K575" s="386"/>
    </row>
    <row r="576" spans="11:11" x14ac:dyDescent="0.25">
      <c r="K576" s="386"/>
    </row>
    <row r="577" spans="11:11" x14ac:dyDescent="0.25">
      <c r="K577" s="386"/>
    </row>
    <row r="578" spans="11:11" x14ac:dyDescent="0.25">
      <c r="K578" s="386"/>
    </row>
    <row r="579" spans="11:11" x14ac:dyDescent="0.25">
      <c r="K579" s="386"/>
    </row>
    <row r="580" spans="11:11" x14ac:dyDescent="0.25">
      <c r="K580" s="386"/>
    </row>
    <row r="581" spans="11:11" x14ac:dyDescent="0.25">
      <c r="K581" s="386"/>
    </row>
    <row r="582" spans="11:11" x14ac:dyDescent="0.25">
      <c r="K582" s="386"/>
    </row>
    <row r="583" spans="11:11" x14ac:dyDescent="0.25">
      <c r="K583" s="386"/>
    </row>
    <row r="584" spans="11:11" x14ac:dyDescent="0.25">
      <c r="K584" s="386"/>
    </row>
    <row r="585" spans="11:11" x14ac:dyDescent="0.25">
      <c r="K585" s="386"/>
    </row>
    <row r="586" spans="11:11" x14ac:dyDescent="0.25">
      <c r="K586" s="386"/>
    </row>
    <row r="587" spans="11:11" x14ac:dyDescent="0.25">
      <c r="K587" s="386"/>
    </row>
    <row r="588" spans="11:11" x14ac:dyDescent="0.25">
      <c r="K588" s="386"/>
    </row>
    <row r="589" spans="11:11" x14ac:dyDescent="0.25">
      <c r="K589" s="386"/>
    </row>
    <row r="590" spans="11:11" x14ac:dyDescent="0.25">
      <c r="K590" s="386"/>
    </row>
    <row r="591" spans="11:11" x14ac:dyDescent="0.25">
      <c r="K591" s="386"/>
    </row>
    <row r="592" spans="11:11" x14ac:dyDescent="0.25">
      <c r="K592" s="386"/>
    </row>
    <row r="593" spans="11:11" x14ac:dyDescent="0.25">
      <c r="K593" s="386"/>
    </row>
    <row r="594" spans="11:11" x14ac:dyDescent="0.25">
      <c r="K594" s="386"/>
    </row>
    <row r="595" spans="11:11" x14ac:dyDescent="0.25">
      <c r="K595" s="386"/>
    </row>
    <row r="596" spans="11:11" x14ac:dyDescent="0.25">
      <c r="K596" s="386"/>
    </row>
    <row r="597" spans="11:11" x14ac:dyDescent="0.25">
      <c r="K597" s="386"/>
    </row>
    <row r="598" spans="11:11" x14ac:dyDescent="0.25">
      <c r="K598" s="386"/>
    </row>
    <row r="599" spans="11:11" x14ac:dyDescent="0.25">
      <c r="K599" s="386"/>
    </row>
    <row r="600" spans="11:11" x14ac:dyDescent="0.25">
      <c r="K600" s="386"/>
    </row>
    <row r="601" spans="11:11" x14ac:dyDescent="0.25">
      <c r="K601" s="386"/>
    </row>
    <row r="602" spans="11:11" x14ac:dyDescent="0.25">
      <c r="K602" s="386"/>
    </row>
    <row r="603" spans="11:11" x14ac:dyDescent="0.25">
      <c r="K603" s="386"/>
    </row>
    <row r="604" spans="11:11" x14ac:dyDescent="0.25">
      <c r="K604" s="386"/>
    </row>
    <row r="605" spans="11:11" x14ac:dyDescent="0.25">
      <c r="K605" s="386"/>
    </row>
    <row r="606" spans="11:11" x14ac:dyDescent="0.25">
      <c r="K606" s="386"/>
    </row>
    <row r="607" spans="11:11" x14ac:dyDescent="0.25">
      <c r="K607" s="386"/>
    </row>
    <row r="608" spans="11:11" x14ac:dyDescent="0.25">
      <c r="K608" s="386"/>
    </row>
    <row r="609" spans="11:11" x14ac:dyDescent="0.25">
      <c r="K609" s="386"/>
    </row>
    <row r="610" spans="11:11" x14ac:dyDescent="0.25">
      <c r="K610" s="386"/>
    </row>
    <row r="611" spans="11:11" x14ac:dyDescent="0.25">
      <c r="K611" s="386"/>
    </row>
    <row r="612" spans="11:11" x14ac:dyDescent="0.25">
      <c r="K612" s="386"/>
    </row>
    <row r="613" spans="11:11" x14ac:dyDescent="0.25">
      <c r="K613" s="386"/>
    </row>
    <row r="614" spans="11:11" x14ac:dyDescent="0.25">
      <c r="K614" s="386"/>
    </row>
    <row r="615" spans="11:11" x14ac:dyDescent="0.25">
      <c r="K615" s="386"/>
    </row>
    <row r="616" spans="11:11" x14ac:dyDescent="0.25">
      <c r="K616" s="386"/>
    </row>
    <row r="617" spans="11:11" x14ac:dyDescent="0.25">
      <c r="K617" s="386"/>
    </row>
    <row r="618" spans="11:11" x14ac:dyDescent="0.25">
      <c r="K618" s="386"/>
    </row>
    <row r="619" spans="11:11" x14ac:dyDescent="0.25">
      <c r="K619" s="386"/>
    </row>
    <row r="620" spans="11:11" x14ac:dyDescent="0.25">
      <c r="K620" s="386"/>
    </row>
    <row r="621" spans="11:11" x14ac:dyDescent="0.25">
      <c r="K621" s="386"/>
    </row>
    <row r="622" spans="11:11" x14ac:dyDescent="0.25">
      <c r="K622" s="386"/>
    </row>
    <row r="623" spans="11:11" x14ac:dyDescent="0.25">
      <c r="K623" s="386"/>
    </row>
    <row r="624" spans="11:11" x14ac:dyDescent="0.25">
      <c r="K624" s="386"/>
    </row>
    <row r="625" spans="11:11" x14ac:dyDescent="0.25">
      <c r="K625" s="386"/>
    </row>
    <row r="626" spans="11:11" x14ac:dyDescent="0.25">
      <c r="K626" s="386"/>
    </row>
    <row r="627" spans="11:11" x14ac:dyDescent="0.25">
      <c r="K627" s="386"/>
    </row>
    <row r="628" spans="11:11" x14ac:dyDescent="0.25">
      <c r="K628" s="386"/>
    </row>
    <row r="629" spans="11:11" x14ac:dyDescent="0.25">
      <c r="K629" s="386"/>
    </row>
    <row r="630" spans="11:11" x14ac:dyDescent="0.25">
      <c r="K630" s="386"/>
    </row>
    <row r="631" spans="11:11" x14ac:dyDescent="0.25">
      <c r="K631" s="386"/>
    </row>
    <row r="632" spans="11:11" x14ac:dyDescent="0.25">
      <c r="K632" s="386"/>
    </row>
    <row r="633" spans="11:11" x14ac:dyDescent="0.25">
      <c r="K633" s="386"/>
    </row>
    <row r="634" spans="11:11" x14ac:dyDescent="0.25">
      <c r="K634" s="386"/>
    </row>
    <row r="635" spans="11:11" x14ac:dyDescent="0.25">
      <c r="K635" s="386"/>
    </row>
    <row r="636" spans="11:11" x14ac:dyDescent="0.25">
      <c r="K636" s="386"/>
    </row>
    <row r="637" spans="11:11" x14ac:dyDescent="0.25">
      <c r="K637" s="386"/>
    </row>
    <row r="638" spans="11:11" x14ac:dyDescent="0.25">
      <c r="K638" s="386"/>
    </row>
    <row r="639" spans="11:11" x14ac:dyDescent="0.25">
      <c r="K639" s="386"/>
    </row>
    <row r="640" spans="11:11" x14ac:dyDescent="0.25">
      <c r="K640" s="386"/>
    </row>
    <row r="641" spans="11:11" x14ac:dyDescent="0.25">
      <c r="K641" s="386"/>
    </row>
    <row r="642" spans="11:11" x14ac:dyDescent="0.25">
      <c r="K642" s="386"/>
    </row>
    <row r="643" spans="11:11" x14ac:dyDescent="0.25">
      <c r="K643" s="386"/>
    </row>
    <row r="644" spans="11:11" x14ac:dyDescent="0.25">
      <c r="K644" s="386"/>
    </row>
    <row r="645" spans="11:11" x14ac:dyDescent="0.25">
      <c r="K645" s="386"/>
    </row>
    <row r="646" spans="11:11" x14ac:dyDescent="0.25">
      <c r="K646" s="386"/>
    </row>
    <row r="647" spans="11:11" x14ac:dyDescent="0.25">
      <c r="K647" s="386"/>
    </row>
    <row r="648" spans="11:11" x14ac:dyDescent="0.25">
      <c r="K648" s="386"/>
    </row>
    <row r="649" spans="11:11" x14ac:dyDescent="0.25">
      <c r="K649" s="386"/>
    </row>
    <row r="650" spans="11:11" x14ac:dyDescent="0.25">
      <c r="K650" s="386"/>
    </row>
    <row r="651" spans="11:11" x14ac:dyDescent="0.25">
      <c r="K651" s="386"/>
    </row>
    <row r="652" spans="11:11" x14ac:dyDescent="0.25">
      <c r="K652" s="386"/>
    </row>
    <row r="653" spans="11:11" x14ac:dyDescent="0.25">
      <c r="K653" s="386"/>
    </row>
    <row r="654" spans="11:11" x14ac:dyDescent="0.25">
      <c r="K654" s="386"/>
    </row>
    <row r="655" spans="11:11" x14ac:dyDescent="0.25">
      <c r="K655" s="386"/>
    </row>
    <row r="656" spans="11:11" x14ac:dyDescent="0.25">
      <c r="K656" s="386"/>
    </row>
    <row r="657" spans="11:11" x14ac:dyDescent="0.25">
      <c r="K657" s="386"/>
    </row>
    <row r="658" spans="11:11" x14ac:dyDescent="0.25">
      <c r="K658" s="386"/>
    </row>
    <row r="659" spans="11:11" x14ac:dyDescent="0.25">
      <c r="K659" s="386"/>
    </row>
    <row r="660" spans="11:11" x14ac:dyDescent="0.25">
      <c r="K660" s="386"/>
    </row>
    <row r="661" spans="11:11" x14ac:dyDescent="0.25">
      <c r="K661" s="386"/>
    </row>
    <row r="662" spans="11:11" x14ac:dyDescent="0.25">
      <c r="K662" s="386"/>
    </row>
    <row r="663" spans="11:11" x14ac:dyDescent="0.25">
      <c r="K663" s="386"/>
    </row>
    <row r="664" spans="11:11" x14ac:dyDescent="0.25">
      <c r="K664" s="386"/>
    </row>
    <row r="665" spans="11:11" x14ac:dyDescent="0.25">
      <c r="K665" s="386"/>
    </row>
    <row r="666" spans="11:11" x14ac:dyDescent="0.25">
      <c r="K666" s="386"/>
    </row>
    <row r="667" spans="11:11" x14ac:dyDescent="0.25">
      <c r="K667" s="386"/>
    </row>
    <row r="668" spans="11:11" x14ac:dyDescent="0.25">
      <c r="K668" s="386"/>
    </row>
    <row r="669" spans="11:11" x14ac:dyDescent="0.25">
      <c r="K669" s="386"/>
    </row>
    <row r="670" spans="11:11" x14ac:dyDescent="0.25">
      <c r="K670" s="386"/>
    </row>
    <row r="671" spans="11:11" x14ac:dyDescent="0.25">
      <c r="K671" s="386"/>
    </row>
    <row r="672" spans="11:11" x14ac:dyDescent="0.25">
      <c r="K672" s="386"/>
    </row>
    <row r="673" spans="11:11" x14ac:dyDescent="0.25">
      <c r="K673" s="386"/>
    </row>
    <row r="674" spans="11:11" x14ac:dyDescent="0.25">
      <c r="K674" s="386"/>
    </row>
    <row r="675" spans="11:11" x14ac:dyDescent="0.25">
      <c r="K675" s="386"/>
    </row>
    <row r="676" spans="11:11" x14ac:dyDescent="0.25">
      <c r="K676" s="386"/>
    </row>
    <row r="677" spans="11:11" x14ac:dyDescent="0.25">
      <c r="K677" s="386"/>
    </row>
    <row r="678" spans="11:11" x14ac:dyDescent="0.25">
      <c r="K678" s="386"/>
    </row>
    <row r="679" spans="11:11" x14ac:dyDescent="0.25">
      <c r="K679" s="386"/>
    </row>
    <row r="680" spans="11:11" x14ac:dyDescent="0.25">
      <c r="K680" s="386"/>
    </row>
    <row r="681" spans="11:11" x14ac:dyDescent="0.25">
      <c r="K681" s="386"/>
    </row>
    <row r="682" spans="11:11" x14ac:dyDescent="0.25">
      <c r="K682" s="386"/>
    </row>
    <row r="683" spans="11:11" x14ac:dyDescent="0.25">
      <c r="K683" s="386"/>
    </row>
    <row r="684" spans="11:11" x14ac:dyDescent="0.25">
      <c r="K684" s="386"/>
    </row>
    <row r="685" spans="11:11" x14ac:dyDescent="0.25">
      <c r="K685" s="386"/>
    </row>
    <row r="686" spans="11:11" x14ac:dyDescent="0.25">
      <c r="K686" s="386"/>
    </row>
    <row r="687" spans="11:11" x14ac:dyDescent="0.25">
      <c r="K687" s="386"/>
    </row>
    <row r="688" spans="11:11" x14ac:dyDescent="0.25">
      <c r="K688" s="386"/>
    </row>
    <row r="689" spans="11:11" x14ac:dyDescent="0.25">
      <c r="K689" s="386"/>
    </row>
    <row r="690" spans="11:11" x14ac:dyDescent="0.25">
      <c r="K690" s="386"/>
    </row>
    <row r="691" spans="11:11" x14ac:dyDescent="0.25">
      <c r="K691" s="386"/>
    </row>
    <row r="692" spans="11:11" x14ac:dyDescent="0.25">
      <c r="K692" s="386"/>
    </row>
    <row r="693" spans="11:11" x14ac:dyDescent="0.25">
      <c r="K693" s="386"/>
    </row>
    <row r="694" spans="11:11" x14ac:dyDescent="0.25">
      <c r="K694" s="386"/>
    </row>
    <row r="695" spans="11:11" x14ac:dyDescent="0.25">
      <c r="K695" s="386"/>
    </row>
    <row r="696" spans="11:11" x14ac:dyDescent="0.25">
      <c r="K696" s="386"/>
    </row>
    <row r="697" spans="11:11" x14ac:dyDescent="0.25">
      <c r="K697" s="386"/>
    </row>
    <row r="698" spans="11:11" x14ac:dyDescent="0.25">
      <c r="K698" s="386"/>
    </row>
    <row r="699" spans="11:11" x14ac:dyDescent="0.25">
      <c r="K699" s="386"/>
    </row>
    <row r="700" spans="11:11" x14ac:dyDescent="0.25">
      <c r="K700" s="386"/>
    </row>
    <row r="701" spans="11:11" x14ac:dyDescent="0.25">
      <c r="K701" s="386"/>
    </row>
    <row r="702" spans="11:11" x14ac:dyDescent="0.25">
      <c r="K702" s="386"/>
    </row>
    <row r="703" spans="11:11" x14ac:dyDescent="0.25">
      <c r="K703" s="386"/>
    </row>
    <row r="704" spans="11:11" x14ac:dyDescent="0.25">
      <c r="K704" s="386"/>
    </row>
    <row r="705" spans="11:11" x14ac:dyDescent="0.25">
      <c r="K705" s="386"/>
    </row>
    <row r="706" spans="11:11" x14ac:dyDescent="0.25">
      <c r="K706" s="386"/>
    </row>
    <row r="707" spans="11:11" x14ac:dyDescent="0.25">
      <c r="K707" s="386"/>
    </row>
    <row r="708" spans="11:11" x14ac:dyDescent="0.25">
      <c r="K708" s="386"/>
    </row>
    <row r="709" spans="11:11" x14ac:dyDescent="0.25">
      <c r="K709" s="386"/>
    </row>
    <row r="710" spans="11:11" x14ac:dyDescent="0.25">
      <c r="K710" s="386"/>
    </row>
    <row r="711" spans="11:11" x14ac:dyDescent="0.25">
      <c r="K711" s="386"/>
    </row>
    <row r="712" spans="11:11" x14ac:dyDescent="0.25">
      <c r="K712" s="386"/>
    </row>
    <row r="713" spans="11:11" x14ac:dyDescent="0.25">
      <c r="K713" s="386"/>
    </row>
    <row r="714" spans="11:11" x14ac:dyDescent="0.25">
      <c r="K714" s="386"/>
    </row>
    <row r="715" spans="11:11" x14ac:dyDescent="0.25">
      <c r="K715" s="386"/>
    </row>
    <row r="716" spans="11:11" x14ac:dyDescent="0.25">
      <c r="K716" s="386"/>
    </row>
    <row r="717" spans="11:11" x14ac:dyDescent="0.25">
      <c r="K717" s="386"/>
    </row>
    <row r="718" spans="11:11" x14ac:dyDescent="0.25">
      <c r="K718" s="386"/>
    </row>
    <row r="719" spans="11:11" x14ac:dyDescent="0.25">
      <c r="K719" s="386"/>
    </row>
    <row r="720" spans="11:11" x14ac:dyDescent="0.25">
      <c r="K720" s="386"/>
    </row>
    <row r="721" spans="11:11" x14ac:dyDescent="0.25">
      <c r="K721" s="386"/>
    </row>
    <row r="722" spans="11:11" x14ac:dyDescent="0.25">
      <c r="K722" s="386"/>
    </row>
    <row r="723" spans="11:11" x14ac:dyDescent="0.25">
      <c r="K723" s="386"/>
    </row>
    <row r="724" spans="11:11" x14ac:dyDescent="0.25">
      <c r="K724" s="386"/>
    </row>
    <row r="725" spans="11:11" x14ac:dyDescent="0.25">
      <c r="K725" s="386"/>
    </row>
    <row r="726" spans="11:11" x14ac:dyDescent="0.25">
      <c r="K726" s="386"/>
    </row>
    <row r="727" spans="11:11" x14ac:dyDescent="0.25">
      <c r="K727" s="386"/>
    </row>
    <row r="728" spans="11:11" x14ac:dyDescent="0.25">
      <c r="K728" s="386"/>
    </row>
    <row r="729" spans="11:11" x14ac:dyDescent="0.25">
      <c r="K729" s="386"/>
    </row>
    <row r="730" spans="11:11" x14ac:dyDescent="0.25">
      <c r="K730" s="386"/>
    </row>
    <row r="731" spans="11:11" x14ac:dyDescent="0.25">
      <c r="K731" s="386"/>
    </row>
    <row r="732" spans="11:11" x14ac:dyDescent="0.25">
      <c r="K732" s="386"/>
    </row>
    <row r="733" spans="11:11" x14ac:dyDescent="0.25">
      <c r="K733" s="386"/>
    </row>
    <row r="734" spans="11:11" x14ac:dyDescent="0.25">
      <c r="K734" s="386"/>
    </row>
    <row r="735" spans="11:11" x14ac:dyDescent="0.25">
      <c r="K735" s="386"/>
    </row>
    <row r="736" spans="11:11" x14ac:dyDescent="0.25">
      <c r="K736" s="386"/>
    </row>
    <row r="737" spans="11:11" x14ac:dyDescent="0.25">
      <c r="K737" s="386"/>
    </row>
    <row r="738" spans="11:11" x14ac:dyDescent="0.25">
      <c r="K738" s="386"/>
    </row>
    <row r="739" spans="11:11" x14ac:dyDescent="0.25">
      <c r="K739" s="386"/>
    </row>
    <row r="740" spans="11:11" x14ac:dyDescent="0.25">
      <c r="K740" s="386"/>
    </row>
    <row r="741" spans="11:11" x14ac:dyDescent="0.25">
      <c r="K741" s="386"/>
    </row>
    <row r="742" spans="11:11" x14ac:dyDescent="0.25">
      <c r="K742" s="386"/>
    </row>
    <row r="743" spans="11:11" x14ac:dyDescent="0.25">
      <c r="K743" s="386"/>
    </row>
    <row r="744" spans="11:11" x14ac:dyDescent="0.25">
      <c r="K744" s="386"/>
    </row>
    <row r="745" spans="11:11" x14ac:dyDescent="0.25">
      <c r="K745" s="386"/>
    </row>
    <row r="746" spans="11:11" x14ac:dyDescent="0.25">
      <c r="K746" s="386"/>
    </row>
    <row r="747" spans="11:11" x14ac:dyDescent="0.25">
      <c r="K747" s="386"/>
    </row>
    <row r="748" spans="11:11" x14ac:dyDescent="0.25">
      <c r="K748" s="386"/>
    </row>
    <row r="749" spans="11:11" x14ac:dyDescent="0.25">
      <c r="K749" s="386"/>
    </row>
    <row r="750" spans="11:11" x14ac:dyDescent="0.25">
      <c r="K750" s="386"/>
    </row>
    <row r="751" spans="11:11" x14ac:dyDescent="0.25">
      <c r="K751" s="386"/>
    </row>
    <row r="752" spans="11:11" x14ac:dyDescent="0.25">
      <c r="K752" s="386"/>
    </row>
    <row r="753" spans="11:11" x14ac:dyDescent="0.25">
      <c r="K753" s="386"/>
    </row>
    <row r="754" spans="11:11" x14ac:dyDescent="0.25">
      <c r="K754" s="386"/>
    </row>
    <row r="755" spans="11:11" x14ac:dyDescent="0.25">
      <c r="K755" s="386"/>
    </row>
    <row r="756" spans="11:11" x14ac:dyDescent="0.25">
      <c r="K756" s="386"/>
    </row>
    <row r="757" spans="11:11" x14ac:dyDescent="0.25">
      <c r="K757" s="386"/>
    </row>
    <row r="758" spans="11:11" x14ac:dyDescent="0.25">
      <c r="K758" s="386"/>
    </row>
    <row r="759" spans="11:11" x14ac:dyDescent="0.25">
      <c r="K759" s="386"/>
    </row>
    <row r="760" spans="11:11" x14ac:dyDescent="0.25">
      <c r="K760" s="386"/>
    </row>
    <row r="761" spans="11:11" x14ac:dyDescent="0.25">
      <c r="K761" s="386"/>
    </row>
    <row r="762" spans="11:11" x14ac:dyDescent="0.25">
      <c r="K762" s="386"/>
    </row>
    <row r="763" spans="11:11" x14ac:dyDescent="0.25">
      <c r="K763" s="386"/>
    </row>
    <row r="764" spans="11:11" x14ac:dyDescent="0.25">
      <c r="K764" s="386"/>
    </row>
    <row r="765" spans="11:11" x14ac:dyDescent="0.25">
      <c r="K765" s="386"/>
    </row>
    <row r="766" spans="11:11" x14ac:dyDescent="0.25">
      <c r="K766" s="386"/>
    </row>
    <row r="767" spans="11:11" x14ac:dyDescent="0.25">
      <c r="K767" s="386"/>
    </row>
    <row r="768" spans="11:11" x14ac:dyDescent="0.25">
      <c r="K768" s="386"/>
    </row>
    <row r="769" spans="11:11" x14ac:dyDescent="0.25">
      <c r="K769" s="386"/>
    </row>
    <row r="770" spans="11:11" x14ac:dyDescent="0.25">
      <c r="K770" s="386"/>
    </row>
    <row r="771" spans="11:11" x14ac:dyDescent="0.25">
      <c r="K771" s="386"/>
    </row>
    <row r="772" spans="11:11" x14ac:dyDescent="0.25">
      <c r="K772" s="386"/>
    </row>
    <row r="773" spans="11:11" x14ac:dyDescent="0.25">
      <c r="K773" s="386"/>
    </row>
    <row r="774" spans="11:11" x14ac:dyDescent="0.25">
      <c r="K774" s="386"/>
    </row>
    <row r="775" spans="11:11" x14ac:dyDescent="0.25">
      <c r="K775" s="386"/>
    </row>
    <row r="776" spans="11:11" x14ac:dyDescent="0.25">
      <c r="K776" s="386"/>
    </row>
    <row r="777" spans="11:11" x14ac:dyDescent="0.25">
      <c r="K777" s="386"/>
    </row>
    <row r="778" spans="11:11" x14ac:dyDescent="0.25">
      <c r="K778" s="386"/>
    </row>
    <row r="779" spans="11:11" x14ac:dyDescent="0.25">
      <c r="K779" s="386"/>
    </row>
    <row r="780" spans="11:11" x14ac:dyDescent="0.25">
      <c r="K780" s="386"/>
    </row>
    <row r="781" spans="11:11" x14ac:dyDescent="0.25">
      <c r="K781" s="386"/>
    </row>
    <row r="782" spans="11:11" x14ac:dyDescent="0.25">
      <c r="K782" s="386"/>
    </row>
    <row r="783" spans="11:11" x14ac:dyDescent="0.25">
      <c r="K783" s="386"/>
    </row>
    <row r="784" spans="11:11" x14ac:dyDescent="0.25">
      <c r="K784" s="386"/>
    </row>
    <row r="785" spans="11:11" x14ac:dyDescent="0.25">
      <c r="K785" s="386"/>
    </row>
    <row r="786" spans="11:11" x14ac:dyDescent="0.25">
      <c r="K786" s="386"/>
    </row>
    <row r="787" spans="11:11" x14ac:dyDescent="0.25">
      <c r="K787" s="386"/>
    </row>
    <row r="788" spans="11:11" x14ac:dyDescent="0.25">
      <c r="K788" s="386"/>
    </row>
    <row r="789" spans="11:11" x14ac:dyDescent="0.25">
      <c r="K789" s="386"/>
    </row>
    <row r="790" spans="11:11" x14ac:dyDescent="0.25">
      <c r="K790" s="386"/>
    </row>
    <row r="791" spans="11:11" x14ac:dyDescent="0.25">
      <c r="K791" s="386"/>
    </row>
    <row r="792" spans="11:11" x14ac:dyDescent="0.25">
      <c r="K792" s="386"/>
    </row>
    <row r="793" spans="11:11" x14ac:dyDescent="0.25">
      <c r="K793" s="386"/>
    </row>
    <row r="794" spans="11:11" x14ac:dyDescent="0.25">
      <c r="K794" s="386"/>
    </row>
    <row r="795" spans="11:11" x14ac:dyDescent="0.25">
      <c r="K795" s="386"/>
    </row>
    <row r="796" spans="11:11" x14ac:dyDescent="0.25">
      <c r="K796" s="386"/>
    </row>
    <row r="797" spans="11:11" x14ac:dyDescent="0.25">
      <c r="K797" s="386"/>
    </row>
    <row r="798" spans="11:11" x14ac:dyDescent="0.25">
      <c r="K798" s="386"/>
    </row>
    <row r="799" spans="11:11" x14ac:dyDescent="0.25">
      <c r="K799" s="386"/>
    </row>
    <row r="800" spans="11:11" x14ac:dyDescent="0.25">
      <c r="K800" s="386"/>
    </row>
    <row r="801" spans="11:11" x14ac:dyDescent="0.25">
      <c r="K801" s="386"/>
    </row>
    <row r="802" spans="11:11" x14ac:dyDescent="0.25">
      <c r="K802" s="386"/>
    </row>
    <row r="803" spans="11:11" x14ac:dyDescent="0.25">
      <c r="K803" s="386"/>
    </row>
    <row r="804" spans="11:11" x14ac:dyDescent="0.25">
      <c r="K804" s="386"/>
    </row>
    <row r="805" spans="11:11" x14ac:dyDescent="0.25">
      <c r="K805" s="386"/>
    </row>
    <row r="806" spans="11:11" x14ac:dyDescent="0.25">
      <c r="K806" s="386"/>
    </row>
    <row r="807" spans="11:11" x14ac:dyDescent="0.25">
      <c r="K807" s="386"/>
    </row>
    <row r="808" spans="11:11" x14ac:dyDescent="0.25">
      <c r="K808" s="386"/>
    </row>
    <row r="809" spans="11:11" x14ac:dyDescent="0.25">
      <c r="K809" s="386"/>
    </row>
    <row r="810" spans="11:11" x14ac:dyDescent="0.25">
      <c r="K810" s="386"/>
    </row>
    <row r="811" spans="11:11" x14ac:dyDescent="0.25">
      <c r="K811" s="386"/>
    </row>
    <row r="812" spans="11:11" x14ac:dyDescent="0.25">
      <c r="K812" s="386"/>
    </row>
    <row r="813" spans="11:11" x14ac:dyDescent="0.25">
      <c r="K813" s="386"/>
    </row>
    <row r="814" spans="11:11" x14ac:dyDescent="0.25">
      <c r="K814" s="386"/>
    </row>
    <row r="815" spans="11:11" x14ac:dyDescent="0.25">
      <c r="K815" s="386"/>
    </row>
    <row r="816" spans="11:11" x14ac:dyDescent="0.25">
      <c r="K816" s="386"/>
    </row>
    <row r="817" spans="11:11" x14ac:dyDescent="0.25">
      <c r="K817" s="386"/>
    </row>
    <row r="818" spans="11:11" x14ac:dyDescent="0.25">
      <c r="K818" s="386"/>
    </row>
    <row r="819" spans="11:11" x14ac:dyDescent="0.25">
      <c r="K819" s="386"/>
    </row>
    <row r="820" spans="11:11" x14ac:dyDescent="0.25">
      <c r="K820" s="386"/>
    </row>
    <row r="821" spans="11:11" x14ac:dyDescent="0.25">
      <c r="K821" s="386"/>
    </row>
    <row r="822" spans="11:11" x14ac:dyDescent="0.25">
      <c r="K822" s="386"/>
    </row>
    <row r="823" spans="11:11" x14ac:dyDescent="0.25">
      <c r="K823" s="386"/>
    </row>
    <row r="824" spans="11:11" x14ac:dyDescent="0.25">
      <c r="K824" s="386"/>
    </row>
    <row r="825" spans="11:11" x14ac:dyDescent="0.25">
      <c r="K825" s="386"/>
    </row>
    <row r="826" spans="11:11" x14ac:dyDescent="0.25">
      <c r="K826" s="386"/>
    </row>
    <row r="827" spans="11:11" x14ac:dyDescent="0.25">
      <c r="K827" s="386"/>
    </row>
    <row r="828" spans="11:11" x14ac:dyDescent="0.25">
      <c r="K828" s="386"/>
    </row>
    <row r="829" spans="11:11" x14ac:dyDescent="0.25">
      <c r="K829" s="386"/>
    </row>
    <row r="830" spans="11:11" x14ac:dyDescent="0.25">
      <c r="K830" s="386"/>
    </row>
    <row r="831" spans="11:11" x14ac:dyDescent="0.25">
      <c r="K831" s="386"/>
    </row>
    <row r="832" spans="11:11" x14ac:dyDescent="0.25">
      <c r="K832" s="386"/>
    </row>
    <row r="833" spans="11:11" x14ac:dyDescent="0.25">
      <c r="K833" s="386"/>
    </row>
    <row r="834" spans="11:11" x14ac:dyDescent="0.25">
      <c r="K834" s="386"/>
    </row>
    <row r="835" spans="11:11" x14ac:dyDescent="0.25">
      <c r="K835" s="386"/>
    </row>
    <row r="836" spans="11:11" x14ac:dyDescent="0.25">
      <c r="K836" s="386"/>
    </row>
    <row r="837" spans="11:11" x14ac:dyDescent="0.25">
      <c r="K837" s="386"/>
    </row>
    <row r="838" spans="11:11" x14ac:dyDescent="0.25">
      <c r="K838" s="386"/>
    </row>
    <row r="839" spans="11:11" x14ac:dyDescent="0.25">
      <c r="K839" s="386"/>
    </row>
    <row r="840" spans="11:11" x14ac:dyDescent="0.25">
      <c r="K840" s="386"/>
    </row>
    <row r="841" spans="11:11" x14ac:dyDescent="0.25">
      <c r="K841" s="386"/>
    </row>
    <row r="842" spans="11:11" x14ac:dyDescent="0.25">
      <c r="K842" s="386"/>
    </row>
    <row r="843" spans="11:11" x14ac:dyDescent="0.25">
      <c r="K843" s="386"/>
    </row>
    <row r="844" spans="11:11" x14ac:dyDescent="0.25">
      <c r="K844" s="386"/>
    </row>
    <row r="845" spans="11:11" x14ac:dyDescent="0.25">
      <c r="K845" s="386"/>
    </row>
    <row r="846" spans="11:11" x14ac:dyDescent="0.25">
      <c r="K846" s="386"/>
    </row>
    <row r="847" spans="11:11" x14ac:dyDescent="0.25">
      <c r="K847" s="386"/>
    </row>
    <row r="848" spans="11:11" x14ac:dyDescent="0.25">
      <c r="K848" s="386"/>
    </row>
    <row r="849" spans="11:11" x14ac:dyDescent="0.25">
      <c r="K849" s="386"/>
    </row>
    <row r="850" spans="11:11" x14ac:dyDescent="0.25">
      <c r="K850" s="386"/>
    </row>
    <row r="851" spans="11:11" x14ac:dyDescent="0.25">
      <c r="K851" s="386"/>
    </row>
    <row r="852" spans="11:11" x14ac:dyDescent="0.25">
      <c r="K852" s="386"/>
    </row>
    <row r="853" spans="11:11" x14ac:dyDescent="0.25">
      <c r="K853" s="386"/>
    </row>
    <row r="854" spans="11:11" x14ac:dyDescent="0.25">
      <c r="K854" s="386"/>
    </row>
    <row r="855" spans="11:11" x14ac:dyDescent="0.25">
      <c r="K855" s="386"/>
    </row>
    <row r="856" spans="11:11" x14ac:dyDescent="0.25">
      <c r="K856" s="386"/>
    </row>
    <row r="857" spans="11:11" x14ac:dyDescent="0.25">
      <c r="K857" s="386"/>
    </row>
    <row r="858" spans="11:11" x14ac:dyDescent="0.25">
      <c r="K858" s="386"/>
    </row>
    <row r="859" spans="11:11" x14ac:dyDescent="0.25">
      <c r="K859" s="386"/>
    </row>
    <row r="860" spans="11:11" x14ac:dyDescent="0.25">
      <c r="K860" s="386"/>
    </row>
    <row r="861" spans="11:11" x14ac:dyDescent="0.25">
      <c r="K861" s="386"/>
    </row>
    <row r="862" spans="11:11" x14ac:dyDescent="0.25">
      <c r="K862" s="386"/>
    </row>
    <row r="863" spans="11:11" x14ac:dyDescent="0.25">
      <c r="K863" s="386"/>
    </row>
    <row r="864" spans="11:11" x14ac:dyDescent="0.25">
      <c r="K864" s="386"/>
    </row>
    <row r="865" spans="11:11" x14ac:dyDescent="0.25">
      <c r="K865" s="386"/>
    </row>
    <row r="866" spans="11:11" x14ac:dyDescent="0.25">
      <c r="K866" s="386"/>
    </row>
    <row r="867" spans="11:11" x14ac:dyDescent="0.25">
      <c r="K867" s="386"/>
    </row>
    <row r="868" spans="11:11" x14ac:dyDescent="0.25">
      <c r="K868" s="386"/>
    </row>
    <row r="869" spans="11:11" x14ac:dyDescent="0.25">
      <c r="K869" s="386"/>
    </row>
    <row r="870" spans="11:11" x14ac:dyDescent="0.25">
      <c r="K870" s="386"/>
    </row>
    <row r="871" spans="11:11" x14ac:dyDescent="0.25">
      <c r="K871" s="386"/>
    </row>
    <row r="872" spans="11:11" x14ac:dyDescent="0.25">
      <c r="K872" s="386"/>
    </row>
    <row r="873" spans="11:11" x14ac:dyDescent="0.25">
      <c r="K873" s="386"/>
    </row>
    <row r="874" spans="11:11" x14ac:dyDescent="0.25">
      <c r="K874" s="386"/>
    </row>
    <row r="875" spans="11:11" x14ac:dyDescent="0.25">
      <c r="K875" s="386"/>
    </row>
    <row r="876" spans="11:11" x14ac:dyDescent="0.25">
      <c r="K876" s="386"/>
    </row>
    <row r="877" spans="11:11" x14ac:dyDescent="0.25">
      <c r="K877" s="386"/>
    </row>
    <row r="878" spans="11:11" x14ac:dyDescent="0.25">
      <c r="K878" s="386"/>
    </row>
    <row r="879" spans="11:11" x14ac:dyDescent="0.25">
      <c r="K879" s="386"/>
    </row>
    <row r="880" spans="11:11" x14ac:dyDescent="0.25">
      <c r="K880" s="386"/>
    </row>
    <row r="881" spans="11:11" x14ac:dyDescent="0.25">
      <c r="K881" s="386"/>
    </row>
    <row r="882" spans="11:11" x14ac:dyDescent="0.25">
      <c r="K882" s="386"/>
    </row>
    <row r="883" spans="11:11" x14ac:dyDescent="0.25">
      <c r="K883" s="386"/>
    </row>
    <row r="884" spans="11:11" x14ac:dyDescent="0.25">
      <c r="K884" s="386"/>
    </row>
    <row r="885" spans="11:11" x14ac:dyDescent="0.25">
      <c r="K885" s="386"/>
    </row>
    <row r="886" spans="11:11" x14ac:dyDescent="0.25">
      <c r="K886" s="386"/>
    </row>
    <row r="887" spans="11:11" x14ac:dyDescent="0.25">
      <c r="K887" s="386"/>
    </row>
    <row r="888" spans="11:11" x14ac:dyDescent="0.25">
      <c r="K888" s="386"/>
    </row>
    <row r="889" spans="11:11" x14ac:dyDescent="0.25">
      <c r="K889" s="386"/>
    </row>
    <row r="890" spans="11:11" x14ac:dyDescent="0.25">
      <c r="K890" s="386"/>
    </row>
    <row r="891" spans="11:11" x14ac:dyDescent="0.25">
      <c r="K891" s="386"/>
    </row>
    <row r="892" spans="11:11" x14ac:dyDescent="0.25">
      <c r="K892" s="386"/>
    </row>
    <row r="893" spans="11:11" x14ac:dyDescent="0.25">
      <c r="K893" s="386"/>
    </row>
    <row r="894" spans="11:11" x14ac:dyDescent="0.25">
      <c r="K894" s="386"/>
    </row>
    <row r="895" spans="11:11" x14ac:dyDescent="0.25">
      <c r="K895" s="386"/>
    </row>
    <row r="896" spans="11:11" x14ac:dyDescent="0.25">
      <c r="K896" s="386"/>
    </row>
    <row r="897" spans="11:11" x14ac:dyDescent="0.25">
      <c r="K897" s="386"/>
    </row>
    <row r="898" spans="11:11" x14ac:dyDescent="0.25">
      <c r="K898" s="386"/>
    </row>
    <row r="899" spans="11:11" x14ac:dyDescent="0.25">
      <c r="K899" s="386"/>
    </row>
    <row r="900" spans="11:11" x14ac:dyDescent="0.25">
      <c r="K900" s="386"/>
    </row>
    <row r="901" spans="11:11" x14ac:dyDescent="0.25">
      <c r="K901" s="386"/>
    </row>
    <row r="902" spans="11:11" x14ac:dyDescent="0.25">
      <c r="K902" s="386"/>
    </row>
    <row r="903" spans="11:11" x14ac:dyDescent="0.25">
      <c r="K903" s="386"/>
    </row>
    <row r="904" spans="11:11" x14ac:dyDescent="0.25">
      <c r="K904" s="386"/>
    </row>
    <row r="905" spans="11:11" x14ac:dyDescent="0.25">
      <c r="K905" s="386"/>
    </row>
    <row r="906" spans="11:11" x14ac:dyDescent="0.25">
      <c r="K906" s="386"/>
    </row>
    <row r="907" spans="11:11" x14ac:dyDescent="0.25">
      <c r="K907" s="386"/>
    </row>
    <row r="908" spans="11:11" x14ac:dyDescent="0.25">
      <c r="K908" s="386"/>
    </row>
    <row r="909" spans="11:11" x14ac:dyDescent="0.25">
      <c r="K909" s="386"/>
    </row>
    <row r="910" spans="11:11" x14ac:dyDescent="0.25">
      <c r="K910" s="386"/>
    </row>
    <row r="911" spans="11:11" x14ac:dyDescent="0.25">
      <c r="K911" s="386"/>
    </row>
    <row r="912" spans="11:11" x14ac:dyDescent="0.25">
      <c r="K912" s="386"/>
    </row>
    <row r="913" spans="11:11" x14ac:dyDescent="0.25">
      <c r="K913" s="386"/>
    </row>
    <row r="914" spans="11:11" x14ac:dyDescent="0.25">
      <c r="K914" s="386"/>
    </row>
    <row r="915" spans="11:11" x14ac:dyDescent="0.25">
      <c r="K915" s="386"/>
    </row>
    <row r="916" spans="11:11" x14ac:dyDescent="0.25">
      <c r="K916" s="386"/>
    </row>
    <row r="917" spans="11:11" x14ac:dyDescent="0.25">
      <c r="K917" s="386"/>
    </row>
    <row r="918" spans="11:11" x14ac:dyDescent="0.25">
      <c r="K918" s="386"/>
    </row>
    <row r="919" spans="11:11" x14ac:dyDescent="0.25">
      <c r="K919" s="386"/>
    </row>
    <row r="920" spans="11:11" x14ac:dyDescent="0.25">
      <c r="K920" s="386"/>
    </row>
    <row r="921" spans="11:11" x14ac:dyDescent="0.25">
      <c r="K921" s="386"/>
    </row>
    <row r="922" spans="11:11" x14ac:dyDescent="0.25">
      <c r="K922" s="386"/>
    </row>
    <row r="923" spans="11:11" x14ac:dyDescent="0.25">
      <c r="K923" s="386"/>
    </row>
    <row r="924" spans="11:11" x14ac:dyDescent="0.25">
      <c r="K924" s="386"/>
    </row>
    <row r="925" spans="11:11" x14ac:dyDescent="0.25">
      <c r="K925" s="386"/>
    </row>
    <row r="926" spans="11:11" x14ac:dyDescent="0.25">
      <c r="K926" s="386"/>
    </row>
    <row r="927" spans="11:11" x14ac:dyDescent="0.25">
      <c r="K927" s="386"/>
    </row>
    <row r="928" spans="11:11" x14ac:dyDescent="0.25">
      <c r="K928" s="386"/>
    </row>
    <row r="929" spans="11:11" x14ac:dyDescent="0.25">
      <c r="K929" s="386"/>
    </row>
    <row r="930" spans="11:11" x14ac:dyDescent="0.25">
      <c r="K930" s="386"/>
    </row>
    <row r="931" spans="11:11" x14ac:dyDescent="0.25">
      <c r="K931" s="386"/>
    </row>
    <row r="932" spans="11:11" x14ac:dyDescent="0.25">
      <c r="K932" s="386"/>
    </row>
    <row r="933" spans="11:11" x14ac:dyDescent="0.25">
      <c r="K933" s="386"/>
    </row>
    <row r="934" spans="11:11" x14ac:dyDescent="0.25">
      <c r="K934" s="386"/>
    </row>
    <row r="935" spans="11:11" x14ac:dyDescent="0.25">
      <c r="K935" s="386"/>
    </row>
    <row r="936" spans="11:11" x14ac:dyDescent="0.25">
      <c r="K936" s="386"/>
    </row>
    <row r="937" spans="11:11" x14ac:dyDescent="0.25">
      <c r="K937" s="386"/>
    </row>
    <row r="938" spans="11:11" x14ac:dyDescent="0.25">
      <c r="K938" s="386"/>
    </row>
    <row r="939" spans="11:11" x14ac:dyDescent="0.25">
      <c r="K939" s="386"/>
    </row>
    <row r="940" spans="11:11" x14ac:dyDescent="0.25">
      <c r="K940" s="386"/>
    </row>
    <row r="941" spans="11:11" x14ac:dyDescent="0.25">
      <c r="K941" s="386"/>
    </row>
    <row r="942" spans="11:11" x14ac:dyDescent="0.25">
      <c r="K942" s="386"/>
    </row>
    <row r="943" spans="11:11" x14ac:dyDescent="0.25">
      <c r="K943" s="386"/>
    </row>
    <row r="944" spans="11:11" x14ac:dyDescent="0.25">
      <c r="K944" s="386"/>
    </row>
    <row r="945" spans="11:11" x14ac:dyDescent="0.25">
      <c r="K945" s="386"/>
    </row>
    <row r="946" spans="11:11" x14ac:dyDescent="0.25">
      <c r="K946" s="386"/>
    </row>
    <row r="947" spans="11:11" x14ac:dyDescent="0.25">
      <c r="K947" s="386"/>
    </row>
    <row r="948" spans="11:11" x14ac:dyDescent="0.25">
      <c r="K948" s="386"/>
    </row>
    <row r="949" spans="11:11" x14ac:dyDescent="0.25">
      <c r="K949" s="386"/>
    </row>
    <row r="950" spans="11:11" x14ac:dyDescent="0.25">
      <c r="K950" s="386"/>
    </row>
    <row r="951" spans="11:11" x14ac:dyDescent="0.25">
      <c r="K951" s="386"/>
    </row>
    <row r="952" spans="11:11" x14ac:dyDescent="0.25">
      <c r="K952" s="386"/>
    </row>
    <row r="953" spans="11:11" x14ac:dyDescent="0.25">
      <c r="K953" s="386"/>
    </row>
    <row r="954" spans="11:11" x14ac:dyDescent="0.25">
      <c r="K954" s="386"/>
    </row>
    <row r="955" spans="11:11" x14ac:dyDescent="0.25">
      <c r="K955" s="386"/>
    </row>
    <row r="956" spans="11:11" x14ac:dyDescent="0.25">
      <c r="K956" s="386"/>
    </row>
    <row r="957" spans="11:11" x14ac:dyDescent="0.25">
      <c r="K957" s="386"/>
    </row>
    <row r="958" spans="11:11" x14ac:dyDescent="0.25">
      <c r="K958" s="386"/>
    </row>
    <row r="959" spans="11:11" x14ac:dyDescent="0.25">
      <c r="K959" s="386"/>
    </row>
    <row r="960" spans="11:11" x14ac:dyDescent="0.25">
      <c r="K960" s="386"/>
    </row>
    <row r="961" spans="11:11" x14ac:dyDescent="0.25">
      <c r="K961" s="386"/>
    </row>
    <row r="962" spans="11:11" x14ac:dyDescent="0.25">
      <c r="K962" s="386"/>
    </row>
    <row r="963" spans="11:11" x14ac:dyDescent="0.25">
      <c r="K963" s="386"/>
    </row>
    <row r="964" spans="11:11" x14ac:dyDescent="0.25">
      <c r="K964" s="386"/>
    </row>
    <row r="965" spans="11:11" x14ac:dyDescent="0.25">
      <c r="K965" s="386"/>
    </row>
    <row r="966" spans="11:11" x14ac:dyDescent="0.25">
      <c r="K966" s="386"/>
    </row>
    <row r="967" spans="11:11" x14ac:dyDescent="0.25">
      <c r="K967" s="386"/>
    </row>
    <row r="968" spans="11:11" x14ac:dyDescent="0.25">
      <c r="K968" s="386"/>
    </row>
    <row r="969" spans="11:11" x14ac:dyDescent="0.25">
      <c r="K969" s="386"/>
    </row>
    <row r="970" spans="11:11" x14ac:dyDescent="0.25">
      <c r="K970" s="386"/>
    </row>
    <row r="971" spans="11:11" x14ac:dyDescent="0.25">
      <c r="K971" s="386"/>
    </row>
    <row r="972" spans="11:11" x14ac:dyDescent="0.25">
      <c r="K972" s="386"/>
    </row>
    <row r="973" spans="11:11" x14ac:dyDescent="0.25">
      <c r="K973" s="386"/>
    </row>
    <row r="974" spans="11:11" x14ac:dyDescent="0.25">
      <c r="K974" s="386"/>
    </row>
    <row r="975" spans="11:11" x14ac:dyDescent="0.25">
      <c r="K975" s="386"/>
    </row>
    <row r="976" spans="11:11" x14ac:dyDescent="0.25">
      <c r="K976" s="386"/>
    </row>
    <row r="977" spans="11:11" x14ac:dyDescent="0.25">
      <c r="K977" s="386"/>
    </row>
    <row r="978" spans="11:11" x14ac:dyDescent="0.25">
      <c r="K978" s="386"/>
    </row>
    <row r="979" spans="11:11" x14ac:dyDescent="0.25">
      <c r="K979" s="386"/>
    </row>
    <row r="980" spans="11:11" x14ac:dyDescent="0.25">
      <c r="K980" s="386"/>
    </row>
    <row r="981" spans="11:11" x14ac:dyDescent="0.25">
      <c r="K981" s="386"/>
    </row>
    <row r="982" spans="11:11" x14ac:dyDescent="0.25">
      <c r="K982" s="386"/>
    </row>
    <row r="983" spans="11:11" x14ac:dyDescent="0.25">
      <c r="K983" s="386"/>
    </row>
    <row r="984" spans="11:11" x14ac:dyDescent="0.25">
      <c r="K984" s="386"/>
    </row>
    <row r="985" spans="11:11" x14ac:dyDescent="0.25">
      <c r="K985" s="386"/>
    </row>
    <row r="986" spans="11:11" x14ac:dyDescent="0.25">
      <c r="K986" s="386"/>
    </row>
    <row r="987" spans="11:11" x14ac:dyDescent="0.25">
      <c r="K987" s="386"/>
    </row>
    <row r="988" spans="11:11" x14ac:dyDescent="0.25">
      <c r="K988" s="386"/>
    </row>
    <row r="989" spans="11:11" x14ac:dyDescent="0.25">
      <c r="K989" s="386"/>
    </row>
    <row r="990" spans="11:11" x14ac:dyDescent="0.25">
      <c r="K990" s="386"/>
    </row>
    <row r="991" spans="11:11" x14ac:dyDescent="0.25">
      <c r="K991" s="386"/>
    </row>
    <row r="992" spans="11:11" x14ac:dyDescent="0.25">
      <c r="K992" s="386"/>
    </row>
    <row r="993" spans="11:11" x14ac:dyDescent="0.25">
      <c r="K993" s="386"/>
    </row>
    <row r="994" spans="11:11" x14ac:dyDescent="0.25">
      <c r="K994" s="386"/>
    </row>
    <row r="995" spans="11:11" x14ac:dyDescent="0.25">
      <c r="K995" s="386"/>
    </row>
    <row r="996" spans="11:11" x14ac:dyDescent="0.25">
      <c r="K996" s="386"/>
    </row>
    <row r="997" spans="11:11" x14ac:dyDescent="0.25">
      <c r="K997" s="386"/>
    </row>
    <row r="998" spans="11:11" x14ac:dyDescent="0.25">
      <c r="K998" s="386"/>
    </row>
    <row r="999" spans="11:11" x14ac:dyDescent="0.25">
      <c r="K999" s="386"/>
    </row>
    <row r="1000" spans="11:11" x14ac:dyDescent="0.25">
      <c r="K1000" s="386"/>
    </row>
    <row r="1001" spans="11:11" x14ac:dyDescent="0.25">
      <c r="K1001" s="386"/>
    </row>
    <row r="1002" spans="11:11" x14ac:dyDescent="0.25">
      <c r="K1002" s="386"/>
    </row>
    <row r="1003" spans="11:11" x14ac:dyDescent="0.25">
      <c r="K1003" s="386"/>
    </row>
    <row r="1004" spans="11:11" x14ac:dyDescent="0.25">
      <c r="K1004" s="386"/>
    </row>
    <row r="1005" spans="11:11" x14ac:dyDescent="0.25">
      <c r="K1005" s="386"/>
    </row>
    <row r="1006" spans="11:11" x14ac:dyDescent="0.25">
      <c r="K1006" s="386"/>
    </row>
    <row r="1007" spans="11:11" x14ac:dyDescent="0.25">
      <c r="K1007" s="386"/>
    </row>
    <row r="1008" spans="11:11" x14ac:dyDescent="0.25">
      <c r="K1008" s="386"/>
    </row>
    <row r="1009" spans="11:11" x14ac:dyDescent="0.25">
      <c r="K1009" s="386"/>
    </row>
    <row r="1010" spans="11:11" x14ac:dyDescent="0.25">
      <c r="K1010" s="386"/>
    </row>
    <row r="1011" spans="11:11" x14ac:dyDescent="0.25">
      <c r="K1011" s="386"/>
    </row>
    <row r="1012" spans="11:11" x14ac:dyDescent="0.25">
      <c r="K1012" s="386"/>
    </row>
    <row r="1013" spans="11:11" x14ac:dyDescent="0.25">
      <c r="K1013" s="386"/>
    </row>
    <row r="1014" spans="11:11" x14ac:dyDescent="0.25">
      <c r="K1014" s="386"/>
    </row>
    <row r="1015" spans="11:11" x14ac:dyDescent="0.25">
      <c r="K1015" s="386"/>
    </row>
    <row r="1016" spans="11:11" x14ac:dyDescent="0.25">
      <c r="K1016" s="386"/>
    </row>
    <row r="1017" spans="11:11" x14ac:dyDescent="0.25">
      <c r="K1017" s="386"/>
    </row>
    <row r="1018" spans="11:11" x14ac:dyDescent="0.25">
      <c r="K1018" s="386"/>
    </row>
    <row r="1019" spans="11:11" x14ac:dyDescent="0.25">
      <c r="K1019" s="386"/>
    </row>
    <row r="1020" spans="11:11" x14ac:dyDescent="0.25">
      <c r="K1020" s="386"/>
    </row>
    <row r="1021" spans="11:11" x14ac:dyDescent="0.25">
      <c r="K1021" s="386"/>
    </row>
    <row r="1022" spans="11:11" x14ac:dyDescent="0.25">
      <c r="K1022" s="386"/>
    </row>
    <row r="1023" spans="11:11" x14ac:dyDescent="0.25">
      <c r="K1023" s="386"/>
    </row>
    <row r="1024" spans="11:11" x14ac:dyDescent="0.25">
      <c r="K1024" s="386"/>
    </row>
    <row r="1025" spans="11:11" x14ac:dyDescent="0.25">
      <c r="K1025" s="386"/>
    </row>
    <row r="1026" spans="11:11" x14ac:dyDescent="0.25">
      <c r="K1026" s="386"/>
    </row>
    <row r="1027" spans="11:11" x14ac:dyDescent="0.25">
      <c r="K1027" s="386"/>
    </row>
    <row r="1028" spans="11:11" x14ac:dyDescent="0.25">
      <c r="K1028" s="386"/>
    </row>
    <row r="1029" spans="11:11" x14ac:dyDescent="0.25">
      <c r="K1029" s="386"/>
    </row>
    <row r="1030" spans="11:11" x14ac:dyDescent="0.25">
      <c r="K1030" s="386"/>
    </row>
    <row r="1031" spans="11:11" x14ac:dyDescent="0.25">
      <c r="K1031" s="386"/>
    </row>
    <row r="1032" spans="11:11" x14ac:dyDescent="0.25">
      <c r="K1032" s="386"/>
    </row>
    <row r="1033" spans="11:11" x14ac:dyDescent="0.25">
      <c r="K1033" s="386"/>
    </row>
    <row r="1034" spans="11:11" x14ac:dyDescent="0.25">
      <c r="K1034" s="386"/>
    </row>
    <row r="1035" spans="11:11" x14ac:dyDescent="0.25">
      <c r="K1035" s="386"/>
    </row>
    <row r="1036" spans="11:11" x14ac:dyDescent="0.25">
      <c r="K1036" s="386"/>
    </row>
    <row r="1037" spans="11:11" x14ac:dyDescent="0.25">
      <c r="K1037" s="386"/>
    </row>
    <row r="1038" spans="11:11" x14ac:dyDescent="0.25">
      <c r="K1038" s="386"/>
    </row>
    <row r="1039" spans="11:11" x14ac:dyDescent="0.25">
      <c r="K1039" s="386"/>
    </row>
    <row r="1040" spans="11:11" x14ac:dyDescent="0.25">
      <c r="K1040" s="386"/>
    </row>
    <row r="1041" spans="11:11" x14ac:dyDescent="0.25">
      <c r="K1041" s="386"/>
    </row>
    <row r="1042" spans="11:11" x14ac:dyDescent="0.25">
      <c r="K1042" s="386"/>
    </row>
    <row r="1043" spans="11:11" x14ac:dyDescent="0.25">
      <c r="K1043" s="386"/>
    </row>
    <row r="1044" spans="11:11" x14ac:dyDescent="0.25">
      <c r="K1044" s="386"/>
    </row>
    <row r="1045" spans="11:11" x14ac:dyDescent="0.25">
      <c r="K1045" s="386"/>
    </row>
    <row r="1046" spans="11:11" x14ac:dyDescent="0.25">
      <c r="K1046" s="386"/>
    </row>
    <row r="1047" spans="11:11" x14ac:dyDescent="0.25">
      <c r="K1047" s="386"/>
    </row>
    <row r="1048" spans="11:11" x14ac:dyDescent="0.25">
      <c r="K1048" s="386"/>
    </row>
    <row r="1049" spans="11:11" x14ac:dyDescent="0.25">
      <c r="K1049" s="386"/>
    </row>
    <row r="1050" spans="11:11" x14ac:dyDescent="0.25">
      <c r="K1050" s="386"/>
    </row>
    <row r="1051" spans="11:11" x14ac:dyDescent="0.25">
      <c r="K1051" s="386"/>
    </row>
    <row r="1052" spans="11:11" x14ac:dyDescent="0.25">
      <c r="K1052" s="386"/>
    </row>
    <row r="1053" spans="11:11" x14ac:dyDescent="0.25">
      <c r="K1053" s="386"/>
    </row>
    <row r="1054" spans="11:11" x14ac:dyDescent="0.25">
      <c r="K1054" s="386"/>
    </row>
    <row r="1055" spans="11:11" x14ac:dyDescent="0.25">
      <c r="K1055" s="386"/>
    </row>
    <row r="1056" spans="11:11" x14ac:dyDescent="0.25">
      <c r="K1056" s="386"/>
    </row>
    <row r="1057" spans="11:11" x14ac:dyDescent="0.25">
      <c r="K1057" s="386"/>
    </row>
    <row r="1058" spans="11:11" x14ac:dyDescent="0.25">
      <c r="K1058" s="386"/>
    </row>
    <row r="1059" spans="11:11" x14ac:dyDescent="0.25">
      <c r="K1059" s="386"/>
    </row>
    <row r="1060" spans="11:11" x14ac:dyDescent="0.25">
      <c r="K1060" s="386"/>
    </row>
    <row r="1061" spans="11:11" x14ac:dyDescent="0.25">
      <c r="K1061" s="386"/>
    </row>
    <row r="1062" spans="11:11" x14ac:dyDescent="0.25">
      <c r="K1062" s="386"/>
    </row>
    <row r="1063" spans="11:11" x14ac:dyDescent="0.25">
      <c r="K1063" s="386"/>
    </row>
    <row r="1064" spans="11:11" x14ac:dyDescent="0.25">
      <c r="K1064" s="386"/>
    </row>
    <row r="1065" spans="11:11" x14ac:dyDescent="0.25">
      <c r="K1065" s="386"/>
    </row>
    <row r="1066" spans="11:11" x14ac:dyDescent="0.25">
      <c r="K1066" s="386"/>
    </row>
    <row r="1067" spans="11:11" x14ac:dyDescent="0.25">
      <c r="K1067" s="386"/>
    </row>
    <row r="1068" spans="11:11" x14ac:dyDescent="0.25">
      <c r="K1068" s="386"/>
    </row>
    <row r="1069" spans="11:11" x14ac:dyDescent="0.25">
      <c r="K1069" s="386"/>
    </row>
    <row r="1070" spans="11:11" x14ac:dyDescent="0.25">
      <c r="K1070" s="386"/>
    </row>
    <row r="1071" spans="11:11" x14ac:dyDescent="0.25">
      <c r="K1071" s="386"/>
    </row>
    <row r="1072" spans="11:11" x14ac:dyDescent="0.25">
      <c r="K1072" s="386"/>
    </row>
    <row r="1073" spans="11:11" x14ac:dyDescent="0.25">
      <c r="K1073" s="386"/>
    </row>
    <row r="1074" spans="11:11" x14ac:dyDescent="0.25">
      <c r="K1074" s="386"/>
    </row>
    <row r="1075" spans="11:11" x14ac:dyDescent="0.25">
      <c r="K1075" s="386"/>
    </row>
    <row r="1076" spans="11:11" x14ac:dyDescent="0.25">
      <c r="K1076" s="386"/>
    </row>
    <row r="1077" spans="11:11" x14ac:dyDescent="0.25">
      <c r="K1077" s="386"/>
    </row>
    <row r="1078" spans="11:11" x14ac:dyDescent="0.25">
      <c r="K1078" s="386"/>
    </row>
    <row r="1079" spans="11:11" x14ac:dyDescent="0.25">
      <c r="K1079" s="386"/>
    </row>
    <row r="1080" spans="11:11" x14ac:dyDescent="0.25">
      <c r="K1080" s="386"/>
    </row>
    <row r="1081" spans="11:11" x14ac:dyDescent="0.25">
      <c r="K1081" s="386"/>
    </row>
    <row r="1082" spans="11:11" x14ac:dyDescent="0.25">
      <c r="K1082" s="386"/>
    </row>
    <row r="1083" spans="11:11" x14ac:dyDescent="0.25">
      <c r="K1083" s="386"/>
    </row>
    <row r="1084" spans="11:11" x14ac:dyDescent="0.25">
      <c r="K1084" s="386"/>
    </row>
    <row r="1085" spans="11:11" x14ac:dyDescent="0.25">
      <c r="K1085" s="386"/>
    </row>
    <row r="1086" spans="11:11" x14ac:dyDescent="0.25">
      <c r="K1086" s="386"/>
    </row>
    <row r="1087" spans="11:11" x14ac:dyDescent="0.25">
      <c r="K1087" s="386"/>
    </row>
    <row r="1088" spans="11:11" x14ac:dyDescent="0.25">
      <c r="K1088" s="386"/>
    </row>
    <row r="1089" spans="11:11" x14ac:dyDescent="0.25">
      <c r="K1089" s="386"/>
    </row>
    <row r="1090" spans="11:11" x14ac:dyDescent="0.25">
      <c r="K1090" s="386"/>
    </row>
    <row r="1091" spans="11:11" x14ac:dyDescent="0.25">
      <c r="K1091" s="386"/>
    </row>
    <row r="1092" spans="11:11" x14ac:dyDescent="0.25">
      <c r="K1092" s="386"/>
    </row>
    <row r="1093" spans="11:11" x14ac:dyDescent="0.25">
      <c r="K1093" s="386"/>
    </row>
    <row r="1094" spans="11:11" x14ac:dyDescent="0.25">
      <c r="K1094" s="386"/>
    </row>
    <row r="1095" spans="11:11" x14ac:dyDescent="0.25">
      <c r="K1095" s="386"/>
    </row>
    <row r="1096" spans="11:11" x14ac:dyDescent="0.25">
      <c r="K1096" s="386"/>
    </row>
    <row r="1097" spans="11:11" x14ac:dyDescent="0.25">
      <c r="K1097" s="386"/>
    </row>
    <row r="1098" spans="11:11" x14ac:dyDescent="0.25">
      <c r="K1098" s="386"/>
    </row>
    <row r="1099" spans="11:11" x14ac:dyDescent="0.25">
      <c r="K1099" s="386"/>
    </row>
    <row r="1100" spans="11:11" x14ac:dyDescent="0.25">
      <c r="K1100" s="386"/>
    </row>
    <row r="1101" spans="11:11" x14ac:dyDescent="0.25">
      <c r="K1101" s="386"/>
    </row>
    <row r="1102" spans="11:11" x14ac:dyDescent="0.25">
      <c r="K1102" s="386"/>
    </row>
    <row r="1103" spans="11:11" x14ac:dyDescent="0.25">
      <c r="K1103" s="386"/>
    </row>
    <row r="1104" spans="11:11" x14ac:dyDescent="0.25">
      <c r="K1104" s="386"/>
    </row>
    <row r="1105" spans="11:11" x14ac:dyDescent="0.25">
      <c r="K1105" s="386"/>
    </row>
    <row r="1106" spans="11:11" x14ac:dyDescent="0.25">
      <c r="K1106" s="386"/>
    </row>
    <row r="1107" spans="11:11" x14ac:dyDescent="0.25">
      <c r="K1107" s="386"/>
    </row>
    <row r="1108" spans="11:11" x14ac:dyDescent="0.25">
      <c r="K1108" s="386"/>
    </row>
    <row r="1109" spans="11:11" x14ac:dyDescent="0.25">
      <c r="K1109" s="386"/>
    </row>
    <row r="1110" spans="11:11" x14ac:dyDescent="0.25">
      <c r="K1110" s="386"/>
    </row>
    <row r="1111" spans="11:11" x14ac:dyDescent="0.25">
      <c r="K1111" s="386"/>
    </row>
    <row r="1112" spans="11:11" x14ac:dyDescent="0.25">
      <c r="K1112" s="386"/>
    </row>
    <row r="1113" spans="11:11" x14ac:dyDescent="0.25">
      <c r="K1113" s="386"/>
    </row>
    <row r="1114" spans="11:11" x14ac:dyDescent="0.25">
      <c r="K1114" s="386"/>
    </row>
    <row r="1115" spans="11:11" x14ac:dyDescent="0.25">
      <c r="K1115" s="386"/>
    </row>
    <row r="1116" spans="11:11" x14ac:dyDescent="0.25">
      <c r="K1116" s="386"/>
    </row>
    <row r="1117" spans="11:11" x14ac:dyDescent="0.25">
      <c r="K1117" s="386"/>
    </row>
    <row r="1118" spans="11:11" x14ac:dyDescent="0.25">
      <c r="K1118" s="386"/>
    </row>
    <row r="1119" spans="11:11" x14ac:dyDescent="0.25">
      <c r="K1119" s="386"/>
    </row>
    <row r="1120" spans="11:11" x14ac:dyDescent="0.25">
      <c r="K1120" s="386"/>
    </row>
    <row r="1121" spans="11:11" x14ac:dyDescent="0.25">
      <c r="K1121" s="386"/>
    </row>
    <row r="1122" spans="11:11" x14ac:dyDescent="0.25">
      <c r="K1122" s="386"/>
    </row>
    <row r="1123" spans="11:11" x14ac:dyDescent="0.25">
      <c r="K1123" s="386"/>
    </row>
    <row r="1124" spans="11:11" x14ac:dyDescent="0.25">
      <c r="K1124" s="386"/>
    </row>
    <row r="1125" spans="11:11" x14ac:dyDescent="0.25">
      <c r="K1125" s="386"/>
    </row>
    <row r="1126" spans="11:11" x14ac:dyDescent="0.25">
      <c r="K1126" s="386"/>
    </row>
    <row r="1127" spans="11:11" x14ac:dyDescent="0.25">
      <c r="K1127" s="386"/>
    </row>
    <row r="1128" spans="11:11" x14ac:dyDescent="0.25">
      <c r="K1128" s="386"/>
    </row>
    <row r="1129" spans="11:11" x14ac:dyDescent="0.25">
      <c r="K1129" s="386"/>
    </row>
    <row r="1130" spans="11:11" x14ac:dyDescent="0.25">
      <c r="K1130" s="386"/>
    </row>
    <row r="1131" spans="11:11" x14ac:dyDescent="0.25">
      <c r="K1131" s="386"/>
    </row>
    <row r="1132" spans="11:11" x14ac:dyDescent="0.25">
      <c r="K1132" s="386"/>
    </row>
    <row r="1133" spans="11:11" x14ac:dyDescent="0.25">
      <c r="K1133" s="386"/>
    </row>
    <row r="1134" spans="11:11" x14ac:dyDescent="0.25">
      <c r="K1134" s="386"/>
    </row>
    <row r="1135" spans="11:11" x14ac:dyDescent="0.25">
      <c r="K1135" s="386"/>
    </row>
    <row r="1136" spans="11:11" x14ac:dyDescent="0.25">
      <c r="K1136" s="386"/>
    </row>
    <row r="1137" spans="11:11" x14ac:dyDescent="0.25">
      <c r="K1137" s="386"/>
    </row>
    <row r="1138" spans="11:11" x14ac:dyDescent="0.25">
      <c r="K1138" s="386"/>
    </row>
    <row r="1139" spans="11:11" x14ac:dyDescent="0.25">
      <c r="K1139" s="386"/>
    </row>
    <row r="1140" spans="11:11" x14ac:dyDescent="0.25">
      <c r="K1140" s="386"/>
    </row>
    <row r="1141" spans="11:11" x14ac:dyDescent="0.25">
      <c r="K1141" s="386"/>
    </row>
    <row r="1142" spans="11:11" x14ac:dyDescent="0.25">
      <c r="K1142" s="386"/>
    </row>
    <row r="1143" spans="11:11" x14ac:dyDescent="0.25">
      <c r="K1143" s="386"/>
    </row>
    <row r="1144" spans="11:11" x14ac:dyDescent="0.25">
      <c r="K1144" s="386"/>
    </row>
    <row r="1145" spans="11:11" x14ac:dyDescent="0.25">
      <c r="K1145" s="386"/>
    </row>
    <row r="1146" spans="11:11" x14ac:dyDescent="0.25">
      <c r="K1146" s="386"/>
    </row>
    <row r="1147" spans="11:11" x14ac:dyDescent="0.25">
      <c r="K1147" s="386"/>
    </row>
    <row r="1148" spans="11:11" x14ac:dyDescent="0.25">
      <c r="K1148" s="386"/>
    </row>
    <row r="1149" spans="11:11" x14ac:dyDescent="0.25">
      <c r="K1149" s="386"/>
    </row>
    <row r="1150" spans="11:11" x14ac:dyDescent="0.25">
      <c r="K1150" s="386"/>
    </row>
    <row r="1151" spans="11:11" x14ac:dyDescent="0.25">
      <c r="K1151" s="386"/>
    </row>
    <row r="1152" spans="11:11" x14ac:dyDescent="0.25">
      <c r="K1152" s="386"/>
    </row>
    <row r="1153" spans="11:11" x14ac:dyDescent="0.25">
      <c r="K1153" s="386"/>
    </row>
    <row r="1154" spans="11:11" x14ac:dyDescent="0.25">
      <c r="K1154" s="386"/>
    </row>
    <row r="1155" spans="11:11" x14ac:dyDescent="0.25">
      <c r="K1155" s="386"/>
    </row>
    <row r="1156" spans="11:11" x14ac:dyDescent="0.25">
      <c r="K1156" s="386"/>
    </row>
    <row r="1157" spans="11:11" x14ac:dyDescent="0.25">
      <c r="K1157" s="386"/>
    </row>
    <row r="1158" spans="11:11" x14ac:dyDescent="0.25">
      <c r="K1158" s="386"/>
    </row>
    <row r="1159" spans="11:11" x14ac:dyDescent="0.25">
      <c r="K1159" s="386"/>
    </row>
    <row r="1160" spans="11:11" x14ac:dyDescent="0.25">
      <c r="K1160" s="386"/>
    </row>
    <row r="1161" spans="11:11" x14ac:dyDescent="0.25">
      <c r="K1161" s="386"/>
    </row>
    <row r="1162" spans="11:11" x14ac:dyDescent="0.25">
      <c r="K1162" s="386"/>
    </row>
    <row r="1163" spans="11:11" x14ac:dyDescent="0.25">
      <c r="K1163" s="386"/>
    </row>
    <row r="1164" spans="11:11" x14ac:dyDescent="0.25">
      <c r="K1164" s="386"/>
    </row>
    <row r="1165" spans="11:11" x14ac:dyDescent="0.25">
      <c r="K1165" s="386"/>
    </row>
    <row r="1166" spans="11:11" x14ac:dyDescent="0.25">
      <c r="K1166" s="386"/>
    </row>
    <row r="1167" spans="11:11" x14ac:dyDescent="0.25">
      <c r="K1167" s="386"/>
    </row>
    <row r="1168" spans="11:11" x14ac:dyDescent="0.25">
      <c r="K1168" s="386"/>
    </row>
    <row r="1169" spans="11:11" x14ac:dyDescent="0.25">
      <c r="K1169" s="386"/>
    </row>
    <row r="1170" spans="11:11" x14ac:dyDescent="0.25">
      <c r="K1170" s="386"/>
    </row>
    <row r="1171" spans="11:11" x14ac:dyDescent="0.25">
      <c r="K1171" s="386"/>
    </row>
    <row r="1172" spans="11:11" x14ac:dyDescent="0.25">
      <c r="K1172" s="386"/>
    </row>
    <row r="1173" spans="11:11" x14ac:dyDescent="0.25">
      <c r="K1173" s="386"/>
    </row>
    <row r="1174" spans="11:11" x14ac:dyDescent="0.25">
      <c r="K1174" s="386"/>
    </row>
    <row r="1175" spans="11:11" x14ac:dyDescent="0.25">
      <c r="K1175" s="386"/>
    </row>
    <row r="1176" spans="11:11" x14ac:dyDescent="0.25">
      <c r="K1176" s="386"/>
    </row>
    <row r="1177" spans="11:11" x14ac:dyDescent="0.25">
      <c r="K1177" s="386"/>
    </row>
    <row r="1178" spans="11:11" x14ac:dyDescent="0.25">
      <c r="K1178" s="386"/>
    </row>
    <row r="1179" spans="11:11" x14ac:dyDescent="0.25">
      <c r="K1179" s="386"/>
    </row>
    <row r="1180" spans="11:11" x14ac:dyDescent="0.25">
      <c r="K1180" s="386"/>
    </row>
    <row r="1181" spans="11:11" x14ac:dyDescent="0.25">
      <c r="K1181" s="386"/>
    </row>
    <row r="1182" spans="11:11" x14ac:dyDescent="0.25">
      <c r="K1182" s="386"/>
    </row>
    <row r="1183" spans="11:11" x14ac:dyDescent="0.25">
      <c r="K1183" s="386"/>
    </row>
    <row r="1184" spans="11:11" x14ac:dyDescent="0.25">
      <c r="K1184" s="386"/>
    </row>
    <row r="1185" spans="11:11" x14ac:dyDescent="0.25">
      <c r="K1185" s="386"/>
    </row>
    <row r="1186" spans="11:11" x14ac:dyDescent="0.25">
      <c r="K1186" s="386"/>
    </row>
    <row r="1187" spans="11:11" x14ac:dyDescent="0.25">
      <c r="K1187" s="386"/>
    </row>
    <row r="1188" spans="11:11" x14ac:dyDescent="0.25">
      <c r="K1188" s="386"/>
    </row>
    <row r="1189" spans="11:11" x14ac:dyDescent="0.25">
      <c r="K1189" s="386"/>
    </row>
    <row r="1190" spans="11:11" x14ac:dyDescent="0.25">
      <c r="K1190" s="386"/>
    </row>
    <row r="1191" spans="11:11" x14ac:dyDescent="0.25">
      <c r="K1191" s="386"/>
    </row>
    <row r="1192" spans="11:11" x14ac:dyDescent="0.25">
      <c r="K1192" s="386"/>
    </row>
    <row r="1193" spans="11:11" x14ac:dyDescent="0.25">
      <c r="K1193" s="386"/>
    </row>
    <row r="1194" spans="11:11" x14ac:dyDescent="0.25">
      <c r="K1194" s="386"/>
    </row>
    <row r="1195" spans="11:11" x14ac:dyDescent="0.25">
      <c r="K1195" s="386"/>
    </row>
    <row r="1196" spans="11:11" x14ac:dyDescent="0.25">
      <c r="K1196" s="386"/>
    </row>
    <row r="1197" spans="11:11" x14ac:dyDescent="0.25">
      <c r="K1197" s="386"/>
    </row>
    <row r="1198" spans="11:11" x14ac:dyDescent="0.25">
      <c r="K1198" s="386"/>
    </row>
    <row r="1199" spans="11:11" x14ac:dyDescent="0.25">
      <c r="K1199" s="386"/>
    </row>
    <row r="1200" spans="11:11" x14ac:dyDescent="0.25">
      <c r="K1200" s="386"/>
    </row>
    <row r="1201" spans="11:11" x14ac:dyDescent="0.25">
      <c r="K1201" s="386"/>
    </row>
    <row r="1202" spans="11:11" x14ac:dyDescent="0.25">
      <c r="K1202" s="386"/>
    </row>
    <row r="1203" spans="11:11" x14ac:dyDescent="0.25">
      <c r="K1203" s="386"/>
    </row>
    <row r="1204" spans="11:11" x14ac:dyDescent="0.25">
      <c r="K1204" s="386"/>
    </row>
    <row r="1205" spans="11:11" x14ac:dyDescent="0.25">
      <c r="K1205" s="386"/>
    </row>
    <row r="1206" spans="11:11" x14ac:dyDescent="0.25">
      <c r="K1206" s="386"/>
    </row>
    <row r="1207" spans="11:11" x14ac:dyDescent="0.25">
      <c r="K1207" s="386"/>
    </row>
    <row r="1208" spans="11:11" x14ac:dyDescent="0.25">
      <c r="K1208" s="386"/>
    </row>
    <row r="1209" spans="11:11" x14ac:dyDescent="0.25">
      <c r="K1209" s="386"/>
    </row>
    <row r="1210" spans="11:11" x14ac:dyDescent="0.25">
      <c r="K1210" s="386"/>
    </row>
    <row r="1211" spans="11:11" x14ac:dyDescent="0.25">
      <c r="K1211" s="386"/>
    </row>
    <row r="1212" spans="11:11" x14ac:dyDescent="0.25">
      <c r="K1212" s="386"/>
    </row>
    <row r="1213" spans="11:11" x14ac:dyDescent="0.25">
      <c r="K1213" s="386"/>
    </row>
    <row r="1214" spans="11:11" x14ac:dyDescent="0.25">
      <c r="K1214" s="386"/>
    </row>
    <row r="1215" spans="11:11" x14ac:dyDescent="0.25">
      <c r="K1215" s="386"/>
    </row>
    <row r="1216" spans="11:11" x14ac:dyDescent="0.25">
      <c r="K1216" s="386"/>
    </row>
    <row r="1217" spans="11:11" x14ac:dyDescent="0.25">
      <c r="K1217" s="386"/>
    </row>
    <row r="1218" spans="11:11" x14ac:dyDescent="0.25">
      <c r="K1218" s="386"/>
    </row>
    <row r="1219" spans="11:11" x14ac:dyDescent="0.25">
      <c r="K1219" s="386"/>
    </row>
    <row r="1220" spans="11:11" x14ac:dyDescent="0.25">
      <c r="K1220" s="386"/>
    </row>
    <row r="1221" spans="11:11" x14ac:dyDescent="0.25">
      <c r="K1221" s="386"/>
    </row>
    <row r="1222" spans="11:11" x14ac:dyDescent="0.25">
      <c r="K1222" s="386"/>
    </row>
    <row r="1223" spans="11:11" x14ac:dyDescent="0.25">
      <c r="K1223" s="386"/>
    </row>
    <row r="1224" spans="11:11" x14ac:dyDescent="0.25">
      <c r="K1224" s="386"/>
    </row>
    <row r="1225" spans="11:11" x14ac:dyDescent="0.25">
      <c r="K1225" s="386"/>
    </row>
    <row r="1226" spans="11:11" x14ac:dyDescent="0.25">
      <c r="K1226" s="386"/>
    </row>
    <row r="1227" spans="11:11" x14ac:dyDescent="0.25">
      <c r="K1227" s="386"/>
    </row>
    <row r="1228" spans="11:11" x14ac:dyDescent="0.25">
      <c r="K1228" s="386"/>
    </row>
    <row r="1229" spans="11:11" x14ac:dyDescent="0.25">
      <c r="K1229" s="386"/>
    </row>
    <row r="1230" spans="11:11" x14ac:dyDescent="0.25">
      <c r="K1230" s="386"/>
    </row>
    <row r="1231" spans="11:11" x14ac:dyDescent="0.25">
      <c r="K1231" s="386"/>
    </row>
    <row r="1232" spans="11:11" x14ac:dyDescent="0.25">
      <c r="K1232" s="386"/>
    </row>
    <row r="1233" spans="11:11" x14ac:dyDescent="0.25">
      <c r="K1233" s="386"/>
    </row>
    <row r="1234" spans="11:11" x14ac:dyDescent="0.25">
      <c r="K1234" s="386"/>
    </row>
    <row r="1235" spans="11:11" x14ac:dyDescent="0.25">
      <c r="K1235" s="386"/>
    </row>
    <row r="1236" spans="11:11" x14ac:dyDescent="0.25">
      <c r="K1236" s="386"/>
    </row>
    <row r="1237" spans="11:11" x14ac:dyDescent="0.25">
      <c r="K1237" s="386"/>
    </row>
    <row r="1238" spans="11:11" x14ac:dyDescent="0.25">
      <c r="K1238" s="386"/>
    </row>
    <row r="1239" spans="11:11" x14ac:dyDescent="0.25">
      <c r="K1239" s="386"/>
    </row>
    <row r="1240" spans="11:11" x14ac:dyDescent="0.25">
      <c r="K1240" s="386"/>
    </row>
    <row r="1241" spans="11:11" x14ac:dyDescent="0.25">
      <c r="K1241" s="386"/>
    </row>
    <row r="1242" spans="11:11" x14ac:dyDescent="0.25">
      <c r="K1242" s="386"/>
    </row>
    <row r="1243" spans="11:11" x14ac:dyDescent="0.25">
      <c r="K1243" s="386"/>
    </row>
    <row r="1244" spans="11:11" x14ac:dyDescent="0.25">
      <c r="K1244" s="386"/>
    </row>
    <row r="1245" spans="11:11" x14ac:dyDescent="0.25">
      <c r="K1245" s="386"/>
    </row>
    <row r="1246" spans="11:11" x14ac:dyDescent="0.25">
      <c r="K1246" s="386"/>
    </row>
    <row r="1247" spans="11:11" x14ac:dyDescent="0.25">
      <c r="K1247" s="386"/>
    </row>
    <row r="1248" spans="11:11" x14ac:dyDescent="0.25">
      <c r="K1248" s="386"/>
    </row>
    <row r="1249" spans="11:11" x14ac:dyDescent="0.25">
      <c r="K1249" s="386"/>
    </row>
    <row r="1250" spans="11:11" x14ac:dyDescent="0.25">
      <c r="K1250" s="386"/>
    </row>
    <row r="1251" spans="11:11" x14ac:dyDescent="0.25">
      <c r="K1251" s="386"/>
    </row>
    <row r="1252" spans="11:11" x14ac:dyDescent="0.25">
      <c r="K1252" s="386"/>
    </row>
    <row r="1253" spans="11:11" x14ac:dyDescent="0.25">
      <c r="K1253" s="386"/>
    </row>
    <row r="1254" spans="11:11" x14ac:dyDescent="0.25">
      <c r="K1254" s="386"/>
    </row>
    <row r="1255" spans="11:11" x14ac:dyDescent="0.25">
      <c r="K1255" s="386"/>
    </row>
    <row r="1256" spans="11:11" x14ac:dyDescent="0.25">
      <c r="K1256" s="386"/>
    </row>
    <row r="1257" spans="11:11" x14ac:dyDescent="0.25">
      <c r="K1257" s="386"/>
    </row>
    <row r="1258" spans="11:11" x14ac:dyDescent="0.25">
      <c r="K1258" s="386"/>
    </row>
    <row r="1259" spans="11:11" x14ac:dyDescent="0.25">
      <c r="K1259" s="386"/>
    </row>
    <row r="1260" spans="11:11" x14ac:dyDescent="0.25">
      <c r="K1260" s="386"/>
    </row>
    <row r="1261" spans="11:11" x14ac:dyDescent="0.25">
      <c r="K1261" s="386"/>
    </row>
    <row r="1262" spans="11:11" x14ac:dyDescent="0.25">
      <c r="K1262" s="386"/>
    </row>
    <row r="1263" spans="11:11" x14ac:dyDescent="0.25">
      <c r="K1263" s="386"/>
    </row>
    <row r="1264" spans="11:11" x14ac:dyDescent="0.25">
      <c r="K1264" s="386"/>
    </row>
    <row r="1265" spans="11:11" x14ac:dyDescent="0.25">
      <c r="K1265" s="386"/>
    </row>
    <row r="1266" spans="11:11" x14ac:dyDescent="0.25">
      <c r="K1266" s="386"/>
    </row>
    <row r="1267" spans="11:11" x14ac:dyDescent="0.25">
      <c r="K1267" s="386"/>
    </row>
    <row r="1268" spans="11:11" x14ac:dyDescent="0.25">
      <c r="K1268" s="386"/>
    </row>
    <row r="1269" spans="11:11" x14ac:dyDescent="0.25">
      <c r="K1269" s="386"/>
    </row>
    <row r="1270" spans="11:11" x14ac:dyDescent="0.25">
      <c r="K1270" s="386"/>
    </row>
    <row r="1271" spans="11:11" x14ac:dyDescent="0.25">
      <c r="K1271" s="386"/>
    </row>
    <row r="1272" spans="11:11" x14ac:dyDescent="0.25">
      <c r="K1272" s="386"/>
    </row>
    <row r="1273" spans="11:11" x14ac:dyDescent="0.25">
      <c r="K1273" s="386"/>
    </row>
    <row r="1274" spans="11:11" x14ac:dyDescent="0.25">
      <c r="K1274" s="386"/>
    </row>
    <row r="1275" spans="11:11" x14ac:dyDescent="0.25">
      <c r="K1275" s="386"/>
    </row>
    <row r="1276" spans="11:11" x14ac:dyDescent="0.25">
      <c r="K1276" s="386"/>
    </row>
    <row r="1277" spans="11:11" x14ac:dyDescent="0.25">
      <c r="K1277" s="386"/>
    </row>
    <row r="1278" spans="11:11" x14ac:dyDescent="0.25">
      <c r="K1278" s="386"/>
    </row>
    <row r="1279" spans="11:11" x14ac:dyDescent="0.25">
      <c r="K1279" s="386"/>
    </row>
    <row r="1280" spans="11:11" x14ac:dyDescent="0.25">
      <c r="K1280" s="386"/>
    </row>
    <row r="1281" spans="11:11" x14ac:dyDescent="0.25">
      <c r="K1281" s="386"/>
    </row>
    <row r="1282" spans="11:11" x14ac:dyDescent="0.25">
      <c r="K1282" s="386"/>
    </row>
    <row r="1283" spans="11:11" x14ac:dyDescent="0.25">
      <c r="K1283" s="386"/>
    </row>
    <row r="1284" spans="11:11" x14ac:dyDescent="0.25">
      <c r="K1284" s="386"/>
    </row>
    <row r="1285" spans="11:11" x14ac:dyDescent="0.25">
      <c r="K1285" s="386"/>
    </row>
    <row r="1286" spans="11:11" x14ac:dyDescent="0.25">
      <c r="K1286" s="386"/>
    </row>
    <row r="1287" spans="11:11" x14ac:dyDescent="0.25">
      <c r="K1287" s="386"/>
    </row>
    <row r="1288" spans="11:11" x14ac:dyDescent="0.25">
      <c r="K1288" s="386"/>
    </row>
    <row r="1289" spans="11:11" x14ac:dyDescent="0.25">
      <c r="K1289" s="386"/>
    </row>
    <row r="1290" spans="11:11" x14ac:dyDescent="0.25">
      <c r="K1290" s="386"/>
    </row>
    <row r="1291" spans="11:11" x14ac:dyDescent="0.25">
      <c r="K1291" s="386"/>
    </row>
    <row r="1292" spans="11:11" x14ac:dyDescent="0.25">
      <c r="K1292" s="386"/>
    </row>
    <row r="1293" spans="11:11" x14ac:dyDescent="0.25">
      <c r="K1293" s="386"/>
    </row>
    <row r="1294" spans="11:11" x14ac:dyDescent="0.25">
      <c r="K1294" s="386"/>
    </row>
    <row r="1295" spans="11:11" x14ac:dyDescent="0.25">
      <c r="K1295" s="386"/>
    </row>
    <row r="1296" spans="11:11" x14ac:dyDescent="0.25">
      <c r="K1296" s="386"/>
    </row>
    <row r="1297" spans="11:11" x14ac:dyDescent="0.25">
      <c r="K1297" s="386"/>
    </row>
    <row r="1298" spans="11:11" x14ac:dyDescent="0.25">
      <c r="K1298" s="386"/>
    </row>
    <row r="1299" spans="11:11" x14ac:dyDescent="0.25">
      <c r="K1299" s="386"/>
    </row>
    <row r="1300" spans="11:11" x14ac:dyDescent="0.25">
      <c r="K1300" s="386"/>
    </row>
    <row r="1301" spans="11:11" x14ac:dyDescent="0.25">
      <c r="K1301" s="386"/>
    </row>
    <row r="1302" spans="11:11" x14ac:dyDescent="0.25">
      <c r="K1302" s="386"/>
    </row>
    <row r="1303" spans="11:11" x14ac:dyDescent="0.25">
      <c r="K1303" s="386"/>
    </row>
    <row r="1304" spans="11:11" x14ac:dyDescent="0.25">
      <c r="K1304" s="386"/>
    </row>
    <row r="1305" spans="11:11" x14ac:dyDescent="0.25">
      <c r="K1305" s="386"/>
    </row>
    <row r="1306" spans="11:11" x14ac:dyDescent="0.25">
      <c r="K1306" s="386"/>
    </row>
    <row r="1307" spans="11:11" x14ac:dyDescent="0.25">
      <c r="K1307" s="386"/>
    </row>
    <row r="1308" spans="11:11" x14ac:dyDescent="0.25">
      <c r="K1308" s="386"/>
    </row>
    <row r="1309" spans="11:11" x14ac:dyDescent="0.25">
      <c r="K1309" s="386"/>
    </row>
    <row r="1310" spans="11:11" x14ac:dyDescent="0.25">
      <c r="K1310" s="386"/>
    </row>
    <row r="1311" spans="11:11" x14ac:dyDescent="0.25">
      <c r="K1311" s="386"/>
    </row>
    <row r="1312" spans="11:11" x14ac:dyDescent="0.25">
      <c r="K1312" s="386"/>
    </row>
    <row r="1313" spans="11:11" x14ac:dyDescent="0.25">
      <c r="K1313" s="386"/>
    </row>
    <row r="1314" spans="11:11" x14ac:dyDescent="0.25">
      <c r="K1314" s="386"/>
    </row>
    <row r="1315" spans="11:11" x14ac:dyDescent="0.25">
      <c r="K1315" s="386"/>
    </row>
    <row r="1316" spans="11:11" x14ac:dyDescent="0.25">
      <c r="K1316" s="386"/>
    </row>
    <row r="1317" spans="11:11" x14ac:dyDescent="0.25">
      <c r="K1317" s="386"/>
    </row>
    <row r="1318" spans="11:11" x14ac:dyDescent="0.25">
      <c r="K1318" s="386"/>
    </row>
    <row r="1319" spans="11:11" x14ac:dyDescent="0.25">
      <c r="K1319" s="386"/>
    </row>
    <row r="1320" spans="11:11" x14ac:dyDescent="0.25">
      <c r="K1320" s="386"/>
    </row>
    <row r="1321" spans="11:11" x14ac:dyDescent="0.25">
      <c r="K1321" s="386"/>
    </row>
    <row r="1322" spans="11:11" x14ac:dyDescent="0.25">
      <c r="K1322" s="386"/>
    </row>
    <row r="1323" spans="11:11" x14ac:dyDescent="0.25">
      <c r="K1323" s="386"/>
    </row>
    <row r="1324" spans="11:11" x14ac:dyDescent="0.25">
      <c r="K1324" s="386"/>
    </row>
    <row r="1325" spans="11:11" x14ac:dyDescent="0.25">
      <c r="K1325" s="386"/>
    </row>
    <row r="1326" spans="11:11" x14ac:dyDescent="0.25">
      <c r="K1326" s="386"/>
    </row>
    <row r="1327" spans="11:11" x14ac:dyDescent="0.25">
      <c r="K1327" s="386"/>
    </row>
    <row r="1328" spans="11:11" x14ac:dyDescent="0.25">
      <c r="K1328" s="386"/>
    </row>
    <row r="1329" spans="11:11" x14ac:dyDescent="0.25">
      <c r="K1329" s="386"/>
    </row>
    <row r="1330" spans="11:11" x14ac:dyDescent="0.25">
      <c r="K1330" s="386"/>
    </row>
    <row r="1331" spans="11:11" x14ac:dyDescent="0.25">
      <c r="K1331" s="386"/>
    </row>
    <row r="1332" spans="11:11" x14ac:dyDescent="0.25">
      <c r="K1332" s="386"/>
    </row>
    <row r="1333" spans="11:11" x14ac:dyDescent="0.25">
      <c r="K1333" s="386"/>
    </row>
    <row r="1334" spans="11:11" x14ac:dyDescent="0.25">
      <c r="K1334" s="386"/>
    </row>
    <row r="1335" spans="11:11" x14ac:dyDescent="0.25">
      <c r="K1335" s="386"/>
    </row>
    <row r="1336" spans="11:11" x14ac:dyDescent="0.25">
      <c r="K1336" s="386"/>
    </row>
    <row r="1337" spans="11:11" x14ac:dyDescent="0.25">
      <c r="K1337" s="386"/>
    </row>
    <row r="1338" spans="11:11" x14ac:dyDescent="0.25">
      <c r="K1338" s="386"/>
    </row>
    <row r="1339" spans="11:11" x14ac:dyDescent="0.25">
      <c r="K1339" s="386"/>
    </row>
    <row r="1340" spans="11:11" x14ac:dyDescent="0.25">
      <c r="K1340" s="386"/>
    </row>
    <row r="1341" spans="11:11" x14ac:dyDescent="0.25">
      <c r="K1341" s="386"/>
    </row>
    <row r="1342" spans="11:11" x14ac:dyDescent="0.25">
      <c r="K1342" s="386"/>
    </row>
    <row r="1343" spans="11:11" x14ac:dyDescent="0.25">
      <c r="K1343" s="386"/>
    </row>
    <row r="1344" spans="11:11" x14ac:dyDescent="0.25">
      <c r="K1344" s="386"/>
    </row>
    <row r="1345" spans="11:11" x14ac:dyDescent="0.25">
      <c r="K1345" s="386"/>
    </row>
    <row r="1346" spans="11:11" x14ac:dyDescent="0.25">
      <c r="K1346" s="386"/>
    </row>
    <row r="1347" spans="11:11" x14ac:dyDescent="0.25">
      <c r="K1347" s="386"/>
    </row>
    <row r="1348" spans="11:11" x14ac:dyDescent="0.25">
      <c r="K1348" s="386"/>
    </row>
    <row r="1349" spans="11:11" x14ac:dyDescent="0.25">
      <c r="K1349" s="386"/>
    </row>
    <row r="1350" spans="11:11" x14ac:dyDescent="0.25">
      <c r="K1350" s="386"/>
    </row>
    <row r="1351" spans="11:11" x14ac:dyDescent="0.25">
      <c r="K1351" s="386"/>
    </row>
    <row r="1352" spans="11:11" x14ac:dyDescent="0.25">
      <c r="K1352" s="386"/>
    </row>
    <row r="1353" spans="11:11" x14ac:dyDescent="0.25">
      <c r="K1353" s="386"/>
    </row>
    <row r="1354" spans="11:11" x14ac:dyDescent="0.25">
      <c r="K1354" s="386"/>
    </row>
    <row r="1355" spans="11:11" x14ac:dyDescent="0.25">
      <c r="K1355" s="386"/>
    </row>
    <row r="1356" spans="11:11" x14ac:dyDescent="0.25">
      <c r="K1356" s="386"/>
    </row>
    <row r="1357" spans="11:11" x14ac:dyDescent="0.25">
      <c r="K1357" s="386"/>
    </row>
    <row r="1358" spans="11:11" x14ac:dyDescent="0.25">
      <c r="K1358" s="386"/>
    </row>
    <row r="1359" spans="11:11" x14ac:dyDescent="0.25">
      <c r="K1359" s="386"/>
    </row>
    <row r="1360" spans="11:11" x14ac:dyDescent="0.25">
      <c r="K1360" s="386"/>
    </row>
    <row r="1361" spans="11:11" x14ac:dyDescent="0.25">
      <c r="K1361" s="386"/>
    </row>
    <row r="1362" spans="11:11" x14ac:dyDescent="0.25">
      <c r="K1362" s="386"/>
    </row>
    <row r="1363" spans="11:11" x14ac:dyDescent="0.25">
      <c r="K1363" s="386"/>
    </row>
    <row r="1364" spans="11:11" x14ac:dyDescent="0.25">
      <c r="K1364" s="386"/>
    </row>
    <row r="1365" spans="11:11" x14ac:dyDescent="0.25">
      <c r="K1365" s="386"/>
    </row>
    <row r="1366" spans="11:11" x14ac:dyDescent="0.25">
      <c r="K1366" s="386"/>
    </row>
    <row r="1367" spans="11:11" x14ac:dyDescent="0.25">
      <c r="K1367" s="386"/>
    </row>
    <row r="1368" spans="11:11" x14ac:dyDescent="0.25">
      <c r="K1368" s="386"/>
    </row>
    <row r="1369" spans="11:11" x14ac:dyDescent="0.25">
      <c r="K1369" s="386"/>
    </row>
    <row r="1370" spans="11:11" x14ac:dyDescent="0.25">
      <c r="K1370" s="386"/>
    </row>
    <row r="1371" spans="11:11" x14ac:dyDescent="0.25">
      <c r="K1371" s="386"/>
    </row>
    <row r="1372" spans="11:11" x14ac:dyDescent="0.25">
      <c r="K1372" s="386"/>
    </row>
    <row r="1373" spans="11:11" x14ac:dyDescent="0.25">
      <c r="K1373" s="386"/>
    </row>
    <row r="1374" spans="11:11" x14ac:dyDescent="0.25">
      <c r="K1374" s="386"/>
    </row>
    <row r="1375" spans="11:11" x14ac:dyDescent="0.25">
      <c r="K1375" s="386"/>
    </row>
    <row r="1376" spans="11:11" x14ac:dyDescent="0.25">
      <c r="K1376" s="386"/>
    </row>
    <row r="1377" spans="11:11" x14ac:dyDescent="0.25">
      <c r="K1377" s="386"/>
    </row>
    <row r="1378" spans="11:11" x14ac:dyDescent="0.25">
      <c r="K1378" s="386"/>
    </row>
    <row r="1379" spans="11:11" x14ac:dyDescent="0.25">
      <c r="K1379" s="386"/>
    </row>
    <row r="1380" spans="11:11" x14ac:dyDescent="0.25">
      <c r="K1380" s="386"/>
    </row>
    <row r="1381" spans="11:11" x14ac:dyDescent="0.25">
      <c r="K1381" s="386"/>
    </row>
    <row r="1382" spans="11:11" x14ac:dyDescent="0.25">
      <c r="K1382" s="386"/>
    </row>
    <row r="1383" spans="11:11" x14ac:dyDescent="0.25">
      <c r="K1383" s="386"/>
    </row>
    <row r="1384" spans="11:11" x14ac:dyDescent="0.25">
      <c r="K1384" s="386"/>
    </row>
    <row r="1385" spans="11:11" x14ac:dyDescent="0.25">
      <c r="K1385" s="386"/>
    </row>
    <row r="1386" spans="11:11" x14ac:dyDescent="0.25">
      <c r="K1386" s="386"/>
    </row>
    <row r="1387" spans="11:11" x14ac:dyDescent="0.25">
      <c r="K1387" s="386"/>
    </row>
    <row r="1388" spans="11:11" x14ac:dyDescent="0.25">
      <c r="K1388" s="386"/>
    </row>
    <row r="1389" spans="11:11" x14ac:dyDescent="0.25">
      <c r="K1389" s="386"/>
    </row>
    <row r="1390" spans="11:11" x14ac:dyDescent="0.25">
      <c r="K1390" s="386"/>
    </row>
    <row r="1391" spans="11:11" x14ac:dyDescent="0.25">
      <c r="K1391" s="386"/>
    </row>
    <row r="1392" spans="11:11" x14ac:dyDescent="0.25">
      <c r="K1392" s="386"/>
    </row>
    <row r="1393" spans="11:11" x14ac:dyDescent="0.25">
      <c r="K1393" s="386"/>
    </row>
    <row r="1394" spans="11:11" x14ac:dyDescent="0.25">
      <c r="K1394" s="386"/>
    </row>
    <row r="1395" spans="11:11" x14ac:dyDescent="0.25">
      <c r="K1395" s="386"/>
    </row>
    <row r="1396" spans="11:11" x14ac:dyDescent="0.25">
      <c r="K1396" s="386"/>
    </row>
    <row r="1397" spans="11:11" x14ac:dyDescent="0.25">
      <c r="K1397" s="386"/>
    </row>
    <row r="1398" spans="11:11" x14ac:dyDescent="0.25">
      <c r="K1398" s="386"/>
    </row>
    <row r="1399" spans="11:11" x14ac:dyDescent="0.25">
      <c r="K1399" s="386"/>
    </row>
    <row r="1400" spans="11:11" x14ac:dyDescent="0.25">
      <c r="K1400" s="386"/>
    </row>
    <row r="1401" spans="11:11" x14ac:dyDescent="0.25">
      <c r="K1401" s="386"/>
    </row>
    <row r="1402" spans="11:11" x14ac:dyDescent="0.25">
      <c r="K1402" s="386"/>
    </row>
    <row r="1403" spans="11:11" x14ac:dyDescent="0.25">
      <c r="K1403" s="386"/>
    </row>
    <row r="1404" spans="11:11" x14ac:dyDescent="0.25">
      <c r="K1404" s="386"/>
    </row>
    <row r="1405" spans="11:11" x14ac:dyDescent="0.25">
      <c r="K1405" s="386"/>
    </row>
    <row r="1406" spans="11:11" x14ac:dyDescent="0.25">
      <c r="K1406" s="386"/>
    </row>
    <row r="1407" spans="11:11" x14ac:dyDescent="0.25">
      <c r="K1407" s="386"/>
    </row>
    <row r="1408" spans="11:11" x14ac:dyDescent="0.25">
      <c r="K1408" s="386"/>
    </row>
    <row r="1409" spans="11:11" x14ac:dyDescent="0.25">
      <c r="K1409" s="386"/>
    </row>
    <row r="1410" spans="11:11" x14ac:dyDescent="0.25">
      <c r="K1410" s="386"/>
    </row>
    <row r="1411" spans="11:11" x14ac:dyDescent="0.25">
      <c r="K1411" s="386"/>
    </row>
    <row r="1412" spans="11:11" x14ac:dyDescent="0.25">
      <c r="K1412" s="386"/>
    </row>
    <row r="1413" spans="11:11" x14ac:dyDescent="0.25">
      <c r="K1413" s="386"/>
    </row>
    <row r="1414" spans="11:11" x14ac:dyDescent="0.25">
      <c r="K1414" s="386"/>
    </row>
    <row r="1415" spans="11:11" x14ac:dyDescent="0.25">
      <c r="K1415" s="386"/>
    </row>
    <row r="1416" spans="11:11" x14ac:dyDescent="0.25">
      <c r="K1416" s="386"/>
    </row>
    <row r="1417" spans="11:11" x14ac:dyDescent="0.25">
      <c r="K1417" s="386"/>
    </row>
    <row r="1418" spans="11:11" x14ac:dyDescent="0.25">
      <c r="K1418" s="386"/>
    </row>
    <row r="1419" spans="11:11" x14ac:dyDescent="0.25">
      <c r="K1419" s="386"/>
    </row>
    <row r="1420" spans="11:11" x14ac:dyDescent="0.25">
      <c r="K1420" s="386"/>
    </row>
    <row r="1421" spans="11:11" x14ac:dyDescent="0.25">
      <c r="K1421" s="386"/>
    </row>
    <row r="1422" spans="11:11" x14ac:dyDescent="0.25">
      <c r="K1422" s="386"/>
    </row>
    <row r="1423" spans="11:11" x14ac:dyDescent="0.25">
      <c r="K1423" s="386"/>
    </row>
    <row r="1424" spans="11:11" x14ac:dyDescent="0.25">
      <c r="K1424" s="386"/>
    </row>
    <row r="1425" spans="11:11" x14ac:dyDescent="0.25">
      <c r="K1425" s="386"/>
    </row>
    <row r="1426" spans="11:11" x14ac:dyDescent="0.25">
      <c r="K1426" s="386"/>
    </row>
    <row r="1427" spans="11:11" x14ac:dyDescent="0.25">
      <c r="K1427" s="386"/>
    </row>
    <row r="1428" spans="11:11" x14ac:dyDescent="0.25">
      <c r="K1428" s="386"/>
    </row>
    <row r="1429" spans="11:11" x14ac:dyDescent="0.25">
      <c r="K1429" s="386"/>
    </row>
    <row r="1430" spans="11:11" x14ac:dyDescent="0.25">
      <c r="K1430" s="386"/>
    </row>
    <row r="1431" spans="11:11" x14ac:dyDescent="0.25">
      <c r="K1431" s="386"/>
    </row>
    <row r="1432" spans="11:11" x14ac:dyDescent="0.25">
      <c r="K1432" s="386"/>
    </row>
    <row r="1433" spans="11:11" x14ac:dyDescent="0.25">
      <c r="K1433" s="386"/>
    </row>
    <row r="1434" spans="11:11" x14ac:dyDescent="0.25">
      <c r="K1434" s="386"/>
    </row>
    <row r="1435" spans="11:11" x14ac:dyDescent="0.25">
      <c r="K1435" s="386"/>
    </row>
    <row r="1436" spans="11:11" x14ac:dyDescent="0.25">
      <c r="K1436" s="386"/>
    </row>
    <row r="1437" spans="11:11" x14ac:dyDescent="0.25">
      <c r="K1437" s="386"/>
    </row>
    <row r="1438" spans="11:11" x14ac:dyDescent="0.25">
      <c r="K1438" s="386"/>
    </row>
    <row r="1439" spans="11:11" x14ac:dyDescent="0.25">
      <c r="K1439" s="386"/>
    </row>
    <row r="1440" spans="11:11" x14ac:dyDescent="0.25">
      <c r="K1440" s="386"/>
    </row>
    <row r="1441" spans="11:11" x14ac:dyDescent="0.25">
      <c r="K1441" s="386"/>
    </row>
    <row r="1442" spans="11:11" x14ac:dyDescent="0.25">
      <c r="K1442" s="386"/>
    </row>
    <row r="1443" spans="11:11" x14ac:dyDescent="0.25">
      <c r="K1443" s="386"/>
    </row>
    <row r="1444" spans="11:11" x14ac:dyDescent="0.25">
      <c r="K1444" s="386"/>
    </row>
    <row r="1445" spans="11:11" x14ac:dyDescent="0.25">
      <c r="K1445" s="386"/>
    </row>
    <row r="1446" spans="11:11" x14ac:dyDescent="0.25">
      <c r="K1446" s="386"/>
    </row>
    <row r="1447" spans="11:11" x14ac:dyDescent="0.25">
      <c r="K1447" s="386"/>
    </row>
    <row r="1448" spans="11:11" x14ac:dyDescent="0.25">
      <c r="K1448" s="386"/>
    </row>
    <row r="1449" spans="11:11" x14ac:dyDescent="0.25">
      <c r="K1449" s="386"/>
    </row>
    <row r="1450" spans="11:11" x14ac:dyDescent="0.25">
      <c r="K1450" s="386"/>
    </row>
    <row r="1451" spans="11:11" x14ac:dyDescent="0.25">
      <c r="K1451" s="386"/>
    </row>
    <row r="1452" spans="11:11" x14ac:dyDescent="0.25">
      <c r="K1452" s="386"/>
    </row>
    <row r="1453" spans="11:11" x14ac:dyDescent="0.25">
      <c r="K1453" s="386"/>
    </row>
    <row r="1454" spans="11:11" x14ac:dyDescent="0.25">
      <c r="K1454" s="386"/>
    </row>
    <row r="1455" spans="11:11" x14ac:dyDescent="0.25">
      <c r="K1455" s="386"/>
    </row>
    <row r="1456" spans="11:11" x14ac:dyDescent="0.25">
      <c r="K1456" s="386"/>
    </row>
    <row r="1457" spans="11:11" x14ac:dyDescent="0.25">
      <c r="K1457" s="386"/>
    </row>
    <row r="1458" spans="11:11" x14ac:dyDescent="0.25">
      <c r="K1458" s="386"/>
    </row>
    <row r="1459" spans="11:11" x14ac:dyDescent="0.25">
      <c r="K1459" s="386"/>
    </row>
    <row r="1460" spans="11:11" x14ac:dyDescent="0.25">
      <c r="K1460" s="386"/>
    </row>
    <row r="1461" spans="11:11" x14ac:dyDescent="0.25">
      <c r="K1461" s="386"/>
    </row>
    <row r="1462" spans="11:11" x14ac:dyDescent="0.25">
      <c r="K1462" s="386"/>
    </row>
    <row r="1463" spans="11:11" x14ac:dyDescent="0.25">
      <c r="K1463" s="386"/>
    </row>
    <row r="1464" spans="11:11" x14ac:dyDescent="0.25">
      <c r="K1464" s="386"/>
    </row>
    <row r="1465" spans="11:11" x14ac:dyDescent="0.25">
      <c r="K1465" s="386"/>
    </row>
    <row r="1466" spans="11:11" x14ac:dyDescent="0.25">
      <c r="K1466" s="386"/>
    </row>
    <row r="1467" spans="11:11" x14ac:dyDescent="0.25">
      <c r="K1467" s="386"/>
    </row>
    <row r="1468" spans="11:11" x14ac:dyDescent="0.25">
      <c r="K1468" s="386"/>
    </row>
    <row r="1469" spans="11:11" x14ac:dyDescent="0.25">
      <c r="K1469" s="386"/>
    </row>
    <row r="1470" spans="11:11" x14ac:dyDescent="0.25">
      <c r="K1470" s="386"/>
    </row>
    <row r="1471" spans="11:11" x14ac:dyDescent="0.25">
      <c r="K1471" s="386"/>
    </row>
    <row r="1472" spans="11:11" x14ac:dyDescent="0.25">
      <c r="K1472" s="386"/>
    </row>
    <row r="1473" spans="11:11" x14ac:dyDescent="0.25">
      <c r="K1473" s="386"/>
    </row>
    <row r="1474" spans="11:11" x14ac:dyDescent="0.25">
      <c r="K1474" s="386"/>
    </row>
    <row r="1475" spans="11:11" x14ac:dyDescent="0.25">
      <c r="K1475" s="386"/>
    </row>
    <row r="1476" spans="11:11" x14ac:dyDescent="0.25">
      <c r="K1476" s="386"/>
    </row>
    <row r="1477" spans="11:11" x14ac:dyDescent="0.25">
      <c r="K1477" s="386"/>
    </row>
    <row r="1478" spans="11:11" x14ac:dyDescent="0.25">
      <c r="K1478" s="386"/>
    </row>
    <row r="1479" spans="11:11" x14ac:dyDescent="0.25">
      <c r="K1479" s="386"/>
    </row>
    <row r="1480" spans="11:11" x14ac:dyDescent="0.25">
      <c r="K1480" s="386"/>
    </row>
    <row r="1481" spans="11:11" x14ac:dyDescent="0.25">
      <c r="K1481" s="386"/>
    </row>
    <row r="1482" spans="11:11" x14ac:dyDescent="0.25">
      <c r="K1482" s="386"/>
    </row>
    <row r="1483" spans="11:11" x14ac:dyDescent="0.25">
      <c r="K1483" s="386"/>
    </row>
    <row r="1484" spans="11:11" x14ac:dyDescent="0.25">
      <c r="K1484" s="386"/>
    </row>
    <row r="1485" spans="11:11" x14ac:dyDescent="0.25">
      <c r="K1485" s="386"/>
    </row>
    <row r="1486" spans="11:11" x14ac:dyDescent="0.25">
      <c r="K1486" s="386"/>
    </row>
    <row r="1487" spans="11:11" x14ac:dyDescent="0.25">
      <c r="K1487" s="386"/>
    </row>
    <row r="1488" spans="11:11" x14ac:dyDescent="0.25">
      <c r="K1488" s="386"/>
    </row>
    <row r="1489" spans="11:11" x14ac:dyDescent="0.25">
      <c r="K1489" s="386"/>
    </row>
    <row r="1490" spans="11:11" x14ac:dyDescent="0.25">
      <c r="K1490" s="386"/>
    </row>
    <row r="1491" spans="11:11" x14ac:dyDescent="0.25">
      <c r="K1491" s="386"/>
    </row>
    <row r="1492" spans="11:11" x14ac:dyDescent="0.25">
      <c r="K1492" s="386"/>
    </row>
    <row r="1493" spans="11:11" x14ac:dyDescent="0.25">
      <c r="K1493" s="386"/>
    </row>
    <row r="1494" spans="11:11" x14ac:dyDescent="0.25">
      <c r="K1494" s="386"/>
    </row>
    <row r="1495" spans="11:11" x14ac:dyDescent="0.25">
      <c r="K1495" s="386"/>
    </row>
    <row r="1496" spans="11:11" x14ac:dyDescent="0.25">
      <c r="K1496" s="386"/>
    </row>
    <row r="1497" spans="11:11" x14ac:dyDescent="0.25">
      <c r="K1497" s="386"/>
    </row>
    <row r="1498" spans="11:11" x14ac:dyDescent="0.25">
      <c r="K1498" s="386"/>
    </row>
    <row r="1499" spans="11:11" x14ac:dyDescent="0.25">
      <c r="K1499" s="386"/>
    </row>
    <row r="1500" spans="11:11" x14ac:dyDescent="0.25">
      <c r="K1500" s="386"/>
    </row>
    <row r="1501" spans="11:11" x14ac:dyDescent="0.25">
      <c r="K1501" s="386"/>
    </row>
    <row r="1502" spans="11:11" x14ac:dyDescent="0.25">
      <c r="K1502" s="386"/>
    </row>
    <row r="1503" spans="11:11" x14ac:dyDescent="0.25">
      <c r="K1503" s="386"/>
    </row>
    <row r="1504" spans="11:11" x14ac:dyDescent="0.25">
      <c r="K1504" s="386"/>
    </row>
    <row r="1505" spans="11:11" x14ac:dyDescent="0.25">
      <c r="K1505" s="386"/>
    </row>
    <row r="1506" spans="11:11" x14ac:dyDescent="0.25">
      <c r="K1506" s="386"/>
    </row>
    <row r="1507" spans="11:11" x14ac:dyDescent="0.25">
      <c r="K1507" s="386"/>
    </row>
    <row r="1508" spans="11:11" x14ac:dyDescent="0.25">
      <c r="K1508" s="386"/>
    </row>
    <row r="1509" spans="11:11" x14ac:dyDescent="0.25">
      <c r="K1509" s="386"/>
    </row>
    <row r="1510" spans="11:11" x14ac:dyDescent="0.25">
      <c r="K1510" s="386"/>
    </row>
    <row r="1511" spans="11:11" x14ac:dyDescent="0.25">
      <c r="K1511" s="386"/>
    </row>
    <row r="1512" spans="11:11" x14ac:dyDescent="0.25">
      <c r="K1512" s="386"/>
    </row>
    <row r="1513" spans="11:11" x14ac:dyDescent="0.25">
      <c r="K1513" s="386"/>
    </row>
    <row r="1514" spans="11:11" x14ac:dyDescent="0.25">
      <c r="K1514" s="386"/>
    </row>
    <row r="1515" spans="11:11" x14ac:dyDescent="0.25">
      <c r="K1515" s="386"/>
    </row>
    <row r="1516" spans="11:11" x14ac:dyDescent="0.25">
      <c r="K1516" s="386"/>
    </row>
    <row r="1517" spans="11:11" x14ac:dyDescent="0.25">
      <c r="K1517" s="386"/>
    </row>
    <row r="1518" spans="11:11" x14ac:dyDescent="0.25">
      <c r="K1518" s="386"/>
    </row>
    <row r="1519" spans="11:11" x14ac:dyDescent="0.25">
      <c r="K1519" s="386"/>
    </row>
    <row r="1520" spans="11:11" x14ac:dyDescent="0.25">
      <c r="K1520" s="386"/>
    </row>
    <row r="1521" spans="11:11" x14ac:dyDescent="0.25">
      <c r="K1521" s="386"/>
    </row>
    <row r="1522" spans="11:11" x14ac:dyDescent="0.25">
      <c r="K1522" s="386"/>
    </row>
    <row r="1523" spans="11:11" x14ac:dyDescent="0.25">
      <c r="K1523" s="386"/>
    </row>
    <row r="1524" spans="11:11" x14ac:dyDescent="0.25">
      <c r="K1524" s="386"/>
    </row>
    <row r="1525" spans="11:11" x14ac:dyDescent="0.25">
      <c r="K1525" s="386"/>
    </row>
    <row r="1526" spans="11:11" x14ac:dyDescent="0.25">
      <c r="K1526" s="386"/>
    </row>
    <row r="1527" spans="11:11" x14ac:dyDescent="0.25">
      <c r="K1527" s="386"/>
    </row>
    <row r="1528" spans="11:11" x14ac:dyDescent="0.25">
      <c r="K1528" s="386"/>
    </row>
    <row r="1529" spans="11:11" x14ac:dyDescent="0.25">
      <c r="K1529" s="386"/>
    </row>
    <row r="1530" spans="11:11" x14ac:dyDescent="0.25">
      <c r="K1530" s="386"/>
    </row>
    <row r="1531" spans="11:11" x14ac:dyDescent="0.25">
      <c r="K1531" s="386"/>
    </row>
    <row r="1532" spans="11:11" x14ac:dyDescent="0.25">
      <c r="K1532" s="386"/>
    </row>
    <row r="1533" spans="11:11" x14ac:dyDescent="0.25">
      <c r="K1533" s="386"/>
    </row>
    <row r="1534" spans="11:11" x14ac:dyDescent="0.25">
      <c r="K1534" s="386"/>
    </row>
    <row r="1535" spans="11:11" x14ac:dyDescent="0.25">
      <c r="K1535" s="386"/>
    </row>
    <row r="1536" spans="11:11" x14ac:dyDescent="0.25">
      <c r="K1536" s="386"/>
    </row>
    <row r="1537" spans="11:11" x14ac:dyDescent="0.25">
      <c r="K1537" s="386"/>
    </row>
    <row r="1538" spans="11:11" x14ac:dyDescent="0.25">
      <c r="K1538" s="386"/>
    </row>
    <row r="1539" spans="11:11" x14ac:dyDescent="0.25">
      <c r="K1539" s="386"/>
    </row>
    <row r="1540" spans="11:11" x14ac:dyDescent="0.25">
      <c r="K1540" s="386"/>
    </row>
    <row r="1541" spans="11:11" x14ac:dyDescent="0.25">
      <c r="K1541" s="386"/>
    </row>
    <row r="1542" spans="11:11" x14ac:dyDescent="0.25">
      <c r="K1542" s="386"/>
    </row>
    <row r="1543" spans="11:11" x14ac:dyDescent="0.25">
      <c r="K1543" s="386"/>
    </row>
    <row r="1544" spans="11:11" x14ac:dyDescent="0.25">
      <c r="K1544" s="386"/>
    </row>
    <row r="1545" spans="11:11" x14ac:dyDescent="0.25">
      <c r="K1545" s="386"/>
    </row>
    <row r="1546" spans="11:11" x14ac:dyDescent="0.25">
      <c r="K1546" s="386"/>
    </row>
    <row r="1547" spans="11:11" x14ac:dyDescent="0.25">
      <c r="K1547" s="386"/>
    </row>
    <row r="1548" spans="11:11" x14ac:dyDescent="0.25">
      <c r="K1548" s="386"/>
    </row>
    <row r="1549" spans="11:11" x14ac:dyDescent="0.25">
      <c r="K1549" s="386"/>
    </row>
    <row r="1550" spans="11:11" x14ac:dyDescent="0.25">
      <c r="K1550" s="386"/>
    </row>
    <row r="1551" spans="11:11" x14ac:dyDescent="0.25">
      <c r="K1551" s="386"/>
    </row>
    <row r="1552" spans="11:11" x14ac:dyDescent="0.25">
      <c r="K1552" s="386"/>
    </row>
    <row r="1553" spans="11:11" x14ac:dyDescent="0.25">
      <c r="K1553" s="386"/>
    </row>
    <row r="1554" spans="11:11" x14ac:dyDescent="0.25">
      <c r="K1554" s="386"/>
    </row>
    <row r="1555" spans="11:11" x14ac:dyDescent="0.25">
      <c r="K1555" s="386"/>
    </row>
    <row r="1556" spans="11:11" x14ac:dyDescent="0.25">
      <c r="K1556" s="386"/>
    </row>
    <row r="1557" spans="11:11" x14ac:dyDescent="0.25">
      <c r="K1557" s="386"/>
    </row>
    <row r="1558" spans="11:11" x14ac:dyDescent="0.25">
      <c r="K1558" s="386"/>
    </row>
    <row r="1559" spans="11:11" x14ac:dyDescent="0.25">
      <c r="K1559" s="386"/>
    </row>
    <row r="1560" spans="11:11" x14ac:dyDescent="0.25">
      <c r="K1560" s="386"/>
    </row>
    <row r="1561" spans="11:11" x14ac:dyDescent="0.25">
      <c r="K1561" s="386"/>
    </row>
    <row r="1562" spans="11:11" x14ac:dyDescent="0.25">
      <c r="K1562" s="386"/>
    </row>
    <row r="1563" spans="11:11" x14ac:dyDescent="0.25">
      <c r="K1563" s="386"/>
    </row>
    <row r="1564" spans="11:11" x14ac:dyDescent="0.25">
      <c r="K1564" s="386"/>
    </row>
    <row r="1565" spans="11:11" x14ac:dyDescent="0.25">
      <c r="K1565" s="386"/>
    </row>
    <row r="1566" spans="11:11" x14ac:dyDescent="0.25">
      <c r="K1566" s="386"/>
    </row>
    <row r="1567" spans="11:11" x14ac:dyDescent="0.25">
      <c r="K1567" s="386"/>
    </row>
    <row r="1568" spans="11:11" x14ac:dyDescent="0.25">
      <c r="K1568" s="386"/>
    </row>
    <row r="1569" spans="11:11" x14ac:dyDescent="0.25">
      <c r="K1569" s="386"/>
    </row>
    <row r="1570" spans="11:11" x14ac:dyDescent="0.25">
      <c r="K1570" s="386"/>
    </row>
    <row r="1571" spans="11:11" x14ac:dyDescent="0.25">
      <c r="K1571" s="386"/>
    </row>
    <row r="1572" spans="11:11" x14ac:dyDescent="0.25">
      <c r="K1572" s="386"/>
    </row>
    <row r="1573" spans="11:11" x14ac:dyDescent="0.25">
      <c r="K1573" s="386"/>
    </row>
    <row r="1574" spans="11:11" x14ac:dyDescent="0.25">
      <c r="K1574" s="386"/>
    </row>
    <row r="1575" spans="11:11" x14ac:dyDescent="0.25">
      <c r="K1575" s="386"/>
    </row>
    <row r="1576" spans="11:11" x14ac:dyDescent="0.25">
      <c r="K1576" s="386"/>
    </row>
    <row r="1577" spans="11:11" x14ac:dyDescent="0.25">
      <c r="K1577" s="386"/>
    </row>
    <row r="1578" spans="11:11" x14ac:dyDescent="0.25">
      <c r="K1578" s="386"/>
    </row>
    <row r="1579" spans="11:11" x14ac:dyDescent="0.25">
      <c r="K1579" s="386"/>
    </row>
    <row r="1580" spans="11:11" x14ac:dyDescent="0.25">
      <c r="K1580" s="386"/>
    </row>
    <row r="1581" spans="11:11" x14ac:dyDescent="0.25">
      <c r="K1581" s="386"/>
    </row>
    <row r="1582" spans="11:11" x14ac:dyDescent="0.25">
      <c r="K1582" s="386"/>
    </row>
    <row r="1583" spans="11:11" x14ac:dyDescent="0.25">
      <c r="K1583" s="386"/>
    </row>
    <row r="1584" spans="11:11" x14ac:dyDescent="0.25">
      <c r="K1584" s="386"/>
    </row>
    <row r="1585" spans="11:11" x14ac:dyDescent="0.25">
      <c r="K1585" s="386"/>
    </row>
    <row r="1586" spans="11:11" x14ac:dyDescent="0.25">
      <c r="K1586" s="386"/>
    </row>
    <row r="1587" spans="11:11" x14ac:dyDescent="0.25">
      <c r="K1587" s="386"/>
    </row>
    <row r="1588" spans="11:11" x14ac:dyDescent="0.25">
      <c r="K1588" s="386"/>
    </row>
    <row r="1589" spans="11:11" x14ac:dyDescent="0.25">
      <c r="K1589" s="386"/>
    </row>
    <row r="1590" spans="11:11" x14ac:dyDescent="0.25">
      <c r="K1590" s="386"/>
    </row>
    <row r="1591" spans="11:11" x14ac:dyDescent="0.25">
      <c r="K1591" s="386"/>
    </row>
    <row r="1592" spans="11:11" x14ac:dyDescent="0.25">
      <c r="K1592" s="386"/>
    </row>
    <row r="1593" spans="11:11" x14ac:dyDescent="0.25">
      <c r="K1593" s="386"/>
    </row>
    <row r="1594" spans="11:11" x14ac:dyDescent="0.25">
      <c r="K1594" s="386"/>
    </row>
    <row r="1595" spans="11:11" x14ac:dyDescent="0.25">
      <c r="K1595" s="386"/>
    </row>
    <row r="1596" spans="11:11" x14ac:dyDescent="0.25">
      <c r="K1596" s="386"/>
    </row>
    <row r="1597" spans="11:11" x14ac:dyDescent="0.25">
      <c r="K1597" s="386"/>
    </row>
    <row r="1598" spans="11:11" x14ac:dyDescent="0.25">
      <c r="K1598" s="386"/>
    </row>
    <row r="1599" spans="11:11" x14ac:dyDescent="0.25">
      <c r="K1599" s="386"/>
    </row>
    <row r="1600" spans="11:11" x14ac:dyDescent="0.25">
      <c r="K1600" s="386"/>
    </row>
    <row r="1601" spans="11:11" x14ac:dyDescent="0.25">
      <c r="K1601" s="386"/>
    </row>
    <row r="1602" spans="11:11" x14ac:dyDescent="0.25">
      <c r="K1602" s="386"/>
    </row>
    <row r="1603" spans="11:11" x14ac:dyDescent="0.25">
      <c r="K1603" s="386"/>
    </row>
    <row r="1604" spans="11:11" x14ac:dyDescent="0.25">
      <c r="K1604" s="386"/>
    </row>
    <row r="1605" spans="11:11" x14ac:dyDescent="0.25">
      <c r="K1605" s="386"/>
    </row>
    <row r="1606" spans="11:11" x14ac:dyDescent="0.25">
      <c r="K1606" s="386"/>
    </row>
    <row r="1607" spans="11:11" x14ac:dyDescent="0.25">
      <c r="K1607" s="386"/>
    </row>
    <row r="1608" spans="11:11" x14ac:dyDescent="0.25">
      <c r="K1608" s="386"/>
    </row>
    <row r="1609" spans="11:11" x14ac:dyDescent="0.25">
      <c r="K1609" s="386"/>
    </row>
    <row r="1610" spans="11:11" x14ac:dyDescent="0.25">
      <c r="K1610" s="386"/>
    </row>
    <row r="1611" spans="11:11" x14ac:dyDescent="0.25">
      <c r="K1611" s="386"/>
    </row>
    <row r="1612" spans="11:11" x14ac:dyDescent="0.25">
      <c r="K1612" s="386"/>
    </row>
    <row r="1613" spans="11:11" x14ac:dyDescent="0.25">
      <c r="K1613" s="386"/>
    </row>
    <row r="1614" spans="11:11" x14ac:dyDescent="0.25">
      <c r="K1614" s="386"/>
    </row>
    <row r="1615" spans="11:11" x14ac:dyDescent="0.25">
      <c r="K1615" s="386"/>
    </row>
    <row r="1616" spans="11:11" x14ac:dyDescent="0.25">
      <c r="K1616" s="386"/>
    </row>
    <row r="1617" spans="11:11" x14ac:dyDescent="0.25">
      <c r="K1617" s="386"/>
    </row>
    <row r="1618" spans="11:11" x14ac:dyDescent="0.25">
      <c r="K1618" s="386"/>
    </row>
    <row r="1619" spans="11:11" x14ac:dyDescent="0.25">
      <c r="K1619" s="386"/>
    </row>
    <row r="1620" spans="11:11" x14ac:dyDescent="0.25">
      <c r="K1620" s="386"/>
    </row>
    <row r="1621" spans="11:11" x14ac:dyDescent="0.25">
      <c r="K1621" s="386"/>
    </row>
    <row r="1622" spans="11:11" x14ac:dyDescent="0.25">
      <c r="K1622" s="386"/>
    </row>
    <row r="1623" spans="11:11" x14ac:dyDescent="0.25">
      <c r="K1623" s="386"/>
    </row>
    <row r="1624" spans="11:11" x14ac:dyDescent="0.25">
      <c r="K1624" s="386"/>
    </row>
    <row r="1625" spans="11:11" x14ac:dyDescent="0.25">
      <c r="K1625" s="386"/>
    </row>
    <row r="1626" spans="11:11" x14ac:dyDescent="0.25">
      <c r="K1626" s="386"/>
    </row>
    <row r="1627" spans="11:11" x14ac:dyDescent="0.25">
      <c r="K1627" s="386"/>
    </row>
    <row r="1628" spans="11:11" x14ac:dyDescent="0.25">
      <c r="K1628" s="386"/>
    </row>
    <row r="1629" spans="11:11" x14ac:dyDescent="0.25">
      <c r="K1629" s="386"/>
    </row>
    <row r="1630" spans="11:11" x14ac:dyDescent="0.25">
      <c r="K1630" s="386"/>
    </row>
    <row r="1631" spans="11:11" x14ac:dyDescent="0.25">
      <c r="K1631" s="386"/>
    </row>
    <row r="1632" spans="11:11" x14ac:dyDescent="0.25">
      <c r="K1632" s="386"/>
    </row>
    <row r="1633" spans="11:11" x14ac:dyDescent="0.25">
      <c r="K1633" s="386"/>
    </row>
    <row r="1634" spans="11:11" x14ac:dyDescent="0.25">
      <c r="K1634" s="386"/>
    </row>
    <row r="1635" spans="11:11" x14ac:dyDescent="0.25">
      <c r="K1635" s="386"/>
    </row>
    <row r="1636" spans="11:11" x14ac:dyDescent="0.25">
      <c r="K1636" s="386"/>
    </row>
    <row r="1637" spans="11:11" x14ac:dyDescent="0.25">
      <c r="K1637" s="386"/>
    </row>
    <row r="1638" spans="11:11" x14ac:dyDescent="0.25">
      <c r="K1638" s="386"/>
    </row>
    <row r="1639" spans="11:11" x14ac:dyDescent="0.25">
      <c r="K1639" s="386"/>
    </row>
    <row r="1640" spans="11:11" x14ac:dyDescent="0.25">
      <c r="K1640" s="386"/>
    </row>
    <row r="1641" spans="11:11" x14ac:dyDescent="0.25">
      <c r="K1641" s="386"/>
    </row>
    <row r="1642" spans="11:11" x14ac:dyDescent="0.25">
      <c r="K1642" s="386"/>
    </row>
    <row r="1643" spans="11:11" x14ac:dyDescent="0.25">
      <c r="K1643" s="386"/>
    </row>
    <row r="1644" spans="11:11" x14ac:dyDescent="0.25">
      <c r="K1644" s="386"/>
    </row>
    <row r="1645" spans="11:11" x14ac:dyDescent="0.25">
      <c r="K1645" s="386"/>
    </row>
    <row r="1646" spans="11:11" x14ac:dyDescent="0.25">
      <c r="K1646" s="386"/>
    </row>
    <row r="1647" spans="11:11" x14ac:dyDescent="0.25">
      <c r="K1647" s="386"/>
    </row>
    <row r="1648" spans="11:11" x14ac:dyDescent="0.25">
      <c r="K1648" s="386"/>
    </row>
    <row r="1649" spans="11:11" x14ac:dyDescent="0.25">
      <c r="K1649" s="386"/>
    </row>
    <row r="1650" spans="11:11" x14ac:dyDescent="0.25">
      <c r="K1650" s="386"/>
    </row>
    <row r="1651" spans="11:11" x14ac:dyDescent="0.25">
      <c r="K1651" s="386"/>
    </row>
    <row r="1652" spans="11:11" x14ac:dyDescent="0.25">
      <c r="K1652" s="386"/>
    </row>
    <row r="1653" spans="11:11" x14ac:dyDescent="0.25">
      <c r="K1653" s="386"/>
    </row>
    <row r="1654" spans="11:11" x14ac:dyDescent="0.25">
      <c r="K1654" s="386"/>
    </row>
    <row r="1655" spans="11:11" x14ac:dyDescent="0.25">
      <c r="K1655" s="386"/>
    </row>
    <row r="1656" spans="11:11" x14ac:dyDescent="0.25">
      <c r="K1656" s="386"/>
    </row>
    <row r="1657" spans="11:11" x14ac:dyDescent="0.25">
      <c r="K1657" s="386"/>
    </row>
    <row r="1658" spans="11:11" x14ac:dyDescent="0.25">
      <c r="K1658" s="386"/>
    </row>
    <row r="1659" spans="11:11" x14ac:dyDescent="0.25">
      <c r="K1659" s="386"/>
    </row>
    <row r="1660" spans="11:11" x14ac:dyDescent="0.25">
      <c r="K1660" s="386"/>
    </row>
    <row r="1661" spans="11:11" x14ac:dyDescent="0.25">
      <c r="K1661" s="386"/>
    </row>
    <row r="1662" spans="11:11" x14ac:dyDescent="0.25">
      <c r="K1662" s="386"/>
    </row>
    <row r="1663" spans="11:11" x14ac:dyDescent="0.25">
      <c r="K1663" s="386"/>
    </row>
    <row r="1664" spans="11:11" x14ac:dyDescent="0.25">
      <c r="K1664" s="386"/>
    </row>
    <row r="1665" spans="11:11" x14ac:dyDescent="0.25">
      <c r="K1665" s="386"/>
    </row>
    <row r="1666" spans="11:11" x14ac:dyDescent="0.25">
      <c r="K1666" s="386"/>
    </row>
    <row r="1667" spans="11:11" x14ac:dyDescent="0.25">
      <c r="K1667" s="386"/>
    </row>
    <row r="1668" spans="11:11" x14ac:dyDescent="0.25">
      <c r="K1668" s="386"/>
    </row>
    <row r="1669" spans="11:11" x14ac:dyDescent="0.25">
      <c r="K1669" s="386"/>
    </row>
    <row r="1670" spans="11:11" x14ac:dyDescent="0.25">
      <c r="K1670" s="386"/>
    </row>
    <row r="1671" spans="11:11" x14ac:dyDescent="0.25">
      <c r="K1671" s="386"/>
    </row>
    <row r="1672" spans="11:11" x14ac:dyDescent="0.25">
      <c r="K1672" s="386"/>
    </row>
    <row r="1673" spans="11:11" x14ac:dyDescent="0.25">
      <c r="K1673" s="386"/>
    </row>
    <row r="1674" spans="11:11" x14ac:dyDescent="0.25">
      <c r="K1674" s="386"/>
    </row>
    <row r="1675" spans="11:11" x14ac:dyDescent="0.25">
      <c r="K1675" s="386"/>
    </row>
    <row r="1676" spans="11:11" x14ac:dyDescent="0.25">
      <c r="K1676" s="386"/>
    </row>
    <row r="1677" spans="11:11" x14ac:dyDescent="0.25">
      <c r="K1677" s="386"/>
    </row>
    <row r="1678" spans="11:11" x14ac:dyDescent="0.25">
      <c r="K1678" s="386"/>
    </row>
    <row r="1679" spans="11:11" x14ac:dyDescent="0.25">
      <c r="K1679" s="386"/>
    </row>
    <row r="1680" spans="11:11" x14ac:dyDescent="0.25">
      <c r="K1680" s="386"/>
    </row>
    <row r="1681" spans="11:11" x14ac:dyDescent="0.25">
      <c r="K1681" s="386"/>
    </row>
    <row r="1682" spans="11:11" x14ac:dyDescent="0.25">
      <c r="K1682" s="386"/>
    </row>
    <row r="1683" spans="11:11" x14ac:dyDescent="0.25">
      <c r="K1683" s="386"/>
    </row>
    <row r="1684" spans="11:11" x14ac:dyDescent="0.25">
      <c r="K1684" s="386"/>
    </row>
    <row r="1685" spans="11:11" x14ac:dyDescent="0.25">
      <c r="K1685" s="386"/>
    </row>
    <row r="1686" spans="11:11" x14ac:dyDescent="0.25">
      <c r="K1686" s="386"/>
    </row>
    <row r="1687" spans="11:11" x14ac:dyDescent="0.25">
      <c r="K1687" s="386"/>
    </row>
    <row r="1688" spans="11:11" x14ac:dyDescent="0.25">
      <c r="K1688" s="386"/>
    </row>
    <row r="1689" spans="11:11" x14ac:dyDescent="0.25">
      <c r="K1689" s="386"/>
    </row>
    <row r="1690" spans="11:11" x14ac:dyDescent="0.25">
      <c r="K1690" s="386"/>
    </row>
    <row r="1691" spans="11:11" x14ac:dyDescent="0.25">
      <c r="K1691" s="386"/>
    </row>
    <row r="1692" spans="11:11" x14ac:dyDescent="0.25">
      <c r="K1692" s="386"/>
    </row>
    <row r="1693" spans="11:11" x14ac:dyDescent="0.25">
      <c r="K1693" s="386"/>
    </row>
    <row r="1694" spans="11:11" x14ac:dyDescent="0.25">
      <c r="K1694" s="386"/>
    </row>
    <row r="1695" spans="11:11" x14ac:dyDescent="0.25">
      <c r="K1695" s="386"/>
    </row>
    <row r="1696" spans="11:11" x14ac:dyDescent="0.25">
      <c r="K1696" s="386"/>
    </row>
    <row r="1697" spans="11:11" x14ac:dyDescent="0.25">
      <c r="K1697" s="386"/>
    </row>
    <row r="1698" spans="11:11" x14ac:dyDescent="0.25">
      <c r="K1698" s="386"/>
    </row>
    <row r="1699" spans="11:11" x14ac:dyDescent="0.25">
      <c r="K1699" s="386"/>
    </row>
    <row r="1700" spans="11:11" x14ac:dyDescent="0.25">
      <c r="K1700" s="386"/>
    </row>
    <row r="1701" spans="11:11" x14ac:dyDescent="0.25">
      <c r="K1701" s="386"/>
    </row>
    <row r="1702" spans="11:11" x14ac:dyDescent="0.25">
      <c r="K1702" s="386"/>
    </row>
    <row r="1703" spans="11:11" x14ac:dyDescent="0.25">
      <c r="K1703" s="386"/>
    </row>
    <row r="1704" spans="11:11" x14ac:dyDescent="0.25">
      <c r="K1704" s="386"/>
    </row>
    <row r="1705" spans="11:11" x14ac:dyDescent="0.25">
      <c r="K1705" s="386"/>
    </row>
    <row r="1706" spans="11:11" x14ac:dyDescent="0.25">
      <c r="K1706" s="386"/>
    </row>
    <row r="1707" spans="11:11" x14ac:dyDescent="0.25">
      <c r="K1707" s="386"/>
    </row>
    <row r="1708" spans="11:11" x14ac:dyDescent="0.25">
      <c r="K1708" s="386"/>
    </row>
    <row r="1709" spans="11:11" x14ac:dyDescent="0.25">
      <c r="K1709" s="386"/>
    </row>
    <row r="1710" spans="11:11" x14ac:dyDescent="0.25">
      <c r="K1710" s="386"/>
    </row>
    <row r="1711" spans="11:11" x14ac:dyDescent="0.25">
      <c r="K1711" s="386"/>
    </row>
    <row r="1712" spans="11:11" x14ac:dyDescent="0.25">
      <c r="K1712" s="386"/>
    </row>
    <row r="1713" spans="11:11" x14ac:dyDescent="0.25">
      <c r="K1713" s="386"/>
    </row>
    <row r="1714" spans="11:11" x14ac:dyDescent="0.25">
      <c r="K1714" s="386"/>
    </row>
    <row r="1715" spans="11:11" x14ac:dyDescent="0.25">
      <c r="K1715" s="386"/>
    </row>
    <row r="1716" spans="11:11" x14ac:dyDescent="0.25">
      <c r="K1716" s="386"/>
    </row>
    <row r="1717" spans="11:11" x14ac:dyDescent="0.25">
      <c r="K1717" s="386"/>
    </row>
    <row r="1718" spans="11:11" x14ac:dyDescent="0.25">
      <c r="K1718" s="386"/>
    </row>
    <row r="1719" spans="11:11" x14ac:dyDescent="0.25">
      <c r="K1719" s="386"/>
    </row>
    <row r="1720" spans="11:11" x14ac:dyDescent="0.25">
      <c r="K1720" s="386"/>
    </row>
    <row r="1721" spans="11:11" x14ac:dyDescent="0.25">
      <c r="K1721" s="386"/>
    </row>
    <row r="1722" spans="11:11" x14ac:dyDescent="0.25">
      <c r="K1722" s="386"/>
    </row>
    <row r="1723" spans="11:11" x14ac:dyDescent="0.25">
      <c r="K1723" s="386"/>
    </row>
    <row r="1724" spans="11:11" x14ac:dyDescent="0.25">
      <c r="K1724" s="386"/>
    </row>
    <row r="1725" spans="11:11" x14ac:dyDescent="0.25">
      <c r="K1725" s="386"/>
    </row>
    <row r="1726" spans="11:11" x14ac:dyDescent="0.25">
      <c r="K1726" s="386"/>
    </row>
    <row r="1727" spans="11:11" x14ac:dyDescent="0.25">
      <c r="K1727" s="386"/>
    </row>
    <row r="1728" spans="11:11" x14ac:dyDescent="0.25">
      <c r="K1728" s="386"/>
    </row>
    <row r="1729" spans="11:11" x14ac:dyDescent="0.25">
      <c r="K1729" s="386"/>
    </row>
    <row r="1730" spans="11:11" x14ac:dyDescent="0.25">
      <c r="K1730" s="386"/>
    </row>
    <row r="1731" spans="11:11" x14ac:dyDescent="0.25">
      <c r="K1731" s="386"/>
    </row>
    <row r="1732" spans="11:11" x14ac:dyDescent="0.25">
      <c r="K1732" s="386"/>
    </row>
    <row r="1733" spans="11:11" x14ac:dyDescent="0.25">
      <c r="K1733" s="386"/>
    </row>
    <row r="1734" spans="11:11" x14ac:dyDescent="0.25">
      <c r="K1734" s="386"/>
    </row>
    <row r="1735" spans="11:11" x14ac:dyDescent="0.25">
      <c r="K1735" s="386"/>
    </row>
    <row r="1736" spans="11:11" x14ac:dyDescent="0.25">
      <c r="K1736" s="386"/>
    </row>
    <row r="1737" spans="11:11" x14ac:dyDescent="0.25">
      <c r="K1737" s="386"/>
    </row>
    <row r="1738" spans="11:11" x14ac:dyDescent="0.25">
      <c r="K1738" s="386"/>
    </row>
    <row r="1739" spans="11:11" x14ac:dyDescent="0.25">
      <c r="K1739" s="386"/>
    </row>
    <row r="1740" spans="11:11" x14ac:dyDescent="0.25">
      <c r="K1740" s="386"/>
    </row>
    <row r="1741" spans="11:11" x14ac:dyDescent="0.25">
      <c r="K1741" s="386"/>
    </row>
    <row r="1742" spans="11:11" x14ac:dyDescent="0.25">
      <c r="K1742" s="386"/>
    </row>
    <row r="1743" spans="11:11" x14ac:dyDescent="0.25">
      <c r="K1743" s="386"/>
    </row>
    <row r="1744" spans="11:11" x14ac:dyDescent="0.25">
      <c r="K1744" s="386"/>
    </row>
    <row r="1745" spans="11:11" x14ac:dyDescent="0.25">
      <c r="K1745" s="386"/>
    </row>
    <row r="1746" spans="11:11" x14ac:dyDescent="0.25">
      <c r="K1746" s="386"/>
    </row>
    <row r="1747" spans="11:11" x14ac:dyDescent="0.25">
      <c r="K1747" s="386"/>
    </row>
    <row r="1748" spans="11:11" x14ac:dyDescent="0.25">
      <c r="K1748" s="386"/>
    </row>
    <row r="1749" spans="11:11" x14ac:dyDescent="0.25">
      <c r="K1749" s="386"/>
    </row>
    <row r="1750" spans="11:11" x14ac:dyDescent="0.25">
      <c r="K1750" s="386"/>
    </row>
    <row r="1751" spans="11:11" x14ac:dyDescent="0.25">
      <c r="K1751" s="386"/>
    </row>
    <row r="1752" spans="11:11" x14ac:dyDescent="0.25">
      <c r="K1752" s="386"/>
    </row>
    <row r="1753" spans="11:11" x14ac:dyDescent="0.25">
      <c r="K1753" s="386"/>
    </row>
    <row r="1754" spans="11:11" x14ac:dyDescent="0.25">
      <c r="K1754" s="386"/>
    </row>
    <row r="1755" spans="11:11" x14ac:dyDescent="0.25">
      <c r="K1755" s="386"/>
    </row>
    <row r="1756" spans="11:11" x14ac:dyDescent="0.25">
      <c r="K1756" s="386"/>
    </row>
    <row r="1757" spans="11:11" x14ac:dyDescent="0.25">
      <c r="K1757" s="386"/>
    </row>
    <row r="1758" spans="11:11" x14ac:dyDescent="0.25">
      <c r="K1758" s="386"/>
    </row>
    <row r="1759" spans="11:11" x14ac:dyDescent="0.25">
      <c r="K1759" s="386"/>
    </row>
    <row r="1760" spans="11:11" x14ac:dyDescent="0.25">
      <c r="K1760" s="386"/>
    </row>
    <row r="1761" spans="11:11" x14ac:dyDescent="0.25">
      <c r="K1761" s="386"/>
    </row>
    <row r="1762" spans="11:11" x14ac:dyDescent="0.25">
      <c r="K1762" s="386"/>
    </row>
    <row r="1763" spans="11:11" x14ac:dyDescent="0.25">
      <c r="K1763" s="386"/>
    </row>
    <row r="1764" spans="11:11" x14ac:dyDescent="0.25">
      <c r="K1764" s="386"/>
    </row>
    <row r="1765" spans="11:11" x14ac:dyDescent="0.25">
      <c r="K1765" s="386"/>
    </row>
    <row r="1766" spans="11:11" x14ac:dyDescent="0.25">
      <c r="K1766" s="386"/>
    </row>
    <row r="1767" spans="11:11" x14ac:dyDescent="0.25">
      <c r="K1767" s="386"/>
    </row>
    <row r="1768" spans="11:11" x14ac:dyDescent="0.25">
      <c r="K1768" s="386"/>
    </row>
    <row r="1769" spans="11:11" x14ac:dyDescent="0.25">
      <c r="K1769" s="386"/>
    </row>
    <row r="1770" spans="11:11" x14ac:dyDescent="0.25">
      <c r="K1770" s="386"/>
    </row>
    <row r="1771" spans="11:11" x14ac:dyDescent="0.25">
      <c r="K1771" s="386"/>
    </row>
    <row r="1772" spans="11:11" x14ac:dyDescent="0.25">
      <c r="K1772" s="386"/>
    </row>
    <row r="1773" spans="11:11" x14ac:dyDescent="0.25">
      <c r="K1773" s="386"/>
    </row>
    <row r="1774" spans="11:11" x14ac:dyDescent="0.25">
      <c r="K1774" s="386"/>
    </row>
    <row r="1775" spans="11:11" x14ac:dyDescent="0.25">
      <c r="K1775" s="386"/>
    </row>
    <row r="1776" spans="11:11" x14ac:dyDescent="0.25">
      <c r="K1776" s="386"/>
    </row>
    <row r="1777" spans="11:11" x14ac:dyDescent="0.25">
      <c r="K1777" s="386"/>
    </row>
    <row r="1778" spans="11:11" x14ac:dyDescent="0.25">
      <c r="K1778" s="386"/>
    </row>
    <row r="1779" spans="11:11" x14ac:dyDescent="0.25">
      <c r="K1779" s="386"/>
    </row>
    <row r="1780" spans="11:11" x14ac:dyDescent="0.25">
      <c r="K1780" s="386"/>
    </row>
    <row r="1781" spans="11:11" x14ac:dyDescent="0.25">
      <c r="K1781" s="386"/>
    </row>
    <row r="1782" spans="11:11" x14ac:dyDescent="0.25">
      <c r="K1782" s="386"/>
    </row>
    <row r="1783" spans="11:11" x14ac:dyDescent="0.25">
      <c r="K1783" s="386"/>
    </row>
    <row r="1784" spans="11:11" x14ac:dyDescent="0.25">
      <c r="K1784" s="386"/>
    </row>
    <row r="1785" spans="11:11" x14ac:dyDescent="0.25">
      <c r="K1785" s="386"/>
    </row>
    <row r="1786" spans="11:11" x14ac:dyDescent="0.25">
      <c r="K1786" s="386"/>
    </row>
    <row r="1787" spans="11:11" x14ac:dyDescent="0.25">
      <c r="K1787" s="386"/>
    </row>
    <row r="1788" spans="11:11" x14ac:dyDescent="0.25">
      <c r="K1788" s="386"/>
    </row>
    <row r="1789" spans="11:11" x14ac:dyDescent="0.25">
      <c r="K1789" s="386"/>
    </row>
    <row r="1790" spans="11:11" x14ac:dyDescent="0.25">
      <c r="K1790" s="386"/>
    </row>
    <row r="1791" spans="11:11" x14ac:dyDescent="0.25">
      <c r="K1791" s="386"/>
    </row>
    <row r="1792" spans="11:11" x14ac:dyDescent="0.25">
      <c r="K1792" s="386"/>
    </row>
    <row r="1793" spans="11:11" x14ac:dyDescent="0.25">
      <c r="K1793" s="386"/>
    </row>
    <row r="1794" spans="11:11" x14ac:dyDescent="0.25">
      <c r="K1794" s="386"/>
    </row>
    <row r="1795" spans="11:11" x14ac:dyDescent="0.25">
      <c r="K1795" s="386"/>
    </row>
    <row r="1796" spans="11:11" x14ac:dyDescent="0.25">
      <c r="K1796" s="386"/>
    </row>
    <row r="1797" spans="11:11" x14ac:dyDescent="0.25">
      <c r="K1797" s="386"/>
    </row>
    <row r="1798" spans="11:11" x14ac:dyDescent="0.25">
      <c r="K1798" s="386"/>
    </row>
    <row r="1799" spans="11:11" x14ac:dyDescent="0.25">
      <c r="K1799" s="386"/>
    </row>
    <row r="1800" spans="11:11" x14ac:dyDescent="0.25">
      <c r="K1800" s="386"/>
    </row>
    <row r="1801" spans="11:11" x14ac:dyDescent="0.25">
      <c r="K1801" s="386"/>
    </row>
    <row r="1802" spans="11:11" x14ac:dyDescent="0.25">
      <c r="K1802" s="386"/>
    </row>
    <row r="1803" spans="11:11" x14ac:dyDescent="0.25">
      <c r="K1803" s="386"/>
    </row>
    <row r="1804" spans="11:11" x14ac:dyDescent="0.25">
      <c r="K1804" s="386"/>
    </row>
    <row r="1805" spans="11:11" x14ac:dyDescent="0.25">
      <c r="K1805" s="386"/>
    </row>
    <row r="1806" spans="11:11" x14ac:dyDescent="0.25">
      <c r="K1806" s="386"/>
    </row>
    <row r="1807" spans="11:11" x14ac:dyDescent="0.25">
      <c r="K1807" s="386"/>
    </row>
    <row r="1808" spans="11:11" x14ac:dyDescent="0.25">
      <c r="K1808" s="386"/>
    </row>
    <row r="1809" spans="11:11" x14ac:dyDescent="0.25">
      <c r="K1809" s="386"/>
    </row>
    <row r="1810" spans="11:11" x14ac:dyDescent="0.25">
      <c r="K1810" s="386"/>
    </row>
    <row r="1811" spans="11:11" x14ac:dyDescent="0.25">
      <c r="K1811" s="386"/>
    </row>
    <row r="1812" spans="11:11" x14ac:dyDescent="0.25">
      <c r="K1812" s="386"/>
    </row>
    <row r="1813" spans="11:11" x14ac:dyDescent="0.25">
      <c r="K1813" s="386"/>
    </row>
    <row r="1814" spans="11:11" x14ac:dyDescent="0.25">
      <c r="K1814" s="386"/>
    </row>
    <row r="1815" spans="11:11" x14ac:dyDescent="0.25">
      <c r="K1815" s="386"/>
    </row>
    <row r="1816" spans="11:11" x14ac:dyDescent="0.25">
      <c r="K1816" s="386"/>
    </row>
    <row r="1817" spans="11:11" x14ac:dyDescent="0.25">
      <c r="K1817" s="386"/>
    </row>
    <row r="1818" spans="11:11" x14ac:dyDescent="0.25">
      <c r="K1818" s="386"/>
    </row>
    <row r="1819" spans="11:11" x14ac:dyDescent="0.25">
      <c r="K1819" s="386"/>
    </row>
    <row r="1820" spans="11:11" x14ac:dyDescent="0.25">
      <c r="K1820" s="386"/>
    </row>
    <row r="1821" spans="11:11" x14ac:dyDescent="0.25">
      <c r="K1821" s="386"/>
    </row>
    <row r="1822" spans="11:11" x14ac:dyDescent="0.25">
      <c r="K1822" s="386"/>
    </row>
    <row r="1823" spans="11:11" x14ac:dyDescent="0.25">
      <c r="K1823" s="386"/>
    </row>
    <row r="1824" spans="11:11" x14ac:dyDescent="0.25">
      <c r="K1824" s="386"/>
    </row>
    <row r="1825" spans="11:11" x14ac:dyDescent="0.25">
      <c r="K1825" s="386"/>
    </row>
    <row r="1826" spans="11:11" x14ac:dyDescent="0.25">
      <c r="K1826" s="386"/>
    </row>
    <row r="1827" spans="11:11" x14ac:dyDescent="0.25">
      <c r="K1827" s="386"/>
    </row>
    <row r="1828" spans="11:11" x14ac:dyDescent="0.25">
      <c r="K1828" s="386"/>
    </row>
    <row r="1829" spans="11:11" x14ac:dyDescent="0.25">
      <c r="K1829" s="386"/>
    </row>
    <row r="1830" spans="11:11" x14ac:dyDescent="0.25">
      <c r="K1830" s="386"/>
    </row>
    <row r="1831" spans="11:11" x14ac:dyDescent="0.25">
      <c r="K1831" s="386"/>
    </row>
    <row r="1832" spans="11:11" x14ac:dyDescent="0.25">
      <c r="K1832" s="386"/>
    </row>
    <row r="1833" spans="11:11" x14ac:dyDescent="0.25">
      <c r="K1833" s="386"/>
    </row>
    <row r="1834" spans="11:11" x14ac:dyDescent="0.25">
      <c r="K1834" s="386"/>
    </row>
    <row r="1835" spans="11:11" x14ac:dyDescent="0.25">
      <c r="K1835" s="386"/>
    </row>
    <row r="1836" spans="11:11" x14ac:dyDescent="0.25">
      <c r="K1836" s="386"/>
    </row>
    <row r="1837" spans="11:11" x14ac:dyDescent="0.25">
      <c r="K1837" s="386"/>
    </row>
    <row r="1838" spans="11:11" x14ac:dyDescent="0.25">
      <c r="K1838" s="386"/>
    </row>
    <row r="1839" spans="11:11" x14ac:dyDescent="0.25">
      <c r="K1839" s="386"/>
    </row>
    <row r="1840" spans="11:11" x14ac:dyDescent="0.25">
      <c r="K1840" s="386"/>
    </row>
    <row r="1841" spans="11:11" x14ac:dyDescent="0.25">
      <c r="K1841" s="386"/>
    </row>
    <row r="1842" spans="11:11" x14ac:dyDescent="0.25">
      <c r="K1842" s="386"/>
    </row>
    <row r="1843" spans="11:11" x14ac:dyDescent="0.25">
      <c r="K1843" s="386"/>
    </row>
    <row r="1844" spans="11:11" x14ac:dyDescent="0.25">
      <c r="K1844" s="386"/>
    </row>
    <row r="1845" spans="11:11" x14ac:dyDescent="0.25">
      <c r="K1845" s="386"/>
    </row>
    <row r="1846" spans="11:11" x14ac:dyDescent="0.25">
      <c r="K1846" s="386"/>
    </row>
    <row r="1847" spans="11:11" x14ac:dyDescent="0.25">
      <c r="K1847" s="386"/>
    </row>
    <row r="1848" spans="11:11" x14ac:dyDescent="0.25">
      <c r="K1848" s="386"/>
    </row>
    <row r="1849" spans="11:11" x14ac:dyDescent="0.25">
      <c r="K1849" s="386"/>
    </row>
    <row r="1850" spans="11:11" x14ac:dyDescent="0.25">
      <c r="K1850" s="386"/>
    </row>
    <row r="1851" spans="11:11" x14ac:dyDescent="0.25">
      <c r="K1851" s="386"/>
    </row>
    <row r="1852" spans="11:11" x14ac:dyDescent="0.25">
      <c r="K1852" s="386"/>
    </row>
    <row r="1853" spans="11:11" x14ac:dyDescent="0.25">
      <c r="K1853" s="386"/>
    </row>
    <row r="1854" spans="11:11" x14ac:dyDescent="0.25">
      <c r="K1854" s="386"/>
    </row>
    <row r="1855" spans="11:11" x14ac:dyDescent="0.25">
      <c r="K1855" s="386"/>
    </row>
    <row r="1856" spans="11:11" x14ac:dyDescent="0.25">
      <c r="K1856" s="386"/>
    </row>
    <row r="1857" spans="11:11" x14ac:dyDescent="0.25">
      <c r="K1857" s="386"/>
    </row>
    <row r="1858" spans="11:11" x14ac:dyDescent="0.25">
      <c r="K1858" s="386"/>
    </row>
    <row r="1859" spans="11:11" x14ac:dyDescent="0.25">
      <c r="K1859" s="386"/>
    </row>
    <row r="1860" spans="11:11" x14ac:dyDescent="0.25">
      <c r="K1860" s="386"/>
    </row>
    <row r="1861" spans="11:11" x14ac:dyDescent="0.25">
      <c r="K1861" s="386"/>
    </row>
    <row r="1862" spans="11:11" x14ac:dyDescent="0.25">
      <c r="K1862" s="386"/>
    </row>
    <row r="1863" spans="11:11" x14ac:dyDescent="0.25">
      <c r="K1863" s="386"/>
    </row>
    <row r="1864" spans="11:11" x14ac:dyDescent="0.25">
      <c r="K1864" s="386"/>
    </row>
    <row r="1865" spans="11:11" x14ac:dyDescent="0.25">
      <c r="K1865" s="386"/>
    </row>
    <row r="1866" spans="11:11" x14ac:dyDescent="0.25">
      <c r="K1866" s="386"/>
    </row>
    <row r="1867" spans="11:11" x14ac:dyDescent="0.25">
      <c r="K1867" s="386"/>
    </row>
    <row r="1868" spans="11:11" x14ac:dyDescent="0.25">
      <c r="K1868" s="386"/>
    </row>
    <row r="1869" spans="11:11" x14ac:dyDescent="0.25">
      <c r="K1869" s="386"/>
    </row>
    <row r="1870" spans="11:11" x14ac:dyDescent="0.25">
      <c r="K1870" s="386"/>
    </row>
    <row r="1871" spans="11:11" x14ac:dyDescent="0.25">
      <c r="K1871" s="386"/>
    </row>
    <row r="1872" spans="11:11" x14ac:dyDescent="0.25">
      <c r="K1872" s="386"/>
    </row>
    <row r="1873" spans="11:11" x14ac:dyDescent="0.25">
      <c r="K1873" s="386"/>
    </row>
    <row r="1874" spans="11:11" x14ac:dyDescent="0.25">
      <c r="K1874" s="386"/>
    </row>
    <row r="1875" spans="11:11" x14ac:dyDescent="0.25">
      <c r="K1875" s="386"/>
    </row>
    <row r="1876" spans="11:11" x14ac:dyDescent="0.25">
      <c r="K1876" s="386"/>
    </row>
    <row r="1877" spans="11:11" x14ac:dyDescent="0.25">
      <c r="K1877" s="386"/>
    </row>
    <row r="1878" spans="11:11" x14ac:dyDescent="0.25">
      <c r="K1878" s="386"/>
    </row>
    <row r="1879" spans="11:11" x14ac:dyDescent="0.25">
      <c r="K1879" s="386"/>
    </row>
    <row r="1880" spans="11:11" x14ac:dyDescent="0.25">
      <c r="K1880" s="386"/>
    </row>
    <row r="1881" spans="11:11" x14ac:dyDescent="0.25">
      <c r="K1881" s="386"/>
    </row>
    <row r="1882" spans="11:11" x14ac:dyDescent="0.25">
      <c r="K1882" s="386"/>
    </row>
    <row r="1883" spans="11:11" x14ac:dyDescent="0.25">
      <c r="K1883" s="386"/>
    </row>
    <row r="1884" spans="11:11" x14ac:dyDescent="0.25">
      <c r="K1884" s="386"/>
    </row>
    <row r="1885" spans="11:11" x14ac:dyDescent="0.25">
      <c r="K1885" s="386"/>
    </row>
    <row r="1886" spans="11:11" x14ac:dyDescent="0.25">
      <c r="K1886" s="386"/>
    </row>
    <row r="1887" spans="11:11" x14ac:dyDescent="0.25">
      <c r="K1887" s="386"/>
    </row>
    <row r="1888" spans="11:11" x14ac:dyDescent="0.25">
      <c r="K1888" s="386"/>
    </row>
    <row r="1889" spans="11:11" x14ac:dyDescent="0.25">
      <c r="K1889" s="386"/>
    </row>
    <row r="1890" spans="11:11" x14ac:dyDescent="0.25">
      <c r="K1890" s="386"/>
    </row>
    <row r="1891" spans="11:11" x14ac:dyDescent="0.25">
      <c r="K1891" s="386"/>
    </row>
    <row r="1892" spans="11:11" x14ac:dyDescent="0.25">
      <c r="K1892" s="386"/>
    </row>
    <row r="1893" spans="11:11" x14ac:dyDescent="0.25">
      <c r="K1893" s="386"/>
    </row>
    <row r="1894" spans="11:11" x14ac:dyDescent="0.25">
      <c r="K1894" s="386"/>
    </row>
    <row r="1895" spans="11:11" x14ac:dyDescent="0.25">
      <c r="K1895" s="386"/>
    </row>
    <row r="1896" spans="11:11" x14ac:dyDescent="0.25">
      <c r="K1896" s="386"/>
    </row>
    <row r="1897" spans="11:11" x14ac:dyDescent="0.25">
      <c r="K1897" s="386"/>
    </row>
    <row r="1898" spans="11:11" x14ac:dyDescent="0.25">
      <c r="K1898" s="386"/>
    </row>
    <row r="1899" spans="11:11" x14ac:dyDescent="0.25">
      <c r="K1899" s="386"/>
    </row>
    <row r="1900" spans="11:11" x14ac:dyDescent="0.25">
      <c r="K1900" s="386"/>
    </row>
    <row r="1901" spans="11:11" x14ac:dyDescent="0.25">
      <c r="K1901" s="386"/>
    </row>
    <row r="1902" spans="11:11" x14ac:dyDescent="0.25">
      <c r="K1902" s="386"/>
    </row>
    <row r="1903" spans="11:11" x14ac:dyDescent="0.25">
      <c r="K1903" s="386"/>
    </row>
    <row r="1904" spans="11:11" x14ac:dyDescent="0.25">
      <c r="K1904" s="386"/>
    </row>
    <row r="1905" spans="11:11" x14ac:dyDescent="0.25">
      <c r="K1905" s="386"/>
    </row>
    <row r="1906" spans="11:11" x14ac:dyDescent="0.25">
      <c r="K1906" s="386"/>
    </row>
    <row r="1907" spans="11:11" x14ac:dyDescent="0.25">
      <c r="K1907" s="386"/>
    </row>
    <row r="1908" spans="11:11" x14ac:dyDescent="0.25">
      <c r="K1908" s="386"/>
    </row>
    <row r="1909" spans="11:11" x14ac:dyDescent="0.25">
      <c r="K1909" s="386"/>
    </row>
    <row r="1910" spans="11:11" x14ac:dyDescent="0.25">
      <c r="K1910" s="386"/>
    </row>
    <row r="1911" spans="11:11" x14ac:dyDescent="0.25">
      <c r="K1911" s="386"/>
    </row>
    <row r="1912" spans="11:11" x14ac:dyDescent="0.25">
      <c r="K1912" s="386"/>
    </row>
    <row r="1913" spans="11:11" x14ac:dyDescent="0.25">
      <c r="K1913" s="386"/>
    </row>
    <row r="1914" spans="11:11" x14ac:dyDescent="0.25">
      <c r="K1914" s="386"/>
    </row>
    <row r="1915" spans="11:11" x14ac:dyDescent="0.25">
      <c r="K1915" s="386"/>
    </row>
    <row r="1916" spans="11:11" x14ac:dyDescent="0.25">
      <c r="K1916" s="386"/>
    </row>
    <row r="1917" spans="11:11" x14ac:dyDescent="0.25">
      <c r="K1917" s="386"/>
    </row>
    <row r="1918" spans="11:11" x14ac:dyDescent="0.25">
      <c r="K1918" s="386"/>
    </row>
    <row r="1919" spans="11:11" x14ac:dyDescent="0.25">
      <c r="K1919" s="386"/>
    </row>
    <row r="1920" spans="11:11" x14ac:dyDescent="0.25">
      <c r="K1920" s="386"/>
    </row>
    <row r="1921" spans="11:11" x14ac:dyDescent="0.25">
      <c r="K1921" s="386"/>
    </row>
    <row r="1922" spans="11:11" x14ac:dyDescent="0.25">
      <c r="K1922" s="386"/>
    </row>
    <row r="1923" spans="11:11" x14ac:dyDescent="0.25">
      <c r="K1923" s="386"/>
    </row>
    <row r="1924" spans="11:11" x14ac:dyDescent="0.25">
      <c r="K1924" s="386"/>
    </row>
    <row r="1925" spans="11:11" x14ac:dyDescent="0.25">
      <c r="K1925" s="386"/>
    </row>
    <row r="1926" spans="11:11" x14ac:dyDescent="0.25">
      <c r="K1926" s="386"/>
    </row>
    <row r="1927" spans="11:11" x14ac:dyDescent="0.25">
      <c r="K1927" s="386"/>
    </row>
    <row r="1928" spans="11:11" x14ac:dyDescent="0.25">
      <c r="K1928" s="386"/>
    </row>
    <row r="1929" spans="11:11" x14ac:dyDescent="0.25">
      <c r="K1929" s="386"/>
    </row>
    <row r="1930" spans="11:11" x14ac:dyDescent="0.25">
      <c r="K1930" s="386"/>
    </row>
    <row r="1931" spans="11:11" x14ac:dyDescent="0.25">
      <c r="K1931" s="386"/>
    </row>
    <row r="1932" spans="11:11" x14ac:dyDescent="0.25">
      <c r="K1932" s="386"/>
    </row>
    <row r="1933" spans="11:11" x14ac:dyDescent="0.25">
      <c r="K1933" s="386"/>
    </row>
    <row r="1934" spans="11:11" x14ac:dyDescent="0.25">
      <c r="K1934" s="386"/>
    </row>
    <row r="1935" spans="11:11" x14ac:dyDescent="0.25">
      <c r="K1935" s="386"/>
    </row>
    <row r="1936" spans="11:11" x14ac:dyDescent="0.25">
      <c r="K1936" s="386"/>
    </row>
    <row r="1937" spans="11:11" x14ac:dyDescent="0.25">
      <c r="K1937" s="386"/>
    </row>
    <row r="1938" spans="11:11" x14ac:dyDescent="0.25">
      <c r="K1938" s="386"/>
    </row>
    <row r="1939" spans="11:11" x14ac:dyDescent="0.25">
      <c r="K1939" s="386"/>
    </row>
    <row r="1940" spans="11:11" x14ac:dyDescent="0.25">
      <c r="K1940" s="386"/>
    </row>
    <row r="1941" spans="11:11" x14ac:dyDescent="0.25">
      <c r="K1941" s="386"/>
    </row>
    <row r="1942" spans="11:11" x14ac:dyDescent="0.25">
      <c r="K1942" s="386"/>
    </row>
    <row r="1943" spans="11:11" x14ac:dyDescent="0.25">
      <c r="K1943" s="386"/>
    </row>
    <row r="1944" spans="11:11" x14ac:dyDescent="0.25">
      <c r="K1944" s="386"/>
    </row>
    <row r="1945" spans="11:11" x14ac:dyDescent="0.25">
      <c r="K1945" s="386"/>
    </row>
    <row r="1946" spans="11:11" x14ac:dyDescent="0.25">
      <c r="K1946" s="386"/>
    </row>
    <row r="1947" spans="11:11" x14ac:dyDescent="0.25">
      <c r="K1947" s="386"/>
    </row>
    <row r="1948" spans="11:11" x14ac:dyDescent="0.25">
      <c r="K1948" s="386"/>
    </row>
    <row r="1949" spans="11:11" x14ac:dyDescent="0.25">
      <c r="K1949" s="386"/>
    </row>
    <row r="1950" spans="11:11" x14ac:dyDescent="0.25">
      <c r="K1950" s="386"/>
    </row>
    <row r="1951" spans="11:11" x14ac:dyDescent="0.25">
      <c r="K1951" s="386"/>
    </row>
    <row r="1952" spans="11:11" x14ac:dyDescent="0.25">
      <c r="K1952" s="386"/>
    </row>
    <row r="1953" spans="11:11" x14ac:dyDescent="0.25">
      <c r="K1953" s="386"/>
    </row>
    <row r="1954" spans="11:11" x14ac:dyDescent="0.25">
      <c r="K1954" s="386"/>
    </row>
    <row r="1955" spans="11:11" x14ac:dyDescent="0.25">
      <c r="K1955" s="386"/>
    </row>
    <row r="1956" spans="11:11" x14ac:dyDescent="0.25">
      <c r="K1956" s="386"/>
    </row>
    <row r="1957" spans="11:11" x14ac:dyDescent="0.25">
      <c r="K1957" s="386"/>
    </row>
    <row r="1958" spans="11:11" x14ac:dyDescent="0.25">
      <c r="K1958" s="386"/>
    </row>
    <row r="1959" spans="11:11" x14ac:dyDescent="0.25">
      <c r="K1959" s="386"/>
    </row>
    <row r="1960" spans="11:11" x14ac:dyDescent="0.25">
      <c r="K1960" s="386"/>
    </row>
    <row r="1961" spans="11:11" x14ac:dyDescent="0.25">
      <c r="K1961" s="386"/>
    </row>
    <row r="1962" spans="11:11" x14ac:dyDescent="0.25">
      <c r="K1962" s="386"/>
    </row>
    <row r="1963" spans="11:11" x14ac:dyDescent="0.25">
      <c r="K1963" s="386"/>
    </row>
    <row r="1964" spans="11:11" x14ac:dyDescent="0.25">
      <c r="K1964" s="386"/>
    </row>
    <row r="1965" spans="11:11" x14ac:dyDescent="0.25">
      <c r="K1965" s="386"/>
    </row>
    <row r="1966" spans="11:11" x14ac:dyDescent="0.25">
      <c r="K1966" s="386"/>
    </row>
    <row r="1967" spans="11:11" x14ac:dyDescent="0.25">
      <c r="K1967" s="386"/>
    </row>
    <row r="1968" spans="11:11" x14ac:dyDescent="0.25">
      <c r="K1968" s="386"/>
    </row>
    <row r="1969" spans="11:11" x14ac:dyDescent="0.25">
      <c r="K1969" s="386"/>
    </row>
    <row r="1970" spans="11:11" x14ac:dyDescent="0.25">
      <c r="K1970" s="386"/>
    </row>
    <row r="1971" spans="11:11" x14ac:dyDescent="0.25">
      <c r="K1971" s="386"/>
    </row>
    <row r="1972" spans="11:11" x14ac:dyDescent="0.25">
      <c r="K1972" s="386"/>
    </row>
    <row r="1973" spans="11:11" x14ac:dyDescent="0.25">
      <c r="K1973" s="386"/>
    </row>
    <row r="1974" spans="11:11" x14ac:dyDescent="0.25">
      <c r="K1974" s="386"/>
    </row>
    <row r="1975" spans="11:11" x14ac:dyDescent="0.25">
      <c r="K1975" s="386"/>
    </row>
    <row r="1976" spans="11:11" x14ac:dyDescent="0.25">
      <c r="K1976" s="386"/>
    </row>
    <row r="1977" spans="11:11" x14ac:dyDescent="0.25">
      <c r="K1977" s="386"/>
    </row>
    <row r="1978" spans="11:11" x14ac:dyDescent="0.25">
      <c r="K1978" s="386"/>
    </row>
    <row r="1979" spans="11:11" x14ac:dyDescent="0.25">
      <c r="K1979" s="386"/>
    </row>
    <row r="1980" spans="11:11" x14ac:dyDescent="0.25">
      <c r="K1980" s="386"/>
    </row>
    <row r="1981" spans="11:11" x14ac:dyDescent="0.25">
      <c r="K1981" s="386"/>
    </row>
    <row r="1982" spans="11:11" x14ac:dyDescent="0.25">
      <c r="K1982" s="386"/>
    </row>
    <row r="1983" spans="11:11" x14ac:dyDescent="0.25">
      <c r="K1983" s="386"/>
    </row>
    <row r="1984" spans="11:11" x14ac:dyDescent="0.25">
      <c r="K1984" s="386"/>
    </row>
    <row r="1985" spans="11:11" x14ac:dyDescent="0.25">
      <c r="K1985" s="386"/>
    </row>
    <row r="1986" spans="11:11" x14ac:dyDescent="0.25">
      <c r="K1986" s="386"/>
    </row>
    <row r="1987" spans="11:11" x14ac:dyDescent="0.25">
      <c r="K1987" s="386"/>
    </row>
    <row r="1988" spans="11:11" x14ac:dyDescent="0.25">
      <c r="K1988" s="386"/>
    </row>
    <row r="1989" spans="11:11" x14ac:dyDescent="0.25">
      <c r="K1989" s="386"/>
    </row>
    <row r="1990" spans="11:11" x14ac:dyDescent="0.25">
      <c r="K1990" s="386"/>
    </row>
    <row r="1991" spans="11:11" x14ac:dyDescent="0.25">
      <c r="K1991" s="386"/>
    </row>
    <row r="1992" spans="11:11" x14ac:dyDescent="0.25">
      <c r="K1992" s="386"/>
    </row>
    <row r="1993" spans="11:11" x14ac:dyDescent="0.25">
      <c r="K1993" s="386"/>
    </row>
    <row r="1994" spans="11:11" x14ac:dyDescent="0.25">
      <c r="K1994" s="386"/>
    </row>
    <row r="1995" spans="11:11" x14ac:dyDescent="0.25">
      <c r="K1995" s="386"/>
    </row>
    <row r="1996" spans="11:11" x14ac:dyDescent="0.25">
      <c r="K1996" s="386"/>
    </row>
    <row r="1997" spans="11:11" x14ac:dyDescent="0.25">
      <c r="K1997" s="386"/>
    </row>
    <row r="1998" spans="11:11" x14ac:dyDescent="0.25">
      <c r="K1998" s="386"/>
    </row>
    <row r="1999" spans="11:11" x14ac:dyDescent="0.25">
      <c r="K1999" s="386"/>
    </row>
    <row r="2000" spans="11:11" x14ac:dyDescent="0.25">
      <c r="K2000" s="386"/>
    </row>
  </sheetData>
  <sheetProtection algorithmName="SHA-512" hashValue="3Dj+i9RPLDIbfwvywZtCvjCDGrhtCv72jcQ6sgPHwbb9H5Q+aemMsAUFUb6nZ7zDfqnSdWPvu0WFAK2f36XYPQ==" saltValue="6uVYMzmWVEUY+v6VISM4bQ==" spinCount="100000" sheet="1" objects="1" scenarios="1" selectLockedCells="1" selectUnlockedCells="1"/>
  <sortState xmlns:xlrd2="http://schemas.microsoft.com/office/spreadsheetml/2017/richdata2" ref="AO4:AO10">
    <sortCondition ref="AO4:AO10"/>
  </sortState>
  <phoneticPr fontId="1" type="noConversion"/>
  <conditionalFormatting sqref="AC13:AI18 AJ13:AJ63 AC69:AJ69">
    <cfRule type="expression" dxfId="48" priority="72">
      <formula>MOD(ROW(),2)&gt;0</formula>
    </cfRule>
  </conditionalFormatting>
  <conditionalFormatting sqref="AC4:AJ11 AC44:AI48 AC20:AI42 AC66:AJ68 AC58:AI63 AC50:AI56">
    <cfRule type="expression" dxfId="47" priority="50">
      <formula>MOD(ROW(),2)&gt;0</formula>
    </cfRule>
  </conditionalFormatting>
  <conditionalFormatting sqref="AC49:AI49">
    <cfRule type="expression" dxfId="46" priority="49">
      <formula>MOD(ROW(),2)&gt;0</formula>
    </cfRule>
  </conditionalFormatting>
  <conditionalFormatting sqref="AC57:AI57">
    <cfRule type="expression" dxfId="45" priority="48">
      <formula>MOD(ROW(),2)&gt;0</formula>
    </cfRule>
  </conditionalFormatting>
  <conditionalFormatting sqref="AC19:AI19">
    <cfRule type="expression" dxfId="44" priority="47">
      <formula>MOD(ROW(),2)&gt;0</formula>
    </cfRule>
  </conditionalFormatting>
  <conditionalFormatting sqref="AC43:AI43">
    <cfRule type="expression" dxfId="43" priority="46">
      <formula>MOD(ROW(),2)&gt;0</formula>
    </cfRule>
  </conditionalFormatting>
  <conditionalFormatting sqref="AC64:AJ64">
    <cfRule type="expression" dxfId="42" priority="45">
      <formula>MOD(ROW(),2)&gt;0</formula>
    </cfRule>
  </conditionalFormatting>
  <conditionalFormatting sqref="AC65:AJ65">
    <cfRule type="expression" dxfId="41" priority="44">
      <formula>MOD(ROW(),2)&gt;0</formula>
    </cfRule>
  </conditionalFormatting>
  <conditionalFormatting sqref="X4:Y5 X13:X63 X66:X69 X6:X10 Y6:Y11 Y13:Y72">
    <cfRule type="expression" dxfId="40" priority="41">
      <formula>MOD(ROW(),2)&gt;0</formula>
    </cfRule>
  </conditionalFormatting>
  <conditionalFormatting sqref="X64">
    <cfRule type="expression" dxfId="39" priority="40">
      <formula>MOD(ROW(),2)&gt;0</formula>
    </cfRule>
  </conditionalFormatting>
  <conditionalFormatting sqref="X65">
    <cfRule type="expression" dxfId="38" priority="39">
      <formula>MOD(ROW(),2)&gt;0</formula>
    </cfRule>
  </conditionalFormatting>
  <conditionalFormatting sqref="X11">
    <cfRule type="expression" dxfId="37" priority="38">
      <formula>MOD(ROW(),2)&gt;0</formula>
    </cfRule>
  </conditionalFormatting>
  <conditionalFormatting sqref="AK4:AL5 AK13:AK63 AK66:AK69 AK6:AK10 AL6:AL11 AL13:AL72">
    <cfRule type="expression" dxfId="36" priority="37">
      <formula>MOD(ROW(),2)&gt;0</formula>
    </cfRule>
  </conditionalFormatting>
  <conditionalFormatting sqref="AK64">
    <cfRule type="expression" dxfId="35" priority="36">
      <formula>MOD(ROW(),2)&gt;0</formula>
    </cfRule>
  </conditionalFormatting>
  <conditionalFormatting sqref="AK65">
    <cfRule type="expression" dxfId="34" priority="35">
      <formula>MOD(ROW(),2)&gt;0</formula>
    </cfRule>
  </conditionalFormatting>
  <conditionalFormatting sqref="AK11">
    <cfRule type="expression" dxfId="33" priority="34">
      <formula>MOD(ROW(),2)&gt;0</formula>
    </cfRule>
  </conditionalFormatting>
  <conditionalFormatting sqref="AC12:AJ12">
    <cfRule type="expression" dxfId="32" priority="33">
      <formula>MOD(ROW(),2)&gt;0</formula>
    </cfRule>
  </conditionalFormatting>
  <conditionalFormatting sqref="X12:Y12">
    <cfRule type="expression" dxfId="31" priority="32">
      <formula>MOD(ROW(),2)&gt;0</formula>
    </cfRule>
  </conditionalFormatting>
  <conditionalFormatting sqref="AK12:AL12">
    <cfRule type="expression" dxfId="30" priority="31">
      <formula>MOD(ROW(),2)&gt;0</formula>
    </cfRule>
  </conditionalFormatting>
  <conditionalFormatting sqref="I4:I117">
    <cfRule type="duplicateValues" dxfId="29" priority="18"/>
    <cfRule type="duplicateValues" dxfId="28" priority="20"/>
  </conditionalFormatting>
  <conditionalFormatting sqref="K4:K117">
    <cfRule type="duplicateValues" dxfId="27" priority="17"/>
    <cfRule type="duplicateValues" dxfId="26" priority="19"/>
  </conditionalFormatting>
  <conditionalFormatting sqref="I4:I56">
    <cfRule type="duplicateValues" dxfId="25" priority="16"/>
  </conditionalFormatting>
  <conditionalFormatting sqref="K4:K56">
    <cfRule type="duplicateValues" dxfId="24" priority="15"/>
  </conditionalFormatting>
  <conditionalFormatting sqref="I4:I56">
    <cfRule type="duplicateValues" dxfId="23" priority="8"/>
    <cfRule type="duplicateValues" dxfId="22" priority="10"/>
    <cfRule type="duplicateValues" dxfId="21" priority="12"/>
    <cfRule type="duplicateValues" dxfId="20" priority="14"/>
  </conditionalFormatting>
  <conditionalFormatting sqref="K4:K56">
    <cfRule type="duplicateValues" dxfId="19" priority="7"/>
    <cfRule type="duplicateValues" dxfId="18" priority="9"/>
    <cfRule type="duplicateValues" dxfId="17" priority="11"/>
    <cfRule type="duplicateValues" dxfId="16" priority="13"/>
  </conditionalFormatting>
  <conditionalFormatting sqref="I4:I56">
    <cfRule type="duplicateValues" dxfId="5" priority="6"/>
    <cfRule type="duplicateValues" dxfId="4" priority="4"/>
    <cfRule type="duplicateValues" dxfId="3" priority="2"/>
  </conditionalFormatting>
  <conditionalFormatting sqref="K4:K56">
    <cfRule type="duplicateValues" dxfId="2" priority="5"/>
    <cfRule type="duplicateValues" dxfId="1" priority="3"/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  <ignoredErrors>
    <ignoredError sqref="M7:M9" unlockedFormula="1"/>
    <ignoredError sqref="J10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01281-16DC-4A09-8074-61A885F64D8D}">
  <sheetPr codeName="Sheet1"/>
  <dimension ref="B1:BR118"/>
  <sheetViews>
    <sheetView workbookViewId="0">
      <selection activeCell="E26" sqref="E26"/>
    </sheetView>
  </sheetViews>
  <sheetFormatPr defaultRowHeight="15" x14ac:dyDescent="0.25"/>
  <cols>
    <col min="2" max="2" width="17.42578125" style="35" customWidth="1"/>
    <col min="3" max="3" width="17.42578125" style="389" customWidth="1"/>
    <col min="4" max="4" width="41.85546875" customWidth="1"/>
    <col min="5" max="5" width="23.85546875" customWidth="1"/>
    <col min="15" max="15" width="19.7109375" style="357" customWidth="1"/>
    <col min="69" max="69" width="9.140625" style="300"/>
  </cols>
  <sheetData>
    <row r="1" spans="2:70" x14ac:dyDescent="0.25">
      <c r="B1" s="49"/>
      <c r="C1" s="49"/>
      <c r="BA1">
        <f>MATCH("Loadable",B:B,0)-1</f>
        <v>32</v>
      </c>
      <c r="BC1">
        <f>MATCH("Loadable",B:B,0)-1</f>
        <v>32</v>
      </c>
      <c r="BQ1" s="300" t="s">
        <v>563</v>
      </c>
      <c r="BR1" t="s">
        <v>567</v>
      </c>
    </row>
    <row r="2" spans="2:70" x14ac:dyDescent="0.25">
      <c r="B2" s="53"/>
      <c r="C2" s="54"/>
      <c r="D2">
        <f>MATCH("Loadable",B:B,0)-1</f>
        <v>32</v>
      </c>
      <c r="BQ2" s="300" t="s">
        <v>564</v>
      </c>
    </row>
    <row r="3" spans="2:70" x14ac:dyDescent="0.25">
      <c r="B3" s="276" t="s">
        <v>475</v>
      </c>
      <c r="C3" s="390"/>
    </row>
    <row r="4" spans="2:70" x14ac:dyDescent="0.25">
      <c r="B4" s="35" t="s">
        <v>185</v>
      </c>
      <c r="C4" s="389" t="s">
        <v>1509</v>
      </c>
    </row>
    <row r="5" spans="2:70" x14ac:dyDescent="0.25">
      <c r="B5" s="35" t="s">
        <v>185</v>
      </c>
      <c r="C5" s="389" t="s">
        <v>1509</v>
      </c>
    </row>
    <row r="6" spans="2:70" x14ac:dyDescent="0.25">
      <c r="B6" s="35" t="s">
        <v>185</v>
      </c>
      <c r="C6" s="389" t="s">
        <v>1505</v>
      </c>
    </row>
    <row r="7" spans="2:70" x14ac:dyDescent="0.25">
      <c r="B7" s="35" t="s">
        <v>185</v>
      </c>
      <c r="C7" s="389" t="s">
        <v>1505</v>
      </c>
    </row>
    <row r="8" spans="2:70" x14ac:dyDescent="0.25">
      <c r="B8" s="35" t="s">
        <v>185</v>
      </c>
      <c r="C8" s="389" t="s">
        <v>1505</v>
      </c>
    </row>
    <row r="9" spans="2:70" x14ac:dyDescent="0.25">
      <c r="B9" s="35" t="s">
        <v>185</v>
      </c>
      <c r="C9" s="389" t="s">
        <v>1512</v>
      </c>
    </row>
    <row r="10" spans="2:70" x14ac:dyDescent="0.25">
      <c r="B10" s="35" t="s">
        <v>185</v>
      </c>
      <c r="C10" s="389" t="s">
        <v>1512</v>
      </c>
    </row>
    <row r="11" spans="2:70" x14ac:dyDescent="0.25">
      <c r="B11" s="35" t="s">
        <v>185</v>
      </c>
      <c r="C11" s="389" t="s">
        <v>1512</v>
      </c>
      <c r="O11" s="358"/>
      <c r="P11" s="319"/>
      <c r="BQ11" s="300" t="s">
        <v>565</v>
      </c>
    </row>
    <row r="12" spans="2:70" x14ac:dyDescent="0.25">
      <c r="B12" s="35" t="s">
        <v>185</v>
      </c>
      <c r="C12" s="389" t="s">
        <v>1513</v>
      </c>
      <c r="O12" s="358"/>
      <c r="P12" s="346"/>
      <c r="BQ12" s="300" t="s">
        <v>566</v>
      </c>
    </row>
    <row r="13" spans="2:70" x14ac:dyDescent="0.25">
      <c r="B13" s="35" t="s">
        <v>185</v>
      </c>
      <c r="C13" s="389" t="s">
        <v>1510</v>
      </c>
      <c r="F13" t="s">
        <v>1486</v>
      </c>
      <c r="O13" s="358"/>
      <c r="P13" s="346"/>
      <c r="BQ13" s="300" t="s">
        <v>567</v>
      </c>
    </row>
    <row r="14" spans="2:70" x14ac:dyDescent="0.25">
      <c r="B14" s="35" t="s">
        <v>185</v>
      </c>
      <c r="C14" s="389" t="s">
        <v>1515</v>
      </c>
      <c r="D14" t="s">
        <v>1487</v>
      </c>
      <c r="E14">
        <f t="array" ref="E14">vitri(".",D14,3)</f>
        <v>14</v>
      </c>
      <c r="F14">
        <v>2</v>
      </c>
      <c r="H14" s="345" t="s">
        <v>1493</v>
      </c>
      <c r="L14" t="s">
        <v>1494</v>
      </c>
      <c r="O14" s="358"/>
      <c r="P14" s="346"/>
      <c r="BQ14" s="300" t="s">
        <v>568</v>
      </c>
    </row>
    <row r="15" spans="2:70" x14ac:dyDescent="0.25">
      <c r="B15" s="35" t="s">
        <v>185</v>
      </c>
      <c r="C15" s="389" t="s">
        <v>1517</v>
      </c>
      <c r="D15" t="s">
        <v>1488</v>
      </c>
      <c r="E15">
        <f>LEN(D15)-LEN(SUBSTITUTE(D15,".",""))</f>
        <v>4</v>
      </c>
      <c r="F15">
        <v>2</v>
      </c>
      <c r="G15">
        <f>E15-F15</f>
        <v>2</v>
      </c>
      <c r="H15" s="345" t="s">
        <v>1491</v>
      </c>
      <c r="L15" t="s">
        <v>1492</v>
      </c>
      <c r="O15" s="358"/>
      <c r="P15" s="346"/>
      <c r="BQ15" s="300" t="s">
        <v>569</v>
      </c>
    </row>
    <row r="16" spans="2:70" x14ac:dyDescent="0.25">
      <c r="B16" s="35" t="s">
        <v>185</v>
      </c>
      <c r="C16" s="389" t="s">
        <v>1517</v>
      </c>
      <c r="D16" t="s">
        <v>1490</v>
      </c>
      <c r="E16" t="str">
        <f t="array" ref="E16">IF(D16="","",IF(LEN(D16)-LEN(SUBSTITUTE(D16,".",""))=2,LEFT(D16,vitri(".",D16,2)-1),LEFT(D16,vitri(".",D16,1)-1)))</f>
        <v>mothai.ba</v>
      </c>
      <c r="P16" s="269"/>
      <c r="Q16" s="269"/>
      <c r="R16" s="269"/>
      <c r="S16" s="269"/>
      <c r="T16" s="269"/>
      <c r="BQ16" s="300" t="s">
        <v>570</v>
      </c>
    </row>
    <row r="17" spans="2:20" ht="15.75" thickBot="1" x14ac:dyDescent="0.3">
      <c r="B17" s="35" t="s">
        <v>185</v>
      </c>
      <c r="C17" s="389" t="s">
        <v>1518</v>
      </c>
      <c r="D17" t="s">
        <v>1490</v>
      </c>
      <c r="E17" t="str">
        <f t="array" ref="E17">IF(D17="","",IF(LEN(D17)-LEN(SUBSTITUTE(D17,".",""))=2,LEFT(D17,vitri(".",D17,2)-1),LEFT(D17,vitri(".",D17,1)-1)))</f>
        <v>mothai.ba</v>
      </c>
      <c r="P17" s="269"/>
      <c r="Q17" s="269"/>
      <c r="R17" s="269"/>
      <c r="S17" s="269"/>
      <c r="T17" s="269"/>
    </row>
    <row r="18" spans="2:20" ht="15.75" thickBot="1" x14ac:dyDescent="0.3">
      <c r="B18" s="35" t="s">
        <v>185</v>
      </c>
      <c r="C18" s="389" t="s">
        <v>1511</v>
      </c>
      <c r="D18" t="s">
        <v>1489</v>
      </c>
      <c r="E18" s="347" t="str">
        <f t="array" ref="E18">_xlfn.IFS(D18="","",LEN(D18)-LEN(SUBSTITUTE(D18,".",""))=3,LEFT(D18,vitri(".",D18,3)-1),LEN(D18)-LEN(SUBSTITUTE(D18,".",""))=2,LEFT(D18,vitri(".",D18,2)-1),TRUE,LEFT(D18,vitri(".",D18,1)-1))</f>
        <v>mot.hai.ba</v>
      </c>
      <c r="P18" s="269"/>
      <c r="Q18" s="269"/>
      <c r="R18" s="269"/>
      <c r="S18" s="269"/>
      <c r="T18" s="269"/>
    </row>
    <row r="19" spans="2:20" x14ac:dyDescent="0.25">
      <c r="B19" s="35" t="s">
        <v>185</v>
      </c>
      <c r="C19" s="389" t="s">
        <v>1511</v>
      </c>
      <c r="E19" t="str">
        <f t="array" ref="E19">_xlfn.IFS(D18="","",LEN(D18)-LEN(SUBSTITUTE(D18,".",""))=3,LEFT(D18,vitri(".",D18,3)-1),LEN(D18)-LEN(SUBSTITUTE(D18,".",""))=2,LEFT(D18,vitri(".",D18,2)-1),TRUE,LEFT(D18,vitri(".",D18,1)-1))</f>
        <v>mot.hai.ba</v>
      </c>
      <c r="P19" s="269"/>
      <c r="Q19" s="269"/>
      <c r="R19" s="269"/>
      <c r="S19" s="269"/>
      <c r="T19" s="269"/>
    </row>
    <row r="20" spans="2:20" ht="15.75" thickBot="1" x14ac:dyDescent="0.3">
      <c r="B20" s="35" t="s">
        <v>185</v>
      </c>
      <c r="C20" s="389" t="s">
        <v>1507</v>
      </c>
      <c r="P20" s="269"/>
      <c r="Q20" s="269"/>
      <c r="R20" s="269"/>
      <c r="S20" s="269"/>
      <c r="T20" s="269"/>
    </row>
    <row r="21" spans="2:20" ht="15.75" thickBot="1" x14ac:dyDescent="0.3">
      <c r="B21" s="35" t="s">
        <v>185</v>
      </c>
      <c r="C21" s="389" t="s">
        <v>1507</v>
      </c>
      <c r="D21" t="s">
        <v>1488</v>
      </c>
      <c r="E21" s="348" t="str">
        <f t="array" ref="E21">_xlfn.IFS(AS12="","",LEN(AS12)-LEN(SUBSTITUTE(AS12,".",""))=3,LEFT(AS12,vitri(".",AS12,3)-1),LEN(AS12)-LEN(SUBSTITUTE(AS12,".",""))=2,LEFT(AS12,vitri(".",AS12,2)-1),TRUE,LEFT(AS12,vitri(".",AS12,1)-1))</f>
        <v/>
      </c>
      <c r="P21" s="269"/>
      <c r="Q21" s="269"/>
      <c r="R21" s="269"/>
      <c r="S21" s="269"/>
      <c r="T21" s="269"/>
    </row>
    <row r="22" spans="2:20" x14ac:dyDescent="0.25">
      <c r="B22" s="35" t="s">
        <v>185</v>
      </c>
      <c r="C22" s="389" t="s">
        <v>1507</v>
      </c>
      <c r="P22" s="269"/>
      <c r="Q22" s="269"/>
      <c r="R22" s="269"/>
      <c r="S22" s="269"/>
      <c r="T22" s="269"/>
    </row>
    <row r="23" spans="2:20" x14ac:dyDescent="0.25">
      <c r="B23" s="35" t="s">
        <v>185</v>
      </c>
      <c r="C23" s="389" t="s">
        <v>1508</v>
      </c>
      <c r="P23" s="269"/>
      <c r="Q23" s="269"/>
      <c r="R23" s="269"/>
      <c r="S23" s="269"/>
      <c r="T23" s="269"/>
    </row>
    <row r="24" spans="2:20" x14ac:dyDescent="0.25">
      <c r="B24" s="35" t="s">
        <v>185</v>
      </c>
      <c r="C24" s="389" t="s">
        <v>1508</v>
      </c>
      <c r="P24" s="269"/>
      <c r="Q24" s="269"/>
      <c r="R24" s="269"/>
      <c r="S24" s="269"/>
      <c r="T24" s="269"/>
    </row>
    <row r="25" spans="2:20" x14ac:dyDescent="0.25">
      <c r="B25" s="35" t="s">
        <v>185</v>
      </c>
      <c r="C25" s="389" t="s">
        <v>1514</v>
      </c>
      <c r="P25" s="269"/>
      <c r="Q25" s="269"/>
      <c r="R25" s="269"/>
      <c r="S25" s="269"/>
      <c r="T25" s="269"/>
    </row>
    <row r="26" spans="2:20" x14ac:dyDescent="0.25">
      <c r="B26" s="35" t="s">
        <v>185</v>
      </c>
      <c r="C26" s="389" t="s">
        <v>1506</v>
      </c>
      <c r="P26" s="269"/>
      <c r="Q26" s="269"/>
      <c r="R26" s="269"/>
      <c r="S26" s="269"/>
      <c r="T26" s="269"/>
    </row>
    <row r="27" spans="2:20" x14ac:dyDescent="0.25">
      <c r="B27" s="35" t="s">
        <v>185</v>
      </c>
      <c r="C27" s="389" t="s">
        <v>1516</v>
      </c>
      <c r="P27" s="269"/>
      <c r="Q27" s="269"/>
      <c r="R27" s="269"/>
      <c r="S27" s="269"/>
      <c r="T27" s="269"/>
    </row>
    <row r="28" spans="2:20" x14ac:dyDescent="0.25">
      <c r="B28" s="35" t="s">
        <v>185</v>
      </c>
      <c r="C28" s="389" t="s">
        <v>1516</v>
      </c>
      <c r="P28" s="269"/>
      <c r="Q28" s="269"/>
      <c r="R28" s="269"/>
      <c r="S28" s="269"/>
      <c r="T28" s="269"/>
    </row>
    <row r="29" spans="2:20" x14ac:dyDescent="0.25">
      <c r="B29" s="35" t="s">
        <v>185</v>
      </c>
      <c r="C29" s="389" t="s">
        <v>1516</v>
      </c>
      <c r="P29" s="269"/>
      <c r="Q29" s="269"/>
      <c r="R29" s="269"/>
      <c r="S29" s="269"/>
      <c r="T29" s="269"/>
    </row>
    <row r="30" spans="2:20" x14ac:dyDescent="0.25">
      <c r="B30" s="35" t="s">
        <v>185</v>
      </c>
      <c r="C30" s="389" t="s">
        <v>1516</v>
      </c>
      <c r="P30" s="269"/>
      <c r="Q30" s="269"/>
      <c r="R30" s="269"/>
      <c r="S30" s="269"/>
      <c r="T30" s="269"/>
    </row>
    <row r="31" spans="2:20" x14ac:dyDescent="0.25">
      <c r="B31" s="35" t="s">
        <v>185</v>
      </c>
      <c r="C31" s="389" t="s">
        <v>1516</v>
      </c>
      <c r="P31" s="269"/>
      <c r="Q31" s="269"/>
      <c r="R31" s="269"/>
      <c r="S31" s="269"/>
      <c r="T31" s="269"/>
    </row>
    <row r="32" spans="2:20" x14ac:dyDescent="0.25">
      <c r="B32" s="35" t="s">
        <v>185</v>
      </c>
      <c r="C32" s="389" t="s">
        <v>1516</v>
      </c>
      <c r="P32" s="269"/>
      <c r="Q32" s="269"/>
      <c r="R32" s="269"/>
      <c r="S32" s="269"/>
      <c r="T32" s="269"/>
    </row>
    <row r="33" spans="2:20" x14ac:dyDescent="0.25">
      <c r="B33" s="35" t="s">
        <v>184</v>
      </c>
      <c r="P33" s="269"/>
      <c r="Q33" s="269"/>
      <c r="R33" s="269"/>
      <c r="S33" s="269"/>
      <c r="T33" s="269"/>
    </row>
    <row r="34" spans="2:20" x14ac:dyDescent="0.25">
      <c r="B34" s="35" t="s">
        <v>184</v>
      </c>
      <c r="P34" s="269"/>
      <c r="Q34" s="269"/>
      <c r="R34" s="269"/>
      <c r="S34" s="269"/>
      <c r="T34" s="269"/>
    </row>
    <row r="35" spans="2:20" x14ac:dyDescent="0.25">
      <c r="B35" s="35" t="s">
        <v>184</v>
      </c>
      <c r="C35" s="389" t="s">
        <v>1516</v>
      </c>
      <c r="P35" s="269"/>
      <c r="Q35" s="269"/>
      <c r="R35" s="269"/>
      <c r="S35" s="269"/>
      <c r="T35" s="269"/>
    </row>
    <row r="36" spans="2:20" x14ac:dyDescent="0.25">
      <c r="B36" s="35" t="s">
        <v>184</v>
      </c>
      <c r="C36" s="389" t="s">
        <v>1519</v>
      </c>
      <c r="P36" s="269"/>
      <c r="Q36" s="269"/>
      <c r="R36" s="269"/>
      <c r="S36" s="269"/>
      <c r="T36" s="269"/>
    </row>
    <row r="37" spans="2:20" x14ac:dyDescent="0.25">
      <c r="B37" s="35" t="s">
        <v>184</v>
      </c>
      <c r="P37" s="269"/>
      <c r="Q37" s="269"/>
      <c r="R37" s="269"/>
      <c r="S37" s="269"/>
      <c r="T37" s="269"/>
    </row>
    <row r="38" spans="2:20" x14ac:dyDescent="0.25">
      <c r="B38" s="35" t="s">
        <v>184</v>
      </c>
      <c r="P38" s="269"/>
      <c r="Q38" s="269"/>
      <c r="R38" s="269"/>
      <c r="S38" s="269"/>
      <c r="T38" s="269"/>
    </row>
    <row r="39" spans="2:20" x14ac:dyDescent="0.25">
      <c r="B39" s="35" t="s">
        <v>184</v>
      </c>
      <c r="P39" s="269"/>
      <c r="Q39" s="269"/>
      <c r="R39" s="269"/>
      <c r="S39" s="269"/>
      <c r="T39" s="269"/>
    </row>
    <row r="40" spans="2:20" x14ac:dyDescent="0.25">
      <c r="B40" s="35" t="s">
        <v>184</v>
      </c>
      <c r="P40" s="269"/>
      <c r="Q40" s="269"/>
      <c r="R40" s="269"/>
      <c r="S40" s="269"/>
      <c r="T40" s="269"/>
    </row>
    <row r="41" spans="2:20" x14ac:dyDescent="0.25">
      <c r="B41" s="35" t="s">
        <v>184</v>
      </c>
      <c r="P41" s="269"/>
      <c r="Q41" s="269"/>
      <c r="R41" s="269"/>
      <c r="S41" s="269"/>
      <c r="T41" s="269"/>
    </row>
    <row r="42" spans="2:20" x14ac:dyDescent="0.25">
      <c r="B42" s="35" t="s">
        <v>184</v>
      </c>
    </row>
    <row r="43" spans="2:20" x14ac:dyDescent="0.25">
      <c r="B43" s="35" t="s">
        <v>184</v>
      </c>
    </row>
    <row r="44" spans="2:20" x14ac:dyDescent="0.25">
      <c r="B44" s="35" t="s">
        <v>184</v>
      </c>
    </row>
    <row r="45" spans="2:20" x14ac:dyDescent="0.25">
      <c r="B45" s="35" t="s">
        <v>184</v>
      </c>
    </row>
    <row r="46" spans="2:20" x14ac:dyDescent="0.25">
      <c r="B46" s="35" t="s">
        <v>184</v>
      </c>
    </row>
    <row r="47" spans="2:20" x14ac:dyDescent="0.25">
      <c r="B47" s="35" t="s">
        <v>184</v>
      </c>
    </row>
    <row r="48" spans="2:20" x14ac:dyDescent="0.25">
      <c r="B48" s="35" t="s">
        <v>184</v>
      </c>
    </row>
    <row r="49" spans="2:2" x14ac:dyDescent="0.25">
      <c r="B49" s="35" t="s">
        <v>184</v>
      </c>
    </row>
    <row r="50" spans="2:2" x14ac:dyDescent="0.25">
      <c r="B50" s="35" t="s">
        <v>184</v>
      </c>
    </row>
    <row r="51" spans="2:2" x14ac:dyDescent="0.25">
      <c r="B51" s="35" t="s">
        <v>184</v>
      </c>
    </row>
    <row r="52" spans="2:2" x14ac:dyDescent="0.25">
      <c r="B52" s="35" t="s">
        <v>184</v>
      </c>
    </row>
    <row r="53" spans="2:2" x14ac:dyDescent="0.25">
      <c r="B53" s="35" t="s">
        <v>184</v>
      </c>
    </row>
    <row r="54" spans="2:2" x14ac:dyDescent="0.25">
      <c r="B54" s="35" t="s">
        <v>184</v>
      </c>
    </row>
    <row r="55" spans="2:2" x14ac:dyDescent="0.25">
      <c r="B55" s="35" t="s">
        <v>184</v>
      </c>
    </row>
    <row r="56" spans="2:2" x14ac:dyDescent="0.25">
      <c r="B56" s="35" t="s">
        <v>184</v>
      </c>
    </row>
    <row r="57" spans="2:2" x14ac:dyDescent="0.25">
      <c r="B57" s="35" t="s">
        <v>184</v>
      </c>
    </row>
    <row r="58" spans="2:2" x14ac:dyDescent="0.25">
      <c r="B58" s="35" t="s">
        <v>184</v>
      </c>
    </row>
    <row r="59" spans="2:2" x14ac:dyDescent="0.25">
      <c r="B59" s="35" t="s">
        <v>184</v>
      </c>
    </row>
    <row r="60" spans="2:2" x14ac:dyDescent="0.25">
      <c r="B60" s="35" t="s">
        <v>184</v>
      </c>
    </row>
    <row r="61" spans="2:2" x14ac:dyDescent="0.25">
      <c r="B61" s="35" t="s">
        <v>184</v>
      </c>
    </row>
    <row r="62" spans="2:2" x14ac:dyDescent="0.25">
      <c r="B62" s="35" t="s">
        <v>184</v>
      </c>
    </row>
    <row r="63" spans="2:2" x14ac:dyDescent="0.25">
      <c r="B63" s="35" t="s">
        <v>184</v>
      </c>
    </row>
    <row r="64" spans="2:2" x14ac:dyDescent="0.25">
      <c r="B64" s="35" t="s">
        <v>184</v>
      </c>
    </row>
    <row r="65" spans="2:2" x14ac:dyDescent="0.25">
      <c r="B65" s="35" t="s">
        <v>184</v>
      </c>
    </row>
    <row r="66" spans="2:2" x14ac:dyDescent="0.25">
      <c r="B66" s="35" t="s">
        <v>184</v>
      </c>
    </row>
    <row r="67" spans="2:2" x14ac:dyDescent="0.25">
      <c r="B67" s="35" t="s">
        <v>184</v>
      </c>
    </row>
    <row r="68" spans="2:2" x14ac:dyDescent="0.25">
      <c r="B68" s="35" t="s">
        <v>184</v>
      </c>
    </row>
    <row r="69" spans="2:2" x14ac:dyDescent="0.25">
      <c r="B69" s="35" t="s">
        <v>184</v>
      </c>
    </row>
    <row r="70" spans="2:2" x14ac:dyDescent="0.25">
      <c r="B70" s="35" t="s">
        <v>184</v>
      </c>
    </row>
    <row r="71" spans="2:2" x14ac:dyDescent="0.25">
      <c r="B71" s="35" t="s">
        <v>184</v>
      </c>
    </row>
    <row r="72" spans="2:2" x14ac:dyDescent="0.25">
      <c r="B72" s="35" t="s">
        <v>184</v>
      </c>
    </row>
    <row r="73" spans="2:2" x14ac:dyDescent="0.25">
      <c r="B73" s="35" t="s">
        <v>184</v>
      </c>
    </row>
    <row r="74" spans="2:2" x14ac:dyDescent="0.25">
      <c r="B74" s="35" t="s">
        <v>184</v>
      </c>
    </row>
    <row r="75" spans="2:2" x14ac:dyDescent="0.25">
      <c r="B75" s="35" t="s">
        <v>184</v>
      </c>
    </row>
    <row r="76" spans="2:2" x14ac:dyDescent="0.25">
      <c r="B76" s="35" t="s">
        <v>184</v>
      </c>
    </row>
    <row r="77" spans="2:2" x14ac:dyDescent="0.25">
      <c r="B77" s="35" t="s">
        <v>184</v>
      </c>
    </row>
    <row r="78" spans="2:2" x14ac:dyDescent="0.25">
      <c r="B78" s="35" t="s">
        <v>184</v>
      </c>
    </row>
    <row r="79" spans="2:2" x14ac:dyDescent="0.25">
      <c r="B79" s="35" t="s">
        <v>184</v>
      </c>
    </row>
    <row r="80" spans="2:2" x14ac:dyDescent="0.25">
      <c r="B80" s="35" t="s">
        <v>184</v>
      </c>
    </row>
    <row r="81" spans="2:2" x14ac:dyDescent="0.25">
      <c r="B81" s="35" t="s">
        <v>184</v>
      </c>
    </row>
    <row r="82" spans="2:2" x14ac:dyDescent="0.25">
      <c r="B82" s="35" t="s">
        <v>184</v>
      </c>
    </row>
    <row r="83" spans="2:2" x14ac:dyDescent="0.25">
      <c r="B83" s="35" t="s">
        <v>184</v>
      </c>
    </row>
    <row r="84" spans="2:2" x14ac:dyDescent="0.25">
      <c r="B84" s="35" t="s">
        <v>184</v>
      </c>
    </row>
    <row r="85" spans="2:2" x14ac:dyDescent="0.25">
      <c r="B85" s="35" t="s">
        <v>184</v>
      </c>
    </row>
    <row r="86" spans="2:2" x14ac:dyDescent="0.25">
      <c r="B86" s="35" t="s">
        <v>184</v>
      </c>
    </row>
    <row r="87" spans="2:2" x14ac:dyDescent="0.25">
      <c r="B87" s="35" t="s">
        <v>184</v>
      </c>
    </row>
    <row r="88" spans="2:2" x14ac:dyDescent="0.25">
      <c r="B88" s="35" t="s">
        <v>184</v>
      </c>
    </row>
    <row r="89" spans="2:2" x14ac:dyDescent="0.25">
      <c r="B89" s="35" t="s">
        <v>184</v>
      </c>
    </row>
    <row r="90" spans="2:2" x14ac:dyDescent="0.25">
      <c r="B90" s="35" t="s">
        <v>184</v>
      </c>
    </row>
    <row r="91" spans="2:2" x14ac:dyDescent="0.25">
      <c r="B91" s="35" t="s">
        <v>184</v>
      </c>
    </row>
    <row r="92" spans="2:2" x14ac:dyDescent="0.25">
      <c r="B92" s="35" t="s">
        <v>184</v>
      </c>
    </row>
    <row r="93" spans="2:2" x14ac:dyDescent="0.25">
      <c r="B93" s="35" t="s">
        <v>184</v>
      </c>
    </row>
    <row r="94" spans="2:2" x14ac:dyDescent="0.25">
      <c r="B94" s="35" t="s">
        <v>184</v>
      </c>
    </row>
    <row r="95" spans="2:2" x14ac:dyDescent="0.25">
      <c r="B95" s="35" t="s">
        <v>184</v>
      </c>
    </row>
    <row r="96" spans="2:2" x14ac:dyDescent="0.25">
      <c r="B96" s="35" t="s">
        <v>184</v>
      </c>
    </row>
    <row r="97" spans="2:2" x14ac:dyDescent="0.25">
      <c r="B97" s="35" t="s">
        <v>184</v>
      </c>
    </row>
    <row r="98" spans="2:2" x14ac:dyDescent="0.25">
      <c r="B98" s="35" t="s">
        <v>184</v>
      </c>
    </row>
    <row r="99" spans="2:2" x14ac:dyDescent="0.25">
      <c r="B99" s="35" t="s">
        <v>184</v>
      </c>
    </row>
    <row r="100" spans="2:2" x14ac:dyDescent="0.25">
      <c r="B100" s="35" t="s">
        <v>184</v>
      </c>
    </row>
    <row r="101" spans="2:2" x14ac:dyDescent="0.25">
      <c r="B101" s="35" t="s">
        <v>184</v>
      </c>
    </row>
    <row r="102" spans="2:2" x14ac:dyDescent="0.25">
      <c r="B102" s="35" t="s">
        <v>184</v>
      </c>
    </row>
    <row r="103" spans="2:2" x14ac:dyDescent="0.25">
      <c r="B103" s="35" t="s">
        <v>184</v>
      </c>
    </row>
    <row r="104" spans="2:2" x14ac:dyDescent="0.25">
      <c r="B104" s="35" t="s">
        <v>184</v>
      </c>
    </row>
    <row r="105" spans="2:2" x14ac:dyDescent="0.25">
      <c r="B105" s="35" t="s">
        <v>184</v>
      </c>
    </row>
    <row r="106" spans="2:2" x14ac:dyDescent="0.25">
      <c r="B106" s="35" t="s">
        <v>184</v>
      </c>
    </row>
    <row r="107" spans="2:2" x14ac:dyDescent="0.25">
      <c r="B107" s="35" t="s">
        <v>184</v>
      </c>
    </row>
    <row r="108" spans="2:2" x14ac:dyDescent="0.25">
      <c r="B108" s="35" t="s">
        <v>184</v>
      </c>
    </row>
    <row r="109" spans="2:2" x14ac:dyDescent="0.25">
      <c r="B109" s="35" t="s">
        <v>184</v>
      </c>
    </row>
    <row r="110" spans="2:2" x14ac:dyDescent="0.25">
      <c r="B110" s="35" t="s">
        <v>184</v>
      </c>
    </row>
    <row r="111" spans="2:2" x14ac:dyDescent="0.25">
      <c r="B111" s="35" t="s">
        <v>184</v>
      </c>
    </row>
    <row r="112" spans="2:2" x14ac:dyDescent="0.25">
      <c r="B112" s="35" t="s">
        <v>184</v>
      </c>
    </row>
    <row r="113" spans="2:2" x14ac:dyDescent="0.25">
      <c r="B113" s="35" t="s">
        <v>184</v>
      </c>
    </row>
    <row r="114" spans="2:2" x14ac:dyDescent="0.25">
      <c r="B114" s="35" t="s">
        <v>184</v>
      </c>
    </row>
    <row r="115" spans="2:2" x14ac:dyDescent="0.25">
      <c r="B115" s="35" t="s">
        <v>184</v>
      </c>
    </row>
    <row r="116" spans="2:2" x14ac:dyDescent="0.25">
      <c r="B116" s="35" t="s">
        <v>184</v>
      </c>
    </row>
    <row r="117" spans="2:2" x14ac:dyDescent="0.25">
      <c r="B117" s="35" t="s">
        <v>184</v>
      </c>
    </row>
    <row r="118" spans="2:2" x14ac:dyDescent="0.25">
      <c r="B118" s="35" t="s">
        <v>184</v>
      </c>
    </row>
  </sheetData>
  <sortState xmlns:xlrd2="http://schemas.microsoft.com/office/spreadsheetml/2017/richdata2" ref="B5:K32">
    <sortCondition ref="C4:C32"/>
  </sortState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FAFF120" Type="http://schemas.openxmlformats.org/officeDocument/2006/relationships/image" Target="images/FAFF120.png"/><Relationship Id="_x0035_12x512_Icon_DuctDark" Type="http://schemas.openxmlformats.org/officeDocument/2006/relationships/image" Target="images/512x512_Icon_DuctDark.png"/><Relationship Id="Plumbing150" Type="http://schemas.openxmlformats.org/officeDocument/2006/relationships/image" Target="images/Plumbing150.png"/><Relationship Id="Archi" Type="http://schemas.openxmlformats.org/officeDocument/2006/relationships/image" Target="images/Archi.png"/><Relationship Id="import-icon-2" Type="http://schemas.openxmlformats.org/officeDocument/2006/relationships/image" Target="images/import-icon-2.png"/><Relationship Id="Structure150" Type="http://schemas.openxmlformats.org/officeDocument/2006/relationships/image" Target="images/Structure150.png"/><Relationship Id="Electrics150" Type="http://schemas.openxmlformats.org/officeDocument/2006/relationships/image" Target="images/Electrics150.png"/></Relationships>
</file>

<file path=customUI/customUI14.xml><?xml version="1.0" encoding="utf-8"?>
<customUI xmlns="http://schemas.microsoft.com/office/2009/07/customui">
  <ribbon startFromScratch="false">
    <tabs>
      <tab id="customTab" label="3D Family">
        <group id="customGroup1" label="Family Name Management">
          <button id="customButton1" label="Architecture" image="Archi" size="large" onAction="Architectural_Family"/>
          <button id="customButton2" label="Electrics" image="Electrics150" size="large" onAction="Electrical_Family"/>
          <button id="customButton3" label="FAFF" image="FAFF120" size="large" onAction="FAFF_Family"/>
          <button id="customButton4" label="Mechanical" image="_x0035_12x512_Icon_DuctDark" size="large" onAction="Mechanical_Family"/>
          <button id="customButton5" label="Plumbing" image="Plumbing150" size="large" onAction="Plumbing_Family"/>
          <button id="customButton6" label="Structure" image="Structure150" size="large" onAction="Structural_Family"/>
        </group>
        <group id="customGroup2" label="Tools">
          <button id="customButton7" label="Update Data" image="import-icon-2" size="large" onAction="Import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B18FDF-584D-4FCE-A66C-C3FD56275F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48</vt:i4>
      </vt:variant>
    </vt:vector>
  </HeadingPairs>
  <TitlesOfParts>
    <vt:vector size="61" baseType="lpstr">
      <vt:lpstr>A_Source</vt:lpstr>
      <vt:lpstr>A</vt:lpstr>
      <vt:lpstr>E_Source</vt:lpstr>
      <vt:lpstr>E</vt:lpstr>
      <vt:lpstr>F_Source</vt:lpstr>
      <vt:lpstr>F</vt:lpstr>
      <vt:lpstr>M_Source</vt:lpstr>
      <vt:lpstr>M</vt:lpstr>
      <vt:lpstr>P_Source</vt:lpstr>
      <vt:lpstr>P</vt:lpstr>
      <vt:lpstr>S_Source</vt:lpstr>
      <vt:lpstr>S</vt:lpstr>
      <vt:lpstr>Sheet1</vt:lpstr>
      <vt:lpstr>A!Criteria</vt:lpstr>
      <vt:lpstr>E!Criteria</vt:lpstr>
      <vt:lpstr>F!Criteria</vt:lpstr>
      <vt:lpstr>M!Criteria</vt:lpstr>
      <vt:lpstr>P!Criteria</vt:lpstr>
      <vt:lpstr>S!Criteria</vt:lpstr>
      <vt:lpstr>A!CriteriaA</vt:lpstr>
      <vt:lpstr>F!CriteriaF</vt:lpstr>
      <vt:lpstr>S!CriteriaS</vt:lpstr>
      <vt:lpstr>A!DataValidA</vt:lpstr>
      <vt:lpstr>E!DataValidE</vt:lpstr>
      <vt:lpstr>F!DataValidF</vt:lpstr>
      <vt:lpstr>M!DataValidM</vt:lpstr>
      <vt:lpstr>P!DataValidP</vt:lpstr>
      <vt:lpstr>S!DataValidS</vt:lpstr>
      <vt:lpstr>A!Extract</vt:lpstr>
      <vt:lpstr>E!Extract</vt:lpstr>
      <vt:lpstr>F!Extract</vt:lpstr>
      <vt:lpstr>M!Extract</vt:lpstr>
      <vt:lpstr>P!Extract</vt:lpstr>
      <vt:lpstr>S!Extract</vt:lpstr>
      <vt:lpstr>A!ExtractA</vt:lpstr>
      <vt:lpstr>F!ExtractF</vt:lpstr>
      <vt:lpstr>S!ExtractS</vt:lpstr>
      <vt:lpstr>FamilyTypeA</vt:lpstr>
      <vt:lpstr>FamilyTypeE</vt:lpstr>
      <vt:lpstr>FamilyTypeF</vt:lpstr>
      <vt:lpstr>FamilyTypeM</vt:lpstr>
      <vt:lpstr>FamilyTypeP</vt:lpstr>
      <vt:lpstr>FamilyTypeS</vt:lpstr>
      <vt:lpstr>A!IDA</vt:lpstr>
      <vt:lpstr>E!IDE</vt:lpstr>
      <vt:lpstr>F!IDF</vt:lpstr>
      <vt:lpstr>M!IDM</vt:lpstr>
      <vt:lpstr>P!IDP</vt:lpstr>
      <vt:lpstr>S!IDS</vt:lpstr>
      <vt:lpstr>A!MaxNumA</vt:lpstr>
      <vt:lpstr>E!MaxNumE</vt:lpstr>
      <vt:lpstr>F!MaxNumF</vt:lpstr>
      <vt:lpstr>M!MaxNumM</vt:lpstr>
      <vt:lpstr>P!MaxNumP</vt:lpstr>
      <vt:lpstr>S!MaxNumS</vt:lpstr>
      <vt:lpstr>A!NumberA</vt:lpstr>
      <vt:lpstr>E!NumberE</vt:lpstr>
      <vt:lpstr>F!NumberF</vt:lpstr>
      <vt:lpstr>M!NumberM</vt:lpstr>
      <vt:lpstr>P!NumberP</vt:lpstr>
      <vt:lpstr>S!NumberS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Khoa Tran</dc:creator>
  <cp:lastModifiedBy>Khoa Tran</cp:lastModifiedBy>
  <dcterms:created xsi:type="dcterms:W3CDTF">2020-08-31T02:09:40Z</dcterms:created>
  <dcterms:modified xsi:type="dcterms:W3CDTF">2021-11-30T08:45:32Z</dcterms:modified>
</cp:coreProperties>
</file>